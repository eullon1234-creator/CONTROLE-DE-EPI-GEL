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geoeng-my.sharepoint.com/personal/nuvem_gel-eng_com_br/Documents/02-Obras/60218/08-SUPRIMENTOS/8.06-ALMOXARIFADO/8.06.01 - ALMOXARIFADO ESTRELA/8.06.01.04 - CONTROLE EPI/"/>
    </mc:Choice>
  </mc:AlternateContent>
  <xr:revisionPtr revIDLastSave="5763" documentId="13_ncr:1_{467AE47A-54A0-4DDF-9932-1D922E1B4C5B}" xr6:coauthVersionLast="47" xr6:coauthVersionMax="47" xr10:uidLastSave="{AF391DD2-4153-45BE-A0B5-451DA3C11BEE}"/>
  <bookViews>
    <workbookView xWindow="-120" yWindow="-120" windowWidth="29040" windowHeight="15720" tabRatio="594" xr2:uid="{00000000-000D-0000-FFFF-FFFF00000000}"/>
  </bookViews>
  <sheets>
    <sheet name="ENTRADA" sheetId="2" r:id="rId1"/>
    <sheet name="ESTOQUE" sheetId="1" r:id="rId2"/>
    <sheet name="SAIDA" sheetId="3" r:id="rId3"/>
    <sheet name="CUSTO_TOTAL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m">#N/A</definedName>
    <definedName name="\p">#N/A</definedName>
    <definedName name="\q">#N/A</definedName>
    <definedName name="\r">#N/A</definedName>
    <definedName name="\s">#N/A</definedName>
    <definedName name="\t">#N/A</definedName>
    <definedName name="\u">#N/A</definedName>
    <definedName name="\v">#N/A</definedName>
    <definedName name="\w">#N/A</definedName>
    <definedName name="\x">#N/A</definedName>
    <definedName name="\z">#N/A</definedName>
    <definedName name="____FOL2">#REF!</definedName>
    <definedName name="____tab1">#REF!</definedName>
    <definedName name="___cab1">#REF!</definedName>
    <definedName name="___cab2">#REF!</definedName>
    <definedName name="___FOL3">#N/A</definedName>
    <definedName name="___FOL4">#N/A</definedName>
    <definedName name="___LUP1">#N/A</definedName>
    <definedName name="___LUP2">#N/A</definedName>
    <definedName name="___ORC98">#REF!</definedName>
    <definedName name="___pla1">#REF!</definedName>
    <definedName name="___R">#N/A</definedName>
    <definedName name="___TOT1">#REF!</definedName>
    <definedName name="___TOT2">#REF!</definedName>
    <definedName name="___TOT3">#REF!</definedName>
    <definedName name="___TOT4">#REF!</definedName>
    <definedName name="___TOT5">#REF!</definedName>
    <definedName name="___TOT6">#REF!</definedName>
    <definedName name="___TOT7">#REF!</definedName>
    <definedName name="___VV9">#REF!</definedName>
    <definedName name="__cab1">#REF!</definedName>
    <definedName name="__cab2">#REF!</definedName>
    <definedName name="__FOL2">#REF!</definedName>
    <definedName name="__FOL3">#N/A</definedName>
    <definedName name="__FOL4">#N/A</definedName>
    <definedName name="__LUP1">#N/A</definedName>
    <definedName name="__LUP2">#N/A</definedName>
    <definedName name="__ORC98">#REF!</definedName>
    <definedName name="__pla1">#REF!</definedName>
    <definedName name="__R">#N/A</definedName>
    <definedName name="__tab1">#REF!</definedName>
    <definedName name="__TOT1">#REF!</definedName>
    <definedName name="__TOT2">#REF!</definedName>
    <definedName name="__TOT3">#REF!</definedName>
    <definedName name="__TOT4">#REF!</definedName>
    <definedName name="__TOT5">#REF!</definedName>
    <definedName name="__TOT6">#REF!</definedName>
    <definedName name="__TOT7">#REF!</definedName>
    <definedName name="__VV9">#REF!</definedName>
    <definedName name="_1__123Graph_ACHART_1" hidden="1">#REF!</definedName>
    <definedName name="_16__123Graph_BCHART_1" hidden="1">#REF!</definedName>
    <definedName name="_164">#N/A</definedName>
    <definedName name="_169">#N/A</definedName>
    <definedName name="_170">#N/A</definedName>
    <definedName name="_172">#N/A</definedName>
    <definedName name="_176">#N/A</definedName>
    <definedName name="_17602">#N/A</definedName>
    <definedName name="_177">#N/A</definedName>
    <definedName name="_18501">#N/A</definedName>
    <definedName name="_2__123Graph_ACHART_3" hidden="1">#REF!</definedName>
    <definedName name="_207">#N/A</definedName>
    <definedName name="_216">#N/A</definedName>
    <definedName name="_227">#N/A</definedName>
    <definedName name="_234">#N/A</definedName>
    <definedName name="_30__123Graph_CCHART_1" hidden="1">#REF!</definedName>
    <definedName name="_44__123Graph_DCHART_1" hidden="1">#REF!</definedName>
    <definedName name="_44__REAL._ACUM.">OFFSET(#REF!,,,1,MATCH(#REF!,#REF!,1))</definedName>
    <definedName name="_58__123Graph_ECHART_1" hidden="1">#REF!</definedName>
    <definedName name="_63">[1]Acionamento!#REF!</definedName>
    <definedName name="_72__123Graph_FCHART_1" hidden="1">#REF!</definedName>
    <definedName name="_86__123Graph_XCHART_3" hidden="1">#REF!</definedName>
    <definedName name="_cab1">#REF!</definedName>
    <definedName name="_cab2">#REF!</definedName>
    <definedName name="_Fill" hidden="1">#REF!</definedName>
    <definedName name="_xlnm._FilterDatabase" localSheetId="0" hidden="1">ENTRADA!$A$2:$K$774</definedName>
    <definedName name="_xlnm._FilterDatabase" localSheetId="1" hidden="1">ESTOQUE!$B$1:$L$367</definedName>
    <definedName name="_xlnm._FilterDatabase" localSheetId="2" hidden="1">SAIDA!$A$1:$K$4347</definedName>
    <definedName name="_FOL2">#REF!</definedName>
    <definedName name="_FOL3">#N/A</definedName>
    <definedName name="_FOL4">#N/A</definedName>
    <definedName name="_Key1" hidden="1">#REF!</definedName>
    <definedName name="_Key2" hidden="1">#REF!</definedName>
    <definedName name="_LUP1">#N/A</definedName>
    <definedName name="_LUP2">#N/A</definedName>
    <definedName name="_ORC98">#REF!</definedName>
    <definedName name="_Order1" hidden="1">255</definedName>
    <definedName name="_Order2" hidden="1">255</definedName>
    <definedName name="_pla1">#REF!</definedName>
    <definedName name="_R">#N/A</definedName>
    <definedName name="_Sort" hidden="1">#REF!</definedName>
    <definedName name="_tab1">#REF!</definedName>
    <definedName name="_TOT1">#REF!</definedName>
    <definedName name="_TOT2">#REF!</definedName>
    <definedName name="_TOT3">#REF!</definedName>
    <definedName name="_TOT4">#REF!</definedName>
    <definedName name="_TOT5">#REF!</definedName>
    <definedName name="_TOT6">#REF!</definedName>
    <definedName name="_TOT7">#REF!</definedName>
    <definedName name="_VV9">#REF!</definedName>
    <definedName name="a">#REF!</definedName>
    <definedName name="aa" hidden="1">{#N/A,#N/A,FALSE,"EXPORTAC";#N/A,#N/A,FALSE,"SUPEL94"}</definedName>
    <definedName name="aaaa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asaasas" hidden="1">{#N/A,#N/A,TRUE,"indice";#N/A,#N/A,TRUE,"indicadores";#N/A,#N/A,TRUE,"comentarios"}</definedName>
    <definedName name="AccessDatabase" hidden="1">"C:\Meus documentos\Paulo Cezar\ACOMPANHAMENTO.mdb"</definedName>
    <definedName name="Ad.Física">#N/A</definedName>
    <definedName name="adas">[2]!BALANCO</definedName>
    <definedName name="AderênciaFísica">#REF!</definedName>
    <definedName name="AGN">#REF!</definedName>
    <definedName name="AGRUPADORES">#REF!</definedName>
    <definedName name="ALMOCO">#N/A</definedName>
    <definedName name="ALMOCOMES">#N/A</definedName>
    <definedName name="ALTABSAL">#N/A</definedName>
    <definedName name="ALTERSAL">#N/A</definedName>
    <definedName name="Anoant">[3]Dados!$B$4</definedName>
    <definedName name="Anoprop">[3]Dados!$B$3</definedName>
    <definedName name="APAGTAB">#N/A</definedName>
    <definedName name="_xlnm.Extract">#REF!</definedName>
    <definedName name="_xlnm.Print_Area" localSheetId="0">ENTRADA!$A$1:$K$44</definedName>
    <definedName name="_xlnm.Print_Area" localSheetId="1">ESTOQUE!$A$1:$L$190</definedName>
    <definedName name="_xlnm.Print_Area" localSheetId="2">SAIDA!$A$1:$J$128</definedName>
    <definedName name="Área_impressão_IM">#REF!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uxiliar">#REF!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#REF!</definedName>
    <definedName name="BALANCO">[2]!BALANCO</definedName>
    <definedName name="_xlnm.Database">#REF!</definedName>
    <definedName name="BARRACHEIA">#N/A</definedName>
    <definedName name="BARRAS">#N/A</definedName>
    <definedName name="BARRAUM">#N/A</definedName>
    <definedName name="Bbn" hidden="1">{"'IndicadoresRH'!$AA$50:$AP$67"}</definedName>
    <definedName name="BD">#REF!</definedName>
    <definedName name="BDI">#REF!</definedName>
    <definedName name="BDIFIXO">'[4]MOB-2.11'!#REF!</definedName>
    <definedName name="BLOCO">[5]PLANILHA!#REF!</definedName>
    <definedName name="BRANCO">#N/A</definedName>
    <definedName name="BRANCO1">#N/A</definedName>
    <definedName name="BUSCTAB">#N/A</definedName>
    <definedName name="Button_17">"ACOMPANHAMENTO_Emergencial_Lista"</definedName>
    <definedName name="CAB">#REF!</definedName>
    <definedName name="CadastroDeNaturezas">#REF!</definedName>
    <definedName name="CALCEQUIP">#N/A</definedName>
    <definedName name="CAR">#REF!</definedName>
    <definedName name="CARGOS_E_SALÁRIOS">#REF!</definedName>
    <definedName name="CC">#REF!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M">#REF!</definedName>
    <definedName name="CHEKGER">#N/A</definedName>
    <definedName name="CHEKGER1">#N/A</definedName>
    <definedName name="CHEKGER2">#N/A</definedName>
    <definedName name="Clschv">[3]Dados!$AF$8:$AF$1328</definedName>
    <definedName name="CM">#REF!</definedName>
    <definedName name="COD">#N/A</definedName>
    <definedName name="CODENOME">#N/A</definedName>
    <definedName name="CODENOME1">#N/A</definedName>
    <definedName name="COMECO">#N/A</definedName>
    <definedName name="CONTADOR">#N/A</definedName>
    <definedName name="CONTCRONMOB">#N/A</definedName>
    <definedName name="CONTLINHA">#N/A</definedName>
    <definedName name="COPDIR">#N/A</definedName>
    <definedName name="COPIAR">#N/A</definedName>
    <definedName name="COPIND">#N/A</definedName>
    <definedName name="cot">#REF!</definedName>
    <definedName name="CRONGER">#N/A</definedName>
    <definedName name="CRONIMP">#N/A</definedName>
    <definedName name="CRONOG0">#N/A</definedName>
    <definedName name="CRONOG1">#N/A</definedName>
    <definedName name="CRONOGFIS">#N/A</definedName>
    <definedName name="CRONOGRAMAS">#N/A</definedName>
    <definedName name="CT">#REF!</definedName>
    <definedName name="CUSRED">[6]Acionamento!#REF!</definedName>
    <definedName name="CV">#REF!</definedName>
    <definedName name="D">#REF!</definedName>
    <definedName name="dados">#REF!</definedName>
    <definedName name="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">#REF!</definedName>
    <definedName name="DEFEQUIP">#N/A</definedName>
    <definedName name="DEFEQUIP1">#N/A</definedName>
    <definedName name="Denominação">#REF!</definedName>
    <definedName name="DESCRITIVO1">#REF!</definedName>
    <definedName name="DESFPORC">#N/A</definedName>
    <definedName name="dest">[7]ComentariosCusteio!$Q$6:$Q$2545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IFHH">#N/A</definedName>
    <definedName name="DIFMOB">#N/A</definedName>
    <definedName name="DIFMOB1">#N/A</definedName>
    <definedName name="DIFMOB2">#N/A</definedName>
    <definedName name="DIRIND">#N/A</definedName>
    <definedName name="Dólar">#REF!</definedName>
    <definedName name="dsda" hidden="1">{#N/A,#N/A,TRUE,"indice";#N/A,#N/A,TRUE,"indicadores";#N/A,#N/A,TRUE,"comentarios"}</definedName>
    <definedName name="DSUM">#N/A</definedName>
    <definedName name="E">#REF!</definedName>
    <definedName name="ECRNAT">[3]Dados!$T$8:$T$2463</definedName>
    <definedName name="ECRNATDT">#REF!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FATRL">[3]Dados!$O$7:$R$7886</definedName>
    <definedName name="EFATURA">[3]Dados!$J$7:$M$7854</definedName>
    <definedName name="EFETOT">'[4]Fec-2.12'!#REF!</definedName>
    <definedName name="EFETOTMES">#N/A</definedName>
    <definedName name="eGasAacu">[3]Dados!$Y$8:$Y$2463</definedName>
    <definedName name="eGasAacuUS">[3]Dados!$Z$8:$Z$2463</definedName>
    <definedName name="eGasacu">#REF!</definedName>
    <definedName name="eGasacuUS">#REF!</definedName>
    <definedName name="eGasmes">[3]Dados!$U$8:$U$2463</definedName>
    <definedName name="eGasmesus">[3]Dados!$V$8:$V$2463</definedName>
    <definedName name="eixos">[1]Acionamento!#REF!</definedName>
    <definedName name="ELETRICO">[2]!BALANCO</definedName>
    <definedName name="encarregado">#REF!</definedName>
    <definedName name="ENCHOR">#N/A</definedName>
    <definedName name="ENCMEN">#N/A</definedName>
    <definedName name="ENTDADOS">#N/A</definedName>
    <definedName name="EQSTR">#N/A</definedName>
    <definedName name="ERASECRON">#N/A</definedName>
    <definedName name="ESEQ">[3]Dados!$AB$8:$AB$9</definedName>
    <definedName name="ESEQ1">[3]Dados!$AI$8:$AI$20</definedName>
    <definedName name="Evalmov">[3]Dados!$AD$8:$AD$9</definedName>
    <definedName name="Evalmov1">[3]Dados!$AK$8:$AK$20</definedName>
    <definedName name="eVolChv">[3]Dados!$A$8:$A$650</definedName>
    <definedName name="EVolFat">[3]Dados!$A$7:$D$650</definedName>
    <definedName name="Evolmov">[3]Dados!$AC$8:$AC$9</definedName>
    <definedName name="Evolmov1">[3]Dados!$AJ$8:$AJ$20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IXACRON">#N/A</definedName>
    <definedName name="FATOR">#REF!</definedName>
    <definedName name="fcs">#REF!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">#REF!</definedName>
    <definedName name="FORDSUM">#N/A</definedName>
    <definedName name="FORM4">#REF!</definedName>
    <definedName name="FORMAT_">#N/A</definedName>
    <definedName name="FORMAT_1">#N/A</definedName>
    <definedName name="FORMAT_2">#N/A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e">#REF!</definedName>
    <definedName name="fsn">#REF!</definedName>
    <definedName name="FUNC">#N/A</definedName>
    <definedName name="função">#REF!</definedName>
    <definedName name="FUNCIONARIO">'[8]Folha de pagamento'!$B$2:$B$3128</definedName>
    <definedName name="FUNGER">#N/A</definedName>
    <definedName name="FUNX">#N/A</definedName>
    <definedName name="Gemop" hidden="1">{#N/A,#N/A,TRUE,"indice";#N/A,#N/A,TRUE,"indicadores";#N/A,#N/A,TRUE,"comentarios"}</definedName>
    <definedName name="GERENCIAS">#REF!</definedName>
    <definedName name="GERVAL">#N/A</definedName>
    <definedName name="getep" hidden="1">{#N/A,#N/A,TRUE,"indice";#N/A,#N/A,TRUE,"indicadores";#N/A,#N/A,TRUE,"comentarios"}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_xlnm.Recorder">#REF!</definedName>
    <definedName name="grtgert" hidden="1">{#N/A,#N/A,TRUE,"indice";#N/A,#N/A,TRUE,"indicadores";#N/A,#N/A,TRUE,"comentarios"}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PERELMECCAL">#N/A</definedName>
    <definedName name="HHTOTCAL">#N/A</definedName>
    <definedName name="HHTOTLIN">#N/A</definedName>
    <definedName name="HHTOTRES">#N/A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_CodePage" hidden="1">1252</definedName>
    <definedName name="HTML_Control" hidden="1">{"'IndicadoresRH'!$AA$50:$AP$67"}</definedName>
    <definedName name="HTML_Description" hidden="1">""</definedName>
    <definedName name="HTML_Email" hidden="1">""</definedName>
    <definedName name="HTML_Header" hidden="1">"Contrato 3072/03"</definedName>
    <definedName name="HTML_LastUpdate" hidden="1">"08/06/04"</definedName>
    <definedName name="HTML_LineAfter" hidden="1">FALSE</definedName>
    <definedName name="HTML_LineBefore" hidden="1">FALSE</definedName>
    <definedName name="HTML_Name" hidden="1">"Paulo"</definedName>
    <definedName name="HTML_OBDlg2" hidden="1">TRUE</definedName>
    <definedName name="HTML_OBDlg4" hidden="1">TRUE</definedName>
    <definedName name="HTML_OS" hidden="1">0</definedName>
    <definedName name="HTML_PathFile" hidden="1">"C:\Meus documentos\MeuHTML.htm"</definedName>
    <definedName name="HTML_Title" hidden="1">"Controle Gerencial"</definedName>
    <definedName name="IMPCRON1">#N/A</definedName>
    <definedName name="IMPRIMIR">#N/A</definedName>
    <definedName name="INCIVIL">#N/A</definedName>
    <definedName name="INICAL">#N/A</definedName>
    <definedName name="INICDISC">#N/A</definedName>
    <definedName name="INICIO">#N/A</definedName>
    <definedName name="INICIVIL">#N/A</definedName>
    <definedName name="INIEI">#N/A</definedName>
    <definedName name="INIEM">#N/A</definedName>
    <definedName name="INIGER">#N/A</definedName>
    <definedName name="INIJP">#N/A</definedName>
    <definedName name="INIMEC">#N/A</definedName>
    <definedName name="INITUB">#N/A</definedName>
    <definedName name="ITEM">#REF!</definedName>
    <definedName name="ITEMFIS">#N/A</definedName>
    <definedName name="ITENS">[9]ITENS!$A$1:$S$113</definedName>
    <definedName name="ITENS1">#REF!</definedName>
    <definedName name="J">#N/A</definedName>
    <definedName name="JP">#REF!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KKKK">#REF!</definedName>
    <definedName name="KTABEQ">#N/A</definedName>
    <definedName name="LE">#REF!</definedName>
    <definedName name="LIMPA">#N/A</definedName>
    <definedName name="LIMPATELAS">#N/A</definedName>
    <definedName name="LINE">#N/A</definedName>
    <definedName name="Lista">#REF!</definedName>
    <definedName name="ListaFim">#REF!</definedName>
    <definedName name="LL">#N/A</definedName>
    <definedName name="LOCAIS">[10]CADASTRO!$A$13:$A$58</definedName>
    <definedName name="LUP">#N/A</definedName>
    <definedName name="LUPENT">#N/A</definedName>
    <definedName name="m">#REF!</definedName>
    <definedName name="maodeobra">#REF!</definedName>
    <definedName name="maodeobra20">#REF!</definedName>
    <definedName name="MBV">#REF!</definedName>
    <definedName name="MENSAGENS">#N/A</definedName>
    <definedName name="Menu">#N/A</definedName>
    <definedName name="MENU5">#N/A</definedName>
    <definedName name="MENU6">#N/A</definedName>
    <definedName name="MENU6A">#N/A</definedName>
    <definedName name="MENU6B">#N/A</definedName>
    <definedName name="MENU7">#N/A</definedName>
    <definedName name="MENU8">#N/A</definedName>
    <definedName name="MES">[3]Dados!$B$1</definedName>
    <definedName name="Mesant">[3]Dados!$B$2</definedName>
    <definedName name="MOBIL1">#N/A</definedName>
    <definedName name="MOBIL2">#N/A</definedName>
    <definedName name="MOBIL3">#N/A</definedName>
    <definedName name="MOBILIZACAO">#N/A</definedName>
    <definedName name="motor4">[6]Motores!$A$1:$G$21</definedName>
    <definedName name="motor6">[6]Motores!$I$1:$O$21</definedName>
    <definedName name="n">#REF!</definedName>
    <definedName name="NADA">#N/A</definedName>
    <definedName name="nhb">#REF!</definedName>
    <definedName name="NOME">#N/A</definedName>
    <definedName name="NOMEARQ">#N/A</definedName>
    <definedName name="NOMES">#N/A</definedName>
    <definedName name="NOMES__">#N/A</definedName>
    <definedName name="NOMES1">#N/A</definedName>
    <definedName name="NOMESFIS">#N/A</definedName>
    <definedName name="NUMDISQ">#N/A</definedName>
    <definedName name="NUMEQ">'[11]Tabsal-2.9'!#REF!</definedName>
    <definedName name="o">#REF!</definedName>
    <definedName name="OperChv">[12]Dados!$H$6:$H$39</definedName>
    <definedName name="ORC_FERR">#REF!</definedName>
    <definedName name="oVolacu">[3]Dados!$H$8:$H$57</definedName>
    <definedName name="oVolchv">[3]Dados!$F$8:$F$57</definedName>
    <definedName name="OVOLFAT">[3]Dados!$F$7:$H$57</definedName>
    <definedName name="oVolmes">[3]Dados!$G$8:$G$57</definedName>
    <definedName name="p">#REF!</definedName>
    <definedName name="P.Aparente">#REF!</definedName>
    <definedName name="P.Reatia">#REF!</definedName>
    <definedName name="pAnoRL">#REF!</definedName>
    <definedName name="pAnoUS">#REF!</definedName>
    <definedName name="pativar">#REF!</definedName>
    <definedName name="PCRNATDT">#REF!</definedName>
    <definedName name="PERCENTS">#N/A</definedName>
    <definedName name="PESOS">#N/A</definedName>
    <definedName name="PG_agosto_2002">#REF!</definedName>
    <definedName name="pGasanoUS">#REF!</definedName>
    <definedName name="pl">#REF!</definedName>
    <definedName name="pla">#REF!</definedName>
    <definedName name="Plan.g">#REF!</definedName>
    <definedName name="planejam">#REF!</definedName>
    <definedName name="Potencia">#REF!</definedName>
    <definedName name="PRAZODISC">#N/A</definedName>
    <definedName name="PRCIVIL">#N/A</definedName>
    <definedName name="PRIMEIRA">'[4]MOB-2.11'!#REF!</definedName>
    <definedName name="Print_Area_MI">#REF!</definedName>
    <definedName name="ProdChv">[12]Dados!$K$6:$K$39</definedName>
    <definedName name="PROGDIM">#N/A</definedName>
    <definedName name="PROPOSTA">'[13]CONTROLE 2004'!$E$4:$E$376</definedName>
    <definedName name="Q" hidden="1">#REF!</definedName>
    <definedName name="qqq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UANTASDISC">#N/A</definedName>
    <definedName name="QUANTASDISCMOB">#N/A</definedName>
    <definedName name="QUANTID1">#N/A</definedName>
    <definedName name="QUERAPAGTAB">#N/A</definedName>
    <definedName name="RA">#N/A</definedName>
    <definedName name="RANGE1">#N/A</definedName>
    <definedName name="RANGE2">#N/A</definedName>
    <definedName name="RB">#N/A</definedName>
    <definedName name="REALIZADO1">OFFSET(#REF!,,,1,MATCH(#REF!,#REF!,1))</definedName>
    <definedName name="REGISTRO">#REF!</definedName>
    <definedName name="Rendimento">#REF!</definedName>
    <definedName name="RESETCOL">#N/A</definedName>
    <definedName name="resultadorendimento">#REF!</definedName>
    <definedName name="Resumo">#N/A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V.">#REF!</definedName>
    <definedName name="RF">#N/A</definedName>
    <definedName name="RM" hidden="1">{#N/A,#N/A,FALSE,"EXPORTAC";#N/A,#N/A,FALSE,"SUPEL94"}</definedName>
    <definedName name="ROTBEEP">#N/A</definedName>
    <definedName name="ROTEQ">#N/A</definedName>
    <definedName name="ROTEQ1">#N/A</definedName>
    <definedName name="ROTFIS1">#N/A</definedName>
    <definedName name="ROTFIS2">#N/A</definedName>
    <definedName name="ROTFIS3">#N/A</definedName>
    <definedName name="ROTFORM">#N/A</definedName>
    <definedName name="ROTNOM">#N/A</definedName>
    <definedName name="ROTPERC">#N/A</definedName>
    <definedName name="ROTRISC">#N/A</definedName>
    <definedName name="ROTSOMA1">#N/A</definedName>
    <definedName name="ROTTOTALGER">#N/A</definedName>
    <definedName name="RP">#REF!</definedName>
    <definedName name="S">#REF!</definedName>
    <definedName name="sabrin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ldo">[3]Dados!$AG$8:$AG$1328</definedName>
    <definedName name="SALVAMENTO">#N/A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g">#REF!</definedName>
    <definedName name="SED">#REF!</definedName>
    <definedName name="SET">[14]Geral!$E$361:$E$428</definedName>
    <definedName name="SOMA2GER">#N/A</definedName>
    <definedName name="SOMAGER">#N/A</definedName>
    <definedName name="SOMAS">[9]SOMAS!$A:$IV</definedName>
    <definedName name="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ubestação">#REF!</definedName>
    <definedName name="SUBROTIMP">#N/A</definedName>
    <definedName name="SUBROTIMP1">#N/A</definedName>
    <definedName name="SUNHH">#N/A</definedName>
    <definedName name="SUNHH1">#N/A</definedName>
    <definedName name="T">#N/A</definedName>
    <definedName name="TAB">#N/A</definedName>
    <definedName name="tab_mancal">#REF!</definedName>
    <definedName name="TABELA">#REF!</definedName>
    <definedName name="tabela2">#REF!</definedName>
    <definedName name="tabelaDenominação">#REF!</definedName>
    <definedName name="TABELAS">#N/A</definedName>
    <definedName name="TABLE">#N/A</definedName>
    <definedName name="TableName">"Dummy"</definedName>
    <definedName name="TACF">#REF!</definedName>
    <definedName name="TACI">#REF!</definedName>
    <definedName name="TACR">#REF!</definedName>
    <definedName name="TACS">#REF!</definedName>
    <definedName name="Tag_Carga">#REF!</definedName>
    <definedName name="Tag_CCM">#REF!</definedName>
    <definedName name="TELABRANCO">#N/A</definedName>
    <definedName name="TELAPRES">#N/A</definedName>
    <definedName name="TELAS">#N/A</definedName>
    <definedName name="TEMPO">#REF!</definedName>
    <definedName name="TI">#REF!</definedName>
    <definedName name="TITULO">#REF!</definedName>
    <definedName name="_xlnm.Print_Titles" localSheetId="1">ESTOQUE!$1:$1</definedName>
    <definedName name="Títulos_impressão_IM">#REF!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OTALEQ">#N/A</definedName>
    <definedName name="TOTALGER">#REF!</definedName>
    <definedName name="TOTHHFUN">#N/A</definedName>
    <definedName name="TOTHORASGER">#N/A</definedName>
    <definedName name="TPEADS">#REF!</definedName>
    <definedName name="TPVCR">#REF!</definedName>
    <definedName name="TPVCS">#REF!</definedName>
    <definedName name="TRA">#REF!</definedName>
    <definedName name="tt">#REF!</definedName>
    <definedName name="ttttt">#REF!</definedName>
    <definedName name="TUNEL_0">[10]CADASTRO!$B$372:$B$377+[10]CADASTRO!$C$372:$C$377</definedName>
    <definedName name="TURNO">[10]CADASTRO!$A$3:$A$8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U">#N/A</definedName>
    <definedName name="UGCCATDT">[2]!ID_UGCCATDT</definedName>
    <definedName name="ULTR">#N/A</definedName>
    <definedName name="un">#REF!</definedName>
    <definedName name="uoluyk" hidden="1">{#N/A,#N/A,TRUE,"indice";#N/A,#N/A,TRUE,"indicadores";#N/A,#N/A,TRUE,"comentarios"}</definedName>
    <definedName name="UP_15">[10]CADASTRO!#REF!</definedName>
    <definedName name="Upvc_2001">#REF!</definedName>
    <definedName name="UPVC_99">#REF!</definedName>
    <definedName name="ValAAn">[3]Dados!$M$8:$M$7854</definedName>
    <definedName name="ValAAnrl">[3]Dados!$R$8:$R$7886</definedName>
    <definedName name="ValAcu">[3]Dados!$L$8:$L$7854</definedName>
    <definedName name="ValAcurl">[7]ComentariosCusteio!$Q$6:$Q$2545</definedName>
    <definedName name="Valchv">[3]Dados!$J$8:$J$7854</definedName>
    <definedName name="Valchvrl">[7]ComentariosCusteio!$O$6:$O$2545</definedName>
    <definedName name="VALHH">#N/A</definedName>
    <definedName name="VALHH1">#N/A</definedName>
    <definedName name="VALHH2">#N/A</definedName>
    <definedName name="VALHH3">#N/A</definedName>
    <definedName name="VALHH4">#N/A</definedName>
    <definedName name="VALHHGER">#N/A</definedName>
    <definedName name="Valmes">[3]Dados!$K$8:$K$7854</definedName>
    <definedName name="ValMesRL">[3]Dados!$P$8:$P$7886</definedName>
    <definedName name="ValMesUS">[12]Dados!$E$6:$E$3817</definedName>
    <definedName name="Valor">[12]Dados!$I$6:$I$39</definedName>
    <definedName name="VALORES_VALORES_Listar">#REF!</definedName>
    <definedName name="VD">#REF!</definedName>
    <definedName name="Volaan">[3]Dados!$D$8:$D$650</definedName>
    <definedName name="Volacu">[3]Dados!$C$8:$C$650</definedName>
    <definedName name="VolFAT">[12]Dados!$A$5:$B$175</definedName>
    <definedName name="Volmes">[3]Dados!$B$8:$B$650</definedName>
    <definedName name="Volume">[12]Dados!$L$6:$L$39</definedName>
    <definedName name="vvv">#REF!</definedName>
    <definedName name="wadfaw" hidden="1">{#N/A,#N/A,TRUE,"indice";#N/A,#N/A,TRUE,"indicadores";#N/A,#N/A,TRUE,"comentarios"}</definedName>
    <definedName name="wrn.gere." hidden="1">{#N/A,#N/A,FALSE,"GQGEMPRE"}</definedName>
    <definedName name="wrn.geren." hidden="1">{#N/A,#N/A,FALSE,"EXPORTAC";#N/A,#N/A,FALSE,"SUPEL94"}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teste." hidden="1">{#N/A,#N/A,TRUE,"indice";#N/A,#N/A,TRUE,"indicadores";#N/A,#N/A,TRUE,"comentarios"}</definedName>
    <definedName name="ww">#REF!</definedName>
    <definedName name="X">#REF!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D4253" i="3"/>
  <c r="E4212" i="3"/>
  <c r="D4212" i="3"/>
  <c r="E4206" i="3"/>
  <c r="D4206" i="3"/>
  <c r="D4167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7" i="3"/>
  <c r="D4208" i="3"/>
  <c r="D4209" i="3"/>
  <c r="D4210" i="3"/>
  <c r="D4211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7" i="3"/>
  <c r="E4208" i="3"/>
  <c r="E4209" i="3"/>
  <c r="E4210" i="3"/>
  <c r="E4211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185" i="3"/>
  <c r="E4186" i="3"/>
  <c r="E4120" i="3"/>
  <c r="D4120" i="3"/>
  <c r="D4083" i="3"/>
  <c r="D4069" i="3"/>
  <c r="D4070" i="3"/>
  <c r="D4071" i="3"/>
  <c r="D4072" i="3"/>
  <c r="D4073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347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74" i="3"/>
  <c r="D4075" i="3"/>
  <c r="D4076" i="3"/>
  <c r="D4077" i="3"/>
  <c r="D4078" i="3"/>
  <c r="D4079" i="3"/>
  <c r="D4080" i="3"/>
  <c r="D4081" i="3"/>
  <c r="D4082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3977" i="3"/>
  <c r="C610" i="2"/>
  <c r="C608" i="2"/>
  <c r="D608" i="2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658" i="3"/>
  <c r="D3659" i="3"/>
  <c r="D3660" i="3"/>
  <c r="D3661" i="3"/>
  <c r="D3662" i="3"/>
  <c r="D366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523" i="3"/>
  <c r="D3524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61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729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312" i="3"/>
  <c r="D3313" i="3"/>
  <c r="D3314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10" i="3"/>
  <c r="D3311" i="3"/>
  <c r="D3309" i="3"/>
  <c r="D3308" i="3"/>
  <c r="D3307" i="3"/>
  <c r="D3304" i="3"/>
  <c r="D3305" i="3"/>
  <c r="D3287" i="3"/>
  <c r="D3285" i="3"/>
  <c r="D3286" i="3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3153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664" i="3"/>
  <c r="D3665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88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6" i="3"/>
  <c r="D3315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062" i="3"/>
  <c r="D3127" i="3"/>
  <c r="D3128" i="3"/>
  <c r="D3129" i="3"/>
  <c r="D3130" i="3"/>
  <c r="D3131" i="3"/>
  <c r="D3132" i="3"/>
  <c r="D3133" i="3"/>
  <c r="D3134" i="3"/>
  <c r="D3135" i="3"/>
  <c r="D313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4" i="3"/>
  <c r="D3155" i="3"/>
  <c r="D3156" i="3"/>
  <c r="D3157" i="3"/>
  <c r="D3158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3" i="3"/>
  <c r="D2" i="3"/>
  <c r="E2" i="3"/>
  <c r="D3" i="3"/>
  <c r="E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3" i="3"/>
  <c r="E113" i="3"/>
  <c r="D114" i="3"/>
  <c r="E114" i="3"/>
  <c r="D115" i="3"/>
  <c r="E115" i="3"/>
  <c r="D116" i="3"/>
  <c r="E116" i="3"/>
  <c r="D117" i="3"/>
  <c r="E117" i="3"/>
  <c r="D118" i="3"/>
  <c r="E118" i="3"/>
  <c r="D119" i="3"/>
  <c r="E119" i="3"/>
  <c r="D120" i="3"/>
  <c r="E120" i="3"/>
  <c r="D121" i="3"/>
  <c r="E121" i="3"/>
  <c r="D122" i="3"/>
  <c r="E122" i="3"/>
  <c r="D123" i="3"/>
  <c r="E123" i="3"/>
  <c r="D124" i="3"/>
  <c r="E124" i="3"/>
  <c r="D125" i="3"/>
  <c r="E125" i="3"/>
  <c r="D126" i="3"/>
  <c r="E126" i="3"/>
  <c r="D127" i="3"/>
  <c r="E127" i="3"/>
  <c r="D128" i="3"/>
  <c r="E128" i="3"/>
  <c r="D129" i="3"/>
  <c r="E129" i="3"/>
  <c r="D130" i="3"/>
  <c r="E130" i="3"/>
  <c r="D131" i="3"/>
  <c r="E131" i="3"/>
  <c r="D132" i="3"/>
  <c r="E132" i="3"/>
  <c r="D133" i="3"/>
  <c r="E133" i="3"/>
  <c r="D134" i="3"/>
  <c r="E134" i="3"/>
  <c r="D135" i="3"/>
  <c r="E135" i="3"/>
  <c r="D136" i="3"/>
  <c r="E136" i="3"/>
  <c r="D137" i="3"/>
  <c r="E137" i="3"/>
  <c r="D138" i="3"/>
  <c r="E138" i="3"/>
  <c r="D139" i="3"/>
  <c r="E139" i="3"/>
  <c r="D140" i="3"/>
  <c r="E140" i="3"/>
  <c r="D141" i="3"/>
  <c r="E141" i="3"/>
  <c r="D142" i="3"/>
  <c r="E142" i="3"/>
  <c r="D143" i="3"/>
  <c r="E143" i="3"/>
  <c r="D144" i="3"/>
  <c r="E144" i="3"/>
  <c r="D145" i="3"/>
  <c r="E145" i="3"/>
  <c r="D146" i="3"/>
  <c r="E146" i="3"/>
  <c r="D147" i="3"/>
  <c r="E147" i="3"/>
  <c r="D148" i="3"/>
  <c r="E148" i="3"/>
  <c r="D149" i="3"/>
  <c r="E149" i="3"/>
  <c r="D150" i="3"/>
  <c r="E150" i="3"/>
  <c r="D151" i="3"/>
  <c r="E151" i="3"/>
  <c r="D152" i="3"/>
  <c r="E152" i="3"/>
  <c r="D153" i="3"/>
  <c r="E153" i="3"/>
  <c r="D154" i="3"/>
  <c r="E154" i="3"/>
  <c r="D155" i="3"/>
  <c r="E155" i="3"/>
  <c r="D156" i="3"/>
  <c r="E156" i="3"/>
  <c r="D157" i="3"/>
  <c r="E157" i="3"/>
  <c r="D158" i="3"/>
  <c r="E158" i="3"/>
  <c r="D159" i="3"/>
  <c r="E159" i="3"/>
  <c r="D160" i="3"/>
  <c r="E160" i="3"/>
  <c r="D161" i="3"/>
  <c r="E161" i="3"/>
  <c r="D162" i="3"/>
  <c r="E162" i="3"/>
  <c r="D163" i="3"/>
  <c r="E163" i="3"/>
  <c r="D164" i="3"/>
  <c r="E164" i="3"/>
  <c r="D165" i="3"/>
  <c r="E165" i="3"/>
  <c r="D166" i="3"/>
  <c r="E166" i="3"/>
  <c r="D167" i="3"/>
  <c r="E167" i="3"/>
  <c r="D168" i="3"/>
  <c r="E168" i="3"/>
  <c r="D169" i="3"/>
  <c r="E169" i="3"/>
  <c r="D170" i="3"/>
  <c r="E170" i="3"/>
  <c r="D171" i="3"/>
  <c r="E171" i="3"/>
  <c r="D172" i="3"/>
  <c r="E172" i="3"/>
  <c r="D173" i="3"/>
  <c r="E173" i="3"/>
  <c r="D174" i="3"/>
  <c r="E174" i="3"/>
  <c r="D175" i="3"/>
  <c r="E175" i="3"/>
  <c r="D176" i="3"/>
  <c r="E176" i="3"/>
  <c r="D177" i="3"/>
  <c r="E177" i="3"/>
  <c r="D178" i="3"/>
  <c r="E178" i="3"/>
  <c r="D179" i="3"/>
  <c r="E179" i="3"/>
  <c r="D180" i="3"/>
  <c r="E180" i="3"/>
  <c r="D181" i="3"/>
  <c r="E181" i="3"/>
  <c r="D182" i="3"/>
  <c r="E182" i="3"/>
  <c r="D183" i="3"/>
  <c r="E183" i="3"/>
  <c r="D184" i="3"/>
  <c r="E184" i="3"/>
  <c r="D185" i="3"/>
  <c r="E185" i="3"/>
  <c r="D186" i="3"/>
  <c r="E186" i="3"/>
  <c r="D187" i="3"/>
  <c r="E187" i="3"/>
  <c r="D188" i="3"/>
  <c r="E188" i="3"/>
  <c r="D189" i="3"/>
  <c r="E189" i="3"/>
  <c r="D190" i="3"/>
  <c r="E190" i="3"/>
  <c r="D191" i="3"/>
  <c r="E191" i="3"/>
  <c r="D192" i="3"/>
  <c r="E192" i="3"/>
  <c r="D193" i="3"/>
  <c r="E193" i="3"/>
  <c r="D194" i="3"/>
  <c r="E194" i="3"/>
  <c r="D195" i="3"/>
  <c r="E195" i="3"/>
  <c r="D196" i="3"/>
  <c r="E196" i="3"/>
  <c r="D197" i="3"/>
  <c r="E197" i="3"/>
  <c r="D198" i="3"/>
  <c r="E198" i="3"/>
  <c r="D199" i="3"/>
  <c r="E199" i="3"/>
  <c r="D200" i="3"/>
  <c r="E200" i="3"/>
  <c r="D201" i="3"/>
  <c r="E201" i="3"/>
  <c r="D202" i="3"/>
  <c r="E202" i="3"/>
  <c r="D203" i="3"/>
  <c r="E203" i="3"/>
  <c r="D204" i="3"/>
  <c r="E204" i="3"/>
  <c r="D205" i="3"/>
  <c r="E205" i="3"/>
  <c r="D206" i="3"/>
  <c r="E206" i="3"/>
  <c r="D207" i="3"/>
  <c r="E207" i="3"/>
  <c r="D208" i="3"/>
  <c r="E208" i="3"/>
  <c r="D209" i="3"/>
  <c r="E209" i="3"/>
  <c r="D210" i="3"/>
  <c r="E210" i="3"/>
  <c r="D211" i="3"/>
  <c r="E211" i="3"/>
  <c r="D212" i="3"/>
  <c r="E212" i="3"/>
  <c r="D213" i="3"/>
  <c r="E213" i="3"/>
  <c r="D214" i="3"/>
  <c r="E214" i="3"/>
  <c r="D215" i="3"/>
  <c r="E215" i="3"/>
  <c r="D216" i="3"/>
  <c r="E216" i="3"/>
  <c r="D217" i="3"/>
  <c r="E217" i="3"/>
  <c r="D218" i="3"/>
  <c r="E218" i="3"/>
  <c r="D219" i="3"/>
  <c r="E219" i="3"/>
  <c r="D220" i="3"/>
  <c r="E220" i="3"/>
  <c r="D221" i="3"/>
  <c r="E221" i="3"/>
  <c r="D222" i="3"/>
  <c r="E222" i="3"/>
  <c r="D223" i="3"/>
  <c r="E223" i="3"/>
  <c r="D224" i="3"/>
  <c r="E224" i="3"/>
  <c r="D225" i="3"/>
  <c r="E225" i="3"/>
  <c r="D226" i="3"/>
  <c r="E226" i="3"/>
  <c r="D227" i="3"/>
  <c r="E227" i="3"/>
  <c r="D228" i="3"/>
  <c r="E228" i="3"/>
  <c r="D229" i="3"/>
  <c r="E229" i="3"/>
  <c r="D230" i="3"/>
  <c r="E230" i="3"/>
  <c r="D231" i="3"/>
  <c r="E231" i="3"/>
  <c r="D232" i="3"/>
  <c r="E232" i="3"/>
  <c r="D233" i="3"/>
  <c r="E233" i="3"/>
  <c r="D234" i="3"/>
  <c r="E234" i="3"/>
  <c r="D235" i="3"/>
  <c r="E235" i="3"/>
  <c r="D236" i="3"/>
  <c r="E236" i="3"/>
  <c r="D237" i="3"/>
  <c r="E237" i="3"/>
  <c r="D238" i="3"/>
  <c r="E238" i="3"/>
  <c r="D239" i="3"/>
  <c r="E239" i="3"/>
  <c r="D240" i="3"/>
  <c r="E240" i="3"/>
  <c r="D241" i="3"/>
  <c r="E241" i="3"/>
  <c r="D242" i="3"/>
  <c r="E242" i="3"/>
  <c r="D243" i="3"/>
  <c r="E243" i="3"/>
  <c r="D244" i="3"/>
  <c r="E244" i="3"/>
  <c r="D245" i="3"/>
  <c r="E245" i="3"/>
  <c r="D246" i="3"/>
  <c r="E246" i="3"/>
  <c r="D247" i="3"/>
  <c r="E247" i="3"/>
  <c r="D248" i="3"/>
  <c r="E248" i="3"/>
  <c r="D249" i="3"/>
  <c r="E249" i="3"/>
  <c r="D250" i="3"/>
  <c r="E250" i="3"/>
  <c r="D251" i="3"/>
  <c r="E251" i="3"/>
  <c r="D252" i="3"/>
  <c r="E252" i="3"/>
  <c r="D253" i="3"/>
  <c r="E253" i="3"/>
  <c r="D254" i="3"/>
  <c r="E254" i="3"/>
  <c r="D255" i="3"/>
  <c r="E255" i="3"/>
  <c r="D256" i="3"/>
  <c r="E256" i="3"/>
  <c r="D257" i="3"/>
  <c r="E257" i="3"/>
  <c r="D258" i="3"/>
  <c r="E258" i="3"/>
  <c r="D259" i="3"/>
  <c r="E259" i="3"/>
  <c r="D260" i="3"/>
  <c r="E260" i="3"/>
  <c r="D261" i="3"/>
  <c r="E261" i="3"/>
  <c r="D262" i="3"/>
  <c r="E262" i="3"/>
  <c r="D263" i="3"/>
  <c r="E263" i="3"/>
  <c r="D264" i="3"/>
  <c r="E264" i="3"/>
  <c r="D265" i="3"/>
  <c r="E265" i="3"/>
  <c r="D266" i="3"/>
  <c r="E266" i="3"/>
  <c r="D267" i="3"/>
  <c r="E267" i="3"/>
  <c r="D268" i="3"/>
  <c r="E268" i="3"/>
  <c r="D269" i="3"/>
  <c r="E269" i="3"/>
  <c r="D270" i="3"/>
  <c r="E270" i="3"/>
  <c r="D271" i="3"/>
  <c r="E271" i="3"/>
  <c r="D272" i="3"/>
  <c r="E272" i="3"/>
  <c r="D273" i="3"/>
  <c r="E273" i="3"/>
  <c r="D274" i="3"/>
  <c r="E274" i="3"/>
  <c r="D275" i="3"/>
  <c r="E275" i="3"/>
  <c r="D276" i="3"/>
  <c r="E276" i="3"/>
  <c r="D277" i="3"/>
  <c r="E277" i="3"/>
  <c r="D278" i="3"/>
  <c r="E278" i="3"/>
  <c r="D279" i="3"/>
  <c r="E279" i="3"/>
  <c r="D280" i="3"/>
  <c r="E280" i="3"/>
  <c r="D281" i="3"/>
  <c r="E281" i="3"/>
  <c r="D282" i="3"/>
  <c r="E282" i="3"/>
  <c r="D283" i="3"/>
  <c r="E283" i="3"/>
  <c r="D284" i="3"/>
  <c r="E284" i="3"/>
  <c r="D285" i="3"/>
  <c r="E285" i="3"/>
  <c r="D286" i="3"/>
  <c r="E286" i="3"/>
  <c r="D287" i="3"/>
  <c r="E287" i="3"/>
  <c r="D288" i="3"/>
  <c r="E288" i="3"/>
  <c r="D289" i="3"/>
  <c r="E289" i="3"/>
  <c r="D290" i="3"/>
  <c r="E290" i="3"/>
  <c r="D291" i="3"/>
  <c r="E291" i="3"/>
  <c r="D292" i="3"/>
  <c r="E292" i="3"/>
  <c r="D293" i="3"/>
  <c r="E293" i="3"/>
  <c r="D294" i="3"/>
  <c r="E294" i="3"/>
  <c r="D295" i="3"/>
  <c r="E295" i="3"/>
  <c r="D296" i="3"/>
  <c r="E296" i="3"/>
  <c r="D297" i="3"/>
  <c r="E297" i="3"/>
  <c r="D298" i="3"/>
  <c r="E298" i="3"/>
  <c r="D299" i="3"/>
  <c r="E299" i="3"/>
  <c r="D300" i="3"/>
  <c r="E300" i="3"/>
  <c r="D301" i="3"/>
  <c r="E301" i="3"/>
  <c r="D302" i="3"/>
  <c r="E302" i="3"/>
  <c r="D303" i="3"/>
  <c r="E303" i="3"/>
  <c r="D304" i="3"/>
  <c r="E304" i="3"/>
  <c r="D305" i="3"/>
  <c r="E305" i="3"/>
  <c r="D306" i="3"/>
  <c r="E306" i="3"/>
  <c r="D307" i="3"/>
  <c r="E307" i="3"/>
  <c r="D308" i="3"/>
  <c r="E308" i="3"/>
  <c r="D309" i="3"/>
  <c r="E309" i="3"/>
  <c r="D310" i="3"/>
  <c r="E310" i="3"/>
  <c r="D311" i="3"/>
  <c r="E311" i="3"/>
  <c r="D312" i="3"/>
  <c r="E312" i="3"/>
  <c r="D313" i="3"/>
  <c r="E313" i="3"/>
  <c r="D314" i="3"/>
  <c r="E314" i="3"/>
  <c r="D315" i="3"/>
  <c r="E315" i="3"/>
  <c r="D316" i="3"/>
  <c r="E316" i="3"/>
  <c r="D317" i="3"/>
  <c r="E317" i="3"/>
  <c r="D318" i="3"/>
  <c r="E318" i="3"/>
  <c r="D319" i="3"/>
  <c r="E319" i="3"/>
  <c r="D320" i="3"/>
  <c r="E320" i="3"/>
  <c r="D321" i="3"/>
  <c r="E321" i="3"/>
  <c r="D322" i="3"/>
  <c r="E322" i="3"/>
  <c r="D323" i="3"/>
  <c r="E323" i="3"/>
  <c r="D324" i="3"/>
  <c r="E324" i="3"/>
  <c r="D325" i="3"/>
  <c r="E325" i="3"/>
  <c r="D326" i="3"/>
  <c r="E326" i="3"/>
  <c r="D327" i="3"/>
  <c r="E327" i="3"/>
  <c r="D328" i="3"/>
  <c r="E328" i="3"/>
  <c r="D329" i="3"/>
  <c r="E329" i="3"/>
  <c r="D330" i="3"/>
  <c r="E330" i="3"/>
  <c r="D331" i="3"/>
  <c r="E331" i="3"/>
  <c r="D332" i="3"/>
  <c r="E332" i="3"/>
  <c r="D333" i="3"/>
  <c r="E333" i="3"/>
  <c r="D334" i="3"/>
  <c r="E334" i="3"/>
  <c r="D335" i="3"/>
  <c r="E335" i="3"/>
  <c r="D336" i="3"/>
  <c r="E336" i="3"/>
  <c r="D337" i="3"/>
  <c r="E337" i="3"/>
  <c r="D338" i="3"/>
  <c r="E338" i="3"/>
  <c r="D339" i="3"/>
  <c r="E339" i="3"/>
  <c r="D340" i="3"/>
  <c r="E340" i="3"/>
  <c r="D341" i="3"/>
  <c r="E341" i="3"/>
  <c r="D342" i="3"/>
  <c r="E342" i="3"/>
  <c r="D343" i="3"/>
  <c r="E343" i="3"/>
  <c r="D344" i="3"/>
  <c r="E344" i="3"/>
  <c r="D345" i="3"/>
  <c r="E345" i="3"/>
  <c r="D346" i="3"/>
  <c r="E346" i="3"/>
  <c r="D347" i="3"/>
  <c r="E347" i="3"/>
  <c r="D348" i="3"/>
  <c r="E348" i="3"/>
  <c r="D349" i="3"/>
  <c r="E349" i="3"/>
  <c r="D350" i="3"/>
  <c r="E350" i="3"/>
  <c r="D351" i="3"/>
  <c r="E351" i="3"/>
  <c r="D352" i="3"/>
  <c r="E352" i="3"/>
  <c r="D353" i="3"/>
  <c r="E353" i="3"/>
  <c r="D354" i="3"/>
  <c r="E354" i="3"/>
  <c r="D355" i="3"/>
  <c r="E355" i="3"/>
  <c r="D356" i="3"/>
  <c r="E356" i="3"/>
  <c r="D357" i="3"/>
  <c r="E357" i="3"/>
  <c r="D358" i="3"/>
  <c r="E358" i="3"/>
  <c r="D359" i="3"/>
  <c r="E359" i="3"/>
  <c r="D360" i="3"/>
  <c r="E360" i="3"/>
  <c r="D361" i="3"/>
  <c r="E361" i="3"/>
  <c r="D362" i="3"/>
  <c r="E362" i="3"/>
  <c r="D363" i="3"/>
  <c r="E363" i="3"/>
  <c r="D364" i="3"/>
  <c r="E364" i="3"/>
  <c r="D365" i="3"/>
  <c r="E365" i="3"/>
  <c r="D366" i="3"/>
  <c r="E366" i="3"/>
  <c r="D367" i="3"/>
  <c r="E367" i="3"/>
  <c r="D368" i="3"/>
  <c r="E368" i="3"/>
  <c r="D369" i="3"/>
  <c r="E369" i="3"/>
  <c r="D370" i="3"/>
  <c r="E370" i="3"/>
  <c r="D371" i="3"/>
  <c r="E371" i="3"/>
  <c r="D372" i="3"/>
  <c r="E372" i="3"/>
  <c r="D373" i="3"/>
  <c r="E373" i="3"/>
  <c r="D374" i="3"/>
  <c r="E374" i="3"/>
  <c r="D375" i="3"/>
  <c r="E375" i="3"/>
  <c r="D376" i="3"/>
  <c r="E376" i="3"/>
  <c r="D377" i="3"/>
  <c r="E377" i="3"/>
  <c r="D378" i="3"/>
  <c r="E378" i="3"/>
  <c r="D379" i="3"/>
  <c r="E379" i="3"/>
  <c r="D380" i="3"/>
  <c r="E380" i="3"/>
  <c r="D381" i="3"/>
  <c r="E381" i="3"/>
  <c r="D382" i="3"/>
  <c r="E382" i="3"/>
  <c r="D383" i="3"/>
  <c r="E383" i="3"/>
  <c r="D384" i="3"/>
  <c r="E384" i="3"/>
  <c r="D385" i="3"/>
  <c r="E385" i="3"/>
  <c r="D386" i="3"/>
  <c r="E386" i="3"/>
  <c r="D387" i="3"/>
  <c r="E387" i="3"/>
  <c r="D388" i="3"/>
  <c r="E388" i="3"/>
  <c r="D389" i="3"/>
  <c r="E389" i="3"/>
  <c r="D390" i="3"/>
  <c r="E390" i="3"/>
  <c r="D391" i="3"/>
  <c r="E391" i="3"/>
  <c r="D392" i="3"/>
  <c r="E392" i="3"/>
  <c r="D393" i="3"/>
  <c r="E393" i="3"/>
  <c r="D394" i="3"/>
  <c r="E394" i="3"/>
  <c r="D395" i="3"/>
  <c r="E395" i="3"/>
  <c r="D396" i="3"/>
  <c r="E396" i="3"/>
  <c r="D397" i="3"/>
  <c r="E397" i="3"/>
  <c r="D398" i="3"/>
  <c r="E398" i="3"/>
  <c r="D399" i="3"/>
  <c r="E399" i="3"/>
  <c r="D400" i="3"/>
  <c r="E400" i="3"/>
  <c r="D401" i="3"/>
  <c r="E401" i="3"/>
  <c r="D402" i="3"/>
  <c r="E402" i="3"/>
  <c r="D403" i="3"/>
  <c r="E403" i="3"/>
  <c r="D404" i="3"/>
  <c r="E404" i="3"/>
  <c r="D405" i="3"/>
  <c r="E405" i="3"/>
  <c r="D406" i="3"/>
  <c r="E406" i="3"/>
  <c r="D407" i="3"/>
  <c r="E407" i="3"/>
  <c r="D408" i="3"/>
  <c r="E408" i="3"/>
  <c r="D409" i="3"/>
  <c r="E409" i="3"/>
  <c r="D410" i="3"/>
  <c r="E410" i="3"/>
  <c r="D411" i="3"/>
  <c r="E411" i="3"/>
  <c r="D412" i="3"/>
  <c r="E412" i="3"/>
  <c r="D413" i="3"/>
  <c r="E413" i="3"/>
  <c r="D414" i="3"/>
  <c r="E414" i="3"/>
  <c r="D415" i="3"/>
  <c r="E415" i="3"/>
  <c r="D416" i="3"/>
  <c r="E416" i="3"/>
  <c r="D417" i="3"/>
  <c r="E417" i="3"/>
  <c r="D418" i="3"/>
  <c r="E418" i="3"/>
  <c r="D419" i="3"/>
  <c r="E419" i="3"/>
  <c r="D420" i="3"/>
  <c r="E420" i="3"/>
  <c r="D421" i="3"/>
  <c r="E421" i="3"/>
  <c r="D422" i="3"/>
  <c r="E422" i="3"/>
  <c r="D423" i="3"/>
  <c r="E423" i="3"/>
  <c r="D424" i="3"/>
  <c r="E424" i="3"/>
  <c r="D425" i="3"/>
  <c r="E425" i="3"/>
  <c r="D426" i="3"/>
  <c r="E426" i="3"/>
  <c r="D427" i="3"/>
  <c r="E427" i="3"/>
  <c r="D428" i="3"/>
  <c r="E428" i="3"/>
  <c r="D429" i="3"/>
  <c r="E429" i="3"/>
  <c r="D430" i="3"/>
  <c r="E430" i="3"/>
  <c r="D431" i="3"/>
  <c r="E431" i="3"/>
  <c r="D432" i="3"/>
  <c r="E432" i="3"/>
  <c r="D433" i="3"/>
  <c r="E433" i="3"/>
  <c r="D434" i="3"/>
  <c r="E434" i="3"/>
  <c r="D435" i="3"/>
  <c r="E435" i="3"/>
  <c r="D436" i="3"/>
  <c r="E436" i="3"/>
  <c r="D437" i="3"/>
  <c r="E437" i="3"/>
  <c r="D438" i="3"/>
  <c r="E438" i="3"/>
  <c r="D439" i="3"/>
  <c r="E439" i="3"/>
  <c r="D440" i="3"/>
  <c r="E440" i="3"/>
  <c r="D441" i="3"/>
  <c r="E441" i="3"/>
  <c r="D442" i="3"/>
  <c r="E442" i="3"/>
  <c r="D443" i="3"/>
  <c r="E443" i="3"/>
  <c r="D444" i="3"/>
  <c r="E444" i="3"/>
  <c r="D445" i="3"/>
  <c r="E445" i="3"/>
  <c r="D446" i="3"/>
  <c r="E446" i="3"/>
  <c r="D447" i="3"/>
  <c r="E447" i="3"/>
  <c r="D448" i="3"/>
  <c r="E448" i="3"/>
  <c r="D449" i="3"/>
  <c r="E449" i="3"/>
  <c r="D450" i="3"/>
  <c r="E450" i="3"/>
  <c r="D451" i="3"/>
  <c r="E451" i="3"/>
  <c r="D452" i="3"/>
  <c r="E452" i="3"/>
  <c r="D453" i="3"/>
  <c r="E453" i="3"/>
  <c r="D454" i="3"/>
  <c r="E454" i="3"/>
  <c r="D455" i="3"/>
  <c r="E455" i="3"/>
  <c r="D456" i="3"/>
  <c r="E456" i="3"/>
  <c r="D457" i="3"/>
  <c r="E457" i="3"/>
  <c r="D458" i="3"/>
  <c r="E458" i="3"/>
  <c r="D459" i="3"/>
  <c r="E459" i="3"/>
  <c r="D460" i="3"/>
  <c r="E460" i="3"/>
  <c r="D461" i="3"/>
  <c r="E461" i="3"/>
  <c r="D462" i="3"/>
  <c r="E462" i="3"/>
  <c r="D463" i="3"/>
  <c r="E463" i="3"/>
  <c r="D464" i="3"/>
  <c r="E464" i="3"/>
  <c r="D465" i="3"/>
  <c r="E465" i="3"/>
  <c r="D466" i="3"/>
  <c r="E466" i="3"/>
  <c r="D467" i="3"/>
  <c r="E467" i="3"/>
  <c r="D468" i="3"/>
  <c r="E468" i="3"/>
  <c r="D469" i="3"/>
  <c r="E469" i="3"/>
  <c r="D470" i="3"/>
  <c r="E470" i="3"/>
  <c r="D471" i="3"/>
  <c r="E471" i="3"/>
  <c r="D472" i="3"/>
  <c r="E472" i="3"/>
  <c r="D473" i="3"/>
  <c r="E473" i="3"/>
  <c r="D474" i="3"/>
  <c r="E474" i="3"/>
  <c r="D475" i="3"/>
  <c r="E475" i="3"/>
  <c r="D476" i="3"/>
  <c r="E476" i="3"/>
  <c r="D477" i="3"/>
  <c r="E477" i="3"/>
  <c r="D478" i="3"/>
  <c r="E478" i="3"/>
  <c r="D479" i="3"/>
  <c r="E479" i="3"/>
  <c r="D480" i="3"/>
  <c r="E480" i="3"/>
  <c r="D481" i="3"/>
  <c r="E481" i="3"/>
  <c r="D482" i="3"/>
  <c r="E482" i="3"/>
  <c r="D483" i="3"/>
  <c r="E483" i="3"/>
  <c r="D484" i="3"/>
  <c r="E484" i="3"/>
  <c r="D485" i="3"/>
  <c r="E485" i="3"/>
  <c r="D486" i="3"/>
  <c r="E486" i="3"/>
  <c r="D487" i="3"/>
  <c r="E487" i="3"/>
  <c r="D488" i="3"/>
  <c r="E488" i="3"/>
  <c r="D489" i="3"/>
  <c r="E489" i="3"/>
  <c r="D490" i="3"/>
  <c r="E490" i="3"/>
  <c r="D491" i="3"/>
  <c r="E491" i="3"/>
  <c r="D492" i="3"/>
  <c r="E492" i="3"/>
  <c r="D493" i="3"/>
  <c r="E493" i="3"/>
  <c r="D494" i="3"/>
  <c r="E494" i="3"/>
  <c r="D495" i="3"/>
  <c r="E495" i="3"/>
  <c r="D496" i="3"/>
  <c r="E496" i="3"/>
  <c r="D497" i="3"/>
  <c r="E497" i="3"/>
  <c r="D498" i="3"/>
  <c r="E498" i="3"/>
  <c r="D499" i="3"/>
  <c r="E499" i="3"/>
  <c r="D500" i="3"/>
  <c r="E500" i="3"/>
  <c r="D501" i="3"/>
  <c r="E501" i="3"/>
  <c r="D502" i="3"/>
  <c r="E502" i="3"/>
  <c r="D503" i="3"/>
  <c r="E503" i="3"/>
  <c r="D504" i="3"/>
  <c r="E504" i="3"/>
  <c r="D505" i="3"/>
  <c r="E505" i="3"/>
  <c r="D506" i="3"/>
  <c r="E506" i="3"/>
  <c r="D507" i="3"/>
  <c r="E507" i="3"/>
  <c r="D508" i="3"/>
  <c r="E508" i="3"/>
  <c r="D509" i="3"/>
  <c r="E509" i="3"/>
  <c r="D510" i="3"/>
  <c r="E510" i="3"/>
  <c r="D511" i="3"/>
  <c r="E511" i="3"/>
  <c r="D512" i="3"/>
  <c r="E512" i="3"/>
  <c r="D513" i="3"/>
  <c r="E513" i="3"/>
  <c r="D514" i="3"/>
  <c r="E514" i="3"/>
  <c r="D515" i="3"/>
  <c r="E515" i="3"/>
  <c r="D516" i="3"/>
  <c r="E516" i="3"/>
  <c r="D517" i="3"/>
  <c r="E517" i="3"/>
  <c r="D518" i="3"/>
  <c r="E518" i="3"/>
  <c r="D519" i="3"/>
  <c r="E519" i="3"/>
  <c r="D520" i="3"/>
  <c r="E520" i="3"/>
  <c r="D521" i="3"/>
  <c r="E521" i="3"/>
  <c r="D522" i="3"/>
  <c r="E522" i="3"/>
  <c r="D523" i="3"/>
  <c r="E523" i="3"/>
  <c r="D524" i="3"/>
  <c r="E524" i="3"/>
  <c r="D525" i="3"/>
  <c r="E525" i="3"/>
  <c r="D526" i="3"/>
  <c r="E526" i="3"/>
  <c r="D527" i="3"/>
  <c r="E527" i="3"/>
  <c r="D528" i="3"/>
  <c r="E528" i="3"/>
  <c r="D529" i="3"/>
  <c r="E529" i="3"/>
  <c r="D530" i="3"/>
  <c r="E530" i="3"/>
  <c r="D531" i="3"/>
  <c r="E531" i="3"/>
  <c r="D532" i="3"/>
  <c r="E532" i="3"/>
  <c r="D533" i="3"/>
  <c r="E533" i="3"/>
  <c r="D534" i="3"/>
  <c r="E534" i="3"/>
  <c r="D535" i="3"/>
  <c r="E535" i="3"/>
  <c r="D536" i="3"/>
  <c r="E536" i="3"/>
  <c r="D537" i="3"/>
  <c r="E537" i="3"/>
  <c r="D538" i="3"/>
  <c r="E538" i="3"/>
  <c r="D539" i="3"/>
  <c r="E539" i="3"/>
  <c r="D540" i="3"/>
  <c r="E540" i="3"/>
  <c r="D541" i="3"/>
  <c r="E541" i="3"/>
  <c r="D542" i="3"/>
  <c r="E542" i="3"/>
  <c r="D543" i="3"/>
  <c r="E543" i="3"/>
  <c r="D544" i="3"/>
  <c r="E544" i="3"/>
  <c r="D545" i="3"/>
  <c r="E545" i="3"/>
  <c r="D546" i="3"/>
  <c r="E546" i="3"/>
  <c r="D547" i="3"/>
  <c r="E547" i="3"/>
  <c r="D548" i="3"/>
  <c r="E548" i="3"/>
  <c r="D549" i="3"/>
  <c r="E549" i="3"/>
  <c r="D550" i="3"/>
  <c r="E550" i="3"/>
  <c r="D551" i="3"/>
  <c r="E551" i="3"/>
  <c r="D552" i="3"/>
  <c r="E552" i="3"/>
  <c r="D553" i="3"/>
  <c r="E553" i="3"/>
  <c r="D554" i="3"/>
  <c r="E554" i="3"/>
  <c r="D555" i="3"/>
  <c r="E555" i="3"/>
  <c r="D556" i="3"/>
  <c r="E556" i="3"/>
  <c r="D557" i="3"/>
  <c r="E557" i="3"/>
  <c r="D558" i="3"/>
  <c r="E558" i="3"/>
  <c r="D559" i="3"/>
  <c r="E559" i="3"/>
  <c r="D560" i="3"/>
  <c r="E560" i="3"/>
  <c r="D561" i="3"/>
  <c r="E561" i="3"/>
  <c r="D562" i="3"/>
  <c r="E562" i="3"/>
  <c r="D563" i="3"/>
  <c r="E563" i="3"/>
  <c r="D564" i="3"/>
  <c r="E564" i="3"/>
  <c r="D565" i="3"/>
  <c r="E565" i="3"/>
  <c r="D566" i="3"/>
  <c r="E566" i="3"/>
  <c r="D567" i="3"/>
  <c r="E567" i="3"/>
  <c r="D568" i="3"/>
  <c r="E568" i="3"/>
  <c r="D569" i="3"/>
  <c r="E569" i="3"/>
  <c r="D570" i="3"/>
  <c r="E570" i="3"/>
  <c r="D571" i="3"/>
  <c r="E571" i="3"/>
  <c r="D572" i="3"/>
  <c r="E572" i="3"/>
  <c r="D573" i="3"/>
  <c r="E573" i="3"/>
  <c r="D574" i="3"/>
  <c r="E574" i="3"/>
  <c r="D575" i="3"/>
  <c r="E575" i="3"/>
  <c r="D576" i="3"/>
  <c r="E576" i="3"/>
  <c r="D577" i="3"/>
  <c r="E577" i="3"/>
  <c r="D578" i="3"/>
  <c r="E578" i="3"/>
  <c r="D579" i="3"/>
  <c r="E579" i="3"/>
  <c r="D580" i="3"/>
  <c r="E580" i="3"/>
  <c r="D581" i="3"/>
  <c r="E581" i="3"/>
  <c r="D582" i="3"/>
  <c r="E582" i="3"/>
  <c r="D583" i="3"/>
  <c r="E583" i="3"/>
  <c r="D584" i="3"/>
  <c r="E584" i="3"/>
  <c r="D585" i="3"/>
  <c r="E585" i="3"/>
  <c r="D586" i="3"/>
  <c r="E586" i="3"/>
  <c r="D587" i="3"/>
  <c r="E587" i="3"/>
  <c r="D588" i="3"/>
  <c r="E588" i="3"/>
  <c r="D589" i="3"/>
  <c r="E589" i="3"/>
  <c r="D590" i="3"/>
  <c r="E590" i="3"/>
  <c r="D591" i="3"/>
  <c r="E591" i="3"/>
  <c r="D592" i="3"/>
  <c r="E592" i="3"/>
  <c r="D593" i="3"/>
  <c r="E593" i="3"/>
  <c r="D594" i="3"/>
  <c r="E594" i="3"/>
  <c r="D595" i="3"/>
  <c r="E595" i="3"/>
  <c r="D596" i="3"/>
  <c r="E596" i="3"/>
  <c r="D597" i="3"/>
  <c r="E597" i="3"/>
  <c r="D598" i="3"/>
  <c r="E598" i="3"/>
  <c r="D599" i="3"/>
  <c r="E599" i="3"/>
  <c r="D600" i="3"/>
  <c r="E600" i="3"/>
  <c r="D601" i="3"/>
  <c r="E601" i="3"/>
  <c r="D602" i="3"/>
  <c r="E602" i="3"/>
  <c r="D603" i="3"/>
  <c r="E603" i="3"/>
  <c r="D604" i="3"/>
  <c r="E604" i="3"/>
  <c r="D605" i="3"/>
  <c r="E605" i="3"/>
  <c r="D606" i="3"/>
  <c r="E606" i="3"/>
  <c r="D607" i="3"/>
  <c r="E607" i="3"/>
  <c r="D608" i="3"/>
  <c r="E608" i="3"/>
  <c r="D609" i="3"/>
  <c r="E609" i="3"/>
  <c r="D610" i="3"/>
  <c r="E610" i="3"/>
  <c r="D611" i="3"/>
  <c r="E611" i="3"/>
  <c r="D612" i="3"/>
  <c r="E612" i="3"/>
  <c r="D613" i="3"/>
  <c r="E613" i="3"/>
  <c r="D614" i="3"/>
  <c r="E614" i="3"/>
  <c r="D615" i="3"/>
  <c r="E615" i="3"/>
  <c r="D616" i="3"/>
  <c r="E616" i="3"/>
  <c r="D617" i="3"/>
  <c r="E617" i="3"/>
  <c r="D618" i="3"/>
  <c r="E618" i="3"/>
  <c r="D619" i="3"/>
  <c r="E619" i="3"/>
  <c r="D620" i="3"/>
  <c r="E620" i="3"/>
  <c r="D621" i="3"/>
  <c r="E621" i="3"/>
  <c r="D622" i="3"/>
  <c r="E622" i="3"/>
  <c r="D623" i="3"/>
  <c r="E623" i="3"/>
  <c r="D624" i="3"/>
  <c r="E624" i="3"/>
  <c r="D625" i="3"/>
  <c r="E625" i="3"/>
  <c r="D626" i="3"/>
  <c r="E626" i="3"/>
  <c r="D627" i="3"/>
  <c r="E627" i="3"/>
  <c r="D628" i="3"/>
  <c r="E628" i="3"/>
  <c r="D629" i="3"/>
  <c r="E629" i="3"/>
  <c r="D630" i="3"/>
  <c r="E630" i="3"/>
  <c r="D631" i="3"/>
  <c r="E631" i="3"/>
  <c r="D632" i="3"/>
  <c r="E632" i="3"/>
  <c r="D633" i="3"/>
  <c r="E633" i="3"/>
  <c r="D634" i="3"/>
  <c r="E634" i="3"/>
  <c r="D635" i="3"/>
  <c r="E635" i="3"/>
  <c r="D636" i="3"/>
  <c r="E636" i="3"/>
  <c r="D637" i="3"/>
  <c r="E637" i="3"/>
  <c r="D638" i="3"/>
  <c r="E638" i="3"/>
  <c r="D639" i="3"/>
  <c r="E639" i="3"/>
  <c r="D640" i="3"/>
  <c r="E640" i="3"/>
  <c r="D641" i="3"/>
  <c r="E641" i="3"/>
  <c r="D642" i="3"/>
  <c r="E642" i="3"/>
  <c r="D643" i="3"/>
  <c r="E643" i="3"/>
  <c r="D644" i="3"/>
  <c r="E644" i="3"/>
  <c r="D645" i="3"/>
  <c r="E645" i="3"/>
  <c r="D646" i="3"/>
  <c r="E646" i="3"/>
  <c r="D647" i="3"/>
  <c r="E647" i="3"/>
  <c r="D648" i="3"/>
  <c r="E648" i="3"/>
  <c r="D649" i="3"/>
  <c r="E649" i="3"/>
  <c r="D650" i="3"/>
  <c r="E650" i="3"/>
  <c r="D651" i="3"/>
  <c r="E651" i="3"/>
  <c r="D652" i="3"/>
  <c r="E652" i="3"/>
  <c r="D653" i="3"/>
  <c r="E653" i="3"/>
  <c r="D654" i="3"/>
  <c r="E654" i="3"/>
  <c r="D655" i="3"/>
  <c r="E655" i="3"/>
  <c r="D656" i="3"/>
  <c r="E656" i="3"/>
  <c r="D657" i="3"/>
  <c r="E657" i="3"/>
  <c r="D658" i="3"/>
  <c r="E658" i="3"/>
  <c r="D659" i="3"/>
  <c r="E659" i="3"/>
  <c r="D660" i="3"/>
  <c r="E660" i="3"/>
  <c r="D661" i="3"/>
  <c r="E661" i="3"/>
  <c r="D662" i="3"/>
  <c r="E662" i="3"/>
  <c r="D663" i="3"/>
  <c r="E663" i="3"/>
  <c r="D664" i="3"/>
  <c r="E664" i="3"/>
  <c r="D665" i="3"/>
  <c r="E665" i="3"/>
  <c r="D666" i="3"/>
  <c r="E666" i="3"/>
  <c r="D667" i="3"/>
  <c r="E667" i="3"/>
  <c r="D668" i="3"/>
  <c r="E668" i="3"/>
  <c r="D669" i="3"/>
  <c r="E669" i="3"/>
  <c r="D670" i="3"/>
  <c r="E670" i="3"/>
  <c r="D671" i="3"/>
  <c r="E671" i="3"/>
  <c r="D672" i="3"/>
  <c r="E672" i="3"/>
  <c r="D673" i="3"/>
  <c r="E673" i="3"/>
  <c r="D674" i="3"/>
  <c r="E674" i="3"/>
  <c r="D675" i="3"/>
  <c r="E675" i="3"/>
  <c r="D676" i="3"/>
  <c r="E676" i="3"/>
  <c r="D677" i="3"/>
  <c r="E677" i="3"/>
  <c r="D678" i="3"/>
  <c r="E678" i="3"/>
  <c r="D679" i="3"/>
  <c r="E679" i="3"/>
  <c r="D680" i="3"/>
  <c r="E680" i="3"/>
  <c r="D681" i="3"/>
  <c r="E681" i="3"/>
  <c r="D682" i="3"/>
  <c r="E682" i="3"/>
  <c r="D683" i="3"/>
  <c r="E683" i="3"/>
  <c r="D684" i="3"/>
  <c r="E684" i="3"/>
  <c r="D685" i="3"/>
  <c r="E685" i="3"/>
  <c r="D686" i="3"/>
  <c r="E686" i="3"/>
  <c r="D687" i="3"/>
  <c r="E687" i="3"/>
  <c r="D688" i="3"/>
  <c r="E688" i="3"/>
  <c r="D689" i="3"/>
  <c r="E689" i="3"/>
  <c r="D690" i="3"/>
  <c r="E690" i="3"/>
  <c r="D691" i="3"/>
  <c r="E691" i="3"/>
  <c r="D692" i="3"/>
  <c r="E692" i="3"/>
  <c r="D693" i="3"/>
  <c r="E693" i="3"/>
  <c r="D694" i="3"/>
  <c r="E694" i="3"/>
  <c r="D695" i="3"/>
  <c r="E695" i="3"/>
  <c r="D696" i="3"/>
  <c r="E696" i="3"/>
  <c r="D697" i="3"/>
  <c r="E697" i="3"/>
  <c r="D698" i="3"/>
  <c r="E698" i="3"/>
  <c r="D699" i="3"/>
  <c r="E699" i="3"/>
  <c r="D700" i="3"/>
  <c r="E700" i="3"/>
  <c r="D701" i="3"/>
  <c r="E701" i="3"/>
  <c r="D702" i="3"/>
  <c r="E702" i="3"/>
  <c r="D703" i="3"/>
  <c r="E703" i="3"/>
  <c r="D704" i="3"/>
  <c r="E704" i="3"/>
  <c r="D705" i="3"/>
  <c r="E705" i="3"/>
  <c r="D706" i="3"/>
  <c r="E706" i="3"/>
  <c r="D707" i="3"/>
  <c r="E707" i="3"/>
  <c r="D708" i="3"/>
  <c r="E708" i="3"/>
  <c r="D709" i="3"/>
  <c r="E709" i="3"/>
  <c r="D710" i="3"/>
  <c r="E710" i="3"/>
  <c r="D711" i="3"/>
  <c r="E711" i="3"/>
  <c r="D712" i="3"/>
  <c r="E712" i="3"/>
  <c r="D713" i="3"/>
  <c r="E713" i="3"/>
  <c r="D714" i="3"/>
  <c r="E714" i="3"/>
  <c r="D715" i="3"/>
  <c r="E715" i="3"/>
  <c r="D716" i="3"/>
  <c r="E716" i="3"/>
  <c r="D717" i="3"/>
  <c r="E717" i="3"/>
  <c r="D718" i="3"/>
  <c r="E718" i="3"/>
  <c r="D719" i="3"/>
  <c r="E719" i="3"/>
  <c r="D720" i="3"/>
  <c r="E720" i="3"/>
  <c r="D721" i="3"/>
  <c r="E721" i="3"/>
  <c r="D722" i="3"/>
  <c r="E722" i="3"/>
  <c r="D723" i="3"/>
  <c r="E723" i="3"/>
  <c r="D724" i="3"/>
  <c r="E724" i="3"/>
  <c r="D725" i="3"/>
  <c r="E725" i="3"/>
  <c r="D726" i="3"/>
  <c r="E726" i="3"/>
  <c r="D727" i="3"/>
  <c r="E727" i="3"/>
  <c r="D728" i="3"/>
  <c r="E728" i="3"/>
  <c r="D729" i="3"/>
  <c r="E729" i="3"/>
  <c r="D730" i="3"/>
  <c r="E730" i="3"/>
  <c r="D731" i="3"/>
  <c r="E731" i="3"/>
  <c r="D732" i="3"/>
  <c r="E732" i="3"/>
  <c r="D733" i="3"/>
  <c r="E733" i="3"/>
  <c r="D734" i="3"/>
  <c r="E734" i="3"/>
  <c r="D735" i="3"/>
  <c r="E735" i="3"/>
  <c r="D736" i="3"/>
  <c r="E736" i="3"/>
  <c r="D737" i="3"/>
  <c r="E737" i="3"/>
  <c r="D738" i="3"/>
  <c r="E738" i="3"/>
  <c r="D739" i="3"/>
  <c r="E739" i="3"/>
  <c r="D740" i="3"/>
  <c r="E740" i="3"/>
  <c r="D741" i="3"/>
  <c r="E741" i="3"/>
  <c r="D742" i="3"/>
  <c r="E742" i="3"/>
  <c r="D743" i="3"/>
  <c r="E743" i="3"/>
  <c r="D744" i="3"/>
  <c r="E744" i="3"/>
  <c r="D745" i="3"/>
  <c r="E745" i="3"/>
  <c r="D746" i="3"/>
  <c r="E746" i="3"/>
  <c r="D747" i="3"/>
  <c r="E747" i="3"/>
  <c r="D748" i="3"/>
  <c r="E748" i="3"/>
  <c r="D749" i="3"/>
  <c r="E749" i="3"/>
  <c r="D750" i="3"/>
  <c r="E750" i="3"/>
  <c r="D751" i="3"/>
  <c r="E751" i="3"/>
  <c r="D752" i="3"/>
  <c r="E752" i="3"/>
  <c r="D753" i="3"/>
  <c r="E753" i="3"/>
  <c r="D754" i="3"/>
  <c r="E754" i="3"/>
  <c r="D755" i="3"/>
  <c r="E755" i="3"/>
  <c r="D756" i="3"/>
  <c r="E756" i="3"/>
  <c r="D757" i="3"/>
  <c r="E757" i="3"/>
  <c r="D758" i="3"/>
  <c r="E758" i="3"/>
  <c r="D759" i="3"/>
  <c r="E759" i="3"/>
  <c r="D760" i="3"/>
  <c r="E760" i="3"/>
  <c r="D761" i="3"/>
  <c r="E761" i="3"/>
  <c r="D762" i="3"/>
  <c r="E762" i="3"/>
  <c r="D763" i="3"/>
  <c r="E763" i="3"/>
  <c r="D764" i="3"/>
  <c r="E764" i="3"/>
  <c r="D765" i="3"/>
  <c r="E765" i="3"/>
  <c r="D766" i="3"/>
  <c r="E766" i="3"/>
  <c r="D767" i="3"/>
  <c r="E767" i="3"/>
  <c r="D768" i="3"/>
  <c r="E768" i="3"/>
  <c r="D769" i="3"/>
  <c r="E769" i="3"/>
  <c r="D770" i="3"/>
  <c r="E770" i="3"/>
  <c r="D771" i="3"/>
  <c r="E771" i="3"/>
  <c r="D772" i="3"/>
  <c r="E772" i="3"/>
  <c r="D773" i="3"/>
  <c r="E773" i="3"/>
  <c r="D774" i="3"/>
  <c r="E774" i="3"/>
  <c r="D775" i="3"/>
  <c r="E775" i="3"/>
  <c r="D776" i="3"/>
  <c r="E776" i="3"/>
  <c r="D777" i="3"/>
  <c r="E777" i="3"/>
  <c r="D778" i="3"/>
  <c r="E778" i="3"/>
  <c r="D779" i="3"/>
  <c r="E779" i="3"/>
  <c r="D780" i="3"/>
  <c r="E780" i="3"/>
  <c r="D781" i="3"/>
  <c r="E781" i="3"/>
  <c r="D782" i="3"/>
  <c r="E782" i="3"/>
  <c r="D783" i="3"/>
  <c r="E783" i="3"/>
  <c r="D784" i="3"/>
  <c r="E784" i="3"/>
  <c r="D785" i="3"/>
  <c r="E785" i="3"/>
  <c r="D786" i="3"/>
  <c r="E786" i="3"/>
  <c r="D787" i="3"/>
  <c r="E787" i="3"/>
  <c r="D788" i="3"/>
  <c r="E788" i="3"/>
  <c r="D789" i="3"/>
  <c r="E789" i="3"/>
  <c r="D790" i="3"/>
  <c r="E790" i="3"/>
  <c r="D791" i="3"/>
  <c r="E791" i="3"/>
  <c r="D792" i="3"/>
  <c r="E792" i="3"/>
  <c r="D793" i="3"/>
  <c r="E793" i="3"/>
  <c r="D794" i="3"/>
  <c r="E794" i="3"/>
  <c r="D795" i="3"/>
  <c r="E795" i="3"/>
  <c r="D796" i="3"/>
  <c r="E796" i="3"/>
  <c r="D797" i="3"/>
  <c r="E797" i="3"/>
  <c r="D798" i="3"/>
  <c r="E798" i="3"/>
  <c r="D799" i="3"/>
  <c r="E799" i="3"/>
  <c r="D800" i="3"/>
  <c r="E800" i="3"/>
  <c r="D801" i="3"/>
  <c r="E801" i="3"/>
  <c r="D802" i="3"/>
  <c r="E802" i="3"/>
  <c r="D803" i="3"/>
  <c r="E803" i="3"/>
  <c r="D804" i="3"/>
  <c r="E804" i="3"/>
  <c r="D805" i="3"/>
  <c r="E805" i="3"/>
  <c r="D806" i="3"/>
  <c r="E806" i="3"/>
  <c r="D807" i="3"/>
  <c r="E807" i="3"/>
  <c r="D808" i="3"/>
  <c r="E808" i="3"/>
  <c r="D809" i="3"/>
  <c r="E809" i="3"/>
  <c r="D810" i="3"/>
  <c r="E810" i="3"/>
  <c r="D811" i="3"/>
  <c r="E811" i="3"/>
  <c r="D812" i="3"/>
  <c r="E812" i="3"/>
  <c r="D813" i="3"/>
  <c r="E813" i="3"/>
  <c r="D814" i="3"/>
  <c r="E814" i="3"/>
  <c r="D815" i="3"/>
  <c r="E815" i="3"/>
  <c r="D816" i="3"/>
  <c r="E816" i="3"/>
  <c r="D817" i="3"/>
  <c r="E817" i="3"/>
  <c r="D818" i="3"/>
  <c r="E818" i="3"/>
  <c r="D819" i="3"/>
  <c r="E819" i="3"/>
  <c r="D820" i="3"/>
  <c r="E820" i="3"/>
  <c r="D821" i="3"/>
  <c r="E821" i="3"/>
  <c r="D822" i="3"/>
  <c r="E822" i="3"/>
  <c r="D823" i="3"/>
  <c r="E823" i="3"/>
  <c r="D824" i="3"/>
  <c r="E824" i="3"/>
  <c r="D825" i="3"/>
  <c r="E825" i="3"/>
  <c r="D826" i="3"/>
  <c r="E826" i="3"/>
  <c r="D827" i="3"/>
  <c r="E827" i="3"/>
  <c r="D828" i="3"/>
  <c r="E828" i="3"/>
  <c r="D829" i="3"/>
  <c r="E829" i="3"/>
  <c r="D830" i="3"/>
  <c r="E830" i="3"/>
  <c r="D831" i="3"/>
  <c r="E831" i="3"/>
  <c r="D832" i="3"/>
  <c r="E832" i="3"/>
  <c r="D833" i="3"/>
  <c r="E833" i="3"/>
  <c r="D834" i="3"/>
  <c r="E834" i="3"/>
  <c r="D835" i="3"/>
  <c r="E835" i="3"/>
  <c r="D836" i="3"/>
  <c r="E836" i="3"/>
  <c r="D837" i="3"/>
  <c r="E837" i="3"/>
  <c r="D838" i="3"/>
  <c r="E838" i="3"/>
  <c r="D839" i="3"/>
  <c r="E839" i="3"/>
  <c r="D840" i="3"/>
  <c r="E840" i="3"/>
  <c r="D841" i="3"/>
  <c r="E841" i="3"/>
  <c r="D842" i="3"/>
  <c r="E842" i="3"/>
  <c r="D843" i="3"/>
  <c r="E843" i="3"/>
  <c r="D844" i="3"/>
  <c r="E844" i="3"/>
  <c r="D845" i="3"/>
  <c r="E845" i="3"/>
  <c r="D846" i="3"/>
  <c r="E846" i="3"/>
  <c r="D847" i="3"/>
  <c r="E847" i="3"/>
  <c r="D848" i="3"/>
  <c r="E848" i="3"/>
  <c r="D849" i="3"/>
  <c r="E849" i="3"/>
  <c r="D850" i="3"/>
  <c r="E850" i="3"/>
  <c r="D851" i="3"/>
  <c r="E851" i="3"/>
  <c r="D852" i="3"/>
  <c r="E852" i="3"/>
  <c r="D853" i="3"/>
  <c r="E853" i="3"/>
  <c r="D854" i="3"/>
  <c r="E854" i="3"/>
  <c r="D855" i="3"/>
  <c r="E855" i="3"/>
  <c r="D856" i="3"/>
  <c r="E856" i="3"/>
  <c r="D857" i="3"/>
  <c r="E857" i="3"/>
  <c r="D858" i="3"/>
  <c r="E858" i="3"/>
  <c r="D859" i="3"/>
  <c r="E859" i="3"/>
  <c r="D860" i="3"/>
  <c r="E860" i="3"/>
  <c r="D861" i="3"/>
  <c r="E861" i="3"/>
  <c r="D862" i="3"/>
  <c r="E862" i="3"/>
  <c r="D863" i="3"/>
  <c r="E863" i="3"/>
  <c r="D864" i="3"/>
  <c r="E864" i="3"/>
  <c r="D865" i="3"/>
  <c r="E865" i="3"/>
  <c r="D866" i="3"/>
  <c r="E866" i="3"/>
  <c r="D867" i="3"/>
  <c r="E867" i="3"/>
  <c r="D868" i="3"/>
  <c r="E868" i="3"/>
  <c r="D869" i="3"/>
  <c r="E869" i="3"/>
  <c r="D870" i="3"/>
  <c r="E870" i="3"/>
  <c r="D871" i="3"/>
  <c r="E871" i="3"/>
  <c r="D872" i="3"/>
  <c r="E872" i="3"/>
  <c r="D873" i="3"/>
  <c r="E873" i="3"/>
  <c r="D874" i="3"/>
  <c r="E874" i="3"/>
  <c r="D875" i="3"/>
  <c r="E875" i="3"/>
  <c r="D876" i="3"/>
  <c r="E876" i="3"/>
  <c r="D877" i="3"/>
  <c r="E877" i="3"/>
  <c r="D878" i="3"/>
  <c r="E878" i="3"/>
  <c r="D879" i="3"/>
  <c r="E879" i="3"/>
  <c r="D880" i="3"/>
  <c r="E880" i="3"/>
  <c r="D881" i="3"/>
  <c r="E881" i="3"/>
  <c r="D882" i="3"/>
  <c r="E882" i="3"/>
  <c r="D883" i="3"/>
  <c r="E883" i="3"/>
  <c r="D884" i="3"/>
  <c r="E884" i="3"/>
  <c r="D885" i="3"/>
  <c r="E885" i="3"/>
  <c r="D886" i="3"/>
  <c r="E886" i="3"/>
  <c r="D887" i="3"/>
  <c r="E887" i="3"/>
  <c r="D888" i="3"/>
  <c r="E888" i="3"/>
  <c r="D889" i="3"/>
  <c r="E889" i="3"/>
  <c r="D890" i="3"/>
  <c r="E890" i="3"/>
  <c r="D891" i="3"/>
  <c r="E891" i="3"/>
  <c r="D892" i="3"/>
  <c r="E892" i="3"/>
  <c r="D893" i="3"/>
  <c r="E893" i="3"/>
  <c r="D894" i="3"/>
  <c r="E894" i="3"/>
  <c r="D895" i="3"/>
  <c r="E895" i="3"/>
  <c r="D896" i="3"/>
  <c r="E896" i="3"/>
  <c r="D897" i="3"/>
  <c r="E897" i="3"/>
  <c r="D898" i="3"/>
  <c r="E898" i="3"/>
  <c r="D899" i="3"/>
  <c r="D900" i="3"/>
  <c r="E900" i="3"/>
  <c r="D901" i="3"/>
  <c r="E901" i="3"/>
  <c r="D902" i="3"/>
  <c r="E902" i="3"/>
  <c r="D903" i="3"/>
  <c r="E903" i="3"/>
  <c r="D904" i="3"/>
  <c r="E904" i="3"/>
  <c r="D905" i="3"/>
  <c r="E905" i="3"/>
  <c r="D906" i="3"/>
  <c r="E906" i="3"/>
  <c r="D907" i="3"/>
  <c r="E907" i="3"/>
  <c r="D908" i="3"/>
  <c r="E908" i="3"/>
  <c r="D909" i="3"/>
  <c r="E909" i="3"/>
  <c r="D910" i="3"/>
  <c r="E910" i="3"/>
  <c r="D911" i="3"/>
  <c r="E911" i="3"/>
  <c r="D912" i="3"/>
  <c r="E912" i="3"/>
  <c r="D913" i="3"/>
  <c r="E913" i="3"/>
  <c r="D914" i="3"/>
  <c r="E914" i="3"/>
  <c r="D915" i="3"/>
  <c r="E915" i="3"/>
  <c r="D916" i="3"/>
  <c r="E916" i="3"/>
  <c r="D917" i="3"/>
  <c r="E917" i="3"/>
  <c r="D918" i="3"/>
  <c r="E918" i="3"/>
  <c r="D919" i="3"/>
  <c r="E919" i="3"/>
  <c r="D920" i="3"/>
  <c r="D921" i="3"/>
  <c r="E921" i="3"/>
  <c r="D922" i="3"/>
  <c r="E922" i="3"/>
  <c r="D923" i="3"/>
  <c r="E923" i="3"/>
  <c r="D924" i="3"/>
  <c r="E924" i="3"/>
  <c r="D925" i="3"/>
  <c r="E925" i="3"/>
  <c r="D926" i="3"/>
  <c r="E926" i="3"/>
  <c r="D927" i="3"/>
  <c r="E927" i="3"/>
  <c r="D928" i="3"/>
  <c r="E928" i="3"/>
  <c r="D929" i="3"/>
  <c r="E929" i="3"/>
  <c r="D930" i="3"/>
  <c r="E930" i="3"/>
  <c r="D931" i="3"/>
  <c r="E931" i="3"/>
  <c r="D932" i="3"/>
  <c r="E932" i="3"/>
  <c r="D933" i="3"/>
  <c r="E933" i="3"/>
  <c r="D934" i="3"/>
  <c r="E934" i="3"/>
  <c r="D935" i="3"/>
  <c r="E935" i="3"/>
  <c r="D936" i="3"/>
  <c r="E936" i="3"/>
  <c r="D937" i="3"/>
  <c r="E937" i="3"/>
  <c r="D938" i="3"/>
  <c r="E938" i="3"/>
  <c r="D939" i="3"/>
  <c r="E939" i="3"/>
  <c r="D940" i="3"/>
  <c r="E940" i="3"/>
  <c r="D941" i="3"/>
  <c r="E941" i="3"/>
  <c r="D942" i="3"/>
  <c r="E942" i="3"/>
  <c r="D943" i="3"/>
  <c r="E943" i="3"/>
  <c r="D944" i="3"/>
  <c r="E944" i="3"/>
  <c r="D945" i="3"/>
  <c r="E945" i="3"/>
  <c r="D946" i="3"/>
  <c r="E946" i="3"/>
  <c r="D947" i="3"/>
  <c r="E947" i="3"/>
  <c r="D948" i="3"/>
  <c r="E948" i="3"/>
  <c r="D949" i="3"/>
  <c r="E949" i="3"/>
  <c r="D950" i="3"/>
  <c r="E950" i="3"/>
  <c r="D951" i="3"/>
  <c r="E951" i="3"/>
  <c r="D952" i="3"/>
  <c r="E952" i="3"/>
  <c r="D953" i="3"/>
  <c r="E953" i="3"/>
  <c r="D954" i="3"/>
  <c r="E954" i="3"/>
  <c r="D955" i="3"/>
  <c r="E955" i="3"/>
  <c r="D956" i="3"/>
  <c r="E956" i="3"/>
  <c r="D957" i="3"/>
  <c r="E957" i="3"/>
  <c r="D958" i="3"/>
  <c r="E958" i="3"/>
  <c r="D959" i="3"/>
  <c r="E959" i="3"/>
  <c r="D960" i="3"/>
  <c r="E960" i="3"/>
  <c r="D961" i="3"/>
  <c r="E961" i="3"/>
  <c r="D962" i="3"/>
  <c r="E962" i="3"/>
  <c r="D963" i="3"/>
  <c r="E963" i="3"/>
  <c r="D964" i="3"/>
  <c r="E964" i="3"/>
  <c r="D965" i="3"/>
  <c r="E965" i="3"/>
  <c r="D966" i="3"/>
  <c r="E966" i="3"/>
  <c r="D967" i="3"/>
  <c r="E967" i="3"/>
  <c r="D968" i="3"/>
  <c r="E968" i="3"/>
  <c r="D969" i="3"/>
  <c r="E969" i="3"/>
  <c r="D970" i="3"/>
  <c r="E970" i="3"/>
  <c r="D971" i="3"/>
  <c r="E971" i="3"/>
  <c r="D972" i="3"/>
  <c r="E972" i="3"/>
  <c r="D973" i="3"/>
  <c r="E973" i="3"/>
  <c r="D974" i="3"/>
  <c r="E974" i="3"/>
  <c r="D975" i="3"/>
  <c r="E975" i="3"/>
  <c r="D976" i="3"/>
  <c r="E976" i="3"/>
  <c r="D977" i="3"/>
  <c r="E977" i="3"/>
  <c r="D978" i="3"/>
  <c r="E978" i="3"/>
  <c r="D979" i="3"/>
  <c r="E979" i="3"/>
  <c r="D980" i="3"/>
  <c r="E980" i="3"/>
  <c r="D981" i="3"/>
  <c r="E981" i="3"/>
  <c r="D982" i="3"/>
  <c r="E982" i="3"/>
  <c r="D983" i="3"/>
  <c r="E983" i="3"/>
  <c r="D984" i="3"/>
  <c r="E984" i="3"/>
  <c r="D985" i="3"/>
  <c r="E985" i="3"/>
  <c r="D986" i="3"/>
  <c r="E986" i="3"/>
  <c r="D987" i="3"/>
  <c r="E987" i="3"/>
  <c r="D988" i="3"/>
  <c r="E988" i="3"/>
  <c r="D989" i="3"/>
  <c r="E989" i="3"/>
  <c r="D990" i="3"/>
  <c r="E990" i="3"/>
  <c r="D991" i="3"/>
  <c r="E991" i="3"/>
  <c r="D992" i="3"/>
  <c r="E992" i="3"/>
  <c r="D993" i="3"/>
  <c r="E993" i="3"/>
  <c r="D994" i="3"/>
  <c r="E994" i="3"/>
  <c r="D995" i="3"/>
  <c r="E995" i="3"/>
  <c r="D996" i="3"/>
  <c r="E996" i="3"/>
  <c r="D997" i="3"/>
  <c r="E997" i="3"/>
  <c r="D998" i="3"/>
  <c r="E998" i="3"/>
  <c r="D999" i="3"/>
  <c r="E999" i="3"/>
  <c r="D1000" i="3"/>
  <c r="E1000" i="3"/>
  <c r="D1001" i="3"/>
  <c r="E1001" i="3"/>
  <c r="D1002" i="3"/>
  <c r="E1002" i="3"/>
  <c r="D1003" i="3"/>
  <c r="E1003" i="3"/>
  <c r="D1004" i="3"/>
  <c r="E1004" i="3"/>
  <c r="D1005" i="3"/>
  <c r="E1005" i="3"/>
  <c r="D1006" i="3"/>
  <c r="E1006" i="3"/>
  <c r="D1007" i="3"/>
  <c r="E1007" i="3"/>
  <c r="D1008" i="3"/>
  <c r="E1008" i="3"/>
  <c r="D1009" i="3"/>
  <c r="E1009" i="3"/>
  <c r="D1010" i="3"/>
  <c r="E1010" i="3"/>
  <c r="D1011" i="3"/>
  <c r="E1011" i="3"/>
  <c r="D1012" i="3"/>
  <c r="E1012" i="3"/>
  <c r="D1013" i="3"/>
  <c r="E1013" i="3"/>
  <c r="D1014" i="3"/>
  <c r="E1014" i="3"/>
  <c r="D1015" i="3"/>
  <c r="E1015" i="3"/>
  <c r="D1016" i="3"/>
  <c r="E1016" i="3"/>
  <c r="D1017" i="3"/>
  <c r="E1017" i="3"/>
  <c r="D1018" i="3"/>
  <c r="E1018" i="3"/>
  <c r="D1019" i="3"/>
  <c r="E1019" i="3"/>
  <c r="D1020" i="3"/>
  <c r="E1020" i="3"/>
  <c r="D1021" i="3"/>
  <c r="E1021" i="3"/>
  <c r="D1022" i="3"/>
  <c r="E1022" i="3"/>
  <c r="D1023" i="3"/>
  <c r="E1023" i="3"/>
  <c r="D1024" i="3"/>
  <c r="E1024" i="3"/>
  <c r="D1025" i="3"/>
  <c r="E1025" i="3"/>
  <c r="D1026" i="3"/>
  <c r="E1026" i="3"/>
  <c r="D1027" i="3"/>
  <c r="E1027" i="3"/>
  <c r="D1028" i="3"/>
  <c r="E1028" i="3"/>
  <c r="D1029" i="3"/>
  <c r="E1029" i="3"/>
  <c r="D1030" i="3"/>
  <c r="E1030" i="3"/>
  <c r="D1031" i="3"/>
  <c r="E1031" i="3"/>
  <c r="D1032" i="3"/>
  <c r="E1032" i="3"/>
  <c r="D1033" i="3"/>
  <c r="E1033" i="3"/>
  <c r="D1034" i="3"/>
  <c r="D1035" i="3"/>
  <c r="E1035" i="3"/>
  <c r="D1036" i="3"/>
  <c r="E1036" i="3"/>
  <c r="D1037" i="3"/>
  <c r="E1037" i="3"/>
  <c r="D1038" i="3"/>
  <c r="E1038" i="3"/>
  <c r="D1039" i="3"/>
  <c r="E1039" i="3"/>
  <c r="D1040" i="3"/>
  <c r="E1040" i="3"/>
  <c r="D1041" i="3"/>
  <c r="E1041" i="3"/>
  <c r="D1042" i="3"/>
  <c r="E1042" i="3"/>
  <c r="D1043" i="3"/>
  <c r="E1043" i="3"/>
  <c r="D1044" i="3"/>
  <c r="E1044" i="3"/>
  <c r="D1045" i="3"/>
  <c r="E1045" i="3"/>
  <c r="D1046" i="3"/>
  <c r="E1046" i="3"/>
  <c r="D1047" i="3"/>
  <c r="E1047" i="3"/>
  <c r="D1048" i="3"/>
  <c r="E1048" i="3"/>
  <c r="D1049" i="3"/>
  <c r="E1049" i="3"/>
  <c r="D1050" i="3"/>
  <c r="E1050" i="3"/>
  <c r="D1051" i="3"/>
  <c r="E1051" i="3"/>
  <c r="D1052" i="3"/>
  <c r="E1052" i="3"/>
  <c r="D1053" i="3"/>
  <c r="E1053" i="3"/>
  <c r="D1054" i="3"/>
  <c r="E1054" i="3"/>
  <c r="D1055" i="3"/>
  <c r="E1055" i="3"/>
  <c r="D1056" i="3"/>
  <c r="E1056" i="3"/>
  <c r="D1057" i="3"/>
  <c r="E1057" i="3"/>
  <c r="D1058" i="3"/>
  <c r="E1058" i="3"/>
  <c r="D1059" i="3"/>
  <c r="E1059" i="3"/>
  <c r="D1060" i="3"/>
  <c r="E1060" i="3"/>
  <c r="D1061" i="3"/>
  <c r="E1061" i="3"/>
  <c r="D1062" i="3"/>
  <c r="E1062" i="3"/>
  <c r="D1063" i="3"/>
  <c r="E1063" i="3"/>
  <c r="D1064" i="3"/>
  <c r="E1064" i="3"/>
  <c r="D1065" i="3"/>
  <c r="E1065" i="3"/>
  <c r="D1066" i="3"/>
  <c r="E1066" i="3"/>
  <c r="D1067" i="3"/>
  <c r="E1067" i="3"/>
  <c r="D1068" i="3"/>
  <c r="E1068" i="3"/>
  <c r="D1069" i="3"/>
  <c r="E1069" i="3"/>
  <c r="D1070" i="3"/>
  <c r="E1070" i="3"/>
  <c r="D1071" i="3"/>
  <c r="E1071" i="3"/>
  <c r="D1072" i="3"/>
  <c r="E1072" i="3"/>
  <c r="D1073" i="3"/>
  <c r="E1073" i="3"/>
  <c r="D1074" i="3"/>
  <c r="E1074" i="3"/>
  <c r="D1075" i="3"/>
  <c r="E1075" i="3"/>
  <c r="D1076" i="3"/>
  <c r="E1076" i="3"/>
  <c r="D1077" i="3"/>
  <c r="E1077" i="3"/>
  <c r="D1078" i="3"/>
  <c r="E1078" i="3"/>
  <c r="D1079" i="3"/>
  <c r="E1079" i="3"/>
  <c r="D1080" i="3"/>
  <c r="E1080" i="3"/>
  <c r="D1081" i="3"/>
  <c r="E1081" i="3"/>
  <c r="D1082" i="3"/>
  <c r="E1082" i="3"/>
  <c r="D1083" i="3"/>
  <c r="E1083" i="3"/>
  <c r="D1084" i="3"/>
  <c r="E1084" i="3"/>
  <c r="D1085" i="3"/>
  <c r="E1085" i="3"/>
  <c r="D1086" i="3"/>
  <c r="E1086" i="3"/>
  <c r="D1087" i="3"/>
  <c r="E1087" i="3"/>
  <c r="D1088" i="3"/>
  <c r="E1088" i="3"/>
  <c r="D1089" i="3"/>
  <c r="E1089" i="3"/>
  <c r="D1090" i="3"/>
  <c r="E1090" i="3"/>
  <c r="D1091" i="3"/>
  <c r="E1091" i="3"/>
  <c r="D1092" i="3"/>
  <c r="E1092" i="3"/>
  <c r="D1093" i="3"/>
  <c r="E1093" i="3"/>
  <c r="D1094" i="3"/>
  <c r="E1094" i="3"/>
  <c r="D1095" i="3"/>
  <c r="E1095" i="3"/>
  <c r="D1096" i="3"/>
  <c r="E1096" i="3"/>
  <c r="D1097" i="3"/>
  <c r="E1097" i="3"/>
  <c r="D1098" i="3"/>
  <c r="E1098" i="3"/>
  <c r="D1099" i="3"/>
  <c r="E1099" i="3"/>
  <c r="D1100" i="3"/>
  <c r="E1100" i="3"/>
  <c r="D1101" i="3"/>
  <c r="E1101" i="3"/>
  <c r="D1102" i="3"/>
  <c r="E1102" i="3"/>
  <c r="D1103" i="3"/>
  <c r="E1103" i="3"/>
  <c r="D1104" i="3"/>
  <c r="E1104" i="3"/>
  <c r="D1105" i="3"/>
  <c r="E1105" i="3"/>
  <c r="D1106" i="3"/>
  <c r="E1106" i="3"/>
  <c r="D1107" i="3"/>
  <c r="E1107" i="3"/>
  <c r="D1108" i="3"/>
  <c r="E1108" i="3"/>
  <c r="D1109" i="3"/>
  <c r="E1109" i="3"/>
  <c r="D1110" i="3"/>
  <c r="E1110" i="3"/>
  <c r="D1111" i="3"/>
  <c r="E1111" i="3"/>
  <c r="D1112" i="3"/>
  <c r="E1112" i="3"/>
  <c r="D1113" i="3"/>
  <c r="E1113" i="3"/>
  <c r="D1114" i="3"/>
  <c r="E1114" i="3"/>
  <c r="D1115" i="3"/>
  <c r="E1115" i="3"/>
  <c r="D1116" i="3"/>
  <c r="E1116" i="3"/>
  <c r="D1117" i="3"/>
  <c r="E1117" i="3"/>
  <c r="D1118" i="3"/>
  <c r="E1118" i="3"/>
  <c r="D1119" i="3"/>
  <c r="E1119" i="3"/>
  <c r="D1120" i="3"/>
  <c r="E1120" i="3"/>
  <c r="D1121" i="3"/>
  <c r="E1121" i="3"/>
  <c r="D1122" i="3"/>
  <c r="E1122" i="3"/>
  <c r="D1123" i="3"/>
  <c r="E1123" i="3"/>
  <c r="D1124" i="3"/>
  <c r="E1124" i="3"/>
  <c r="D1125" i="3"/>
  <c r="E1125" i="3"/>
  <c r="D1126" i="3"/>
  <c r="E1126" i="3"/>
  <c r="D1127" i="3"/>
  <c r="E1127" i="3"/>
  <c r="D1128" i="3"/>
  <c r="E1128" i="3"/>
  <c r="D1129" i="3"/>
  <c r="E1129" i="3"/>
  <c r="D1130" i="3"/>
  <c r="E1130" i="3"/>
  <c r="D1131" i="3"/>
  <c r="E1131" i="3"/>
  <c r="D1132" i="3"/>
  <c r="E1132" i="3"/>
  <c r="D1133" i="3"/>
  <c r="E1133" i="3"/>
  <c r="D1134" i="3"/>
  <c r="E1134" i="3"/>
  <c r="D1135" i="3"/>
  <c r="E1135" i="3"/>
  <c r="D1136" i="3"/>
  <c r="E1136" i="3"/>
  <c r="D1137" i="3"/>
  <c r="E1137" i="3"/>
  <c r="D1138" i="3"/>
  <c r="E1138" i="3"/>
  <c r="D1139" i="3"/>
  <c r="E1139" i="3"/>
  <c r="D1140" i="3"/>
  <c r="E1140" i="3"/>
  <c r="D1141" i="3"/>
  <c r="E1141" i="3"/>
  <c r="D1142" i="3"/>
  <c r="E1142" i="3"/>
  <c r="D1143" i="3"/>
  <c r="E1143" i="3"/>
  <c r="D1144" i="3"/>
  <c r="E1144" i="3"/>
  <c r="D1145" i="3"/>
  <c r="E1145" i="3"/>
  <c r="D1146" i="3"/>
  <c r="E1146" i="3"/>
  <c r="D1147" i="3"/>
  <c r="E1147" i="3"/>
  <c r="D1148" i="3"/>
  <c r="E1148" i="3"/>
  <c r="D1149" i="3"/>
  <c r="E1149" i="3"/>
  <c r="D1150" i="3"/>
  <c r="E1150" i="3"/>
  <c r="D1151" i="3"/>
  <c r="E1151" i="3"/>
  <c r="D1152" i="3"/>
  <c r="E1152" i="3"/>
  <c r="D1153" i="3"/>
  <c r="E1153" i="3"/>
  <c r="D1154" i="3"/>
  <c r="E1154" i="3"/>
  <c r="D1155" i="3"/>
  <c r="E1155" i="3"/>
  <c r="D1156" i="3"/>
  <c r="E1156" i="3"/>
  <c r="D1157" i="3"/>
  <c r="E1157" i="3"/>
  <c r="D1158" i="3"/>
  <c r="E1158" i="3"/>
  <c r="D1159" i="3"/>
  <c r="E1159" i="3"/>
  <c r="D1160" i="3"/>
  <c r="E1160" i="3"/>
  <c r="D1161" i="3"/>
  <c r="E1161" i="3"/>
  <c r="D1162" i="3"/>
  <c r="E1162" i="3"/>
  <c r="D1163" i="3"/>
  <c r="E1163" i="3"/>
  <c r="D1164" i="3"/>
  <c r="E1164" i="3"/>
  <c r="D1165" i="3"/>
  <c r="E1165" i="3"/>
  <c r="D1166" i="3"/>
  <c r="E1166" i="3"/>
  <c r="D1167" i="3"/>
  <c r="E1167" i="3"/>
  <c r="D1168" i="3"/>
  <c r="E1168" i="3"/>
  <c r="D1169" i="3"/>
  <c r="E1169" i="3"/>
  <c r="D1170" i="3"/>
  <c r="E1170" i="3"/>
  <c r="D1171" i="3"/>
  <c r="E1171" i="3"/>
  <c r="D1172" i="3"/>
  <c r="E1172" i="3"/>
  <c r="D1173" i="3"/>
  <c r="E1173" i="3"/>
  <c r="D1174" i="3"/>
  <c r="E1174" i="3"/>
  <c r="D1175" i="3"/>
  <c r="E1175" i="3"/>
  <c r="D1176" i="3"/>
  <c r="E1176" i="3"/>
  <c r="D1177" i="3"/>
  <c r="E1177" i="3"/>
  <c r="D1178" i="3"/>
  <c r="E1178" i="3"/>
  <c r="D1179" i="3"/>
  <c r="E1179" i="3"/>
  <c r="D1180" i="3"/>
  <c r="E1180" i="3"/>
  <c r="D1181" i="3"/>
  <c r="E1181" i="3"/>
  <c r="D1182" i="3"/>
  <c r="E1182" i="3"/>
  <c r="D1183" i="3"/>
  <c r="E1183" i="3"/>
  <c r="D1184" i="3"/>
  <c r="E1184" i="3"/>
  <c r="D1185" i="3"/>
  <c r="E1185" i="3"/>
  <c r="D1186" i="3"/>
  <c r="E1186" i="3"/>
  <c r="D1187" i="3"/>
  <c r="E1187" i="3"/>
  <c r="D1188" i="3"/>
  <c r="E1188" i="3"/>
  <c r="D1189" i="3"/>
  <c r="E1189" i="3"/>
  <c r="D1190" i="3"/>
  <c r="E1190" i="3"/>
  <c r="D1191" i="3"/>
  <c r="E1191" i="3"/>
  <c r="D1192" i="3"/>
  <c r="E1192" i="3"/>
  <c r="D1193" i="3"/>
  <c r="E1193" i="3"/>
  <c r="D1194" i="3"/>
  <c r="E1194" i="3"/>
  <c r="D1195" i="3"/>
  <c r="E1195" i="3"/>
  <c r="D1196" i="3"/>
  <c r="E1196" i="3"/>
  <c r="D1197" i="3"/>
  <c r="E1197" i="3"/>
  <c r="D1198" i="3"/>
  <c r="E1198" i="3"/>
  <c r="D1199" i="3"/>
  <c r="E1199" i="3"/>
  <c r="D1200" i="3"/>
  <c r="E1200" i="3"/>
  <c r="D1201" i="3"/>
  <c r="E1201" i="3"/>
  <c r="D1202" i="3"/>
  <c r="E1202" i="3"/>
  <c r="D1203" i="3"/>
  <c r="E1203" i="3"/>
  <c r="D1204" i="3"/>
  <c r="E1204" i="3"/>
  <c r="D1205" i="3"/>
  <c r="E1205" i="3"/>
  <c r="D1206" i="3"/>
  <c r="E1206" i="3"/>
  <c r="D1207" i="3"/>
  <c r="E1207" i="3"/>
  <c r="D1208" i="3"/>
  <c r="E1208" i="3"/>
  <c r="D1209" i="3"/>
  <c r="E1209" i="3"/>
  <c r="D1210" i="3"/>
  <c r="E1210" i="3"/>
  <c r="D1211" i="3"/>
  <c r="E1211" i="3"/>
  <c r="D1212" i="3"/>
  <c r="E1212" i="3"/>
  <c r="D1213" i="3"/>
  <c r="E1213" i="3"/>
  <c r="D1214" i="3"/>
  <c r="E1214" i="3"/>
  <c r="D1215" i="3"/>
  <c r="E1215" i="3"/>
  <c r="D1216" i="3"/>
  <c r="E1216" i="3"/>
  <c r="D1217" i="3"/>
  <c r="E1217" i="3"/>
  <c r="D1218" i="3"/>
  <c r="E1218" i="3"/>
  <c r="D1219" i="3"/>
  <c r="E1219" i="3"/>
  <c r="D1220" i="3"/>
  <c r="E1220" i="3"/>
  <c r="D1221" i="3"/>
  <c r="E1221" i="3"/>
  <c r="D1222" i="3"/>
  <c r="E1222" i="3"/>
  <c r="D1223" i="3"/>
  <c r="E1223" i="3"/>
  <c r="D1224" i="3"/>
  <c r="E1224" i="3"/>
  <c r="D1225" i="3"/>
  <c r="E1225" i="3"/>
  <c r="D1226" i="3"/>
  <c r="E1226" i="3"/>
  <c r="D1227" i="3"/>
  <c r="E1227" i="3"/>
  <c r="D1228" i="3"/>
  <c r="E1228" i="3"/>
  <c r="D1229" i="3"/>
  <c r="E1229" i="3"/>
  <c r="D1230" i="3"/>
  <c r="E1230" i="3"/>
  <c r="D1231" i="3"/>
  <c r="E1231" i="3"/>
  <c r="D1232" i="3"/>
  <c r="E1232" i="3"/>
  <c r="D1233" i="3"/>
  <c r="E1233" i="3"/>
  <c r="D1234" i="3"/>
  <c r="E1234" i="3"/>
  <c r="D1235" i="3"/>
  <c r="E1235" i="3"/>
  <c r="D1236" i="3"/>
  <c r="E1236" i="3"/>
  <c r="D1237" i="3"/>
  <c r="E1237" i="3"/>
  <c r="D1238" i="3"/>
  <c r="E1238" i="3"/>
  <c r="D1239" i="3"/>
  <c r="E1239" i="3"/>
  <c r="D1240" i="3"/>
  <c r="E1240" i="3"/>
  <c r="D1241" i="3"/>
  <c r="E1241" i="3"/>
  <c r="D1242" i="3"/>
  <c r="E1242" i="3"/>
  <c r="D1243" i="3"/>
  <c r="E1243" i="3"/>
  <c r="D1244" i="3"/>
  <c r="E1244" i="3"/>
  <c r="D1245" i="3"/>
  <c r="E1245" i="3"/>
  <c r="D1246" i="3"/>
  <c r="E1246" i="3"/>
  <c r="D1247" i="3"/>
  <c r="E1247" i="3"/>
  <c r="D1248" i="3"/>
  <c r="E1248" i="3"/>
  <c r="D1249" i="3"/>
  <c r="E1249" i="3"/>
  <c r="D1250" i="3"/>
  <c r="E1250" i="3"/>
  <c r="D1251" i="3"/>
  <c r="E1251" i="3"/>
  <c r="D1252" i="3"/>
  <c r="E1252" i="3"/>
  <c r="D1253" i="3"/>
  <c r="E1253" i="3"/>
  <c r="D1254" i="3"/>
  <c r="E1254" i="3"/>
  <c r="D1255" i="3"/>
  <c r="E1255" i="3"/>
  <c r="D1256" i="3"/>
  <c r="E1256" i="3"/>
  <c r="D1257" i="3"/>
  <c r="E1257" i="3"/>
  <c r="D1258" i="3"/>
  <c r="E1258" i="3"/>
  <c r="D1259" i="3"/>
  <c r="E1259" i="3"/>
  <c r="D1260" i="3"/>
  <c r="E1260" i="3"/>
  <c r="D1261" i="3"/>
  <c r="E1261" i="3"/>
  <c r="D1262" i="3"/>
  <c r="E1262" i="3"/>
  <c r="D1263" i="3"/>
  <c r="E1263" i="3"/>
  <c r="D1264" i="3"/>
  <c r="E1264" i="3"/>
  <c r="D1265" i="3"/>
  <c r="E1265" i="3"/>
  <c r="D1266" i="3"/>
  <c r="E1266" i="3"/>
  <c r="D1267" i="3"/>
  <c r="E1267" i="3"/>
  <c r="D1268" i="3"/>
  <c r="E1268" i="3"/>
  <c r="D1269" i="3"/>
  <c r="E1269" i="3"/>
  <c r="D1270" i="3"/>
  <c r="E1270" i="3"/>
  <c r="D1271" i="3"/>
  <c r="E1271" i="3"/>
  <c r="D1272" i="3"/>
  <c r="E1272" i="3"/>
  <c r="D1273" i="3"/>
  <c r="E1273" i="3"/>
  <c r="D1274" i="3"/>
  <c r="E1274" i="3"/>
  <c r="D1275" i="3"/>
  <c r="E1275" i="3"/>
  <c r="D1276" i="3"/>
  <c r="E1276" i="3"/>
  <c r="D1277" i="3"/>
  <c r="E1277" i="3"/>
  <c r="D1278" i="3"/>
  <c r="E1278" i="3"/>
  <c r="D1279" i="3"/>
  <c r="E1279" i="3"/>
  <c r="D1280" i="3"/>
  <c r="E1280" i="3"/>
  <c r="D1281" i="3"/>
  <c r="E1281" i="3"/>
  <c r="D1282" i="3"/>
  <c r="E1282" i="3"/>
  <c r="D1283" i="3"/>
  <c r="E1283" i="3"/>
  <c r="D1284" i="3"/>
  <c r="E1284" i="3"/>
  <c r="D1285" i="3"/>
  <c r="E1285" i="3"/>
  <c r="D1286" i="3"/>
  <c r="E1286" i="3"/>
  <c r="D1287" i="3"/>
  <c r="E1287" i="3"/>
  <c r="D1288" i="3"/>
  <c r="E1288" i="3"/>
  <c r="D1289" i="3"/>
  <c r="E1289" i="3"/>
  <c r="D1290" i="3"/>
  <c r="E1290" i="3"/>
  <c r="D1291" i="3"/>
  <c r="E1291" i="3"/>
  <c r="D1292" i="3"/>
  <c r="E1292" i="3"/>
  <c r="D1293" i="3"/>
  <c r="E1293" i="3"/>
  <c r="D1294" i="3"/>
  <c r="E1294" i="3"/>
  <c r="D1295" i="3"/>
  <c r="E1295" i="3"/>
  <c r="D1296" i="3"/>
  <c r="E1296" i="3"/>
  <c r="D1297" i="3"/>
  <c r="E1297" i="3"/>
  <c r="D1298" i="3"/>
  <c r="E1298" i="3"/>
  <c r="D1299" i="3"/>
  <c r="E1299" i="3"/>
  <c r="D1300" i="3"/>
  <c r="E1300" i="3"/>
  <c r="D1301" i="3"/>
  <c r="E1301" i="3"/>
  <c r="D1302" i="3"/>
  <c r="E1302" i="3"/>
  <c r="D1303" i="3"/>
  <c r="E1303" i="3"/>
  <c r="D1304" i="3"/>
  <c r="E1304" i="3"/>
  <c r="D1305" i="3"/>
  <c r="E1305" i="3"/>
  <c r="D1306" i="3"/>
  <c r="E1306" i="3"/>
  <c r="D1307" i="3"/>
  <c r="E1307" i="3"/>
  <c r="D1308" i="3"/>
  <c r="D1309" i="3"/>
  <c r="E1309" i="3"/>
  <c r="D1310" i="3"/>
  <c r="E1310" i="3"/>
  <c r="D1311" i="3"/>
  <c r="E1311" i="3"/>
  <c r="D1312" i="3"/>
  <c r="E1312" i="3"/>
  <c r="D1313" i="3"/>
  <c r="E1313" i="3"/>
  <c r="D1314" i="3"/>
  <c r="E1314" i="3"/>
  <c r="D1315" i="3"/>
  <c r="E1315" i="3"/>
  <c r="D1316" i="3"/>
  <c r="E1316" i="3"/>
  <c r="D1317" i="3"/>
  <c r="E1317" i="3"/>
  <c r="D1318" i="3"/>
  <c r="E1318" i="3"/>
  <c r="D1319" i="3"/>
  <c r="E1319" i="3"/>
  <c r="D1320" i="3"/>
  <c r="E1320" i="3"/>
  <c r="D1321" i="3"/>
  <c r="E1321" i="3"/>
  <c r="D1322" i="3"/>
  <c r="E1322" i="3"/>
  <c r="D1323" i="3"/>
  <c r="E1323" i="3"/>
  <c r="D1324" i="3"/>
  <c r="E1324" i="3"/>
  <c r="D1325" i="3"/>
  <c r="E1325" i="3"/>
  <c r="D1326" i="3"/>
  <c r="E1326" i="3"/>
  <c r="D1327" i="3"/>
  <c r="E1327" i="3"/>
  <c r="D1328" i="3"/>
  <c r="E1328" i="3"/>
  <c r="D1329" i="3"/>
  <c r="E1329" i="3"/>
  <c r="D1330" i="3"/>
  <c r="E1330" i="3"/>
  <c r="D1331" i="3"/>
  <c r="E1331" i="3"/>
  <c r="D1332" i="3"/>
  <c r="E1332" i="3"/>
  <c r="D1333" i="3"/>
  <c r="E1333" i="3"/>
  <c r="D1334" i="3"/>
  <c r="E1334" i="3"/>
  <c r="D1335" i="3"/>
  <c r="E1335" i="3"/>
  <c r="D1336" i="3"/>
  <c r="E1336" i="3"/>
  <c r="D1337" i="3"/>
  <c r="E1337" i="3"/>
  <c r="D1338" i="3"/>
  <c r="E1338" i="3"/>
  <c r="D1339" i="3"/>
  <c r="E1339" i="3"/>
  <c r="D1340" i="3"/>
  <c r="E1340" i="3"/>
  <c r="D1341" i="3"/>
  <c r="E1341" i="3"/>
  <c r="D1342" i="3"/>
  <c r="E1342" i="3"/>
  <c r="D1343" i="3"/>
  <c r="E1343" i="3"/>
  <c r="D1344" i="3"/>
  <c r="E1344" i="3"/>
  <c r="D1345" i="3"/>
  <c r="E1345" i="3"/>
  <c r="D1346" i="3"/>
  <c r="E1346" i="3"/>
  <c r="D1347" i="3"/>
  <c r="E1347" i="3"/>
  <c r="D1348" i="3"/>
  <c r="E1348" i="3"/>
  <c r="D1349" i="3"/>
  <c r="E1349" i="3"/>
  <c r="D1350" i="3"/>
  <c r="E1350" i="3"/>
  <c r="D1351" i="3"/>
  <c r="E1351" i="3"/>
  <c r="D1352" i="3"/>
  <c r="E1352" i="3"/>
  <c r="D1353" i="3"/>
  <c r="E1353" i="3"/>
  <c r="D1354" i="3"/>
  <c r="E1354" i="3"/>
  <c r="D1355" i="3"/>
  <c r="E1355" i="3"/>
  <c r="D1356" i="3"/>
  <c r="D1357" i="3"/>
  <c r="E1357" i="3"/>
  <c r="D1358" i="3"/>
  <c r="E1358" i="3"/>
  <c r="D1359" i="3"/>
  <c r="E1359" i="3"/>
  <c r="D1360" i="3"/>
  <c r="E1360" i="3"/>
  <c r="D1361" i="3"/>
  <c r="E1361" i="3"/>
  <c r="D1362" i="3"/>
  <c r="E1362" i="3"/>
  <c r="D1363" i="3"/>
  <c r="E1363" i="3"/>
  <c r="D1364" i="3"/>
  <c r="E1364" i="3"/>
  <c r="D1365" i="3"/>
  <c r="E1365" i="3"/>
  <c r="D1366" i="3"/>
  <c r="E1366" i="3"/>
  <c r="D1367" i="3"/>
  <c r="E1367" i="3"/>
  <c r="D1368" i="3"/>
  <c r="E1368" i="3"/>
  <c r="D1369" i="3"/>
  <c r="E1369" i="3"/>
  <c r="D1370" i="3"/>
  <c r="E1370" i="3"/>
  <c r="D1371" i="3"/>
  <c r="E1371" i="3"/>
  <c r="D1372" i="3"/>
  <c r="E1372" i="3"/>
  <c r="D1373" i="3"/>
  <c r="E1373" i="3"/>
  <c r="D1374" i="3"/>
  <c r="E1374" i="3"/>
  <c r="D1375" i="3"/>
  <c r="E1375" i="3"/>
  <c r="D1376" i="3"/>
  <c r="E1376" i="3"/>
  <c r="D1377" i="3"/>
  <c r="E1377" i="3"/>
  <c r="D1378" i="3"/>
  <c r="E1378" i="3"/>
  <c r="D1379" i="3"/>
  <c r="E1379" i="3"/>
  <c r="D1380" i="3"/>
  <c r="E1380" i="3"/>
  <c r="D1381" i="3"/>
  <c r="E1381" i="3"/>
  <c r="D1382" i="3"/>
  <c r="E1382" i="3"/>
  <c r="D1383" i="3"/>
  <c r="E1383" i="3"/>
  <c r="D1384" i="3"/>
  <c r="E1384" i="3"/>
  <c r="D1385" i="3"/>
  <c r="E1385" i="3"/>
  <c r="D1386" i="3"/>
  <c r="E1386" i="3"/>
  <c r="D1387" i="3"/>
  <c r="E1387" i="3"/>
  <c r="D1388" i="3"/>
  <c r="E1388" i="3"/>
  <c r="D1389" i="3"/>
  <c r="E1389" i="3"/>
  <c r="D1390" i="3"/>
  <c r="E1390" i="3"/>
  <c r="D1391" i="3"/>
  <c r="E1391" i="3"/>
  <c r="D1392" i="3"/>
  <c r="E1392" i="3"/>
  <c r="D1393" i="3"/>
  <c r="E1393" i="3"/>
  <c r="D1394" i="3"/>
  <c r="E1394" i="3"/>
  <c r="D1395" i="3"/>
  <c r="E1395" i="3"/>
  <c r="D1396" i="3"/>
  <c r="E1396" i="3"/>
  <c r="D1397" i="3"/>
  <c r="E1397" i="3"/>
  <c r="D1398" i="3"/>
  <c r="E1398" i="3"/>
  <c r="D1399" i="3"/>
  <c r="E1399" i="3"/>
  <c r="D1400" i="3"/>
  <c r="E1400" i="3"/>
  <c r="D1401" i="3"/>
  <c r="E1401" i="3"/>
  <c r="D1402" i="3"/>
  <c r="E1402" i="3"/>
  <c r="D1403" i="3"/>
  <c r="E1403" i="3"/>
  <c r="D1404" i="3"/>
  <c r="E1404" i="3"/>
  <c r="D1405" i="3"/>
  <c r="E1405" i="3"/>
  <c r="D1406" i="3"/>
  <c r="E1406" i="3"/>
  <c r="D1407" i="3"/>
  <c r="E1407" i="3"/>
  <c r="D1408" i="3"/>
  <c r="E1408" i="3"/>
  <c r="D1409" i="3"/>
  <c r="E1409" i="3"/>
  <c r="D1410" i="3"/>
  <c r="E1410" i="3"/>
  <c r="D1411" i="3"/>
  <c r="E1411" i="3"/>
  <c r="D1412" i="3"/>
  <c r="E1412" i="3"/>
  <c r="D1413" i="3"/>
  <c r="E1413" i="3"/>
  <c r="D1414" i="3"/>
  <c r="E1414" i="3"/>
  <c r="D1415" i="3"/>
  <c r="E1415" i="3"/>
  <c r="D1416" i="3"/>
  <c r="E1416" i="3"/>
  <c r="D1417" i="3"/>
  <c r="E1417" i="3"/>
  <c r="D1418" i="3"/>
  <c r="E1418" i="3"/>
  <c r="D1419" i="3"/>
  <c r="E1419" i="3"/>
  <c r="D1420" i="3"/>
  <c r="E1420" i="3"/>
  <c r="D1421" i="3"/>
  <c r="E1421" i="3"/>
  <c r="D1422" i="3"/>
  <c r="E1422" i="3"/>
  <c r="D1423" i="3"/>
  <c r="E1423" i="3"/>
  <c r="D1424" i="3"/>
  <c r="E1424" i="3"/>
  <c r="D1425" i="3"/>
  <c r="E1425" i="3"/>
  <c r="D1426" i="3"/>
  <c r="E1426" i="3"/>
  <c r="D1427" i="3"/>
  <c r="E1427" i="3"/>
  <c r="D1428" i="3"/>
  <c r="E1428" i="3"/>
  <c r="D1429" i="3"/>
  <c r="E1429" i="3"/>
  <c r="D1430" i="3"/>
  <c r="E1430" i="3"/>
  <c r="D1431" i="3"/>
  <c r="E1431" i="3"/>
  <c r="D1432" i="3"/>
  <c r="E1432" i="3"/>
  <c r="D1433" i="3"/>
  <c r="E1433" i="3"/>
  <c r="D1434" i="3"/>
  <c r="E1434" i="3"/>
  <c r="D1435" i="3"/>
  <c r="E1435" i="3"/>
  <c r="D1436" i="3"/>
  <c r="E1436" i="3"/>
  <c r="D1437" i="3"/>
  <c r="E1437" i="3"/>
  <c r="D1438" i="3"/>
  <c r="E1438" i="3"/>
  <c r="D1439" i="3"/>
  <c r="E1439" i="3"/>
  <c r="D1440" i="3"/>
  <c r="E1440" i="3"/>
  <c r="D1441" i="3"/>
  <c r="E1441" i="3"/>
  <c r="D1442" i="3"/>
  <c r="E1442" i="3"/>
  <c r="D1443" i="3"/>
  <c r="E1443" i="3"/>
  <c r="D1444" i="3"/>
  <c r="E1444" i="3"/>
  <c r="D1445" i="3"/>
  <c r="E1445" i="3"/>
  <c r="D1446" i="3"/>
  <c r="E1446" i="3"/>
  <c r="D1447" i="3"/>
  <c r="E1447" i="3"/>
  <c r="D1448" i="3"/>
  <c r="E1448" i="3"/>
  <c r="D1449" i="3"/>
  <c r="E1449" i="3"/>
  <c r="D1450" i="3"/>
  <c r="E1450" i="3"/>
  <c r="D1451" i="3"/>
  <c r="E1451" i="3"/>
  <c r="D1452" i="3"/>
  <c r="E1452" i="3"/>
  <c r="D1453" i="3"/>
  <c r="E1453" i="3"/>
  <c r="D1454" i="3"/>
  <c r="E1454" i="3"/>
  <c r="D1455" i="3"/>
  <c r="E1455" i="3"/>
  <c r="D1456" i="3"/>
  <c r="E1456" i="3"/>
  <c r="D1457" i="3"/>
  <c r="E1457" i="3"/>
  <c r="D1458" i="3"/>
  <c r="E1458" i="3"/>
  <c r="D1459" i="3"/>
  <c r="E1459" i="3"/>
  <c r="D1460" i="3"/>
  <c r="E1460" i="3"/>
  <c r="D1461" i="3"/>
  <c r="E1461" i="3"/>
  <c r="D1462" i="3"/>
  <c r="E1462" i="3"/>
  <c r="D1463" i="3"/>
  <c r="E1463" i="3"/>
  <c r="D1464" i="3"/>
  <c r="E1464" i="3"/>
  <c r="D1465" i="3"/>
  <c r="E1465" i="3"/>
  <c r="D1466" i="3"/>
  <c r="E1466" i="3"/>
  <c r="D1467" i="3"/>
  <c r="E1467" i="3"/>
  <c r="D1468" i="3"/>
  <c r="E1468" i="3"/>
  <c r="D1469" i="3"/>
  <c r="E1469" i="3"/>
  <c r="D1470" i="3"/>
  <c r="E1470" i="3"/>
  <c r="D1471" i="3"/>
  <c r="E1471" i="3"/>
  <c r="D1472" i="3"/>
  <c r="E1472" i="3"/>
  <c r="D1473" i="3"/>
  <c r="E1473" i="3"/>
  <c r="D1474" i="3"/>
  <c r="E1474" i="3"/>
  <c r="D1475" i="3"/>
  <c r="E1475" i="3"/>
  <c r="D1476" i="3"/>
  <c r="E1476" i="3"/>
  <c r="D1477" i="3"/>
  <c r="E1477" i="3"/>
  <c r="D1478" i="3"/>
  <c r="E1478" i="3"/>
  <c r="D1479" i="3"/>
  <c r="E1479" i="3"/>
  <c r="D1480" i="3"/>
  <c r="E1480" i="3"/>
  <c r="D1481" i="3"/>
  <c r="E1481" i="3"/>
  <c r="D1482" i="3"/>
  <c r="E1482" i="3"/>
  <c r="D1483" i="3"/>
  <c r="E1483" i="3"/>
  <c r="D1484" i="3"/>
  <c r="E1484" i="3"/>
  <c r="D1485" i="3"/>
  <c r="E1485" i="3"/>
  <c r="D1486" i="3"/>
  <c r="E1486" i="3"/>
  <c r="D1487" i="3"/>
  <c r="E1487" i="3"/>
  <c r="D1488" i="3"/>
  <c r="E1488" i="3"/>
  <c r="D1489" i="3"/>
  <c r="E1489" i="3"/>
  <c r="D1490" i="3"/>
  <c r="E1490" i="3"/>
  <c r="D1491" i="3"/>
  <c r="E1491" i="3"/>
  <c r="D1492" i="3"/>
  <c r="E1492" i="3"/>
  <c r="D1493" i="3"/>
  <c r="E1493" i="3"/>
  <c r="D1494" i="3"/>
  <c r="E1494" i="3"/>
  <c r="D1495" i="3"/>
  <c r="E1495" i="3"/>
  <c r="D1496" i="3"/>
  <c r="E1496" i="3"/>
  <c r="D1497" i="3"/>
  <c r="E1497" i="3"/>
  <c r="D1498" i="3"/>
  <c r="E1498" i="3"/>
  <c r="D1499" i="3"/>
  <c r="E1499" i="3"/>
  <c r="D1500" i="3"/>
  <c r="E1500" i="3"/>
  <c r="D1501" i="3"/>
  <c r="E1501" i="3"/>
  <c r="D1502" i="3"/>
  <c r="E1502" i="3"/>
  <c r="D1503" i="3"/>
  <c r="E1503" i="3"/>
  <c r="D1504" i="3"/>
  <c r="E1504" i="3"/>
  <c r="D1505" i="3"/>
  <c r="E1505" i="3"/>
  <c r="D1506" i="3"/>
  <c r="E1506" i="3"/>
  <c r="D1507" i="3"/>
  <c r="E1507" i="3"/>
  <c r="D1508" i="3"/>
  <c r="E1508" i="3"/>
  <c r="D1509" i="3"/>
  <c r="E1509" i="3"/>
  <c r="D1510" i="3"/>
  <c r="E1510" i="3"/>
  <c r="D1511" i="3"/>
  <c r="E1511" i="3"/>
  <c r="D1512" i="3"/>
  <c r="E1512" i="3"/>
  <c r="D1513" i="3"/>
  <c r="E1513" i="3"/>
  <c r="D1514" i="3"/>
  <c r="E1514" i="3"/>
  <c r="D1515" i="3"/>
  <c r="E1515" i="3"/>
  <c r="D1516" i="3"/>
  <c r="E1516" i="3"/>
  <c r="D1517" i="3"/>
  <c r="E1517" i="3"/>
  <c r="D1518" i="3"/>
  <c r="E1518" i="3"/>
  <c r="D1519" i="3"/>
  <c r="E1519" i="3"/>
  <c r="D1520" i="3"/>
  <c r="E1520" i="3"/>
  <c r="D1521" i="3"/>
  <c r="E1521" i="3"/>
  <c r="D1522" i="3"/>
  <c r="E1522" i="3"/>
  <c r="D1523" i="3"/>
  <c r="E1523" i="3"/>
  <c r="D1524" i="3"/>
  <c r="E1524" i="3"/>
  <c r="D1525" i="3"/>
  <c r="E1525" i="3"/>
  <c r="D1526" i="3"/>
  <c r="E1526" i="3"/>
  <c r="D1527" i="3"/>
  <c r="E1527" i="3"/>
  <c r="D1528" i="3"/>
  <c r="E1528" i="3"/>
  <c r="D1529" i="3"/>
  <c r="E1529" i="3"/>
  <c r="D1530" i="3"/>
  <c r="E1530" i="3"/>
  <c r="D1531" i="3"/>
  <c r="E1531" i="3"/>
  <c r="D1532" i="3"/>
  <c r="E1532" i="3"/>
  <c r="D1533" i="3"/>
  <c r="E1533" i="3"/>
  <c r="D1534" i="3"/>
  <c r="E1534" i="3"/>
  <c r="D1535" i="3"/>
  <c r="E1535" i="3"/>
  <c r="D1536" i="3"/>
  <c r="E1536" i="3"/>
  <c r="D1537" i="3"/>
  <c r="E1537" i="3"/>
  <c r="D1538" i="3"/>
  <c r="E1538" i="3"/>
  <c r="D1539" i="3"/>
  <c r="E1539" i="3"/>
  <c r="D1540" i="3"/>
  <c r="E1540" i="3"/>
  <c r="D1541" i="3"/>
  <c r="E1541" i="3"/>
  <c r="D1542" i="3"/>
  <c r="E1542" i="3"/>
  <c r="D1543" i="3"/>
  <c r="E1543" i="3"/>
  <c r="D1544" i="3"/>
  <c r="E1544" i="3"/>
  <c r="D1545" i="3"/>
  <c r="E1545" i="3"/>
  <c r="D1546" i="3"/>
  <c r="E1546" i="3"/>
  <c r="D1547" i="3"/>
  <c r="E1547" i="3"/>
  <c r="D1548" i="3"/>
  <c r="E1548" i="3"/>
  <c r="D1549" i="3"/>
  <c r="E1549" i="3"/>
  <c r="D1550" i="3"/>
  <c r="E1550" i="3"/>
  <c r="D1551" i="3"/>
  <c r="E1551" i="3"/>
  <c r="D1552" i="3"/>
  <c r="E1552" i="3"/>
  <c r="D1553" i="3"/>
  <c r="E1553" i="3"/>
  <c r="D1554" i="3"/>
  <c r="E1554" i="3"/>
  <c r="D1555" i="3"/>
  <c r="D1556" i="3"/>
  <c r="E1556" i="3"/>
  <c r="D1557" i="3"/>
  <c r="E1557" i="3"/>
  <c r="D1558" i="3"/>
  <c r="E1558" i="3"/>
  <c r="D1559" i="3"/>
  <c r="E1559" i="3"/>
  <c r="D1560" i="3"/>
  <c r="E1560" i="3"/>
  <c r="D1561" i="3"/>
  <c r="E1561" i="3"/>
  <c r="D1562" i="3"/>
  <c r="E1562" i="3"/>
  <c r="D1563" i="3"/>
  <c r="E1563" i="3"/>
  <c r="D1564" i="3"/>
  <c r="E1564" i="3"/>
  <c r="D1565" i="3"/>
  <c r="E1565" i="3"/>
  <c r="D1566" i="3"/>
  <c r="E1566" i="3"/>
  <c r="D1567" i="3"/>
  <c r="E1567" i="3"/>
  <c r="D1568" i="3"/>
  <c r="E1568" i="3"/>
  <c r="D1569" i="3"/>
  <c r="E1569" i="3"/>
  <c r="D1570" i="3"/>
  <c r="E1570" i="3"/>
  <c r="D1571" i="3"/>
  <c r="E1571" i="3"/>
  <c r="D1572" i="3"/>
  <c r="E1572" i="3"/>
  <c r="D1573" i="3"/>
  <c r="E1573" i="3"/>
  <c r="D1574" i="3"/>
  <c r="E1574" i="3"/>
  <c r="D1575" i="3"/>
  <c r="E1575" i="3"/>
  <c r="D1576" i="3"/>
  <c r="E1576" i="3"/>
  <c r="D1577" i="3"/>
  <c r="E1577" i="3"/>
  <c r="D1578" i="3"/>
  <c r="E1578" i="3"/>
  <c r="D1579" i="3"/>
  <c r="E1579" i="3"/>
  <c r="D1580" i="3"/>
  <c r="E1580" i="3"/>
  <c r="D1581" i="3"/>
  <c r="E1581" i="3"/>
  <c r="D1582" i="3"/>
  <c r="E1582" i="3"/>
  <c r="D1583" i="3"/>
  <c r="E1583" i="3"/>
  <c r="D1584" i="3"/>
  <c r="E1584" i="3"/>
  <c r="D1585" i="3"/>
  <c r="E1585" i="3"/>
  <c r="D1586" i="3"/>
  <c r="E1586" i="3"/>
  <c r="D1587" i="3"/>
  <c r="E1587" i="3"/>
  <c r="D1588" i="3"/>
  <c r="E1588" i="3"/>
  <c r="D1589" i="3"/>
  <c r="E1589" i="3"/>
  <c r="D1590" i="3"/>
  <c r="E1590" i="3"/>
  <c r="D1591" i="3"/>
  <c r="E1591" i="3"/>
  <c r="D1592" i="3"/>
  <c r="E1592" i="3"/>
  <c r="D1593" i="3"/>
  <c r="E1593" i="3"/>
  <c r="D1594" i="3"/>
  <c r="E1594" i="3"/>
  <c r="D1595" i="3"/>
  <c r="E1595" i="3"/>
  <c r="D1596" i="3"/>
  <c r="E1596" i="3"/>
  <c r="D1597" i="3"/>
  <c r="E1597" i="3"/>
  <c r="D1598" i="3"/>
  <c r="E1598" i="3"/>
  <c r="D1599" i="3"/>
  <c r="E1599" i="3"/>
  <c r="D1600" i="3"/>
  <c r="E1600" i="3"/>
  <c r="D1601" i="3"/>
  <c r="E1601" i="3"/>
  <c r="D1602" i="3"/>
  <c r="E1602" i="3"/>
  <c r="D1603" i="3"/>
  <c r="E1603" i="3"/>
  <c r="D1604" i="3"/>
  <c r="E1604" i="3"/>
  <c r="D1605" i="3"/>
  <c r="E1605" i="3"/>
  <c r="D1606" i="3"/>
  <c r="E1606" i="3"/>
  <c r="D1607" i="3"/>
  <c r="E1607" i="3"/>
  <c r="D1608" i="3"/>
  <c r="E1608" i="3"/>
  <c r="D1609" i="3"/>
  <c r="E1609" i="3"/>
  <c r="D1610" i="3"/>
  <c r="E1610" i="3"/>
  <c r="D1611" i="3"/>
  <c r="E1611" i="3"/>
  <c r="D1612" i="3"/>
  <c r="E1612" i="3"/>
  <c r="D1613" i="3"/>
  <c r="E1613" i="3"/>
  <c r="D1614" i="3"/>
  <c r="E1614" i="3"/>
  <c r="D1615" i="3"/>
  <c r="E1615" i="3"/>
  <c r="D1616" i="3"/>
  <c r="E1616" i="3"/>
  <c r="D1617" i="3"/>
  <c r="E1617" i="3"/>
  <c r="D1618" i="3"/>
  <c r="E1618" i="3"/>
  <c r="D1619" i="3"/>
  <c r="E1619" i="3"/>
  <c r="D1620" i="3"/>
  <c r="E1620" i="3"/>
  <c r="D1621" i="3"/>
  <c r="E1621" i="3"/>
  <c r="D1622" i="3"/>
  <c r="E1622" i="3"/>
  <c r="D1623" i="3"/>
  <c r="E1623" i="3"/>
  <c r="D1624" i="3"/>
  <c r="E1624" i="3"/>
  <c r="D1625" i="3"/>
  <c r="E1625" i="3"/>
  <c r="D1626" i="3"/>
  <c r="E1626" i="3"/>
  <c r="D1627" i="3"/>
  <c r="E1627" i="3"/>
  <c r="D1628" i="3"/>
  <c r="E1628" i="3"/>
  <c r="D1629" i="3"/>
  <c r="E1629" i="3"/>
  <c r="D1630" i="3"/>
  <c r="E1630" i="3"/>
  <c r="D1631" i="3"/>
  <c r="E1631" i="3"/>
  <c r="D1632" i="3"/>
  <c r="E1632" i="3"/>
  <c r="D1633" i="3"/>
  <c r="E1633" i="3"/>
  <c r="D1634" i="3"/>
  <c r="E1634" i="3"/>
  <c r="D1635" i="3"/>
  <c r="E1635" i="3"/>
  <c r="D1636" i="3"/>
  <c r="E1636" i="3"/>
  <c r="D1637" i="3"/>
  <c r="E1637" i="3"/>
  <c r="D1638" i="3"/>
  <c r="E1638" i="3"/>
  <c r="D1639" i="3"/>
  <c r="E1639" i="3"/>
  <c r="D1640" i="3"/>
  <c r="E1640" i="3"/>
  <c r="D1641" i="3"/>
  <c r="E1641" i="3"/>
  <c r="D1642" i="3"/>
  <c r="E1642" i="3"/>
  <c r="D1643" i="3"/>
  <c r="E1643" i="3"/>
  <c r="D1644" i="3"/>
  <c r="E1644" i="3"/>
  <c r="D1645" i="3"/>
  <c r="E1645" i="3"/>
  <c r="D1646" i="3"/>
  <c r="E1646" i="3"/>
  <c r="D1647" i="3"/>
  <c r="E1647" i="3"/>
  <c r="D1648" i="3"/>
  <c r="E1648" i="3"/>
  <c r="D1649" i="3"/>
  <c r="E1649" i="3"/>
  <c r="D1650" i="3"/>
  <c r="E1650" i="3"/>
  <c r="D1651" i="3"/>
  <c r="E1651" i="3"/>
  <c r="D1652" i="3"/>
  <c r="E1652" i="3"/>
  <c r="D1653" i="3"/>
  <c r="E1653" i="3"/>
  <c r="D1654" i="3"/>
  <c r="E1654" i="3"/>
  <c r="D1655" i="3"/>
  <c r="E1655" i="3"/>
  <c r="D1656" i="3"/>
  <c r="E1656" i="3"/>
  <c r="D1657" i="3"/>
  <c r="E1657" i="3"/>
  <c r="D1658" i="3"/>
  <c r="E1658" i="3"/>
  <c r="D1659" i="3"/>
  <c r="E1659" i="3"/>
  <c r="D1660" i="3"/>
  <c r="E1660" i="3"/>
  <c r="D1661" i="3"/>
  <c r="E1661" i="3"/>
  <c r="D1662" i="3"/>
  <c r="E1662" i="3"/>
  <c r="D1663" i="3"/>
  <c r="E1663" i="3"/>
  <c r="D1664" i="3"/>
  <c r="E1664" i="3"/>
  <c r="D1665" i="3"/>
  <c r="E1665" i="3"/>
  <c r="D1666" i="3"/>
  <c r="E1666" i="3"/>
  <c r="D1667" i="3"/>
  <c r="E1667" i="3"/>
  <c r="D1668" i="3"/>
  <c r="E1668" i="3"/>
  <c r="D1669" i="3"/>
  <c r="E1669" i="3"/>
  <c r="D1670" i="3"/>
  <c r="E1670" i="3"/>
  <c r="D1671" i="3"/>
  <c r="E1671" i="3"/>
  <c r="D1672" i="3"/>
  <c r="E1672" i="3"/>
  <c r="D1673" i="3"/>
  <c r="E1673" i="3"/>
  <c r="D1674" i="3"/>
  <c r="E1674" i="3"/>
  <c r="D1675" i="3"/>
  <c r="E1675" i="3"/>
  <c r="D1676" i="3"/>
  <c r="E1676" i="3"/>
  <c r="D1677" i="3"/>
  <c r="E1677" i="3"/>
  <c r="D1678" i="3"/>
  <c r="E1678" i="3"/>
  <c r="D1679" i="3"/>
  <c r="E1679" i="3"/>
  <c r="D1680" i="3"/>
  <c r="E1680" i="3"/>
  <c r="D1681" i="3"/>
  <c r="E1681" i="3"/>
  <c r="D1682" i="3"/>
  <c r="E1682" i="3"/>
  <c r="D1683" i="3"/>
  <c r="E1683" i="3"/>
  <c r="D1684" i="3"/>
  <c r="E1684" i="3"/>
  <c r="D1685" i="3"/>
  <c r="E1685" i="3"/>
  <c r="D1686" i="3"/>
  <c r="E1686" i="3"/>
  <c r="D1687" i="3"/>
  <c r="E1687" i="3"/>
  <c r="D1688" i="3"/>
  <c r="E1688" i="3"/>
  <c r="D1689" i="3"/>
  <c r="E1689" i="3"/>
  <c r="D1690" i="3"/>
  <c r="E1690" i="3"/>
  <c r="D1691" i="3"/>
  <c r="E1691" i="3"/>
  <c r="D1692" i="3"/>
  <c r="E1692" i="3"/>
  <c r="D1693" i="3"/>
  <c r="E1693" i="3"/>
  <c r="D1694" i="3"/>
  <c r="E1694" i="3"/>
  <c r="D1695" i="3"/>
  <c r="E1695" i="3"/>
  <c r="D1696" i="3"/>
  <c r="E1696" i="3"/>
  <c r="D1697" i="3"/>
  <c r="E1697" i="3"/>
  <c r="D1698" i="3"/>
  <c r="E1698" i="3"/>
  <c r="D1699" i="3"/>
  <c r="E1699" i="3"/>
  <c r="D1700" i="3"/>
  <c r="E1700" i="3"/>
  <c r="D1701" i="3"/>
  <c r="E1701" i="3"/>
  <c r="D1702" i="3"/>
  <c r="E1702" i="3"/>
  <c r="D1703" i="3"/>
  <c r="E1703" i="3"/>
  <c r="D1704" i="3"/>
  <c r="E1704" i="3"/>
  <c r="D1705" i="3"/>
  <c r="E1705" i="3"/>
  <c r="D1706" i="3"/>
  <c r="E1706" i="3"/>
  <c r="D1707" i="3"/>
  <c r="E1707" i="3"/>
  <c r="D1708" i="3"/>
  <c r="E1708" i="3"/>
  <c r="D1709" i="3"/>
  <c r="E1709" i="3"/>
  <c r="D1710" i="3"/>
  <c r="E1710" i="3"/>
  <c r="D1711" i="3"/>
  <c r="E1711" i="3"/>
  <c r="D1712" i="3"/>
  <c r="E1712" i="3"/>
  <c r="D1713" i="3"/>
  <c r="E1713" i="3"/>
  <c r="D1714" i="3"/>
  <c r="E1714" i="3"/>
  <c r="D1715" i="3"/>
  <c r="E1715" i="3"/>
  <c r="D1716" i="3"/>
  <c r="E1716" i="3"/>
  <c r="D1717" i="3"/>
  <c r="E1717" i="3"/>
  <c r="D1718" i="3"/>
  <c r="E1718" i="3"/>
  <c r="D1719" i="3"/>
  <c r="E1719" i="3"/>
  <c r="D1720" i="3"/>
  <c r="E1720" i="3"/>
  <c r="D1721" i="3"/>
  <c r="E1721" i="3"/>
  <c r="D1722" i="3"/>
  <c r="E1722" i="3"/>
  <c r="D1723" i="3"/>
  <c r="E1723" i="3"/>
  <c r="D1724" i="3"/>
  <c r="E1724" i="3"/>
  <c r="D1725" i="3"/>
  <c r="E1725" i="3"/>
  <c r="D1726" i="3"/>
  <c r="E1726" i="3"/>
  <c r="D1727" i="3"/>
  <c r="E1727" i="3"/>
  <c r="D1728" i="3"/>
  <c r="E1728" i="3"/>
  <c r="D1729" i="3"/>
  <c r="E1729" i="3"/>
  <c r="D1730" i="3"/>
  <c r="E1730" i="3"/>
  <c r="D1731" i="3"/>
  <c r="E1731" i="3"/>
  <c r="D1732" i="3"/>
  <c r="E1732" i="3"/>
  <c r="D1733" i="3"/>
  <c r="E1733" i="3"/>
  <c r="D1734" i="3"/>
  <c r="E1734" i="3"/>
  <c r="D1735" i="3"/>
  <c r="E1735" i="3"/>
  <c r="D1736" i="3"/>
  <c r="E1736" i="3"/>
  <c r="D1737" i="3"/>
  <c r="E1737" i="3"/>
  <c r="D1738" i="3"/>
  <c r="E1738" i="3"/>
  <c r="D1739" i="3"/>
  <c r="E1739" i="3"/>
  <c r="D1740" i="3"/>
  <c r="E1740" i="3"/>
  <c r="D1741" i="3"/>
  <c r="E1741" i="3"/>
  <c r="D1742" i="3"/>
  <c r="E1742" i="3"/>
  <c r="D1743" i="3"/>
  <c r="E1743" i="3"/>
  <c r="D1744" i="3"/>
  <c r="E1744" i="3"/>
  <c r="D1745" i="3"/>
  <c r="E1745" i="3"/>
  <c r="D1746" i="3"/>
  <c r="E1746" i="3"/>
  <c r="D1747" i="3"/>
  <c r="E1747" i="3"/>
  <c r="D1748" i="3"/>
  <c r="E1748" i="3"/>
  <c r="D1749" i="3"/>
  <c r="E1749" i="3"/>
  <c r="D1750" i="3"/>
  <c r="E1750" i="3"/>
  <c r="D1751" i="3"/>
  <c r="E1751" i="3"/>
  <c r="D1752" i="3"/>
  <c r="E1752" i="3"/>
  <c r="D1753" i="3"/>
  <c r="E1753" i="3"/>
  <c r="D1754" i="3"/>
  <c r="E1754" i="3"/>
  <c r="D1755" i="3"/>
  <c r="E1755" i="3"/>
  <c r="D1756" i="3"/>
  <c r="E1756" i="3"/>
  <c r="D1757" i="3"/>
  <c r="E1757" i="3"/>
  <c r="D1758" i="3"/>
  <c r="E1758" i="3"/>
  <c r="D1759" i="3"/>
  <c r="E1759" i="3"/>
  <c r="D1760" i="3"/>
  <c r="E1760" i="3"/>
  <c r="D1761" i="3"/>
  <c r="E1761" i="3"/>
  <c r="D1762" i="3"/>
  <c r="E1762" i="3"/>
  <c r="D1763" i="3"/>
  <c r="E1763" i="3"/>
  <c r="D1764" i="3"/>
  <c r="E1764" i="3"/>
  <c r="D1765" i="3"/>
  <c r="E1765" i="3"/>
  <c r="D1766" i="3"/>
  <c r="E1766" i="3"/>
  <c r="D1767" i="3"/>
  <c r="E1767" i="3"/>
  <c r="D1768" i="3"/>
  <c r="E1768" i="3"/>
  <c r="D1769" i="3"/>
  <c r="E1769" i="3"/>
  <c r="D1770" i="3"/>
  <c r="E1770" i="3"/>
  <c r="D1771" i="3"/>
  <c r="E1771" i="3"/>
  <c r="D1772" i="3"/>
  <c r="E1772" i="3"/>
  <c r="D1773" i="3"/>
  <c r="E1773" i="3"/>
  <c r="D1774" i="3"/>
  <c r="E1774" i="3"/>
  <c r="D1775" i="3"/>
  <c r="E1775" i="3"/>
  <c r="D1776" i="3"/>
  <c r="E1776" i="3"/>
  <c r="D1777" i="3"/>
  <c r="E1777" i="3"/>
  <c r="D1778" i="3"/>
  <c r="E1778" i="3"/>
  <c r="D1779" i="3"/>
  <c r="E1779" i="3"/>
  <c r="D1780" i="3"/>
  <c r="E1780" i="3"/>
  <c r="D1781" i="3"/>
  <c r="E1781" i="3"/>
  <c r="D1782" i="3"/>
  <c r="E1782" i="3"/>
  <c r="D1783" i="3"/>
  <c r="E1783" i="3"/>
  <c r="D1784" i="3"/>
  <c r="E1784" i="3"/>
  <c r="D1785" i="3"/>
  <c r="E1785" i="3"/>
  <c r="D1786" i="3"/>
  <c r="E1786" i="3"/>
  <c r="D1787" i="3"/>
  <c r="E1787" i="3"/>
  <c r="D1788" i="3"/>
  <c r="E1788" i="3"/>
  <c r="D1789" i="3"/>
  <c r="E1789" i="3"/>
  <c r="D1790" i="3"/>
  <c r="E1790" i="3"/>
  <c r="D1791" i="3"/>
  <c r="E1791" i="3"/>
  <c r="D1792" i="3"/>
  <c r="E1792" i="3"/>
  <c r="D1793" i="3"/>
  <c r="E1793" i="3"/>
  <c r="D1794" i="3"/>
  <c r="E1794" i="3"/>
  <c r="D1795" i="3"/>
  <c r="E1795" i="3"/>
  <c r="D1796" i="3"/>
  <c r="E1796" i="3"/>
  <c r="D1797" i="3"/>
  <c r="E1797" i="3"/>
  <c r="D1798" i="3"/>
  <c r="E1798" i="3"/>
  <c r="D1799" i="3"/>
  <c r="E1799" i="3"/>
  <c r="D1800" i="3"/>
  <c r="E1800" i="3"/>
  <c r="D1801" i="3"/>
  <c r="E1801" i="3"/>
  <c r="D1802" i="3"/>
  <c r="E1802" i="3"/>
  <c r="D1803" i="3"/>
  <c r="E1803" i="3"/>
  <c r="D1804" i="3"/>
  <c r="E1804" i="3"/>
  <c r="D1805" i="3"/>
  <c r="E1805" i="3"/>
  <c r="D1806" i="3"/>
  <c r="E1806" i="3"/>
  <c r="D1807" i="3"/>
  <c r="E1807" i="3"/>
  <c r="D1808" i="3"/>
  <c r="E1808" i="3"/>
  <c r="D1809" i="3"/>
  <c r="E1809" i="3"/>
  <c r="D1810" i="3"/>
  <c r="E1810" i="3"/>
  <c r="D1811" i="3"/>
  <c r="E1811" i="3"/>
  <c r="D1812" i="3"/>
  <c r="E1812" i="3"/>
  <c r="D1813" i="3"/>
  <c r="E1813" i="3"/>
  <c r="D1814" i="3"/>
  <c r="E1814" i="3"/>
  <c r="D1815" i="3"/>
  <c r="E1815" i="3"/>
  <c r="D1816" i="3"/>
  <c r="E1816" i="3"/>
  <c r="D1817" i="3"/>
  <c r="E1817" i="3"/>
  <c r="D1818" i="3"/>
  <c r="E1818" i="3"/>
  <c r="D1819" i="3"/>
  <c r="E1819" i="3"/>
  <c r="D1820" i="3"/>
  <c r="E1820" i="3"/>
  <c r="D1821" i="3"/>
  <c r="E1821" i="3"/>
  <c r="D1822" i="3"/>
  <c r="E1822" i="3"/>
  <c r="D1823" i="3"/>
  <c r="E1823" i="3"/>
  <c r="D1824" i="3"/>
  <c r="E1824" i="3"/>
  <c r="D1825" i="3"/>
  <c r="E1825" i="3"/>
  <c r="D1826" i="3"/>
  <c r="E1826" i="3"/>
  <c r="D1827" i="3"/>
  <c r="E1827" i="3"/>
  <c r="D1828" i="3"/>
  <c r="E1828" i="3"/>
  <c r="D1829" i="3"/>
  <c r="E1829" i="3"/>
  <c r="D1830" i="3"/>
  <c r="E1830" i="3"/>
  <c r="D1831" i="3"/>
  <c r="E1831" i="3"/>
  <c r="D1832" i="3"/>
  <c r="E1832" i="3"/>
  <c r="D1833" i="3"/>
  <c r="E1833" i="3"/>
  <c r="D1834" i="3"/>
  <c r="E1834" i="3"/>
  <c r="D1835" i="3"/>
  <c r="E1835" i="3"/>
  <c r="D1836" i="3"/>
  <c r="E1836" i="3"/>
  <c r="D1837" i="3"/>
  <c r="E1837" i="3"/>
  <c r="D1838" i="3"/>
  <c r="E1838" i="3"/>
  <c r="D1839" i="3"/>
  <c r="E1839" i="3"/>
  <c r="D1840" i="3"/>
  <c r="E1840" i="3"/>
  <c r="D1841" i="3"/>
  <c r="E1841" i="3"/>
  <c r="D1842" i="3"/>
  <c r="E1842" i="3"/>
  <c r="D1843" i="3"/>
  <c r="E1843" i="3"/>
  <c r="D1844" i="3"/>
  <c r="E1844" i="3"/>
  <c r="D1845" i="3"/>
  <c r="E1845" i="3"/>
  <c r="D1846" i="3"/>
  <c r="E1846" i="3"/>
  <c r="D1847" i="3"/>
  <c r="E1847" i="3"/>
  <c r="D1848" i="3"/>
  <c r="E1848" i="3"/>
  <c r="D1849" i="3"/>
  <c r="E1849" i="3"/>
  <c r="D1850" i="3"/>
  <c r="E1850" i="3"/>
  <c r="D1851" i="3"/>
  <c r="E1851" i="3"/>
  <c r="D1852" i="3"/>
  <c r="E1852" i="3"/>
  <c r="D1853" i="3"/>
  <c r="E1853" i="3"/>
  <c r="D1854" i="3"/>
  <c r="E1854" i="3"/>
  <c r="D1855" i="3"/>
  <c r="E1855" i="3"/>
  <c r="D1856" i="3"/>
  <c r="E1856" i="3"/>
  <c r="D1857" i="3"/>
  <c r="E1857" i="3"/>
  <c r="D1858" i="3"/>
  <c r="E1858" i="3"/>
  <c r="D1859" i="3"/>
  <c r="E1859" i="3"/>
  <c r="D1860" i="3"/>
  <c r="E1860" i="3"/>
  <c r="D1861" i="3"/>
  <c r="E1861" i="3"/>
  <c r="D1862" i="3"/>
  <c r="E1862" i="3"/>
  <c r="D1863" i="3"/>
  <c r="E1863" i="3"/>
  <c r="D1864" i="3"/>
  <c r="E1864" i="3"/>
  <c r="D1865" i="3"/>
  <c r="E1865" i="3"/>
  <c r="D1866" i="3"/>
  <c r="E1866" i="3"/>
  <c r="D1867" i="3"/>
  <c r="E1867" i="3"/>
  <c r="D1868" i="3"/>
  <c r="E1868" i="3"/>
  <c r="D1869" i="3"/>
  <c r="E1869" i="3"/>
  <c r="D1870" i="3"/>
  <c r="E1870" i="3"/>
  <c r="D1871" i="3"/>
  <c r="E1871" i="3"/>
  <c r="D1872" i="3"/>
  <c r="E1872" i="3"/>
  <c r="D1873" i="3"/>
  <c r="E1873" i="3"/>
  <c r="D1874" i="3"/>
  <c r="E1874" i="3"/>
  <c r="D1875" i="3"/>
  <c r="E1875" i="3"/>
  <c r="D1876" i="3"/>
  <c r="E1876" i="3"/>
  <c r="D1877" i="3"/>
  <c r="E1877" i="3"/>
  <c r="D1878" i="3"/>
  <c r="E1878" i="3"/>
  <c r="D1879" i="3"/>
  <c r="E1879" i="3"/>
  <c r="D1880" i="3"/>
  <c r="E1880" i="3"/>
  <c r="D1881" i="3"/>
  <c r="E1881" i="3"/>
  <c r="D1882" i="3"/>
  <c r="E1882" i="3"/>
  <c r="D1883" i="3"/>
  <c r="E1883" i="3"/>
  <c r="D1884" i="3"/>
  <c r="E1884" i="3"/>
  <c r="D1885" i="3"/>
  <c r="E1885" i="3"/>
  <c r="D1886" i="3"/>
  <c r="E1886" i="3"/>
  <c r="D1887" i="3"/>
  <c r="E1887" i="3"/>
  <c r="D1888" i="3"/>
  <c r="E1888" i="3"/>
  <c r="D1889" i="3"/>
  <c r="E1889" i="3"/>
  <c r="D1890" i="3"/>
  <c r="E1890" i="3"/>
  <c r="D1891" i="3"/>
  <c r="E1891" i="3"/>
  <c r="D1892" i="3"/>
  <c r="E1892" i="3"/>
  <c r="D1893" i="3"/>
  <c r="E1893" i="3"/>
  <c r="D1894" i="3"/>
  <c r="E1894" i="3"/>
  <c r="D1895" i="3"/>
  <c r="E1895" i="3"/>
  <c r="D1896" i="3"/>
  <c r="E1896" i="3"/>
  <c r="D1897" i="3"/>
  <c r="E1897" i="3"/>
  <c r="D1898" i="3"/>
  <c r="E1898" i="3"/>
  <c r="D1899" i="3"/>
  <c r="E1899" i="3"/>
  <c r="D1900" i="3"/>
  <c r="E1900" i="3"/>
  <c r="D1901" i="3"/>
  <c r="E1901" i="3"/>
  <c r="D1902" i="3"/>
  <c r="E1902" i="3"/>
  <c r="D1903" i="3"/>
  <c r="E1903" i="3"/>
  <c r="D1904" i="3"/>
  <c r="E1904" i="3"/>
  <c r="D1905" i="3"/>
  <c r="E1905" i="3"/>
  <c r="D1906" i="3"/>
  <c r="E1906" i="3"/>
  <c r="D1907" i="3"/>
  <c r="E1907" i="3"/>
  <c r="D1908" i="3"/>
  <c r="E1908" i="3"/>
  <c r="D1909" i="3"/>
  <c r="E1909" i="3"/>
  <c r="D1910" i="3"/>
  <c r="E1910" i="3"/>
  <c r="D1911" i="3"/>
  <c r="E1911" i="3"/>
  <c r="D1912" i="3"/>
  <c r="E1912" i="3"/>
  <c r="D1913" i="3"/>
  <c r="E1913" i="3"/>
  <c r="D1914" i="3"/>
  <c r="E1914" i="3"/>
  <c r="D1915" i="3"/>
  <c r="E1915" i="3"/>
  <c r="D1916" i="3"/>
  <c r="E1916" i="3"/>
  <c r="D1917" i="3"/>
  <c r="E1917" i="3"/>
  <c r="D1918" i="3"/>
  <c r="E1918" i="3"/>
  <c r="D1919" i="3"/>
  <c r="E1919" i="3"/>
  <c r="D1920" i="3"/>
  <c r="E1920" i="3"/>
  <c r="D1921" i="3"/>
  <c r="E1921" i="3"/>
  <c r="D1922" i="3"/>
  <c r="E1922" i="3"/>
  <c r="D1923" i="3"/>
  <c r="E1923" i="3"/>
  <c r="D1924" i="3"/>
  <c r="E1924" i="3"/>
  <c r="D1925" i="3"/>
  <c r="E1925" i="3"/>
  <c r="D1926" i="3"/>
  <c r="E1926" i="3"/>
  <c r="D1927" i="3"/>
  <c r="E1927" i="3"/>
  <c r="D1928" i="3"/>
  <c r="E1928" i="3"/>
  <c r="D1929" i="3"/>
  <c r="E1929" i="3"/>
  <c r="D1930" i="3"/>
  <c r="E1930" i="3"/>
  <c r="D1931" i="3"/>
  <c r="D1932" i="3"/>
  <c r="E1932" i="3"/>
  <c r="D1933" i="3"/>
  <c r="E1933" i="3"/>
  <c r="D1934" i="3"/>
  <c r="E1934" i="3"/>
  <c r="D1935" i="3"/>
  <c r="E1935" i="3"/>
  <c r="D1936" i="3"/>
  <c r="E1936" i="3"/>
  <c r="D1937" i="3"/>
  <c r="E1937" i="3"/>
  <c r="D1938" i="3"/>
  <c r="E1938" i="3"/>
  <c r="D1939" i="3"/>
  <c r="E1939" i="3"/>
  <c r="D1940" i="3"/>
  <c r="E1940" i="3"/>
  <c r="D1941" i="3"/>
  <c r="E1941" i="3"/>
  <c r="D1942" i="3"/>
  <c r="E1942" i="3"/>
  <c r="D1943" i="3"/>
  <c r="E1943" i="3"/>
  <c r="D1944" i="3"/>
  <c r="E1944" i="3"/>
  <c r="D1945" i="3"/>
  <c r="E1945" i="3"/>
  <c r="D1946" i="3"/>
  <c r="E1946" i="3"/>
  <c r="D1947" i="3"/>
  <c r="E1947" i="3"/>
  <c r="D1948" i="3"/>
  <c r="E1948" i="3"/>
  <c r="D1949" i="3"/>
  <c r="E1949" i="3"/>
  <c r="D1950" i="3"/>
  <c r="E1950" i="3"/>
  <c r="D1951" i="3"/>
  <c r="E1951" i="3"/>
  <c r="D1952" i="3"/>
  <c r="E1952" i="3"/>
  <c r="D1953" i="3"/>
  <c r="E1953" i="3"/>
  <c r="D1954" i="3"/>
  <c r="E1954" i="3"/>
  <c r="D1955" i="3"/>
  <c r="E1955" i="3"/>
  <c r="D1956" i="3"/>
  <c r="E1956" i="3"/>
  <c r="D1957" i="3"/>
  <c r="E1957" i="3"/>
  <c r="D1958" i="3"/>
  <c r="E1958" i="3"/>
  <c r="D1959" i="3"/>
  <c r="E1959" i="3"/>
  <c r="D1960" i="3"/>
  <c r="E1960" i="3"/>
  <c r="D1961" i="3"/>
  <c r="E1961" i="3"/>
  <c r="D1962" i="3"/>
  <c r="E1962" i="3"/>
  <c r="D1963" i="3"/>
  <c r="E1963" i="3"/>
  <c r="D1964" i="3"/>
  <c r="E1964" i="3"/>
  <c r="D1965" i="3"/>
  <c r="E1965" i="3"/>
  <c r="D1966" i="3"/>
  <c r="E1966" i="3"/>
  <c r="D1967" i="3"/>
  <c r="E1967" i="3"/>
  <c r="D1968" i="3"/>
  <c r="E1968" i="3"/>
  <c r="D1969" i="3"/>
  <c r="E1969" i="3"/>
  <c r="D1970" i="3"/>
  <c r="E1970" i="3"/>
  <c r="D1971" i="3"/>
  <c r="E1971" i="3"/>
  <c r="D1972" i="3"/>
  <c r="E1972" i="3"/>
  <c r="D1973" i="3"/>
  <c r="E1973" i="3"/>
  <c r="D1974" i="3"/>
  <c r="E1974" i="3"/>
  <c r="D1975" i="3"/>
  <c r="E1975" i="3"/>
  <c r="D1976" i="3"/>
  <c r="E1976" i="3"/>
  <c r="D1977" i="3"/>
  <c r="E1977" i="3"/>
  <c r="D1978" i="3"/>
  <c r="E1978" i="3"/>
  <c r="D1979" i="3"/>
  <c r="E1979" i="3"/>
  <c r="D1980" i="3"/>
  <c r="E1980" i="3"/>
  <c r="D1981" i="3"/>
  <c r="E1981" i="3"/>
  <c r="D1982" i="3"/>
  <c r="E1982" i="3"/>
  <c r="D1983" i="3"/>
  <c r="E1983" i="3"/>
  <c r="D1984" i="3"/>
  <c r="E1984" i="3"/>
  <c r="D1985" i="3"/>
  <c r="E1985" i="3"/>
  <c r="D1986" i="3"/>
  <c r="E1986" i="3"/>
  <c r="D1987" i="3"/>
  <c r="E1987" i="3"/>
  <c r="D1988" i="3"/>
  <c r="E1988" i="3"/>
  <c r="D1989" i="3"/>
  <c r="E1989" i="3"/>
  <c r="D1990" i="3"/>
  <c r="E1990" i="3"/>
  <c r="D1991" i="3"/>
  <c r="E1991" i="3"/>
  <c r="D1992" i="3"/>
  <c r="E1992" i="3"/>
  <c r="D1993" i="3"/>
  <c r="E1993" i="3"/>
  <c r="D1994" i="3"/>
  <c r="E1994" i="3"/>
  <c r="D1995" i="3"/>
  <c r="E1995" i="3"/>
  <c r="D1996" i="3"/>
  <c r="E1996" i="3"/>
  <c r="D1997" i="3"/>
  <c r="E1997" i="3"/>
  <c r="D1998" i="3"/>
  <c r="E1998" i="3"/>
  <c r="D1999" i="3"/>
  <c r="E1999" i="3"/>
  <c r="D2000" i="3"/>
  <c r="E2000" i="3"/>
  <c r="D2001" i="3"/>
  <c r="E2001" i="3"/>
  <c r="D2002" i="3"/>
  <c r="E2002" i="3"/>
  <c r="D2003" i="3"/>
  <c r="E2003" i="3"/>
  <c r="D2004" i="3"/>
  <c r="E2004" i="3"/>
  <c r="D2005" i="3"/>
  <c r="E2005" i="3"/>
  <c r="D2006" i="3"/>
  <c r="E2006" i="3"/>
  <c r="D2007" i="3"/>
  <c r="E2007" i="3"/>
  <c r="D2008" i="3"/>
  <c r="E2008" i="3"/>
  <c r="D2009" i="3"/>
  <c r="E2009" i="3"/>
  <c r="D2010" i="3"/>
  <c r="E2010" i="3"/>
  <c r="D2011" i="3"/>
  <c r="E2011" i="3"/>
  <c r="D2012" i="3"/>
  <c r="E2012" i="3"/>
  <c r="D2013" i="3"/>
  <c r="E2013" i="3"/>
  <c r="D2014" i="3"/>
  <c r="E2014" i="3"/>
  <c r="D2015" i="3"/>
  <c r="E2015" i="3"/>
  <c r="D2016" i="3"/>
  <c r="E2016" i="3"/>
  <c r="D2017" i="3"/>
  <c r="E2017" i="3"/>
  <c r="D2018" i="3"/>
  <c r="E2018" i="3"/>
  <c r="D2019" i="3"/>
  <c r="E2019" i="3"/>
  <c r="D2020" i="3"/>
  <c r="E2020" i="3"/>
  <c r="D2021" i="3"/>
  <c r="E2021" i="3"/>
  <c r="D2022" i="3"/>
  <c r="E2022" i="3"/>
  <c r="D2023" i="3"/>
  <c r="E2023" i="3"/>
  <c r="D2024" i="3"/>
  <c r="E2024" i="3"/>
  <c r="D2025" i="3"/>
  <c r="E2025" i="3"/>
  <c r="D2026" i="3"/>
  <c r="E2026" i="3"/>
  <c r="D2027" i="3"/>
  <c r="E2027" i="3"/>
  <c r="D2028" i="3"/>
  <c r="E2028" i="3"/>
  <c r="D2029" i="3"/>
  <c r="E2029" i="3"/>
  <c r="D2030" i="3"/>
  <c r="E2030" i="3"/>
  <c r="D2031" i="3"/>
  <c r="E2031" i="3"/>
  <c r="D2032" i="3"/>
  <c r="E2032" i="3"/>
  <c r="D2033" i="3"/>
  <c r="E2033" i="3"/>
  <c r="D2034" i="3"/>
  <c r="E2034" i="3"/>
  <c r="D2035" i="3"/>
  <c r="E2035" i="3"/>
  <c r="D2036" i="3"/>
  <c r="E2036" i="3"/>
  <c r="D2037" i="3"/>
  <c r="E2037" i="3"/>
  <c r="D2038" i="3"/>
  <c r="E2038" i="3"/>
  <c r="D2039" i="3"/>
  <c r="E2039" i="3"/>
  <c r="D2040" i="3"/>
  <c r="E2040" i="3"/>
  <c r="D2041" i="3"/>
  <c r="E2041" i="3"/>
  <c r="D2042" i="3"/>
  <c r="E2042" i="3"/>
  <c r="D2043" i="3"/>
  <c r="E2043" i="3"/>
  <c r="D2044" i="3"/>
  <c r="E2044" i="3"/>
  <c r="D2045" i="3"/>
  <c r="E2045" i="3"/>
  <c r="D2046" i="3"/>
  <c r="E2046" i="3"/>
  <c r="D2047" i="3"/>
  <c r="E2047" i="3"/>
  <c r="D2048" i="3"/>
  <c r="E2048" i="3"/>
  <c r="D2049" i="3"/>
  <c r="E2049" i="3"/>
  <c r="D2050" i="3"/>
  <c r="E2050" i="3"/>
  <c r="D2051" i="3"/>
  <c r="E2051" i="3"/>
  <c r="D2052" i="3"/>
  <c r="E2052" i="3"/>
  <c r="D2053" i="3"/>
  <c r="E2053" i="3"/>
  <c r="D2054" i="3"/>
  <c r="E2054" i="3"/>
  <c r="D2055" i="3"/>
  <c r="E2055" i="3"/>
  <c r="D2056" i="3"/>
  <c r="E2056" i="3"/>
  <c r="D2057" i="3"/>
  <c r="E2057" i="3"/>
  <c r="D2058" i="3"/>
  <c r="E2058" i="3"/>
  <c r="D2059" i="3"/>
  <c r="E2059" i="3"/>
  <c r="D2060" i="3"/>
  <c r="E2060" i="3"/>
  <c r="D2061" i="3"/>
  <c r="E2061" i="3"/>
  <c r="D2062" i="3"/>
  <c r="E2062" i="3"/>
  <c r="D2063" i="3"/>
  <c r="E2063" i="3"/>
  <c r="D2064" i="3"/>
  <c r="E2064" i="3"/>
  <c r="D2065" i="3"/>
  <c r="E2065" i="3"/>
  <c r="D2066" i="3"/>
  <c r="E2066" i="3"/>
  <c r="D2067" i="3"/>
  <c r="E2067" i="3"/>
  <c r="D2068" i="3"/>
  <c r="E2068" i="3"/>
  <c r="D2069" i="3"/>
  <c r="E2069" i="3"/>
  <c r="D2070" i="3"/>
  <c r="E2070" i="3"/>
  <c r="D2071" i="3"/>
  <c r="E2071" i="3"/>
  <c r="D2072" i="3"/>
  <c r="E2072" i="3"/>
  <c r="D2073" i="3"/>
  <c r="E2073" i="3"/>
  <c r="D2074" i="3"/>
  <c r="E2074" i="3"/>
  <c r="D2075" i="3"/>
  <c r="E2075" i="3"/>
  <c r="D2076" i="3"/>
  <c r="E2076" i="3"/>
  <c r="D2077" i="3"/>
  <c r="E2077" i="3"/>
  <c r="D2078" i="3"/>
  <c r="E2078" i="3"/>
  <c r="D2079" i="3"/>
  <c r="E2079" i="3"/>
  <c r="D2080" i="3"/>
  <c r="E2080" i="3"/>
  <c r="D2081" i="3"/>
  <c r="E2081" i="3"/>
  <c r="D2082" i="3"/>
  <c r="E2082" i="3"/>
  <c r="D2083" i="3"/>
  <c r="E2083" i="3"/>
  <c r="D2084" i="3"/>
  <c r="E2084" i="3"/>
  <c r="D2085" i="3"/>
  <c r="E2085" i="3"/>
  <c r="D2086" i="3"/>
  <c r="E2086" i="3"/>
  <c r="D2087" i="3"/>
  <c r="E2087" i="3"/>
  <c r="D2088" i="3"/>
  <c r="E2088" i="3"/>
  <c r="D2089" i="3"/>
  <c r="E2089" i="3"/>
  <c r="D2090" i="3"/>
  <c r="E2090" i="3"/>
  <c r="D2091" i="3"/>
  <c r="E2091" i="3"/>
  <c r="D2092" i="3"/>
  <c r="E2092" i="3"/>
  <c r="D2093" i="3"/>
  <c r="E2093" i="3"/>
  <c r="D2094" i="3"/>
  <c r="E2094" i="3"/>
  <c r="D2095" i="3"/>
  <c r="E2095" i="3"/>
  <c r="D2096" i="3"/>
  <c r="E2096" i="3"/>
  <c r="D2097" i="3"/>
  <c r="E2097" i="3"/>
  <c r="D2098" i="3"/>
  <c r="E2098" i="3"/>
  <c r="D2099" i="3"/>
  <c r="E2099" i="3"/>
  <c r="D2100" i="3"/>
  <c r="E2100" i="3"/>
  <c r="D2101" i="3"/>
  <c r="E2101" i="3"/>
  <c r="D2102" i="3"/>
  <c r="E2102" i="3"/>
  <c r="D2103" i="3"/>
  <c r="E2103" i="3"/>
  <c r="D2104" i="3"/>
  <c r="E2104" i="3"/>
  <c r="D2105" i="3"/>
  <c r="E2105" i="3"/>
  <c r="D2106" i="3"/>
  <c r="E2106" i="3"/>
  <c r="D2107" i="3"/>
  <c r="E2107" i="3"/>
  <c r="D2108" i="3"/>
  <c r="E2108" i="3"/>
  <c r="D2109" i="3"/>
  <c r="E2109" i="3"/>
  <c r="D2110" i="3"/>
  <c r="E2110" i="3"/>
  <c r="D2111" i="3"/>
  <c r="E2111" i="3"/>
  <c r="D2112" i="3"/>
  <c r="E2112" i="3"/>
  <c r="D2113" i="3"/>
  <c r="E2113" i="3"/>
  <c r="D2114" i="3"/>
  <c r="E2114" i="3"/>
  <c r="D2115" i="3"/>
  <c r="E2115" i="3"/>
  <c r="D2116" i="3"/>
  <c r="E2116" i="3"/>
  <c r="D2117" i="3"/>
  <c r="E2117" i="3"/>
  <c r="D2118" i="3"/>
  <c r="E2118" i="3"/>
  <c r="D2119" i="3"/>
  <c r="E2119" i="3"/>
  <c r="D2120" i="3"/>
  <c r="E2120" i="3"/>
  <c r="D2121" i="3"/>
  <c r="E2121" i="3"/>
  <c r="D2122" i="3"/>
  <c r="E2122" i="3"/>
  <c r="D2123" i="3"/>
  <c r="D2124" i="3"/>
  <c r="E2124" i="3"/>
  <c r="D2125" i="3"/>
  <c r="E2125" i="3"/>
  <c r="D2126" i="3"/>
  <c r="E2126" i="3"/>
  <c r="D2127" i="3"/>
  <c r="E2127" i="3"/>
  <c r="D2128" i="3"/>
  <c r="E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E2159" i="3"/>
  <c r="D2160" i="3"/>
  <c r="E2160" i="3"/>
  <c r="D2161" i="3"/>
  <c r="D2162" i="3"/>
  <c r="E2162" i="3"/>
  <c r="D2163" i="3"/>
  <c r="E2163" i="3"/>
  <c r="D2164" i="3"/>
  <c r="E2164" i="3"/>
  <c r="D2165" i="3"/>
  <c r="E2165" i="3"/>
  <c r="D2166" i="3"/>
  <c r="E2166" i="3"/>
  <c r="D2167" i="3"/>
  <c r="E2167" i="3"/>
  <c r="D2168" i="3"/>
  <c r="E2168" i="3"/>
  <c r="D2169" i="3"/>
  <c r="E2169" i="3"/>
  <c r="D2170" i="3"/>
  <c r="E2170" i="3"/>
  <c r="D2171" i="3"/>
  <c r="E2171" i="3"/>
  <c r="D2172" i="3"/>
  <c r="E2172" i="3"/>
  <c r="D2173" i="3"/>
  <c r="E2173" i="3"/>
  <c r="D2174" i="3"/>
  <c r="E2174" i="3"/>
  <c r="D2175" i="3"/>
  <c r="E2175" i="3"/>
  <c r="D2176" i="3"/>
  <c r="E2176" i="3"/>
  <c r="D2177" i="3"/>
  <c r="E2177" i="3"/>
  <c r="D2178" i="3"/>
  <c r="E2178" i="3"/>
  <c r="D2179" i="3"/>
  <c r="E2179" i="3"/>
  <c r="D2180" i="3"/>
  <c r="E2180" i="3"/>
  <c r="D2181" i="3"/>
  <c r="E2181" i="3"/>
  <c r="D2182" i="3"/>
  <c r="E2182" i="3"/>
  <c r="D2183" i="3"/>
  <c r="E2183" i="3"/>
  <c r="D2184" i="3"/>
  <c r="E2184" i="3"/>
  <c r="D2185" i="3"/>
  <c r="E2185" i="3"/>
  <c r="D2186" i="3"/>
  <c r="E2186" i="3"/>
  <c r="D2187" i="3"/>
  <c r="E2187" i="3"/>
  <c r="D2188" i="3"/>
  <c r="E2188" i="3"/>
  <c r="D2189" i="3"/>
  <c r="E2189" i="3"/>
  <c r="D2190" i="3"/>
  <c r="E2190" i="3"/>
  <c r="D2191" i="3"/>
  <c r="E2191" i="3"/>
  <c r="D2192" i="3"/>
  <c r="E2192" i="3"/>
  <c r="D2193" i="3"/>
  <c r="E2193" i="3"/>
  <c r="D2194" i="3"/>
  <c r="E2194" i="3"/>
  <c r="D2195" i="3"/>
  <c r="E2195" i="3"/>
  <c r="D2196" i="3"/>
  <c r="E2196" i="3"/>
  <c r="D2197" i="3"/>
  <c r="E2197" i="3"/>
  <c r="D2198" i="3"/>
  <c r="E2198" i="3"/>
  <c r="D2199" i="3"/>
  <c r="E2199" i="3"/>
  <c r="D2200" i="3"/>
  <c r="E2200" i="3"/>
  <c r="D2201" i="3"/>
  <c r="E2201" i="3"/>
  <c r="D2202" i="3"/>
  <c r="E2202" i="3"/>
  <c r="D2203" i="3"/>
  <c r="E2203" i="3"/>
  <c r="D2204" i="3"/>
  <c r="E2204" i="3"/>
  <c r="D2205" i="3"/>
  <c r="E2205" i="3"/>
  <c r="D2206" i="3"/>
  <c r="E2206" i="3"/>
  <c r="D2207" i="3"/>
  <c r="E2207" i="3"/>
  <c r="D2208" i="3"/>
  <c r="E2208" i="3"/>
  <c r="D2209" i="3"/>
  <c r="E2209" i="3"/>
  <c r="D2210" i="3"/>
  <c r="E2210" i="3"/>
  <c r="D2211" i="3"/>
  <c r="E2211" i="3"/>
  <c r="D2212" i="3"/>
  <c r="E2212" i="3"/>
  <c r="D2213" i="3"/>
  <c r="E2213" i="3"/>
  <c r="D2214" i="3"/>
  <c r="E2214" i="3"/>
  <c r="D2215" i="3"/>
  <c r="E2215" i="3"/>
  <c r="D2216" i="3"/>
  <c r="E2216" i="3"/>
  <c r="D2217" i="3"/>
  <c r="E2217" i="3"/>
  <c r="D2218" i="3"/>
  <c r="E2218" i="3"/>
  <c r="D2219" i="3"/>
  <c r="E2219" i="3"/>
  <c r="D2220" i="3"/>
  <c r="E2220" i="3"/>
  <c r="D2221" i="3"/>
  <c r="E2221" i="3"/>
  <c r="D2222" i="3"/>
  <c r="E2222" i="3"/>
  <c r="D2223" i="3"/>
  <c r="E2223" i="3"/>
  <c r="D2224" i="3"/>
  <c r="E2224" i="3"/>
  <c r="D2225" i="3"/>
  <c r="E2225" i="3"/>
  <c r="D2226" i="3"/>
  <c r="E2226" i="3"/>
  <c r="D2227" i="3"/>
  <c r="E2227" i="3"/>
  <c r="D2228" i="3"/>
  <c r="E2228" i="3"/>
  <c r="D2229" i="3"/>
  <c r="E2229" i="3"/>
  <c r="D2230" i="3"/>
  <c r="E2230" i="3"/>
  <c r="D2231" i="3"/>
  <c r="E2231" i="3"/>
  <c r="D2232" i="3"/>
  <c r="E2232" i="3"/>
  <c r="D2233" i="3"/>
  <c r="E2233" i="3"/>
  <c r="D2234" i="3"/>
  <c r="E2234" i="3"/>
  <c r="D2235" i="3"/>
  <c r="E2235" i="3"/>
  <c r="D2236" i="3"/>
  <c r="E2236" i="3"/>
  <c r="D2237" i="3"/>
  <c r="E2237" i="3"/>
  <c r="D2238" i="3"/>
  <c r="E2238" i="3"/>
  <c r="D2239" i="3"/>
  <c r="E2239" i="3"/>
  <c r="D2240" i="3"/>
  <c r="E2240" i="3"/>
  <c r="D2241" i="3"/>
  <c r="E2241" i="3"/>
  <c r="D2242" i="3"/>
  <c r="E2242" i="3"/>
  <c r="D2243" i="3"/>
  <c r="E2243" i="3"/>
  <c r="D2244" i="3"/>
  <c r="E2244" i="3"/>
  <c r="D2245" i="3"/>
  <c r="E2245" i="3"/>
  <c r="D2246" i="3"/>
  <c r="E2246" i="3"/>
  <c r="D2247" i="3"/>
  <c r="E2247" i="3"/>
  <c r="D2248" i="3"/>
  <c r="E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C537" i="2"/>
  <c r="P135" i="1"/>
  <c r="O135" i="1"/>
  <c r="H3" i="2"/>
  <c r="E3" i="2"/>
  <c r="D3" i="2"/>
  <c r="C3" i="2"/>
  <c r="E456" i="2"/>
  <c r="D456" i="2"/>
  <c r="H456" i="2"/>
  <c r="H455" i="2"/>
  <c r="E455" i="2"/>
  <c r="D455" i="2"/>
  <c r="H457" i="2"/>
  <c r="H454" i="2"/>
  <c r="H453" i="2"/>
  <c r="H452" i="2"/>
  <c r="E452" i="2"/>
  <c r="E453" i="2"/>
  <c r="E454" i="2"/>
  <c r="E457" i="2"/>
  <c r="D452" i="2"/>
  <c r="D453" i="2"/>
  <c r="D454" i="2"/>
  <c r="H451" i="2"/>
  <c r="E451" i="2"/>
  <c r="D451" i="2"/>
  <c r="H450" i="2"/>
  <c r="H449" i="2"/>
  <c r="H448" i="2"/>
  <c r="E448" i="2"/>
  <c r="E449" i="2"/>
  <c r="E450" i="2"/>
  <c r="D448" i="2"/>
  <c r="D449" i="2"/>
  <c r="D450" i="2"/>
  <c r="D457" i="2"/>
  <c r="H458" i="2"/>
  <c r="E458" i="2"/>
  <c r="D458" i="2"/>
  <c r="H447" i="2"/>
  <c r="E447" i="2"/>
  <c r="E446" i="2"/>
  <c r="D447" i="2"/>
  <c r="H446" i="2"/>
  <c r="D446" i="2"/>
  <c r="C335" i="2"/>
  <c r="E126" i="2"/>
  <c r="E127" i="2"/>
  <c r="E128" i="2"/>
  <c r="E129" i="2"/>
  <c r="E130" i="2"/>
  <c r="E131" i="2"/>
  <c r="E132" i="2"/>
  <c r="E133" i="2"/>
  <c r="E134" i="2"/>
  <c r="E135" i="2"/>
  <c r="E136" i="2"/>
  <c r="E116" i="2"/>
  <c r="E117" i="2"/>
  <c r="E118" i="2"/>
  <c r="E119" i="2"/>
  <c r="E120" i="2"/>
  <c r="E121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42" i="2"/>
  <c r="E439" i="2"/>
  <c r="E440" i="2"/>
  <c r="E441" i="2"/>
  <c r="E443" i="2"/>
  <c r="E444" i="2"/>
  <c r="E445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22" i="2"/>
  <c r="E123" i="2"/>
  <c r="E124" i="2"/>
  <c r="E125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42" i="2"/>
  <c r="D439" i="2"/>
  <c r="D440" i="2"/>
  <c r="D441" i="2"/>
  <c r="D443" i="2"/>
  <c r="D444" i="2"/>
  <c r="D445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206" i="2"/>
  <c r="D207" i="2"/>
  <c r="D208" i="2"/>
  <c r="D209" i="2"/>
  <c r="D210" i="2"/>
  <c r="D156" i="2"/>
  <c r="D157" i="2"/>
  <c r="D158" i="2"/>
  <c r="D159" i="2"/>
  <c r="D141" i="2"/>
  <c r="D139" i="2"/>
  <c r="C139" i="2"/>
  <c r="C140" i="2"/>
  <c r="D138" i="2"/>
  <c r="C138" i="2"/>
  <c r="D137" i="2"/>
  <c r="C137" i="2"/>
  <c r="C131" i="2"/>
  <c r="C132" i="2"/>
  <c r="C133" i="2"/>
  <c r="C134" i="2"/>
  <c r="C135" i="2"/>
  <c r="C136" i="2"/>
  <c r="C116" i="2"/>
  <c r="C117" i="2"/>
  <c r="C118" i="2"/>
  <c r="C119" i="2"/>
  <c r="H206" i="2"/>
  <c r="H207" i="2"/>
  <c r="H205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N248" i="1"/>
  <c r="O248" i="1"/>
  <c r="P248" i="1"/>
  <c r="N249" i="1"/>
  <c r="O249" i="1"/>
  <c r="P249" i="1"/>
  <c r="N250" i="1"/>
  <c r="O250" i="1"/>
  <c r="P250" i="1"/>
  <c r="N251" i="1"/>
  <c r="O251" i="1"/>
  <c r="P251" i="1"/>
  <c r="N252" i="1"/>
  <c r="O252" i="1"/>
  <c r="P252" i="1"/>
  <c r="N253" i="1"/>
  <c r="O253" i="1"/>
  <c r="P253" i="1"/>
  <c r="N254" i="1"/>
  <c r="O254" i="1"/>
  <c r="P254" i="1"/>
  <c r="N255" i="1"/>
  <c r="O255" i="1"/>
  <c r="P255" i="1"/>
  <c r="N256" i="1"/>
  <c r="O256" i="1"/>
  <c r="P256" i="1"/>
  <c r="N257" i="1"/>
  <c r="O257" i="1"/>
  <c r="P257" i="1"/>
  <c r="N258" i="1"/>
  <c r="O258" i="1"/>
  <c r="P258" i="1"/>
  <c r="N259" i="1"/>
  <c r="O259" i="1"/>
  <c r="P259" i="1"/>
  <c r="N260" i="1"/>
  <c r="O260" i="1"/>
  <c r="S260" i="1" s="1"/>
  <c r="P260" i="1"/>
  <c r="N261" i="1"/>
  <c r="O261" i="1"/>
  <c r="P261" i="1"/>
  <c r="N262" i="1"/>
  <c r="O262" i="1"/>
  <c r="P262" i="1"/>
  <c r="N263" i="1"/>
  <c r="O263" i="1"/>
  <c r="P263" i="1"/>
  <c r="N264" i="1"/>
  <c r="O264" i="1"/>
  <c r="S264" i="1" s="1"/>
  <c r="P264" i="1"/>
  <c r="N265" i="1"/>
  <c r="O265" i="1"/>
  <c r="P265" i="1"/>
  <c r="N266" i="1"/>
  <c r="O266" i="1"/>
  <c r="P266" i="1"/>
  <c r="N267" i="1"/>
  <c r="O267" i="1"/>
  <c r="P267" i="1"/>
  <c r="N268" i="1"/>
  <c r="O268" i="1"/>
  <c r="S268" i="1" s="1"/>
  <c r="P268" i="1"/>
  <c r="N269" i="1"/>
  <c r="O269" i="1"/>
  <c r="P269" i="1"/>
  <c r="N270" i="1"/>
  <c r="O270" i="1"/>
  <c r="P270" i="1"/>
  <c r="N271" i="1"/>
  <c r="O271" i="1"/>
  <c r="S271" i="1" s="1"/>
  <c r="P271" i="1"/>
  <c r="N272" i="1"/>
  <c r="O272" i="1"/>
  <c r="P272" i="1"/>
  <c r="N273" i="1"/>
  <c r="O273" i="1"/>
  <c r="S273" i="1" s="1"/>
  <c r="P273" i="1"/>
  <c r="N274" i="1"/>
  <c r="O274" i="1"/>
  <c r="S274" i="1" s="1"/>
  <c r="P274" i="1"/>
  <c r="N275" i="1"/>
  <c r="O275" i="1"/>
  <c r="S275" i="1" s="1"/>
  <c r="P275" i="1"/>
  <c r="N276" i="1"/>
  <c r="O276" i="1"/>
  <c r="S276" i="1" s="1"/>
  <c r="P276" i="1"/>
  <c r="N277" i="1"/>
  <c r="O277" i="1"/>
  <c r="P277" i="1"/>
  <c r="N278" i="1"/>
  <c r="O278" i="1"/>
  <c r="S278" i="1" s="1"/>
  <c r="P278" i="1"/>
  <c r="N279" i="1"/>
  <c r="O279" i="1"/>
  <c r="S279" i="1" s="1"/>
  <c r="P279" i="1"/>
  <c r="N280" i="1"/>
  <c r="O280" i="1"/>
  <c r="S280" i="1" s="1"/>
  <c r="P280" i="1"/>
  <c r="N281" i="1"/>
  <c r="O281" i="1"/>
  <c r="S281" i="1" s="1"/>
  <c r="P281" i="1"/>
  <c r="N282" i="1"/>
  <c r="O282" i="1"/>
  <c r="S282" i="1" s="1"/>
  <c r="P282" i="1"/>
  <c r="N283" i="1"/>
  <c r="O283" i="1"/>
  <c r="S283" i="1" s="1"/>
  <c r="P283" i="1"/>
  <c r="N284" i="1"/>
  <c r="O284" i="1"/>
  <c r="S284" i="1" s="1"/>
  <c r="P284" i="1"/>
  <c r="N285" i="1"/>
  <c r="O285" i="1"/>
  <c r="S285" i="1" s="1"/>
  <c r="P285" i="1"/>
  <c r="N286" i="1"/>
  <c r="O286" i="1"/>
  <c r="S286" i="1" s="1"/>
  <c r="P286" i="1"/>
  <c r="N287" i="1"/>
  <c r="O287" i="1"/>
  <c r="S287" i="1" s="1"/>
  <c r="P287" i="1"/>
  <c r="N288" i="1"/>
  <c r="O288" i="1"/>
  <c r="P288" i="1"/>
  <c r="N289" i="1"/>
  <c r="O289" i="1"/>
  <c r="P289" i="1"/>
  <c r="N290" i="1"/>
  <c r="O290" i="1"/>
  <c r="P290" i="1"/>
  <c r="N291" i="1"/>
  <c r="O291" i="1"/>
  <c r="S291" i="1" s="1"/>
  <c r="P291" i="1"/>
  <c r="N292" i="1"/>
  <c r="O292" i="1"/>
  <c r="S292" i="1" s="1"/>
  <c r="P292" i="1"/>
  <c r="N293" i="1"/>
  <c r="O293" i="1"/>
  <c r="S293" i="1" s="1"/>
  <c r="P293" i="1"/>
  <c r="N294" i="1"/>
  <c r="O294" i="1"/>
  <c r="P294" i="1"/>
  <c r="N295" i="1"/>
  <c r="O295" i="1"/>
  <c r="S295" i="1" s="1"/>
  <c r="P295" i="1"/>
  <c r="N296" i="1"/>
  <c r="O296" i="1"/>
  <c r="S296" i="1" s="1"/>
  <c r="P296" i="1"/>
  <c r="N297" i="1"/>
  <c r="O297" i="1"/>
  <c r="S297" i="1" s="1"/>
  <c r="P297" i="1"/>
  <c r="N298" i="1"/>
  <c r="O298" i="1"/>
  <c r="S298" i="1" s="1"/>
  <c r="P298" i="1"/>
  <c r="N299" i="1"/>
  <c r="O299" i="1"/>
  <c r="S299" i="1" s="1"/>
  <c r="P299" i="1"/>
  <c r="N300" i="1"/>
  <c r="O300" i="1"/>
  <c r="S300" i="1" s="1"/>
  <c r="P300" i="1"/>
  <c r="N301" i="1"/>
  <c r="O301" i="1"/>
  <c r="S301" i="1" s="1"/>
  <c r="P301" i="1"/>
  <c r="N302" i="1"/>
  <c r="O302" i="1"/>
  <c r="S302" i="1" s="1"/>
  <c r="P302" i="1"/>
  <c r="N303" i="1"/>
  <c r="O303" i="1"/>
  <c r="S303" i="1" s="1"/>
  <c r="P303" i="1"/>
  <c r="N304" i="1"/>
  <c r="O304" i="1"/>
  <c r="P304" i="1"/>
  <c r="N305" i="1"/>
  <c r="O305" i="1"/>
  <c r="S305" i="1" s="1"/>
  <c r="P305" i="1"/>
  <c r="N306" i="1"/>
  <c r="O306" i="1"/>
  <c r="S306" i="1" s="1"/>
  <c r="P306" i="1"/>
  <c r="N307" i="1"/>
  <c r="O307" i="1"/>
  <c r="S307" i="1" s="1"/>
  <c r="P307" i="1"/>
  <c r="N308" i="1"/>
  <c r="O308" i="1"/>
  <c r="S308" i="1" s="1"/>
  <c r="P308" i="1"/>
  <c r="N309" i="1"/>
  <c r="O309" i="1"/>
  <c r="S309" i="1" s="1"/>
  <c r="P309" i="1"/>
  <c r="N310" i="1"/>
  <c r="O310" i="1"/>
  <c r="S310" i="1" s="1"/>
  <c r="P310" i="1"/>
  <c r="N311" i="1"/>
  <c r="O311" i="1"/>
  <c r="S311" i="1" s="1"/>
  <c r="P311" i="1"/>
  <c r="N312" i="1"/>
  <c r="O312" i="1"/>
  <c r="S312" i="1" s="1"/>
  <c r="P312" i="1"/>
  <c r="N313" i="1"/>
  <c r="O313" i="1"/>
  <c r="S313" i="1" s="1"/>
  <c r="P313" i="1"/>
  <c r="N314" i="1"/>
  <c r="O314" i="1"/>
  <c r="S314" i="1" s="1"/>
  <c r="P314" i="1"/>
  <c r="N315" i="1"/>
  <c r="O315" i="1"/>
  <c r="S315" i="1" s="1"/>
  <c r="P315" i="1"/>
  <c r="N316" i="1"/>
  <c r="O316" i="1"/>
  <c r="S316" i="1" s="1"/>
  <c r="P316" i="1"/>
  <c r="N317" i="1"/>
  <c r="O317" i="1"/>
  <c r="S317" i="1" s="1"/>
  <c r="P317" i="1"/>
  <c r="N318" i="1"/>
  <c r="O318" i="1"/>
  <c r="S318" i="1" s="1"/>
  <c r="P318" i="1"/>
  <c r="N319" i="1"/>
  <c r="O319" i="1"/>
  <c r="S319" i="1" s="1"/>
  <c r="P319" i="1"/>
  <c r="N320" i="1"/>
  <c r="O320" i="1"/>
  <c r="S320" i="1" s="1"/>
  <c r="P320" i="1"/>
  <c r="N321" i="1"/>
  <c r="O321" i="1"/>
  <c r="P321" i="1"/>
  <c r="N322" i="1"/>
  <c r="O322" i="1"/>
  <c r="P322" i="1"/>
  <c r="N323" i="1"/>
  <c r="O323" i="1"/>
  <c r="P323" i="1"/>
  <c r="N324" i="1"/>
  <c r="O324" i="1"/>
  <c r="S324" i="1" s="1"/>
  <c r="P324" i="1"/>
  <c r="N325" i="1"/>
  <c r="O325" i="1"/>
  <c r="P325" i="1"/>
  <c r="N326" i="1"/>
  <c r="O326" i="1"/>
  <c r="S326" i="1" s="1"/>
  <c r="P326" i="1"/>
  <c r="N327" i="1"/>
  <c r="O327" i="1"/>
  <c r="S327" i="1" s="1"/>
  <c r="P327" i="1"/>
  <c r="N328" i="1"/>
  <c r="O328" i="1"/>
  <c r="S328" i="1" s="1"/>
  <c r="P328" i="1"/>
  <c r="N329" i="1"/>
  <c r="O329" i="1"/>
  <c r="P329" i="1"/>
  <c r="N330" i="1"/>
  <c r="O330" i="1"/>
  <c r="S330" i="1" s="1"/>
  <c r="P330" i="1"/>
  <c r="N331" i="1"/>
  <c r="O331" i="1"/>
  <c r="P331" i="1"/>
  <c r="N332" i="1"/>
  <c r="O332" i="1"/>
  <c r="P332" i="1"/>
  <c r="N333" i="1"/>
  <c r="O333" i="1"/>
  <c r="S333" i="1" s="1"/>
  <c r="P333" i="1"/>
  <c r="N334" i="1"/>
  <c r="O334" i="1"/>
  <c r="S334" i="1" s="1"/>
  <c r="P334" i="1"/>
  <c r="N335" i="1"/>
  <c r="O335" i="1"/>
  <c r="S335" i="1" s="1"/>
  <c r="P335" i="1"/>
  <c r="N336" i="1"/>
  <c r="O336" i="1"/>
  <c r="P336" i="1"/>
  <c r="N337" i="1"/>
  <c r="O337" i="1"/>
  <c r="P337" i="1"/>
  <c r="N338" i="1"/>
  <c r="O338" i="1"/>
  <c r="P338" i="1"/>
  <c r="N339" i="1"/>
  <c r="O339" i="1"/>
  <c r="P339" i="1"/>
  <c r="N340" i="1"/>
  <c r="O340" i="1"/>
  <c r="S340" i="1" s="1"/>
  <c r="P340" i="1"/>
  <c r="N341" i="1"/>
  <c r="O341" i="1"/>
  <c r="S341" i="1" s="1"/>
  <c r="P341" i="1"/>
  <c r="N342" i="1"/>
  <c r="O342" i="1"/>
  <c r="S342" i="1" s="1"/>
  <c r="P342" i="1"/>
  <c r="N343" i="1"/>
  <c r="O343" i="1"/>
  <c r="P343" i="1"/>
  <c r="N344" i="1"/>
  <c r="O344" i="1"/>
  <c r="S344" i="1" s="1"/>
  <c r="P344" i="1"/>
  <c r="N345" i="1"/>
  <c r="O345" i="1"/>
  <c r="S345" i="1" s="1"/>
  <c r="P345" i="1"/>
  <c r="N346" i="1"/>
  <c r="O346" i="1"/>
  <c r="S346" i="1" s="1"/>
  <c r="P346" i="1"/>
  <c r="N347" i="1"/>
  <c r="O347" i="1"/>
  <c r="S347" i="1" s="1"/>
  <c r="P347" i="1"/>
  <c r="N348" i="1"/>
  <c r="O348" i="1"/>
  <c r="S348" i="1" s="1"/>
  <c r="P348" i="1"/>
  <c r="N349" i="1"/>
  <c r="O349" i="1"/>
  <c r="S349" i="1" s="1"/>
  <c r="P349" i="1"/>
  <c r="N350" i="1"/>
  <c r="O350" i="1"/>
  <c r="S350" i="1" s="1"/>
  <c r="P350" i="1"/>
  <c r="N351" i="1"/>
  <c r="O351" i="1"/>
  <c r="S351" i="1" s="1"/>
  <c r="P351" i="1"/>
  <c r="N352" i="1"/>
  <c r="O352" i="1"/>
  <c r="S352" i="1" s="1"/>
  <c r="P352" i="1"/>
  <c r="N353" i="1"/>
  <c r="O353" i="1"/>
  <c r="S353" i="1" s="1"/>
  <c r="P353" i="1"/>
  <c r="N354" i="1"/>
  <c r="O354" i="1"/>
  <c r="S354" i="1" s="1"/>
  <c r="P354" i="1"/>
  <c r="N355" i="1"/>
  <c r="O355" i="1"/>
  <c r="S355" i="1" s="1"/>
  <c r="P355" i="1"/>
  <c r="N356" i="1"/>
  <c r="O356" i="1"/>
  <c r="P356" i="1"/>
  <c r="N357" i="1"/>
  <c r="O357" i="1"/>
  <c r="P357" i="1"/>
  <c r="N358" i="1"/>
  <c r="O358" i="1"/>
  <c r="S358" i="1" s="1"/>
  <c r="P358" i="1"/>
  <c r="N359" i="1"/>
  <c r="O359" i="1"/>
  <c r="P359" i="1"/>
  <c r="N360" i="1"/>
  <c r="O360" i="1"/>
  <c r="S360" i="1" s="1"/>
  <c r="P360" i="1"/>
  <c r="N361" i="1"/>
  <c r="O361" i="1"/>
  <c r="S361" i="1" s="1"/>
  <c r="P361" i="1"/>
  <c r="N362" i="1"/>
  <c r="O362" i="1"/>
  <c r="S362" i="1" s="1"/>
  <c r="P362" i="1"/>
  <c r="N363" i="1"/>
  <c r="O363" i="1"/>
  <c r="S363" i="1" s="1"/>
  <c r="P363" i="1"/>
  <c r="N364" i="1"/>
  <c r="O364" i="1"/>
  <c r="S364" i="1" s="1"/>
  <c r="P364" i="1"/>
  <c r="N365" i="1"/>
  <c r="O365" i="1"/>
  <c r="S365" i="1" s="1"/>
  <c r="P365" i="1"/>
  <c r="N366" i="1"/>
  <c r="O366" i="1"/>
  <c r="P366" i="1"/>
  <c r="N367" i="1"/>
  <c r="O367" i="1"/>
  <c r="P367" i="1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2" i="2"/>
  <c r="C593" i="2"/>
  <c r="C594" i="2"/>
  <c r="C595" i="2"/>
  <c r="C596" i="2"/>
  <c r="C597" i="2"/>
  <c r="C598" i="2"/>
  <c r="C599" i="2"/>
  <c r="C600" i="2"/>
  <c r="C601" i="2"/>
  <c r="C602" i="2"/>
  <c r="C604" i="2"/>
  <c r="C605" i="2"/>
  <c r="C606" i="2"/>
  <c r="C607" i="2"/>
  <c r="C609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H635" i="2"/>
  <c r="C636" i="2"/>
  <c r="H636" i="2"/>
  <c r="C637" i="2"/>
  <c r="H637" i="2"/>
  <c r="C638" i="2"/>
  <c r="H638" i="2"/>
  <c r="C639" i="2"/>
  <c r="H639" i="2"/>
  <c r="C640" i="2"/>
  <c r="H640" i="2"/>
  <c r="C641" i="2"/>
  <c r="H641" i="2"/>
  <c r="C642" i="2"/>
  <c r="H642" i="2"/>
  <c r="C643" i="2"/>
  <c r="H643" i="2"/>
  <c r="C644" i="2"/>
  <c r="H644" i="2"/>
  <c r="C645" i="2"/>
  <c r="H645" i="2"/>
  <c r="C646" i="2"/>
  <c r="H646" i="2"/>
  <c r="C647" i="2"/>
  <c r="H647" i="2"/>
  <c r="C648" i="2"/>
  <c r="H648" i="2"/>
  <c r="C649" i="2"/>
  <c r="H649" i="2"/>
  <c r="C650" i="2"/>
  <c r="H650" i="2"/>
  <c r="C651" i="2"/>
  <c r="H651" i="2"/>
  <c r="C652" i="2"/>
  <c r="H652" i="2"/>
  <c r="C653" i="2"/>
  <c r="H653" i="2"/>
  <c r="C654" i="2"/>
  <c r="H654" i="2"/>
  <c r="C655" i="2"/>
  <c r="H655" i="2"/>
  <c r="C656" i="2"/>
  <c r="H656" i="2"/>
  <c r="C657" i="2"/>
  <c r="H657" i="2"/>
  <c r="C658" i="2"/>
  <c r="H658" i="2"/>
  <c r="C659" i="2"/>
  <c r="H659" i="2"/>
  <c r="C660" i="2"/>
  <c r="H660" i="2"/>
  <c r="C661" i="2"/>
  <c r="H661" i="2"/>
  <c r="C662" i="2"/>
  <c r="H662" i="2"/>
  <c r="C663" i="2"/>
  <c r="H663" i="2"/>
  <c r="C664" i="2"/>
  <c r="H664" i="2"/>
  <c r="C665" i="2"/>
  <c r="H665" i="2"/>
  <c r="C666" i="2"/>
  <c r="H666" i="2"/>
  <c r="C667" i="2"/>
  <c r="H667" i="2"/>
  <c r="C668" i="2"/>
  <c r="H668" i="2"/>
  <c r="C669" i="2"/>
  <c r="H669" i="2"/>
  <c r="C670" i="2"/>
  <c r="H670" i="2"/>
  <c r="C671" i="2"/>
  <c r="H671" i="2"/>
  <c r="C672" i="2"/>
  <c r="H672" i="2"/>
  <c r="C673" i="2"/>
  <c r="H673" i="2"/>
  <c r="C674" i="2"/>
  <c r="H674" i="2"/>
  <c r="C675" i="2"/>
  <c r="H675" i="2"/>
  <c r="C676" i="2"/>
  <c r="H676" i="2"/>
  <c r="C677" i="2"/>
  <c r="H677" i="2"/>
  <c r="C678" i="2"/>
  <c r="H678" i="2"/>
  <c r="C679" i="2"/>
  <c r="H679" i="2"/>
  <c r="C680" i="2"/>
  <c r="H680" i="2"/>
  <c r="C681" i="2"/>
  <c r="H681" i="2"/>
  <c r="C682" i="2"/>
  <c r="H682" i="2"/>
  <c r="C683" i="2"/>
  <c r="H683" i="2"/>
  <c r="C684" i="2"/>
  <c r="H684" i="2"/>
  <c r="C685" i="2"/>
  <c r="H685" i="2"/>
  <c r="C686" i="2"/>
  <c r="H686" i="2"/>
  <c r="C687" i="2"/>
  <c r="H687" i="2"/>
  <c r="C688" i="2"/>
  <c r="H688" i="2"/>
  <c r="C689" i="2"/>
  <c r="H689" i="2"/>
  <c r="C690" i="2"/>
  <c r="H690" i="2"/>
  <c r="C691" i="2"/>
  <c r="H691" i="2"/>
  <c r="C692" i="2"/>
  <c r="H692" i="2"/>
  <c r="C693" i="2"/>
  <c r="H693" i="2"/>
  <c r="C694" i="2"/>
  <c r="H694" i="2"/>
  <c r="C695" i="2"/>
  <c r="H695" i="2"/>
  <c r="C696" i="2"/>
  <c r="H696" i="2"/>
  <c r="C697" i="2"/>
  <c r="H697" i="2"/>
  <c r="C698" i="2"/>
  <c r="H698" i="2"/>
  <c r="C699" i="2"/>
  <c r="H699" i="2"/>
  <c r="C700" i="2"/>
  <c r="H700" i="2"/>
  <c r="C701" i="2"/>
  <c r="H701" i="2"/>
  <c r="C702" i="2"/>
  <c r="H702" i="2"/>
  <c r="C703" i="2"/>
  <c r="H703" i="2"/>
  <c r="C704" i="2"/>
  <c r="H704" i="2"/>
  <c r="C705" i="2"/>
  <c r="H705" i="2"/>
  <c r="C706" i="2"/>
  <c r="H706" i="2"/>
  <c r="C707" i="2"/>
  <c r="H707" i="2"/>
  <c r="C708" i="2"/>
  <c r="H708" i="2"/>
  <c r="C709" i="2"/>
  <c r="H709" i="2"/>
  <c r="C710" i="2"/>
  <c r="H710" i="2"/>
  <c r="C711" i="2"/>
  <c r="H711" i="2"/>
  <c r="C712" i="2"/>
  <c r="H712" i="2"/>
  <c r="C713" i="2"/>
  <c r="H713" i="2"/>
  <c r="C714" i="2"/>
  <c r="H714" i="2"/>
  <c r="C715" i="2"/>
  <c r="H715" i="2"/>
  <c r="C716" i="2"/>
  <c r="H716" i="2"/>
  <c r="C717" i="2"/>
  <c r="H717" i="2"/>
  <c r="C718" i="2"/>
  <c r="H718" i="2"/>
  <c r="C719" i="2"/>
  <c r="H719" i="2"/>
  <c r="C720" i="2"/>
  <c r="H720" i="2"/>
  <c r="C721" i="2"/>
  <c r="H721" i="2"/>
  <c r="C722" i="2"/>
  <c r="H722" i="2"/>
  <c r="C723" i="2"/>
  <c r="H723" i="2"/>
  <c r="C724" i="2"/>
  <c r="H724" i="2"/>
  <c r="C725" i="2"/>
  <c r="H725" i="2"/>
  <c r="C726" i="2"/>
  <c r="H726" i="2"/>
  <c r="C727" i="2"/>
  <c r="H727" i="2"/>
  <c r="C728" i="2"/>
  <c r="H728" i="2"/>
  <c r="C729" i="2"/>
  <c r="H729" i="2"/>
  <c r="C730" i="2"/>
  <c r="H730" i="2"/>
  <c r="C731" i="2"/>
  <c r="H731" i="2"/>
  <c r="C732" i="2"/>
  <c r="H732" i="2"/>
  <c r="C733" i="2"/>
  <c r="H733" i="2"/>
  <c r="C734" i="2"/>
  <c r="H734" i="2"/>
  <c r="C735" i="2"/>
  <c r="H735" i="2"/>
  <c r="C736" i="2"/>
  <c r="H736" i="2"/>
  <c r="C737" i="2"/>
  <c r="H737" i="2"/>
  <c r="C738" i="2"/>
  <c r="H738" i="2"/>
  <c r="C739" i="2"/>
  <c r="H739" i="2"/>
  <c r="C740" i="2"/>
  <c r="H740" i="2"/>
  <c r="C741" i="2"/>
  <c r="H741" i="2"/>
  <c r="C742" i="2"/>
  <c r="H742" i="2"/>
  <c r="C743" i="2"/>
  <c r="H743" i="2"/>
  <c r="C744" i="2"/>
  <c r="H744" i="2"/>
  <c r="C745" i="2"/>
  <c r="H745" i="2"/>
  <c r="C746" i="2"/>
  <c r="H746" i="2"/>
  <c r="C747" i="2"/>
  <c r="H747" i="2"/>
  <c r="C748" i="2"/>
  <c r="H748" i="2"/>
  <c r="C749" i="2"/>
  <c r="H749" i="2"/>
  <c r="C750" i="2"/>
  <c r="H750" i="2"/>
  <c r="C751" i="2"/>
  <c r="H751" i="2"/>
  <c r="C752" i="2"/>
  <c r="H752" i="2"/>
  <c r="C753" i="2"/>
  <c r="H753" i="2"/>
  <c r="C754" i="2"/>
  <c r="H754" i="2"/>
  <c r="C755" i="2"/>
  <c r="H755" i="2"/>
  <c r="C756" i="2"/>
  <c r="H756" i="2"/>
  <c r="C757" i="2"/>
  <c r="H757" i="2"/>
  <c r="C758" i="2"/>
  <c r="H758" i="2"/>
  <c r="C759" i="2"/>
  <c r="H759" i="2"/>
  <c r="C760" i="2"/>
  <c r="H760" i="2"/>
  <c r="C761" i="2"/>
  <c r="H761" i="2"/>
  <c r="C762" i="2"/>
  <c r="H762" i="2"/>
  <c r="C763" i="2"/>
  <c r="H763" i="2"/>
  <c r="C764" i="2"/>
  <c r="H764" i="2"/>
  <c r="C765" i="2"/>
  <c r="H765" i="2"/>
  <c r="C766" i="2"/>
  <c r="H766" i="2"/>
  <c r="C767" i="2"/>
  <c r="H767" i="2"/>
  <c r="C768" i="2"/>
  <c r="H768" i="2"/>
  <c r="C769" i="2"/>
  <c r="H769" i="2"/>
  <c r="C770" i="2"/>
  <c r="H770" i="2"/>
  <c r="C771" i="2"/>
  <c r="H771" i="2"/>
  <c r="C772" i="2"/>
  <c r="H772" i="2"/>
  <c r="C773" i="2"/>
  <c r="H773" i="2"/>
  <c r="C774" i="2"/>
  <c r="H774" i="2"/>
  <c r="N12" i="1"/>
  <c r="H387" i="2"/>
  <c r="H388" i="2"/>
  <c r="H38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8" i="2"/>
  <c r="C539" i="2"/>
  <c r="C540" i="2"/>
  <c r="C541" i="2"/>
  <c r="C542" i="2"/>
  <c r="C543" i="2"/>
  <c r="C544" i="2"/>
  <c r="C545" i="2"/>
  <c r="C546" i="2"/>
  <c r="S253" i="1" l="1"/>
  <c r="U253" i="1" s="1"/>
  <c r="Q135" i="1"/>
  <c r="Q282" i="1"/>
  <c r="J282" i="1" s="1"/>
  <c r="L282" i="1" s="1"/>
  <c r="Q280" i="1"/>
  <c r="R280" i="1" s="1"/>
  <c r="Q355" i="1"/>
  <c r="J355" i="1" s="1"/>
  <c r="K355" i="1" s="1"/>
  <c r="Q320" i="1"/>
  <c r="J320" i="1" s="1"/>
  <c r="L320" i="1" s="1"/>
  <c r="Q284" i="1"/>
  <c r="T284" i="1" s="1"/>
  <c r="U318" i="1"/>
  <c r="U350" i="1"/>
  <c r="U344" i="1"/>
  <c r="U317" i="1"/>
  <c r="U364" i="1"/>
  <c r="U283" i="1"/>
  <c r="Q281" i="1"/>
  <c r="R281" i="1" s="1"/>
  <c r="U363" i="1"/>
  <c r="U352" i="1"/>
  <c r="U346" i="1"/>
  <c r="U315" i="1"/>
  <c r="U353" i="1"/>
  <c r="U349" i="1"/>
  <c r="U345" i="1"/>
  <c r="U316" i="1"/>
  <c r="U314" i="1"/>
  <c r="U312" i="1"/>
  <c r="U354" i="1"/>
  <c r="U348" i="1"/>
  <c r="U319" i="1"/>
  <c r="U313" i="1"/>
  <c r="U351" i="1"/>
  <c r="U347" i="1"/>
  <c r="U276" i="1"/>
  <c r="Q276" i="1"/>
  <c r="J276" i="1" s="1"/>
  <c r="Q283" i="1"/>
  <c r="J283" i="1" s="1"/>
  <c r="L283" i="1" s="1"/>
  <c r="U281" i="1"/>
  <c r="Q315" i="1"/>
  <c r="J315" i="1" s="1"/>
  <c r="L315" i="1" s="1"/>
  <c r="U282" i="1"/>
  <c r="Q351" i="1"/>
  <c r="J351" i="1" s="1"/>
  <c r="L351" i="1" s="1"/>
  <c r="Q346" i="1"/>
  <c r="J346" i="1" s="1"/>
  <c r="L346" i="1" s="1"/>
  <c r="Q312" i="1"/>
  <c r="J312" i="1" s="1"/>
  <c r="L312" i="1" s="1"/>
  <c r="Q347" i="1"/>
  <c r="J347" i="1" s="1"/>
  <c r="K347" i="1" s="1"/>
  <c r="Q313" i="1"/>
  <c r="J313" i="1" s="1"/>
  <c r="L313" i="1" s="1"/>
  <c r="U284" i="1"/>
  <c r="Q352" i="1"/>
  <c r="J352" i="1" s="1"/>
  <c r="L352" i="1" s="1"/>
  <c r="Q316" i="1"/>
  <c r="J316" i="1" s="1"/>
  <c r="L316" i="1" s="1"/>
  <c r="Q349" i="1"/>
  <c r="J349" i="1" s="1"/>
  <c r="L349" i="1" s="1"/>
  <c r="Q319" i="1"/>
  <c r="T319" i="1" s="1"/>
  <c r="Q348" i="1"/>
  <c r="J348" i="1" s="1"/>
  <c r="K348" i="1" s="1"/>
  <c r="Q317" i="1"/>
  <c r="T317" i="1" s="1"/>
  <c r="Q354" i="1"/>
  <c r="J354" i="1" s="1"/>
  <c r="L354" i="1" s="1"/>
  <c r="Q318" i="1"/>
  <c r="T318" i="1" s="1"/>
  <c r="Q314" i="1"/>
  <c r="T314" i="1" s="1"/>
  <c r="Q350" i="1"/>
  <c r="J350" i="1" s="1"/>
  <c r="L350" i="1" s="1"/>
  <c r="Q363" i="1"/>
  <c r="R363" i="1" s="1"/>
  <c r="Q353" i="1"/>
  <c r="J353" i="1" s="1"/>
  <c r="L353" i="1" s="1"/>
  <c r="Q345" i="1"/>
  <c r="J345" i="1" s="1"/>
  <c r="L345" i="1" s="1"/>
  <c r="Q364" i="1"/>
  <c r="R364" i="1" s="1"/>
  <c r="Q344" i="1"/>
  <c r="U280" i="1"/>
  <c r="Q248" i="1"/>
  <c r="Q249" i="1"/>
  <c r="Q250" i="1"/>
  <c r="Q251" i="1"/>
  <c r="Q252" i="1"/>
  <c r="Q253" i="1"/>
  <c r="Q254" i="1"/>
  <c r="S254" i="1"/>
  <c r="U254" i="1" s="1"/>
  <c r="S255" i="1"/>
  <c r="U255" i="1" s="1"/>
  <c r="Q255" i="1"/>
  <c r="Q256" i="1"/>
  <c r="S256" i="1"/>
  <c r="U256" i="1" s="1"/>
  <c r="Q257" i="1"/>
  <c r="S257" i="1"/>
  <c r="U257" i="1" s="1"/>
  <c r="S258" i="1"/>
  <c r="U258" i="1" s="1"/>
  <c r="Q258" i="1"/>
  <c r="S259" i="1"/>
  <c r="U259" i="1" s="1"/>
  <c r="Q259" i="1"/>
  <c r="Q260" i="1"/>
  <c r="U260" i="1"/>
  <c r="S261" i="1"/>
  <c r="U261" i="1" s="1"/>
  <c r="Q261" i="1"/>
  <c r="Q262" i="1"/>
  <c r="S262" i="1"/>
  <c r="U262" i="1" s="1"/>
  <c r="Q263" i="1"/>
  <c r="S263" i="1"/>
  <c r="U263" i="1" s="1"/>
  <c r="Q264" i="1"/>
  <c r="U264" i="1"/>
  <c r="Q265" i="1"/>
  <c r="S265" i="1"/>
  <c r="U265" i="1" s="1"/>
  <c r="S266" i="1"/>
  <c r="U266" i="1" s="1"/>
  <c r="Q266" i="1"/>
  <c r="Q267" i="1"/>
  <c r="S267" i="1"/>
  <c r="U267" i="1" s="1"/>
  <c r="Q268" i="1"/>
  <c r="U268" i="1"/>
  <c r="S269" i="1"/>
  <c r="U269" i="1" s="1"/>
  <c r="Q269" i="1"/>
  <c r="S270" i="1"/>
  <c r="U270" i="1" s="1"/>
  <c r="Q270" i="1"/>
  <c r="U271" i="1"/>
  <c r="Q271" i="1"/>
  <c r="S272" i="1"/>
  <c r="U272" i="1" s="1"/>
  <c r="Q272" i="1"/>
  <c r="U273" i="1"/>
  <c r="Q273" i="1"/>
  <c r="Q274" i="1"/>
  <c r="U274" i="1"/>
  <c r="Q275" i="1"/>
  <c r="U275" i="1"/>
  <c r="Q277" i="1"/>
  <c r="S277" i="1"/>
  <c r="U277" i="1" s="1"/>
  <c r="Q278" i="1"/>
  <c r="U278" i="1"/>
  <c r="U279" i="1"/>
  <c r="Q279" i="1"/>
  <c r="U285" i="1"/>
  <c r="Q285" i="1"/>
  <c r="U286" i="1"/>
  <c r="Q286" i="1"/>
  <c r="U287" i="1"/>
  <c r="Q287" i="1"/>
  <c r="Q288" i="1"/>
  <c r="S288" i="1"/>
  <c r="U288" i="1" s="1"/>
  <c r="Q289" i="1"/>
  <c r="S289" i="1"/>
  <c r="U289" i="1" s="1"/>
  <c r="Q290" i="1"/>
  <c r="S290" i="1"/>
  <c r="U290" i="1" s="1"/>
  <c r="U291" i="1"/>
  <c r="Q291" i="1"/>
  <c r="U292" i="1"/>
  <c r="Q292" i="1"/>
  <c r="U293" i="1"/>
  <c r="Q293" i="1"/>
  <c r="S294" i="1"/>
  <c r="U294" i="1" s="1"/>
  <c r="Q294" i="1"/>
  <c r="U295" i="1"/>
  <c r="Q295" i="1"/>
  <c r="U296" i="1"/>
  <c r="Q296" i="1"/>
  <c r="Q297" i="1"/>
  <c r="U297" i="1"/>
  <c r="U298" i="1"/>
  <c r="Q298" i="1"/>
  <c r="Q299" i="1"/>
  <c r="U299" i="1"/>
  <c r="U300" i="1"/>
  <c r="Q300" i="1"/>
  <c r="Q301" i="1"/>
  <c r="U301" i="1"/>
  <c r="U302" i="1"/>
  <c r="Q302" i="1"/>
  <c r="Q303" i="1"/>
  <c r="U303" i="1"/>
  <c r="S304" i="1"/>
  <c r="U304" i="1" s="1"/>
  <c r="Q304" i="1"/>
  <c r="Q305" i="1"/>
  <c r="U305" i="1"/>
  <c r="Q306" i="1"/>
  <c r="U306" i="1"/>
  <c r="Q307" i="1"/>
  <c r="U307" i="1"/>
  <c r="Q308" i="1"/>
  <c r="U308" i="1"/>
  <c r="Q309" i="1"/>
  <c r="U309" i="1"/>
  <c r="U310" i="1"/>
  <c r="Q310" i="1"/>
  <c r="Q311" i="1"/>
  <c r="U311" i="1"/>
  <c r="U320" i="1"/>
  <c r="Q321" i="1"/>
  <c r="S321" i="1"/>
  <c r="U321" i="1" s="1"/>
  <c r="Q322" i="1"/>
  <c r="S322" i="1"/>
  <c r="U322" i="1" s="1"/>
  <c r="S323" i="1"/>
  <c r="U323" i="1" s="1"/>
  <c r="Q323" i="1"/>
  <c r="Q324" i="1"/>
  <c r="U324" i="1"/>
  <c r="S325" i="1"/>
  <c r="U325" i="1" s="1"/>
  <c r="Q325" i="1"/>
  <c r="Q326" i="1"/>
  <c r="U326" i="1"/>
  <c r="Q327" i="1"/>
  <c r="U327" i="1"/>
  <c r="Q328" i="1"/>
  <c r="U328" i="1"/>
  <c r="Q329" i="1"/>
  <c r="S329" i="1"/>
  <c r="U329" i="1" s="1"/>
  <c r="U330" i="1"/>
  <c r="Q330" i="1"/>
  <c r="Q331" i="1"/>
  <c r="S331" i="1"/>
  <c r="U331" i="1" s="1"/>
  <c r="S332" i="1"/>
  <c r="U332" i="1" s="1"/>
  <c r="Q332" i="1"/>
  <c r="U333" i="1"/>
  <c r="Q333" i="1"/>
  <c r="U334" i="1"/>
  <c r="Q334" i="1"/>
  <c r="U335" i="1"/>
  <c r="Q335" i="1"/>
  <c r="S336" i="1"/>
  <c r="U336" i="1" s="1"/>
  <c r="Q336" i="1"/>
  <c r="Q337" i="1"/>
  <c r="S337" i="1"/>
  <c r="U337" i="1" s="1"/>
  <c r="Q338" i="1"/>
  <c r="S338" i="1"/>
  <c r="U338" i="1" s="1"/>
  <c r="S339" i="1"/>
  <c r="U339" i="1" s="1"/>
  <c r="Q339" i="1"/>
  <c r="Q340" i="1"/>
  <c r="U340" i="1"/>
  <c r="U341" i="1"/>
  <c r="Q341" i="1"/>
  <c r="U342" i="1"/>
  <c r="Q342" i="1"/>
  <c r="Q343" i="1"/>
  <c r="S343" i="1"/>
  <c r="U343" i="1" s="1"/>
  <c r="U355" i="1"/>
  <c r="Q356" i="1"/>
  <c r="S356" i="1"/>
  <c r="U356" i="1" s="1"/>
  <c r="S357" i="1"/>
  <c r="U357" i="1" s="1"/>
  <c r="Q357" i="1"/>
  <c r="Q358" i="1"/>
  <c r="U358" i="1"/>
  <c r="Q359" i="1"/>
  <c r="S359" i="1"/>
  <c r="U359" i="1" s="1"/>
  <c r="Q360" i="1"/>
  <c r="U360" i="1"/>
  <c r="U361" i="1"/>
  <c r="Q361" i="1"/>
  <c r="Q362" i="1"/>
  <c r="U362" i="1"/>
  <c r="U365" i="1"/>
  <c r="Q365" i="1"/>
  <c r="S366" i="1"/>
  <c r="U366" i="1" s="1"/>
  <c r="Q366" i="1"/>
  <c r="S367" i="1"/>
  <c r="U367" i="1" s="1"/>
  <c r="Q367" i="1"/>
  <c r="C415" i="2"/>
  <c r="H415" i="2"/>
  <c r="C416" i="2"/>
  <c r="H416" i="2"/>
  <c r="C417" i="2"/>
  <c r="H417" i="2"/>
  <c r="C418" i="2"/>
  <c r="H418" i="2"/>
  <c r="C419" i="2"/>
  <c r="H419" i="2"/>
  <c r="C420" i="2"/>
  <c r="H420" i="2"/>
  <c r="C421" i="2"/>
  <c r="H421" i="2"/>
  <c r="C422" i="2"/>
  <c r="H422" i="2"/>
  <c r="C423" i="2"/>
  <c r="H423" i="2"/>
  <c r="C424" i="2"/>
  <c r="H424" i="2"/>
  <c r="C425" i="2"/>
  <c r="H425" i="2"/>
  <c r="C426" i="2"/>
  <c r="H426" i="2"/>
  <c r="C427" i="2"/>
  <c r="H427" i="2"/>
  <c r="C428" i="2"/>
  <c r="H428" i="2"/>
  <c r="C429" i="2"/>
  <c r="H429" i="2"/>
  <c r="C430" i="2"/>
  <c r="H430" i="2"/>
  <c r="C431" i="2"/>
  <c r="H431" i="2"/>
  <c r="C432" i="2"/>
  <c r="H432" i="2"/>
  <c r="C433" i="2"/>
  <c r="H433" i="2"/>
  <c r="C434" i="2"/>
  <c r="H434" i="2"/>
  <c r="C435" i="2"/>
  <c r="H435" i="2"/>
  <c r="C436" i="2"/>
  <c r="H436" i="2"/>
  <c r="C437" i="2"/>
  <c r="H437" i="2"/>
  <c r="C438" i="2"/>
  <c r="H438" i="2"/>
  <c r="C442" i="2"/>
  <c r="H442" i="2"/>
  <c r="C439" i="2"/>
  <c r="H439" i="2"/>
  <c r="C440" i="2"/>
  <c r="H440" i="2"/>
  <c r="C441" i="2"/>
  <c r="H441" i="2"/>
  <c r="C443" i="2"/>
  <c r="H443" i="2"/>
  <c r="C444" i="2"/>
  <c r="H444" i="2"/>
  <c r="C445" i="2"/>
  <c r="H445" i="2"/>
  <c r="C459" i="2"/>
  <c r="H459" i="2"/>
  <c r="H406" i="2"/>
  <c r="H407" i="2"/>
  <c r="H408" i="2"/>
  <c r="H409" i="2"/>
  <c r="H410" i="2"/>
  <c r="H411" i="2"/>
  <c r="H412" i="2"/>
  <c r="H413" i="2"/>
  <c r="H414" i="2"/>
  <c r="C404" i="2"/>
  <c r="C405" i="2"/>
  <c r="C406" i="2"/>
  <c r="C407" i="2"/>
  <c r="C408" i="2"/>
  <c r="C409" i="2"/>
  <c r="C410" i="2"/>
  <c r="C411" i="2"/>
  <c r="C412" i="2"/>
  <c r="C413" i="2"/>
  <c r="C414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300" i="2"/>
  <c r="C301" i="2"/>
  <c r="C302" i="2"/>
  <c r="C303" i="2"/>
  <c r="C304" i="2"/>
  <c r="C305" i="2"/>
  <c r="C306" i="2"/>
  <c r="C30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6" i="2"/>
  <c r="C337" i="2"/>
  <c r="C338" i="2"/>
  <c r="C339" i="2"/>
  <c r="C340" i="2"/>
  <c r="D329" i="2"/>
  <c r="H329" i="2"/>
  <c r="D330" i="2"/>
  <c r="H330" i="2"/>
  <c r="D331" i="2"/>
  <c r="H331" i="2"/>
  <c r="D332" i="2"/>
  <c r="H332" i="2"/>
  <c r="D333" i="2"/>
  <c r="H333" i="2"/>
  <c r="H334" i="2"/>
  <c r="H335" i="2"/>
  <c r="H336" i="2"/>
  <c r="H337" i="2"/>
  <c r="H338" i="2"/>
  <c r="H339" i="2"/>
  <c r="H340" i="2"/>
  <c r="H308" i="2"/>
  <c r="D300" i="2"/>
  <c r="C299" i="2"/>
  <c r="D299" i="2"/>
  <c r="C298" i="2"/>
  <c r="H298" i="2"/>
  <c r="H299" i="2"/>
  <c r="H300" i="2"/>
  <c r="D297" i="2"/>
  <c r="D298" i="2"/>
  <c r="D301" i="2"/>
  <c r="D302" i="2"/>
  <c r="H327" i="2"/>
  <c r="H328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H301" i="2"/>
  <c r="H302" i="2"/>
  <c r="H303" i="2"/>
  <c r="H304" i="2"/>
  <c r="H305" i="2"/>
  <c r="H306" i="2"/>
  <c r="H307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C280" i="2"/>
  <c r="D258" i="2"/>
  <c r="D259" i="2"/>
  <c r="C258" i="2"/>
  <c r="C259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60" i="2"/>
  <c r="C261" i="2"/>
  <c r="C262" i="2"/>
  <c r="C263" i="2"/>
  <c r="C264" i="2"/>
  <c r="C265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R135" i="1" l="1"/>
  <c r="J280" i="1"/>
  <c r="K280" i="1" s="1"/>
  <c r="T355" i="1"/>
  <c r="T282" i="1"/>
  <c r="R282" i="1"/>
  <c r="L355" i="1"/>
  <c r="T280" i="1"/>
  <c r="R355" i="1"/>
  <c r="J284" i="1"/>
  <c r="K284" i="1" s="1"/>
  <c r="J281" i="1"/>
  <c r="K281" i="1" s="1"/>
  <c r="T320" i="1"/>
  <c r="R284" i="1"/>
  <c r="R320" i="1"/>
  <c r="T281" i="1"/>
  <c r="R276" i="1"/>
  <c r="T276" i="1"/>
  <c r="K315" i="1"/>
  <c r="R283" i="1"/>
  <c r="T315" i="1"/>
  <c r="K283" i="1"/>
  <c r="T283" i="1"/>
  <c r="R315" i="1"/>
  <c r="R352" i="1"/>
  <c r="K313" i="1"/>
  <c r="T313" i="1"/>
  <c r="K351" i="1"/>
  <c r="L347" i="1"/>
  <c r="T351" i="1"/>
  <c r="K282" i="1"/>
  <c r="L348" i="1"/>
  <c r="K346" i="1"/>
  <c r="T347" i="1"/>
  <c r="R347" i="1"/>
  <c r="R313" i="1"/>
  <c r="T312" i="1"/>
  <c r="T316" i="1"/>
  <c r="K312" i="1"/>
  <c r="R351" i="1"/>
  <c r="T346" i="1"/>
  <c r="R316" i="1"/>
  <c r="K352" i="1"/>
  <c r="T348" i="1"/>
  <c r="K316" i="1"/>
  <c r="R346" i="1"/>
  <c r="R312" i="1"/>
  <c r="K353" i="1"/>
  <c r="T349" i="1"/>
  <c r="T352" i="1"/>
  <c r="R349" i="1"/>
  <c r="J319" i="1"/>
  <c r="R319" i="1"/>
  <c r="T353" i="1"/>
  <c r="J364" i="1"/>
  <c r="K364" i="1" s="1"/>
  <c r="K349" i="1"/>
  <c r="K320" i="1"/>
  <c r="T364" i="1"/>
  <c r="R348" i="1"/>
  <c r="K354" i="1"/>
  <c r="J317" i="1"/>
  <c r="R317" i="1"/>
  <c r="R354" i="1"/>
  <c r="T354" i="1"/>
  <c r="T363" i="1"/>
  <c r="K345" i="1"/>
  <c r="J314" i="1"/>
  <c r="R314" i="1"/>
  <c r="T345" i="1"/>
  <c r="R345" i="1"/>
  <c r="R350" i="1"/>
  <c r="J318" i="1"/>
  <c r="R318" i="1"/>
  <c r="K350" i="1"/>
  <c r="R353" i="1"/>
  <c r="J363" i="1"/>
  <c r="L363" i="1" s="1"/>
  <c r="T350" i="1"/>
  <c r="J344" i="1"/>
  <c r="T344" i="1"/>
  <c r="R344" i="1"/>
  <c r="R248" i="1"/>
  <c r="R249" i="1"/>
  <c r="R250" i="1"/>
  <c r="R251" i="1"/>
  <c r="R252" i="1"/>
  <c r="T253" i="1"/>
  <c r="R253" i="1"/>
  <c r="J254" i="1"/>
  <c r="T254" i="1"/>
  <c r="R254" i="1"/>
  <c r="J255" i="1"/>
  <c r="T255" i="1"/>
  <c r="R255" i="1"/>
  <c r="J256" i="1"/>
  <c r="T256" i="1"/>
  <c r="R256" i="1"/>
  <c r="J257" i="1"/>
  <c r="T257" i="1"/>
  <c r="R257" i="1"/>
  <c r="J258" i="1"/>
  <c r="T258" i="1"/>
  <c r="R258" i="1"/>
  <c r="J259" i="1"/>
  <c r="T259" i="1"/>
  <c r="R259" i="1"/>
  <c r="J260" i="1"/>
  <c r="T260" i="1"/>
  <c r="R260" i="1"/>
  <c r="J261" i="1"/>
  <c r="T261" i="1"/>
  <c r="R261" i="1"/>
  <c r="J262" i="1"/>
  <c r="T262" i="1"/>
  <c r="R262" i="1"/>
  <c r="J263" i="1"/>
  <c r="T263" i="1"/>
  <c r="R263" i="1"/>
  <c r="T264" i="1"/>
  <c r="J264" i="1"/>
  <c r="R264" i="1"/>
  <c r="J265" i="1"/>
  <c r="T265" i="1"/>
  <c r="R265" i="1"/>
  <c r="J266" i="1"/>
  <c r="T266" i="1"/>
  <c r="R266" i="1"/>
  <c r="J267" i="1"/>
  <c r="T267" i="1"/>
  <c r="R267" i="1"/>
  <c r="T268" i="1"/>
  <c r="J268" i="1"/>
  <c r="R268" i="1"/>
  <c r="J269" i="1"/>
  <c r="T269" i="1"/>
  <c r="R269" i="1"/>
  <c r="J270" i="1"/>
  <c r="T270" i="1"/>
  <c r="R270" i="1"/>
  <c r="J271" i="1"/>
  <c r="T271" i="1"/>
  <c r="R271" i="1"/>
  <c r="J272" i="1"/>
  <c r="T272" i="1"/>
  <c r="R272" i="1"/>
  <c r="J273" i="1"/>
  <c r="T273" i="1"/>
  <c r="R273" i="1"/>
  <c r="J274" i="1"/>
  <c r="T274" i="1"/>
  <c r="R274" i="1"/>
  <c r="T275" i="1"/>
  <c r="J275" i="1"/>
  <c r="R275" i="1"/>
  <c r="K276" i="1"/>
  <c r="L276" i="1"/>
  <c r="J277" i="1"/>
  <c r="T277" i="1"/>
  <c r="R277" i="1"/>
  <c r="J278" i="1"/>
  <c r="T278" i="1"/>
  <c r="R278" i="1"/>
  <c r="J279" i="1"/>
  <c r="T279" i="1"/>
  <c r="R279" i="1"/>
  <c r="J285" i="1"/>
  <c r="T285" i="1"/>
  <c r="R285" i="1"/>
  <c r="J286" i="1"/>
  <c r="T286" i="1"/>
  <c r="R286" i="1"/>
  <c r="J287" i="1"/>
  <c r="T287" i="1"/>
  <c r="R287" i="1"/>
  <c r="J288" i="1"/>
  <c r="T288" i="1"/>
  <c r="R288" i="1"/>
  <c r="J289" i="1"/>
  <c r="T289" i="1"/>
  <c r="R289" i="1"/>
  <c r="J290" i="1"/>
  <c r="T290" i="1"/>
  <c r="R290" i="1"/>
  <c r="J291" i="1"/>
  <c r="T291" i="1"/>
  <c r="R291" i="1"/>
  <c r="J292" i="1"/>
  <c r="T292" i="1"/>
  <c r="R292" i="1"/>
  <c r="J293" i="1"/>
  <c r="T293" i="1"/>
  <c r="R293" i="1"/>
  <c r="J294" i="1"/>
  <c r="T294" i="1"/>
  <c r="R294" i="1"/>
  <c r="J295" i="1"/>
  <c r="T295" i="1"/>
  <c r="R295" i="1"/>
  <c r="T296" i="1"/>
  <c r="J296" i="1"/>
  <c r="R296" i="1"/>
  <c r="T297" i="1"/>
  <c r="J297" i="1"/>
  <c r="R297" i="1"/>
  <c r="J298" i="1"/>
  <c r="T298" i="1"/>
  <c r="R298" i="1"/>
  <c r="J299" i="1"/>
  <c r="T299" i="1"/>
  <c r="R299" i="1"/>
  <c r="T300" i="1"/>
  <c r="J300" i="1"/>
  <c r="R300" i="1"/>
  <c r="J301" i="1"/>
  <c r="T301" i="1"/>
  <c r="R301" i="1"/>
  <c r="J302" i="1"/>
  <c r="T302" i="1"/>
  <c r="R302" i="1"/>
  <c r="J303" i="1"/>
  <c r="T303" i="1"/>
  <c r="R303" i="1"/>
  <c r="J304" i="1"/>
  <c r="T304" i="1"/>
  <c r="R304" i="1"/>
  <c r="T305" i="1"/>
  <c r="J305" i="1"/>
  <c r="R305" i="1"/>
  <c r="J306" i="1"/>
  <c r="T306" i="1"/>
  <c r="R306" i="1"/>
  <c r="T307" i="1"/>
  <c r="J307" i="1"/>
  <c r="R307" i="1"/>
  <c r="J308" i="1"/>
  <c r="T308" i="1"/>
  <c r="R308" i="1"/>
  <c r="R309" i="1"/>
  <c r="J309" i="1"/>
  <c r="T309" i="1"/>
  <c r="T310" i="1"/>
  <c r="J310" i="1"/>
  <c r="R310" i="1"/>
  <c r="T311" i="1"/>
  <c r="J311" i="1"/>
  <c r="R311" i="1"/>
  <c r="J321" i="1"/>
  <c r="T321" i="1"/>
  <c r="R321" i="1"/>
  <c r="J322" i="1"/>
  <c r="T322" i="1"/>
  <c r="R322" i="1"/>
  <c r="J323" i="1"/>
  <c r="T323" i="1"/>
  <c r="R323" i="1"/>
  <c r="T324" i="1"/>
  <c r="J324" i="1"/>
  <c r="R324" i="1"/>
  <c r="J325" i="1"/>
  <c r="T325" i="1"/>
  <c r="R325" i="1"/>
  <c r="J326" i="1"/>
  <c r="T326" i="1"/>
  <c r="R326" i="1"/>
  <c r="J327" i="1"/>
  <c r="T327" i="1"/>
  <c r="R327" i="1"/>
  <c r="T328" i="1"/>
  <c r="J328" i="1"/>
  <c r="R328" i="1"/>
  <c r="J329" i="1"/>
  <c r="T329" i="1"/>
  <c r="R329" i="1"/>
  <c r="T330" i="1"/>
  <c r="J330" i="1"/>
  <c r="R330" i="1"/>
  <c r="J331" i="1"/>
  <c r="T331" i="1"/>
  <c r="R331" i="1"/>
  <c r="J332" i="1"/>
  <c r="T332" i="1"/>
  <c r="R332" i="1"/>
  <c r="J333" i="1"/>
  <c r="T333" i="1"/>
  <c r="R333" i="1"/>
  <c r="J334" i="1"/>
  <c r="T334" i="1"/>
  <c r="R334" i="1"/>
  <c r="T335" i="1"/>
  <c r="J335" i="1"/>
  <c r="R335" i="1"/>
  <c r="J336" i="1"/>
  <c r="T336" i="1"/>
  <c r="R336" i="1"/>
  <c r="J337" i="1"/>
  <c r="T337" i="1"/>
  <c r="R337" i="1"/>
  <c r="J338" i="1"/>
  <c r="T338" i="1"/>
  <c r="R338" i="1"/>
  <c r="J339" i="1"/>
  <c r="T339" i="1"/>
  <c r="R339" i="1"/>
  <c r="J340" i="1"/>
  <c r="T340" i="1"/>
  <c r="R340" i="1"/>
  <c r="J341" i="1"/>
  <c r="T341" i="1"/>
  <c r="R341" i="1"/>
  <c r="T342" i="1"/>
  <c r="J342" i="1"/>
  <c r="R342" i="1"/>
  <c r="T343" i="1"/>
  <c r="J343" i="1"/>
  <c r="R343" i="1"/>
  <c r="J356" i="1"/>
  <c r="T356" i="1"/>
  <c r="R356" i="1"/>
  <c r="J357" i="1"/>
  <c r="T357" i="1"/>
  <c r="R357" i="1"/>
  <c r="J358" i="1"/>
  <c r="T358" i="1"/>
  <c r="R358" i="1"/>
  <c r="J359" i="1"/>
  <c r="T359" i="1"/>
  <c r="R359" i="1"/>
  <c r="J360" i="1"/>
  <c r="T360" i="1"/>
  <c r="R360" i="1"/>
  <c r="J361" i="1"/>
  <c r="T361" i="1"/>
  <c r="R361" i="1"/>
  <c r="J362" i="1"/>
  <c r="T362" i="1"/>
  <c r="R362" i="1"/>
  <c r="J365" i="1"/>
  <c r="T365" i="1"/>
  <c r="R365" i="1"/>
  <c r="J366" i="1"/>
  <c r="T366" i="1"/>
  <c r="R366" i="1"/>
  <c r="J367" i="1"/>
  <c r="T367" i="1"/>
  <c r="R367" i="1"/>
  <c r="C179" i="2"/>
  <c r="D179" i="2"/>
  <c r="H179" i="2"/>
  <c r="C180" i="2"/>
  <c r="D180" i="2"/>
  <c r="H180" i="2"/>
  <c r="C181" i="2"/>
  <c r="D181" i="2"/>
  <c r="H181" i="2"/>
  <c r="C182" i="2"/>
  <c r="D182" i="2"/>
  <c r="H182" i="2"/>
  <c r="C183" i="2"/>
  <c r="D183" i="2"/>
  <c r="H183" i="2"/>
  <c r="C184" i="2"/>
  <c r="D184" i="2"/>
  <c r="H184" i="2"/>
  <c r="C185" i="2"/>
  <c r="D185" i="2"/>
  <c r="H185" i="2"/>
  <c r="C186" i="2"/>
  <c r="D186" i="2"/>
  <c r="H186" i="2"/>
  <c r="C187" i="2"/>
  <c r="D187" i="2"/>
  <c r="H187" i="2"/>
  <c r="C188" i="2"/>
  <c r="D188" i="2"/>
  <c r="H188" i="2"/>
  <c r="C189" i="2"/>
  <c r="D189" i="2"/>
  <c r="H189" i="2"/>
  <c r="C190" i="2"/>
  <c r="D190" i="2"/>
  <c r="H190" i="2"/>
  <c r="C191" i="2"/>
  <c r="D191" i="2"/>
  <c r="H191" i="2"/>
  <c r="C192" i="2"/>
  <c r="D192" i="2"/>
  <c r="H192" i="2"/>
  <c r="C193" i="2"/>
  <c r="D193" i="2"/>
  <c r="H193" i="2"/>
  <c r="C194" i="2"/>
  <c r="D194" i="2"/>
  <c r="H194" i="2"/>
  <c r="C195" i="2"/>
  <c r="D195" i="2"/>
  <c r="H195" i="2"/>
  <c r="C196" i="2"/>
  <c r="D196" i="2"/>
  <c r="H196" i="2"/>
  <c r="C197" i="2"/>
  <c r="D197" i="2"/>
  <c r="H197" i="2"/>
  <c r="C198" i="2"/>
  <c r="D198" i="2"/>
  <c r="H198" i="2"/>
  <c r="C199" i="2"/>
  <c r="D199" i="2"/>
  <c r="H199" i="2"/>
  <c r="C200" i="2"/>
  <c r="D200" i="2"/>
  <c r="H200" i="2"/>
  <c r="C201" i="2"/>
  <c r="D201" i="2"/>
  <c r="H201" i="2"/>
  <c r="C202" i="2"/>
  <c r="D202" i="2"/>
  <c r="H202" i="2"/>
  <c r="C203" i="2"/>
  <c r="D203" i="2"/>
  <c r="H203" i="2"/>
  <c r="C204" i="2"/>
  <c r="D204" i="2"/>
  <c r="H204" i="2"/>
  <c r="C205" i="2"/>
  <c r="D205" i="2"/>
  <c r="C206" i="2"/>
  <c r="C207" i="2"/>
  <c r="C208" i="2"/>
  <c r="H208" i="2"/>
  <c r="C209" i="2"/>
  <c r="H209" i="2"/>
  <c r="C210" i="2"/>
  <c r="H210" i="2"/>
  <c r="C211" i="2"/>
  <c r="D211" i="2"/>
  <c r="H211" i="2"/>
  <c r="C212" i="2"/>
  <c r="D212" i="2"/>
  <c r="H212" i="2"/>
  <c r="C213" i="2"/>
  <c r="D213" i="2"/>
  <c r="H213" i="2"/>
  <c r="C214" i="2"/>
  <c r="D214" i="2"/>
  <c r="H214" i="2"/>
  <c r="C215" i="2"/>
  <c r="D215" i="2"/>
  <c r="H215" i="2"/>
  <c r="C216" i="2"/>
  <c r="D216" i="2"/>
  <c r="H216" i="2"/>
  <c r="C217" i="2"/>
  <c r="D217" i="2"/>
  <c r="H217" i="2"/>
  <c r="C218" i="2"/>
  <c r="D218" i="2"/>
  <c r="H218" i="2"/>
  <c r="C219" i="2"/>
  <c r="D219" i="2"/>
  <c r="H219" i="2"/>
  <c r="C220" i="2"/>
  <c r="D220" i="2"/>
  <c r="H220" i="2"/>
  <c r="C221" i="2"/>
  <c r="D221" i="2"/>
  <c r="H221" i="2"/>
  <c r="D222" i="2"/>
  <c r="H222" i="2"/>
  <c r="H223" i="2"/>
  <c r="H224" i="2"/>
  <c r="H225" i="2"/>
  <c r="H226" i="2"/>
  <c r="C178" i="2"/>
  <c r="D178" i="2"/>
  <c r="H178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N149" i="1"/>
  <c r="O149" i="1"/>
  <c r="P149" i="1"/>
  <c r="N150" i="1"/>
  <c r="O150" i="1"/>
  <c r="P150" i="1"/>
  <c r="N151" i="1"/>
  <c r="O151" i="1"/>
  <c r="P151" i="1"/>
  <c r="N152" i="1"/>
  <c r="O152" i="1"/>
  <c r="P152" i="1"/>
  <c r="N153" i="1"/>
  <c r="O153" i="1"/>
  <c r="P153" i="1"/>
  <c r="N154" i="1"/>
  <c r="O154" i="1"/>
  <c r="P154" i="1"/>
  <c r="N155" i="1"/>
  <c r="O155" i="1"/>
  <c r="P155" i="1"/>
  <c r="N156" i="1"/>
  <c r="O156" i="1"/>
  <c r="P156" i="1"/>
  <c r="N157" i="1"/>
  <c r="O157" i="1"/>
  <c r="P157" i="1"/>
  <c r="N158" i="1"/>
  <c r="O158" i="1"/>
  <c r="P158" i="1"/>
  <c r="N159" i="1"/>
  <c r="O159" i="1"/>
  <c r="P159" i="1"/>
  <c r="N160" i="1"/>
  <c r="O160" i="1"/>
  <c r="P160" i="1"/>
  <c r="N161" i="1"/>
  <c r="O161" i="1"/>
  <c r="P161" i="1"/>
  <c r="N162" i="1"/>
  <c r="O162" i="1"/>
  <c r="P162" i="1"/>
  <c r="N163" i="1"/>
  <c r="O163" i="1"/>
  <c r="P163" i="1"/>
  <c r="N164" i="1"/>
  <c r="O164" i="1"/>
  <c r="P164" i="1"/>
  <c r="N165" i="1"/>
  <c r="O165" i="1"/>
  <c r="P165" i="1"/>
  <c r="N166" i="1"/>
  <c r="O166" i="1"/>
  <c r="P166" i="1"/>
  <c r="N167" i="1"/>
  <c r="O167" i="1"/>
  <c r="P167" i="1"/>
  <c r="N168" i="1"/>
  <c r="O168" i="1"/>
  <c r="P168" i="1"/>
  <c r="N169" i="1"/>
  <c r="O169" i="1"/>
  <c r="P169" i="1"/>
  <c r="N170" i="1"/>
  <c r="O170" i="1"/>
  <c r="P170" i="1"/>
  <c r="N171" i="1"/>
  <c r="O171" i="1"/>
  <c r="P171" i="1"/>
  <c r="N172" i="1"/>
  <c r="O172" i="1"/>
  <c r="P172" i="1"/>
  <c r="N173" i="1"/>
  <c r="O173" i="1"/>
  <c r="P173" i="1"/>
  <c r="N174" i="1"/>
  <c r="O174" i="1"/>
  <c r="P174" i="1"/>
  <c r="N175" i="1"/>
  <c r="O175" i="1"/>
  <c r="P175" i="1"/>
  <c r="N176" i="1"/>
  <c r="O176" i="1"/>
  <c r="P176" i="1"/>
  <c r="N177" i="1"/>
  <c r="O177" i="1"/>
  <c r="P177" i="1"/>
  <c r="N178" i="1"/>
  <c r="O178" i="1"/>
  <c r="P178" i="1"/>
  <c r="N179" i="1"/>
  <c r="O179" i="1"/>
  <c r="P179" i="1"/>
  <c r="N180" i="1"/>
  <c r="O180" i="1"/>
  <c r="P180" i="1"/>
  <c r="N181" i="1"/>
  <c r="O181" i="1"/>
  <c r="P181" i="1"/>
  <c r="N182" i="1"/>
  <c r="O182" i="1"/>
  <c r="P182" i="1"/>
  <c r="O183" i="1"/>
  <c r="P183" i="1"/>
  <c r="N184" i="1"/>
  <c r="O184" i="1"/>
  <c r="P184" i="1"/>
  <c r="N185" i="1"/>
  <c r="O185" i="1"/>
  <c r="P185" i="1"/>
  <c r="N186" i="1"/>
  <c r="O186" i="1"/>
  <c r="P186" i="1"/>
  <c r="N187" i="1"/>
  <c r="O187" i="1"/>
  <c r="P187" i="1"/>
  <c r="N188" i="1"/>
  <c r="O188" i="1"/>
  <c r="P188" i="1"/>
  <c r="N189" i="1"/>
  <c r="O189" i="1"/>
  <c r="P189" i="1"/>
  <c r="N190" i="1"/>
  <c r="O190" i="1"/>
  <c r="P190" i="1"/>
  <c r="N191" i="1"/>
  <c r="O191" i="1"/>
  <c r="P191" i="1"/>
  <c r="N192" i="1"/>
  <c r="O192" i="1"/>
  <c r="P192" i="1"/>
  <c r="N193" i="1"/>
  <c r="O193" i="1"/>
  <c r="P193" i="1"/>
  <c r="N194" i="1"/>
  <c r="O194" i="1"/>
  <c r="P194" i="1"/>
  <c r="N195" i="1"/>
  <c r="O195" i="1"/>
  <c r="P195" i="1"/>
  <c r="N196" i="1"/>
  <c r="O196" i="1"/>
  <c r="P196" i="1"/>
  <c r="N197" i="1"/>
  <c r="O197" i="1"/>
  <c r="P197" i="1"/>
  <c r="N198" i="1"/>
  <c r="O198" i="1"/>
  <c r="P198" i="1"/>
  <c r="N199" i="1"/>
  <c r="O199" i="1"/>
  <c r="P199" i="1"/>
  <c r="N200" i="1"/>
  <c r="O200" i="1"/>
  <c r="P200" i="1"/>
  <c r="N201" i="1"/>
  <c r="O201" i="1"/>
  <c r="P201" i="1"/>
  <c r="N202" i="1"/>
  <c r="O202" i="1"/>
  <c r="P202" i="1"/>
  <c r="N203" i="1"/>
  <c r="O203" i="1"/>
  <c r="P203" i="1"/>
  <c r="N204" i="1"/>
  <c r="O204" i="1"/>
  <c r="P204" i="1"/>
  <c r="N205" i="1"/>
  <c r="O205" i="1"/>
  <c r="P205" i="1"/>
  <c r="N206" i="1"/>
  <c r="O206" i="1"/>
  <c r="P206" i="1"/>
  <c r="N207" i="1"/>
  <c r="O207" i="1"/>
  <c r="P207" i="1"/>
  <c r="N208" i="1"/>
  <c r="O208" i="1"/>
  <c r="P208" i="1"/>
  <c r="N209" i="1"/>
  <c r="O209" i="1"/>
  <c r="P209" i="1"/>
  <c r="N210" i="1"/>
  <c r="O210" i="1"/>
  <c r="P210" i="1"/>
  <c r="N211" i="1"/>
  <c r="O211" i="1"/>
  <c r="P211" i="1"/>
  <c r="N212" i="1"/>
  <c r="O212" i="1"/>
  <c r="P212" i="1"/>
  <c r="N213" i="1"/>
  <c r="O213" i="1"/>
  <c r="P213" i="1"/>
  <c r="N214" i="1"/>
  <c r="O214" i="1"/>
  <c r="P214" i="1"/>
  <c r="N215" i="1"/>
  <c r="O215" i="1"/>
  <c r="P215" i="1"/>
  <c r="N216" i="1"/>
  <c r="O216" i="1"/>
  <c r="P216" i="1"/>
  <c r="N217" i="1"/>
  <c r="O217" i="1"/>
  <c r="P217" i="1"/>
  <c r="N218" i="1"/>
  <c r="O218" i="1"/>
  <c r="P218" i="1"/>
  <c r="N219" i="1"/>
  <c r="O219" i="1"/>
  <c r="P219" i="1"/>
  <c r="N220" i="1"/>
  <c r="O220" i="1"/>
  <c r="P220" i="1"/>
  <c r="N221" i="1"/>
  <c r="O221" i="1"/>
  <c r="P221" i="1"/>
  <c r="N222" i="1"/>
  <c r="O222" i="1"/>
  <c r="P222" i="1"/>
  <c r="N223" i="1"/>
  <c r="O223" i="1"/>
  <c r="P223" i="1"/>
  <c r="N224" i="1"/>
  <c r="O224" i="1"/>
  <c r="P224" i="1"/>
  <c r="N225" i="1"/>
  <c r="O225" i="1"/>
  <c r="P225" i="1"/>
  <c r="N226" i="1"/>
  <c r="O226" i="1"/>
  <c r="P226" i="1"/>
  <c r="N227" i="1"/>
  <c r="O227" i="1"/>
  <c r="P227" i="1"/>
  <c r="N228" i="1"/>
  <c r="O228" i="1"/>
  <c r="P228" i="1"/>
  <c r="N229" i="1"/>
  <c r="O229" i="1"/>
  <c r="P229" i="1"/>
  <c r="N230" i="1"/>
  <c r="O230" i="1"/>
  <c r="P230" i="1"/>
  <c r="N231" i="1"/>
  <c r="O231" i="1"/>
  <c r="P231" i="1"/>
  <c r="N232" i="1"/>
  <c r="O232" i="1"/>
  <c r="P232" i="1"/>
  <c r="N233" i="1"/>
  <c r="O233" i="1"/>
  <c r="P233" i="1"/>
  <c r="N234" i="1"/>
  <c r="O234" i="1"/>
  <c r="P234" i="1"/>
  <c r="N235" i="1"/>
  <c r="O235" i="1"/>
  <c r="P235" i="1"/>
  <c r="N236" i="1"/>
  <c r="O236" i="1"/>
  <c r="P236" i="1"/>
  <c r="N237" i="1"/>
  <c r="O237" i="1"/>
  <c r="P237" i="1"/>
  <c r="N238" i="1"/>
  <c r="O238" i="1"/>
  <c r="P238" i="1"/>
  <c r="N239" i="1"/>
  <c r="O239" i="1"/>
  <c r="P239" i="1"/>
  <c r="N240" i="1"/>
  <c r="O240" i="1"/>
  <c r="P240" i="1"/>
  <c r="N241" i="1"/>
  <c r="O241" i="1"/>
  <c r="P241" i="1"/>
  <c r="N242" i="1"/>
  <c r="O242" i="1"/>
  <c r="P242" i="1"/>
  <c r="N243" i="1"/>
  <c r="O243" i="1"/>
  <c r="P243" i="1"/>
  <c r="N244" i="1"/>
  <c r="O244" i="1"/>
  <c r="P244" i="1"/>
  <c r="N245" i="1"/>
  <c r="O245" i="1"/>
  <c r="P245" i="1"/>
  <c r="N246" i="1"/>
  <c r="O246" i="1"/>
  <c r="P246" i="1"/>
  <c r="N247" i="1"/>
  <c r="O247" i="1"/>
  <c r="P247" i="1"/>
  <c r="L280" i="1" l="1"/>
  <c r="L284" i="1"/>
  <c r="L281" i="1"/>
  <c r="L364" i="1"/>
  <c r="K363" i="1"/>
  <c r="L319" i="1"/>
  <c r="K319" i="1"/>
  <c r="K317" i="1"/>
  <c r="L317" i="1"/>
  <c r="L314" i="1"/>
  <c r="K314" i="1"/>
  <c r="L318" i="1"/>
  <c r="K318" i="1"/>
  <c r="L344" i="1"/>
  <c r="K344" i="1"/>
  <c r="L254" i="1"/>
  <c r="K254" i="1"/>
  <c r="L255" i="1"/>
  <c r="K255" i="1"/>
  <c r="L256" i="1"/>
  <c r="K256" i="1"/>
  <c r="K257" i="1"/>
  <c r="L257" i="1"/>
  <c r="K258" i="1"/>
  <c r="L258" i="1"/>
  <c r="K259" i="1"/>
  <c r="L259" i="1"/>
  <c r="K260" i="1"/>
  <c r="L260" i="1"/>
  <c r="L261" i="1"/>
  <c r="K261" i="1"/>
  <c r="L262" i="1"/>
  <c r="K262" i="1"/>
  <c r="L263" i="1"/>
  <c r="K263" i="1"/>
  <c r="K264" i="1"/>
  <c r="L264" i="1"/>
  <c r="K265" i="1"/>
  <c r="L265" i="1"/>
  <c r="K266" i="1"/>
  <c r="L266" i="1"/>
  <c r="L267" i="1"/>
  <c r="K267" i="1"/>
  <c r="K268" i="1"/>
  <c r="L268" i="1"/>
  <c r="L269" i="1"/>
  <c r="K269" i="1"/>
  <c r="K270" i="1"/>
  <c r="L270" i="1"/>
  <c r="L271" i="1"/>
  <c r="K271" i="1"/>
  <c r="L272" i="1"/>
  <c r="K272" i="1"/>
  <c r="L273" i="1"/>
  <c r="K273" i="1"/>
  <c r="K274" i="1"/>
  <c r="L274" i="1"/>
  <c r="K275" i="1"/>
  <c r="L275" i="1"/>
  <c r="K277" i="1"/>
  <c r="L277" i="1"/>
  <c r="L278" i="1"/>
  <c r="K278" i="1"/>
  <c r="L279" i="1"/>
  <c r="K279" i="1"/>
  <c r="L285" i="1"/>
  <c r="K285" i="1"/>
  <c r="L286" i="1"/>
  <c r="K286" i="1"/>
  <c r="L287" i="1"/>
  <c r="K287" i="1"/>
  <c r="L288" i="1"/>
  <c r="K288" i="1"/>
  <c r="L289" i="1"/>
  <c r="K289" i="1"/>
  <c r="L290" i="1"/>
  <c r="K290" i="1"/>
  <c r="L291" i="1"/>
  <c r="K291" i="1"/>
  <c r="L292" i="1"/>
  <c r="K292" i="1"/>
  <c r="L293" i="1"/>
  <c r="K293" i="1"/>
  <c r="L294" i="1"/>
  <c r="K294" i="1"/>
  <c r="L295" i="1"/>
  <c r="K295" i="1"/>
  <c r="L296" i="1"/>
  <c r="K296" i="1"/>
  <c r="L297" i="1"/>
  <c r="K297" i="1"/>
  <c r="L298" i="1"/>
  <c r="K298" i="1"/>
  <c r="L299" i="1"/>
  <c r="K299" i="1"/>
  <c r="L300" i="1"/>
  <c r="K300" i="1"/>
  <c r="L301" i="1"/>
  <c r="K301" i="1"/>
  <c r="L302" i="1"/>
  <c r="K302" i="1"/>
  <c r="L303" i="1"/>
  <c r="K303" i="1"/>
  <c r="L304" i="1"/>
  <c r="K304" i="1"/>
  <c r="L305" i="1"/>
  <c r="K305" i="1"/>
  <c r="L306" i="1"/>
  <c r="K306" i="1"/>
  <c r="L307" i="1"/>
  <c r="K307" i="1"/>
  <c r="L308" i="1"/>
  <c r="K308" i="1"/>
  <c r="L309" i="1"/>
  <c r="K309" i="1"/>
  <c r="L310" i="1"/>
  <c r="K310" i="1"/>
  <c r="L311" i="1"/>
  <c r="K311" i="1"/>
  <c r="L321" i="1"/>
  <c r="K321" i="1"/>
  <c r="L322" i="1"/>
  <c r="K322" i="1"/>
  <c r="L323" i="1"/>
  <c r="K323" i="1"/>
  <c r="L324" i="1"/>
  <c r="K324" i="1"/>
  <c r="L325" i="1"/>
  <c r="K325" i="1"/>
  <c r="L326" i="1"/>
  <c r="K326" i="1"/>
  <c r="L327" i="1"/>
  <c r="K327" i="1"/>
  <c r="L328" i="1"/>
  <c r="K328" i="1"/>
  <c r="L329" i="1"/>
  <c r="K329" i="1"/>
  <c r="L330" i="1"/>
  <c r="K330" i="1"/>
  <c r="L331" i="1"/>
  <c r="K331" i="1"/>
  <c r="L332" i="1"/>
  <c r="K332" i="1"/>
  <c r="L333" i="1"/>
  <c r="K333" i="1"/>
  <c r="L334" i="1"/>
  <c r="K334" i="1"/>
  <c r="L335" i="1"/>
  <c r="K335" i="1"/>
  <c r="L336" i="1"/>
  <c r="K336" i="1"/>
  <c r="L337" i="1"/>
  <c r="K337" i="1"/>
  <c r="L338" i="1"/>
  <c r="K338" i="1"/>
  <c r="L339" i="1"/>
  <c r="K339" i="1"/>
  <c r="L340" i="1"/>
  <c r="K340" i="1"/>
  <c r="L341" i="1"/>
  <c r="K341" i="1"/>
  <c r="L342" i="1"/>
  <c r="K342" i="1"/>
  <c r="L343" i="1"/>
  <c r="K343" i="1"/>
  <c r="L356" i="1"/>
  <c r="K356" i="1"/>
  <c r="L357" i="1"/>
  <c r="K357" i="1"/>
  <c r="L358" i="1"/>
  <c r="K358" i="1"/>
  <c r="L359" i="1"/>
  <c r="K359" i="1"/>
  <c r="L360" i="1"/>
  <c r="K360" i="1"/>
  <c r="L361" i="1"/>
  <c r="K361" i="1"/>
  <c r="L362" i="1"/>
  <c r="K362" i="1"/>
  <c r="L365" i="1"/>
  <c r="K365" i="1"/>
  <c r="L366" i="1"/>
  <c r="K366" i="1"/>
  <c r="L367" i="1"/>
  <c r="K367" i="1"/>
  <c r="Q245" i="1"/>
  <c r="Q239" i="1"/>
  <c r="Q235" i="1"/>
  <c r="Q231" i="1"/>
  <c r="Q219" i="1"/>
  <c r="Q215" i="1"/>
  <c r="R215" i="1" s="1"/>
  <c r="Q212" i="1"/>
  <c r="R212" i="1" s="1"/>
  <c r="Q208" i="1"/>
  <c r="R208" i="1" s="1"/>
  <c r="Q204" i="1"/>
  <c r="Q200" i="1"/>
  <c r="R200" i="1" s="1"/>
  <c r="Q196" i="1"/>
  <c r="Q192" i="1"/>
  <c r="Q188" i="1"/>
  <c r="R188" i="1" s="1"/>
  <c r="Q184" i="1"/>
  <c r="Q177" i="1"/>
  <c r="R177" i="1" s="1"/>
  <c r="Q173" i="1"/>
  <c r="Q165" i="1"/>
  <c r="Q161" i="1"/>
  <c r="R161" i="1" s="1"/>
  <c r="Q149" i="1"/>
  <c r="Q247" i="1"/>
  <c r="J249" i="1" s="1"/>
  <c r="Q243" i="1"/>
  <c r="Q241" i="1"/>
  <c r="Q237" i="1"/>
  <c r="Q229" i="1"/>
  <c r="Q225" i="1"/>
  <c r="Q217" i="1"/>
  <c r="Q214" i="1"/>
  <c r="Q206" i="1"/>
  <c r="Q202" i="1"/>
  <c r="R202" i="1" s="1"/>
  <c r="Q194" i="1"/>
  <c r="Q190" i="1"/>
  <c r="R190" i="1" s="1"/>
  <c r="Q182" i="1"/>
  <c r="Q179" i="1"/>
  <c r="R179" i="1" s="1"/>
  <c r="Q171" i="1"/>
  <c r="Q167" i="1"/>
  <c r="R167" i="1" s="1"/>
  <c r="Q159" i="1"/>
  <c r="R159" i="1" s="1"/>
  <c r="Q155" i="1"/>
  <c r="R155" i="1" s="1"/>
  <c r="Q238" i="1"/>
  <c r="Q230" i="1"/>
  <c r="Q226" i="1"/>
  <c r="Q218" i="1"/>
  <c r="Q207" i="1"/>
  <c r="Q203" i="1"/>
  <c r="Q195" i="1"/>
  <c r="R195" i="1" s="1"/>
  <c r="Q191" i="1"/>
  <c r="Q183" i="1"/>
  <c r="Q172" i="1"/>
  <c r="Q168" i="1"/>
  <c r="R168" i="1" s="1"/>
  <c r="Q160" i="1"/>
  <c r="Q156" i="1"/>
  <c r="R156" i="1" s="1"/>
  <c r="Q232" i="1"/>
  <c r="Q220" i="1"/>
  <c r="R220" i="1" s="1"/>
  <c r="Q209" i="1"/>
  <c r="R209" i="1" s="1"/>
  <c r="Q197" i="1"/>
  <c r="R197" i="1" s="1"/>
  <c r="Q185" i="1"/>
  <c r="Q174" i="1"/>
  <c r="Q170" i="1"/>
  <c r="Q162" i="1"/>
  <c r="Q158" i="1"/>
  <c r="R158" i="1" s="1"/>
  <c r="Q150" i="1"/>
  <c r="Q180" i="1"/>
  <c r="R180" i="1" s="1"/>
  <c r="Q244" i="1"/>
  <c r="Q234" i="1"/>
  <c r="Q228" i="1"/>
  <c r="Q169" i="1"/>
  <c r="Q223" i="1"/>
  <c r="Q193" i="1"/>
  <c r="Q233" i="1"/>
  <c r="Q189" i="1"/>
  <c r="R189" i="1" s="1"/>
  <c r="Q152" i="1"/>
  <c r="R152" i="1" s="1"/>
  <c r="Q164" i="1"/>
  <c r="Q216" i="1"/>
  <c r="Q181" i="1"/>
  <c r="Q166" i="1"/>
  <c r="R166" i="1" s="1"/>
  <c r="Q236" i="1"/>
  <c r="Q176" i="1"/>
  <c r="R176" i="1" s="1"/>
  <c r="Q222" i="1"/>
  <c r="R222" i="1" s="1"/>
  <c r="Q187" i="1"/>
  <c r="Q153" i="1"/>
  <c r="R153" i="1" s="1"/>
  <c r="Q246" i="1"/>
  <c r="Q227" i="1"/>
  <c r="Q210" i="1"/>
  <c r="R210" i="1" s="1"/>
  <c r="Q213" i="1"/>
  <c r="Q154" i="1"/>
  <c r="Q163" i="1"/>
  <c r="Q178" i="1"/>
  <c r="Q175" i="1"/>
  <c r="Q242" i="1"/>
  <c r="Q157" i="1"/>
  <c r="Q221" i="1"/>
  <c r="R221" i="1" s="1"/>
  <c r="Q186" i="1"/>
  <c r="R186" i="1" s="1"/>
  <c r="Q224" i="1"/>
  <c r="Q205" i="1"/>
  <c r="R205" i="1" s="1"/>
  <c r="Q199" i="1"/>
  <c r="Q240" i="1"/>
  <c r="Q211" i="1"/>
  <c r="Q201" i="1"/>
  <c r="Q198" i="1"/>
  <c r="R198" i="1" s="1"/>
  <c r="Q151" i="1"/>
  <c r="H141" i="2"/>
  <c r="H140" i="2"/>
  <c r="H139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C157" i="2"/>
  <c r="C158" i="2"/>
  <c r="C159" i="2"/>
  <c r="C160" i="2"/>
  <c r="D160" i="2"/>
  <c r="H138" i="2"/>
  <c r="H137" i="2"/>
  <c r="H121" i="2"/>
  <c r="H120" i="2"/>
  <c r="H119" i="2"/>
  <c r="H118" i="2"/>
  <c r="D118" i="2"/>
  <c r="D119" i="2"/>
  <c r="C120" i="2"/>
  <c r="D120" i="2"/>
  <c r="C121" i="2"/>
  <c r="D121" i="2"/>
  <c r="D140" i="2"/>
  <c r="C141" i="2"/>
  <c r="H117" i="2"/>
  <c r="N132" i="1"/>
  <c r="O132" i="1"/>
  <c r="P132" i="1"/>
  <c r="N133" i="1"/>
  <c r="O133" i="1"/>
  <c r="P133" i="1"/>
  <c r="N134" i="1"/>
  <c r="O134" i="1"/>
  <c r="P134" i="1"/>
  <c r="N136" i="1"/>
  <c r="O136" i="1"/>
  <c r="P136" i="1"/>
  <c r="N137" i="1"/>
  <c r="O137" i="1"/>
  <c r="P137" i="1"/>
  <c r="N138" i="1"/>
  <c r="O138" i="1"/>
  <c r="P138" i="1"/>
  <c r="N139" i="1"/>
  <c r="O139" i="1"/>
  <c r="P139" i="1"/>
  <c r="N140" i="1"/>
  <c r="O140" i="1"/>
  <c r="P140" i="1"/>
  <c r="N141" i="1"/>
  <c r="O141" i="1"/>
  <c r="P141" i="1"/>
  <c r="N142" i="1"/>
  <c r="O142" i="1"/>
  <c r="P142" i="1"/>
  <c r="N143" i="1"/>
  <c r="O143" i="1"/>
  <c r="P143" i="1"/>
  <c r="N144" i="1"/>
  <c r="O144" i="1"/>
  <c r="P144" i="1"/>
  <c r="N145" i="1"/>
  <c r="O145" i="1"/>
  <c r="P145" i="1"/>
  <c r="N146" i="1"/>
  <c r="O146" i="1"/>
  <c r="P146" i="1"/>
  <c r="N147" i="1"/>
  <c r="O147" i="1"/>
  <c r="P147" i="1"/>
  <c r="N148" i="1"/>
  <c r="O148" i="1"/>
  <c r="P148" i="1"/>
  <c r="C79" i="2"/>
  <c r="D79" i="2"/>
  <c r="H79" i="2"/>
  <c r="C80" i="2"/>
  <c r="D80" i="2"/>
  <c r="H80" i="2"/>
  <c r="C81" i="2"/>
  <c r="D81" i="2"/>
  <c r="H81" i="2"/>
  <c r="C82" i="2"/>
  <c r="D82" i="2"/>
  <c r="H82" i="2"/>
  <c r="C83" i="2"/>
  <c r="D83" i="2"/>
  <c r="H83" i="2"/>
  <c r="C84" i="2"/>
  <c r="D84" i="2"/>
  <c r="H84" i="2"/>
  <c r="C85" i="2"/>
  <c r="D85" i="2"/>
  <c r="H85" i="2"/>
  <c r="C86" i="2"/>
  <c r="D86" i="2"/>
  <c r="H86" i="2"/>
  <c r="C87" i="2"/>
  <c r="D87" i="2"/>
  <c r="H87" i="2"/>
  <c r="C88" i="2"/>
  <c r="D88" i="2"/>
  <c r="H88" i="2"/>
  <c r="C89" i="2"/>
  <c r="D89" i="2"/>
  <c r="H89" i="2"/>
  <c r="C90" i="2"/>
  <c r="D90" i="2"/>
  <c r="H90" i="2"/>
  <c r="C91" i="2"/>
  <c r="D91" i="2"/>
  <c r="H91" i="2"/>
  <c r="C92" i="2"/>
  <c r="D92" i="2"/>
  <c r="H92" i="2"/>
  <c r="C93" i="2"/>
  <c r="D93" i="2"/>
  <c r="H93" i="2"/>
  <c r="C94" i="2"/>
  <c r="D94" i="2"/>
  <c r="H94" i="2"/>
  <c r="C95" i="2"/>
  <c r="D95" i="2"/>
  <c r="H95" i="2"/>
  <c r="C96" i="2"/>
  <c r="D96" i="2"/>
  <c r="H96" i="2"/>
  <c r="C97" i="2"/>
  <c r="D97" i="2"/>
  <c r="H97" i="2"/>
  <c r="C98" i="2"/>
  <c r="D98" i="2"/>
  <c r="H98" i="2"/>
  <c r="C99" i="2"/>
  <c r="D99" i="2"/>
  <c r="H99" i="2"/>
  <c r="C100" i="2"/>
  <c r="D100" i="2"/>
  <c r="H100" i="2"/>
  <c r="C101" i="2"/>
  <c r="D101" i="2"/>
  <c r="H101" i="2"/>
  <c r="C102" i="2"/>
  <c r="D102" i="2"/>
  <c r="H102" i="2"/>
  <c r="C103" i="2"/>
  <c r="D103" i="2"/>
  <c r="H103" i="2"/>
  <c r="C104" i="2"/>
  <c r="D104" i="2"/>
  <c r="H104" i="2"/>
  <c r="S135" i="1" s="1"/>
  <c r="C105" i="2"/>
  <c r="D105" i="2"/>
  <c r="H105" i="2"/>
  <c r="S249" i="1" s="1"/>
  <c r="C106" i="2"/>
  <c r="D106" i="2"/>
  <c r="H106" i="2"/>
  <c r="S252" i="1" s="1"/>
  <c r="C107" i="2"/>
  <c r="D107" i="2"/>
  <c r="H107" i="2"/>
  <c r="C108" i="2"/>
  <c r="D108" i="2"/>
  <c r="H108" i="2"/>
  <c r="C109" i="2"/>
  <c r="D109" i="2"/>
  <c r="H109" i="2"/>
  <c r="C110" i="2"/>
  <c r="D110" i="2"/>
  <c r="H110" i="2"/>
  <c r="C111" i="2"/>
  <c r="D111" i="2"/>
  <c r="H111" i="2"/>
  <c r="C112" i="2"/>
  <c r="D112" i="2"/>
  <c r="H112" i="2"/>
  <c r="C113" i="2"/>
  <c r="D113" i="2"/>
  <c r="H113" i="2"/>
  <c r="C114" i="2"/>
  <c r="D114" i="2"/>
  <c r="H114" i="2"/>
  <c r="C115" i="2"/>
  <c r="D115" i="2"/>
  <c r="H115" i="2"/>
  <c r="C122" i="2"/>
  <c r="D122" i="2"/>
  <c r="H122" i="2"/>
  <c r="C123" i="2"/>
  <c r="D123" i="2"/>
  <c r="H123" i="2"/>
  <c r="C124" i="2"/>
  <c r="D124" i="2"/>
  <c r="H124" i="2"/>
  <c r="C125" i="2"/>
  <c r="D125" i="2"/>
  <c r="H125" i="2"/>
  <c r="C126" i="2"/>
  <c r="D126" i="2"/>
  <c r="H126" i="2"/>
  <c r="C127" i="2"/>
  <c r="D127" i="2"/>
  <c r="H127" i="2"/>
  <c r="C128" i="2"/>
  <c r="D128" i="2"/>
  <c r="H128" i="2"/>
  <c r="C129" i="2"/>
  <c r="D129" i="2"/>
  <c r="H129" i="2"/>
  <c r="C130" i="2"/>
  <c r="D130" i="2"/>
  <c r="H130" i="2"/>
  <c r="D131" i="2"/>
  <c r="H131" i="2"/>
  <c r="D132" i="2"/>
  <c r="H132" i="2"/>
  <c r="D133" i="2"/>
  <c r="H133" i="2"/>
  <c r="S162" i="1" s="1"/>
  <c r="D134" i="2"/>
  <c r="H134" i="2"/>
  <c r="D135" i="2"/>
  <c r="H135" i="2"/>
  <c r="D136" i="2"/>
  <c r="H136" i="2"/>
  <c r="D116" i="2"/>
  <c r="H116" i="2"/>
  <c r="D117" i="2"/>
  <c r="C47" i="2"/>
  <c r="D47" i="2"/>
  <c r="H47" i="2"/>
  <c r="C48" i="2"/>
  <c r="D48" i="2"/>
  <c r="H48" i="2"/>
  <c r="C49" i="2"/>
  <c r="D49" i="2"/>
  <c r="H49" i="2"/>
  <c r="C50" i="2"/>
  <c r="D50" i="2"/>
  <c r="H50" i="2"/>
  <c r="C51" i="2"/>
  <c r="D51" i="2"/>
  <c r="H51" i="2"/>
  <c r="C52" i="2"/>
  <c r="D52" i="2"/>
  <c r="H52" i="2"/>
  <c r="C53" i="2"/>
  <c r="D53" i="2"/>
  <c r="H53" i="2"/>
  <c r="C54" i="2"/>
  <c r="D54" i="2"/>
  <c r="H54" i="2"/>
  <c r="C55" i="2"/>
  <c r="D55" i="2"/>
  <c r="H55" i="2"/>
  <c r="C56" i="2"/>
  <c r="D56" i="2"/>
  <c r="H56" i="2"/>
  <c r="C57" i="2"/>
  <c r="D57" i="2"/>
  <c r="H57" i="2"/>
  <c r="C58" i="2"/>
  <c r="D58" i="2"/>
  <c r="H58" i="2"/>
  <c r="C59" i="2"/>
  <c r="D59" i="2"/>
  <c r="H59" i="2"/>
  <c r="C60" i="2"/>
  <c r="D60" i="2"/>
  <c r="H60" i="2"/>
  <c r="C61" i="2"/>
  <c r="D61" i="2"/>
  <c r="H61" i="2"/>
  <c r="C62" i="2"/>
  <c r="D62" i="2"/>
  <c r="H62" i="2"/>
  <c r="C63" i="2"/>
  <c r="H63" i="2"/>
  <c r="C64" i="2"/>
  <c r="D64" i="2"/>
  <c r="H64" i="2"/>
  <c r="C65" i="2"/>
  <c r="D65" i="2"/>
  <c r="H65" i="2"/>
  <c r="C66" i="2"/>
  <c r="D66" i="2"/>
  <c r="H66" i="2"/>
  <c r="C67" i="2"/>
  <c r="D67" i="2"/>
  <c r="H67" i="2"/>
  <c r="C68" i="2"/>
  <c r="D68" i="2"/>
  <c r="H68" i="2"/>
  <c r="C69" i="2"/>
  <c r="D69" i="2"/>
  <c r="H69" i="2"/>
  <c r="C70" i="2"/>
  <c r="D70" i="2"/>
  <c r="H70" i="2"/>
  <c r="C71" i="2"/>
  <c r="D71" i="2"/>
  <c r="H71" i="2"/>
  <c r="C72" i="2"/>
  <c r="D72" i="2"/>
  <c r="H72" i="2"/>
  <c r="C73" i="2"/>
  <c r="D73" i="2"/>
  <c r="H73" i="2"/>
  <c r="C74" i="2"/>
  <c r="D74" i="2"/>
  <c r="H74" i="2"/>
  <c r="C75" i="2"/>
  <c r="D75" i="2"/>
  <c r="H75" i="2"/>
  <c r="C76" i="2"/>
  <c r="D76" i="2"/>
  <c r="H76" i="2"/>
  <c r="C77" i="2"/>
  <c r="D77" i="2"/>
  <c r="H77" i="2"/>
  <c r="C78" i="2"/>
  <c r="D78" i="2"/>
  <c r="H78" i="2"/>
  <c r="C46" i="2"/>
  <c r="H46" i="2"/>
  <c r="D23" i="2"/>
  <c r="D24" i="2"/>
  <c r="D25" i="2"/>
  <c r="D26" i="2"/>
  <c r="D27" i="2"/>
  <c r="D28" i="2"/>
  <c r="D29" i="2"/>
  <c r="D30" i="2"/>
  <c r="D31" i="2"/>
  <c r="D32" i="2"/>
  <c r="D3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N129" i="1"/>
  <c r="N130" i="1"/>
  <c r="N131" i="1"/>
  <c r="N82" i="1"/>
  <c r="O82" i="1"/>
  <c r="P82" i="1"/>
  <c r="N83" i="1"/>
  <c r="O83" i="1"/>
  <c r="P83" i="1"/>
  <c r="N84" i="1"/>
  <c r="O84" i="1"/>
  <c r="P84" i="1"/>
  <c r="N85" i="1"/>
  <c r="O85" i="1"/>
  <c r="P85" i="1"/>
  <c r="N86" i="1"/>
  <c r="O86" i="1"/>
  <c r="P86" i="1"/>
  <c r="N87" i="1"/>
  <c r="O87" i="1"/>
  <c r="P87" i="1"/>
  <c r="N88" i="1"/>
  <c r="O88" i="1"/>
  <c r="P88" i="1"/>
  <c r="N89" i="1"/>
  <c r="O89" i="1"/>
  <c r="P89" i="1"/>
  <c r="N90" i="1"/>
  <c r="O90" i="1"/>
  <c r="P90" i="1"/>
  <c r="N91" i="1"/>
  <c r="O91" i="1"/>
  <c r="P91" i="1"/>
  <c r="N92" i="1"/>
  <c r="O92" i="1"/>
  <c r="P92" i="1"/>
  <c r="N93" i="1"/>
  <c r="O93" i="1"/>
  <c r="P93" i="1"/>
  <c r="N94" i="1"/>
  <c r="O94" i="1"/>
  <c r="P94" i="1"/>
  <c r="N95" i="1"/>
  <c r="O95" i="1"/>
  <c r="P95" i="1"/>
  <c r="N96" i="1"/>
  <c r="O96" i="1"/>
  <c r="P96" i="1"/>
  <c r="N97" i="1"/>
  <c r="O97" i="1"/>
  <c r="P97" i="1"/>
  <c r="N98" i="1"/>
  <c r="O98" i="1"/>
  <c r="P98" i="1"/>
  <c r="N99" i="1"/>
  <c r="O99" i="1"/>
  <c r="P99" i="1"/>
  <c r="N100" i="1"/>
  <c r="O100" i="1"/>
  <c r="P100" i="1"/>
  <c r="N101" i="1"/>
  <c r="O101" i="1"/>
  <c r="P101" i="1"/>
  <c r="N102" i="1"/>
  <c r="O102" i="1"/>
  <c r="P102" i="1"/>
  <c r="N103" i="1"/>
  <c r="O103" i="1"/>
  <c r="P103" i="1"/>
  <c r="N104" i="1"/>
  <c r="O104" i="1"/>
  <c r="P104" i="1"/>
  <c r="N105" i="1"/>
  <c r="O105" i="1"/>
  <c r="P105" i="1"/>
  <c r="N106" i="1"/>
  <c r="O106" i="1"/>
  <c r="P106" i="1"/>
  <c r="N107" i="1"/>
  <c r="O107" i="1"/>
  <c r="P107" i="1"/>
  <c r="N108" i="1"/>
  <c r="O108" i="1"/>
  <c r="P108" i="1"/>
  <c r="N109" i="1"/>
  <c r="O109" i="1"/>
  <c r="P109" i="1"/>
  <c r="N110" i="1"/>
  <c r="O110" i="1"/>
  <c r="P110" i="1"/>
  <c r="N111" i="1"/>
  <c r="O111" i="1"/>
  <c r="P111" i="1"/>
  <c r="N112" i="1"/>
  <c r="O112" i="1"/>
  <c r="P112" i="1"/>
  <c r="N113" i="1"/>
  <c r="O113" i="1"/>
  <c r="P113" i="1"/>
  <c r="N114" i="1"/>
  <c r="O114" i="1"/>
  <c r="P114" i="1"/>
  <c r="N115" i="1"/>
  <c r="O115" i="1"/>
  <c r="P115" i="1"/>
  <c r="N116" i="1"/>
  <c r="O116" i="1"/>
  <c r="P116" i="1"/>
  <c r="N117" i="1"/>
  <c r="O117" i="1"/>
  <c r="P117" i="1"/>
  <c r="N118" i="1"/>
  <c r="O118" i="1"/>
  <c r="P118" i="1"/>
  <c r="N119" i="1"/>
  <c r="O119" i="1"/>
  <c r="P119" i="1"/>
  <c r="N120" i="1"/>
  <c r="O120" i="1"/>
  <c r="P120" i="1"/>
  <c r="N121" i="1"/>
  <c r="O121" i="1"/>
  <c r="P121" i="1"/>
  <c r="N122" i="1"/>
  <c r="O122" i="1"/>
  <c r="P122" i="1"/>
  <c r="N123" i="1"/>
  <c r="O123" i="1"/>
  <c r="P123" i="1"/>
  <c r="N124" i="1"/>
  <c r="O124" i="1"/>
  <c r="P124" i="1"/>
  <c r="N125" i="1"/>
  <c r="O125" i="1"/>
  <c r="P125" i="1"/>
  <c r="N126" i="1"/>
  <c r="O126" i="1"/>
  <c r="P126" i="1"/>
  <c r="N127" i="1"/>
  <c r="O127" i="1"/>
  <c r="P127" i="1"/>
  <c r="N128" i="1"/>
  <c r="O128" i="1"/>
  <c r="P128" i="1"/>
  <c r="O129" i="1"/>
  <c r="P129" i="1"/>
  <c r="O130" i="1"/>
  <c r="P130" i="1"/>
  <c r="O131" i="1"/>
  <c r="P131" i="1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D22" i="2"/>
  <c r="D19" i="2"/>
  <c r="H19" i="2"/>
  <c r="D20" i="2"/>
  <c r="H20" i="2"/>
  <c r="D21" i="2"/>
  <c r="H21" i="2"/>
  <c r="H22" i="2"/>
  <c r="N14" i="1"/>
  <c r="P14" i="1"/>
  <c r="D15" i="2"/>
  <c r="D16" i="2"/>
  <c r="D17" i="2"/>
  <c r="N32" i="1"/>
  <c r="P32" i="1"/>
  <c r="P45" i="1"/>
  <c r="P37" i="1"/>
  <c r="P33" i="1"/>
  <c r="P34" i="1"/>
  <c r="N23" i="1"/>
  <c r="P23" i="1"/>
  <c r="N24" i="1"/>
  <c r="P24" i="1"/>
  <c r="N25" i="1"/>
  <c r="P25" i="1"/>
  <c r="D34" i="2"/>
  <c r="D35" i="2"/>
  <c r="D36" i="2"/>
  <c r="D37" i="2"/>
  <c r="D38" i="2"/>
  <c r="D39" i="2"/>
  <c r="D40" i="2"/>
  <c r="O2" i="1"/>
  <c r="P27" i="1"/>
  <c r="D6" i="2"/>
  <c r="D7" i="2"/>
  <c r="D8" i="2"/>
  <c r="D9" i="2"/>
  <c r="D12" i="2"/>
  <c r="D13" i="2"/>
  <c r="D14" i="2"/>
  <c r="D18" i="2"/>
  <c r="D11" i="2" s="1"/>
  <c r="D41" i="2"/>
  <c r="D42" i="2"/>
  <c r="D43" i="2"/>
  <c r="D44" i="2"/>
  <c r="D45" i="2"/>
  <c r="D5" i="2"/>
  <c r="D4" i="2"/>
  <c r="N45" i="1"/>
  <c r="N33" i="1"/>
  <c r="N34" i="1"/>
  <c r="N35" i="1"/>
  <c r="N36" i="1"/>
  <c r="N37" i="1"/>
  <c r="U252" i="1" l="1"/>
  <c r="T252" i="1"/>
  <c r="R214" i="1"/>
  <c r="J215" i="1"/>
  <c r="S250" i="1"/>
  <c r="U250" i="1" s="1"/>
  <c r="S251" i="1"/>
  <c r="U249" i="1"/>
  <c r="T249" i="1"/>
  <c r="J244" i="1"/>
  <c r="J160" i="1"/>
  <c r="L160" i="1" s="1"/>
  <c r="J161" i="1"/>
  <c r="S233" i="1"/>
  <c r="S235" i="1"/>
  <c r="S228" i="1"/>
  <c r="S185" i="1"/>
  <c r="U185" i="1" s="1"/>
  <c r="S243" i="1"/>
  <c r="S246" i="1"/>
  <c r="U246" i="1" s="1"/>
  <c r="S241" i="1"/>
  <c r="S248" i="1"/>
  <c r="S244" i="1"/>
  <c r="U244" i="1" s="1"/>
  <c r="R204" i="1"/>
  <c r="J207" i="1"/>
  <c r="L207" i="1" s="1"/>
  <c r="S210" i="1"/>
  <c r="U210" i="1" s="1"/>
  <c r="S238" i="1"/>
  <c r="U238" i="1" s="1"/>
  <c r="S247" i="1"/>
  <c r="U247" i="1" s="1"/>
  <c r="S240" i="1"/>
  <c r="U240" i="1" s="1"/>
  <c r="S242" i="1"/>
  <c r="U242" i="1" s="1"/>
  <c r="R185" i="1"/>
  <c r="J209" i="1"/>
  <c r="K209" i="1" s="1"/>
  <c r="J201" i="1"/>
  <c r="L201" i="1" s="1"/>
  <c r="J179" i="1"/>
  <c r="K179" i="1" s="1"/>
  <c r="S245" i="1"/>
  <c r="T245" i="1" s="1"/>
  <c r="S230" i="1"/>
  <c r="S204" i="1"/>
  <c r="S206" i="1"/>
  <c r="S239" i="1"/>
  <c r="S236" i="1"/>
  <c r="S232" i="1"/>
  <c r="S154" i="1"/>
  <c r="S152" i="1"/>
  <c r="S205" i="1"/>
  <c r="S224" i="1"/>
  <c r="S225" i="1"/>
  <c r="S212" i="1"/>
  <c r="S203" i="1"/>
  <c r="S202" i="1"/>
  <c r="S231" i="1"/>
  <c r="S214" i="1"/>
  <c r="S227" i="1"/>
  <c r="S213" i="1"/>
  <c r="S229" i="1"/>
  <c r="S216" i="1"/>
  <c r="S234" i="1"/>
  <c r="S223" i="1"/>
  <c r="S237" i="1"/>
  <c r="L205" i="1"/>
  <c r="R183" i="1"/>
  <c r="R182" i="1"/>
  <c r="R175" i="1"/>
  <c r="J195" i="1"/>
  <c r="K195" i="1" s="1"/>
  <c r="R165" i="1"/>
  <c r="J185" i="1"/>
  <c r="R162" i="1"/>
  <c r="J182" i="1"/>
  <c r="R163" i="1"/>
  <c r="J183" i="1"/>
  <c r="R160" i="1"/>
  <c r="R237" i="1"/>
  <c r="R232" i="1"/>
  <c r="R234" i="1"/>
  <c r="R233" i="1"/>
  <c r="R245" i="1"/>
  <c r="J177" i="1"/>
  <c r="K177" i="1" s="1"/>
  <c r="R235" i="1"/>
  <c r="R243" i="1"/>
  <c r="J176" i="1"/>
  <c r="K176" i="1" s="1"/>
  <c r="R218" i="1"/>
  <c r="R223" i="1"/>
  <c r="R236" i="1"/>
  <c r="R246" i="1"/>
  <c r="J206" i="1"/>
  <c r="K206" i="1" s="1"/>
  <c r="S151" i="1"/>
  <c r="U151" i="1" s="1"/>
  <c r="S208" i="1"/>
  <c r="T208" i="1" s="1"/>
  <c r="S197" i="1"/>
  <c r="T197" i="1" s="1"/>
  <c r="S198" i="1"/>
  <c r="U198" i="1" s="1"/>
  <c r="S199" i="1"/>
  <c r="U199" i="1" s="1"/>
  <c r="S160" i="1"/>
  <c r="U160" i="1" s="1"/>
  <c r="S215" i="1"/>
  <c r="T215" i="1" s="1"/>
  <c r="S222" i="1"/>
  <c r="U222" i="1" s="1"/>
  <c r="S201" i="1"/>
  <c r="U201" i="1" s="1"/>
  <c r="S226" i="1"/>
  <c r="U226" i="1" s="1"/>
  <c r="S211" i="1"/>
  <c r="T211" i="1" s="1"/>
  <c r="S209" i="1"/>
  <c r="U209" i="1" s="1"/>
  <c r="S207" i="1"/>
  <c r="U207" i="1" s="1"/>
  <c r="R225" i="1"/>
  <c r="R230" i="1"/>
  <c r="R227" i="1"/>
  <c r="S196" i="1"/>
  <c r="S168" i="1"/>
  <c r="S200" i="1"/>
  <c r="S191" i="1"/>
  <c r="S217" i="1"/>
  <c r="S193" i="1"/>
  <c r="S219" i="1"/>
  <c r="S194" i="1"/>
  <c r="S195" i="1"/>
  <c r="S221" i="1"/>
  <c r="S192" i="1"/>
  <c r="S218" i="1"/>
  <c r="J211" i="1"/>
  <c r="K211" i="1" s="1"/>
  <c r="J214" i="1"/>
  <c r="K214" i="1" s="1"/>
  <c r="S181" i="1"/>
  <c r="U181" i="1" s="1"/>
  <c r="S176" i="1"/>
  <c r="U176" i="1" s="1"/>
  <c r="S161" i="1"/>
  <c r="U161" i="1" s="1"/>
  <c r="S156" i="1"/>
  <c r="U156" i="1" s="1"/>
  <c r="S179" i="1"/>
  <c r="T179" i="1" s="1"/>
  <c r="S177" i="1"/>
  <c r="U177" i="1" s="1"/>
  <c r="S190" i="1"/>
  <c r="U190" i="1" s="1"/>
  <c r="S182" i="1"/>
  <c r="U182" i="1" s="1"/>
  <c r="S167" i="1"/>
  <c r="U167" i="1" s="1"/>
  <c r="S169" i="1"/>
  <c r="U169" i="1" s="1"/>
  <c r="S171" i="1"/>
  <c r="U171" i="1" s="1"/>
  <c r="S150" i="1"/>
  <c r="U150" i="1" s="1"/>
  <c r="S158" i="1"/>
  <c r="U158" i="1" s="1"/>
  <c r="S174" i="1"/>
  <c r="U174" i="1" s="1"/>
  <c r="S180" i="1"/>
  <c r="U180" i="1" s="1"/>
  <c r="S149" i="1"/>
  <c r="U149" i="1" s="1"/>
  <c r="S170" i="1"/>
  <c r="U170" i="1" s="1"/>
  <c r="S184" i="1"/>
  <c r="T184" i="1" s="1"/>
  <c r="S159" i="1"/>
  <c r="U159" i="1" s="1"/>
  <c r="S188" i="1"/>
  <c r="U188" i="1" s="1"/>
  <c r="S183" i="1"/>
  <c r="U183" i="1" s="1"/>
  <c r="S165" i="1"/>
  <c r="U165" i="1" s="1"/>
  <c r="S172" i="1"/>
  <c r="U172" i="1" s="1"/>
  <c r="S163" i="1"/>
  <c r="U163" i="1" s="1"/>
  <c r="S166" i="1"/>
  <c r="U166" i="1" s="1"/>
  <c r="S153" i="1"/>
  <c r="U153" i="1" s="1"/>
  <c r="S189" i="1"/>
  <c r="U189" i="1" s="1"/>
  <c r="S187" i="1"/>
  <c r="U187" i="1" s="1"/>
  <c r="S175" i="1"/>
  <c r="U175" i="1" s="1"/>
  <c r="S173" i="1"/>
  <c r="U173" i="1" s="1"/>
  <c r="S186" i="1"/>
  <c r="U186" i="1" s="1"/>
  <c r="S178" i="1"/>
  <c r="U178" i="1" s="1"/>
  <c r="S157" i="1"/>
  <c r="U157" i="1" s="1"/>
  <c r="S164" i="1"/>
  <c r="U164" i="1" s="1"/>
  <c r="S155" i="1"/>
  <c r="U155" i="1" s="1"/>
  <c r="S142" i="1"/>
  <c r="U142" i="1" s="1"/>
  <c r="S146" i="1"/>
  <c r="U146" i="1" s="1"/>
  <c r="J217" i="1"/>
  <c r="S91" i="1"/>
  <c r="U91" i="1" s="1"/>
  <c r="S138" i="1"/>
  <c r="U138" i="1" s="1"/>
  <c r="S89" i="1"/>
  <c r="U89" i="1" s="1"/>
  <c r="R184" i="1"/>
  <c r="R149" i="1"/>
  <c r="J197" i="1"/>
  <c r="L197" i="1" s="1"/>
  <c r="J229" i="1"/>
  <c r="R241" i="1"/>
  <c r="R239" i="1"/>
  <c r="R173" i="1"/>
  <c r="R247" i="1"/>
  <c r="R231" i="1"/>
  <c r="T162" i="1"/>
  <c r="R229" i="1"/>
  <c r="R170" i="1"/>
  <c r="R196" i="1"/>
  <c r="R169" i="1"/>
  <c r="R178" i="1"/>
  <c r="J234" i="1"/>
  <c r="R171" i="1"/>
  <c r="R192" i="1"/>
  <c r="R217" i="1"/>
  <c r="R238" i="1"/>
  <c r="R194" i="1"/>
  <c r="R206" i="1"/>
  <c r="J239" i="1"/>
  <c r="R172" i="1"/>
  <c r="R219" i="1"/>
  <c r="J170" i="1"/>
  <c r="K170" i="1" s="1"/>
  <c r="R174" i="1"/>
  <c r="R226" i="1"/>
  <c r="R242" i="1"/>
  <c r="R203" i="1"/>
  <c r="R211" i="1"/>
  <c r="R191" i="1"/>
  <c r="R207" i="1"/>
  <c r="R150" i="1"/>
  <c r="R213" i="1"/>
  <c r="R193" i="1"/>
  <c r="R154" i="1"/>
  <c r="R244" i="1"/>
  <c r="R201" i="1"/>
  <c r="J245" i="1"/>
  <c r="L245" i="1" s="1"/>
  <c r="R199" i="1"/>
  <c r="R228" i="1"/>
  <c r="R240" i="1"/>
  <c r="J219" i="1"/>
  <c r="R224" i="1"/>
  <c r="R216" i="1"/>
  <c r="J218" i="1"/>
  <c r="J237" i="1"/>
  <c r="L237" i="1" s="1"/>
  <c r="R187" i="1"/>
  <c r="J230" i="1"/>
  <c r="L230" i="1" s="1"/>
  <c r="R157" i="1"/>
  <c r="J247" i="1"/>
  <c r="L247" i="1" s="1"/>
  <c r="R164" i="1"/>
  <c r="R181" i="1"/>
  <c r="U162" i="1"/>
  <c r="R151" i="1"/>
  <c r="S132" i="1"/>
  <c r="U132" i="1" s="1"/>
  <c r="Q145" i="1"/>
  <c r="Q141" i="1"/>
  <c r="Q137" i="1"/>
  <c r="Q133" i="1"/>
  <c r="Q148" i="1"/>
  <c r="Q144" i="1"/>
  <c r="Q140" i="1"/>
  <c r="Q136" i="1"/>
  <c r="Q147" i="1"/>
  <c r="Q143" i="1"/>
  <c r="Q139" i="1"/>
  <c r="J203" i="1" s="1"/>
  <c r="S141" i="1"/>
  <c r="U141" i="1" s="1"/>
  <c r="S140" i="1"/>
  <c r="S148" i="1"/>
  <c r="U148" i="1" s="1"/>
  <c r="S145" i="1"/>
  <c r="U145" i="1" s="1"/>
  <c r="Q138" i="1"/>
  <c r="Q146" i="1"/>
  <c r="Q142" i="1"/>
  <c r="Q132" i="1"/>
  <c r="S137" i="1"/>
  <c r="U137" i="1" s="1"/>
  <c r="S144" i="1"/>
  <c r="Q134" i="1"/>
  <c r="S147" i="1"/>
  <c r="U147" i="1" s="1"/>
  <c r="S143" i="1"/>
  <c r="S139" i="1"/>
  <c r="S136" i="1"/>
  <c r="U136" i="1" s="1"/>
  <c r="S133" i="1"/>
  <c r="U133" i="1" s="1"/>
  <c r="S116" i="1"/>
  <c r="U116" i="1" s="1"/>
  <c r="S130" i="1"/>
  <c r="U130" i="1" s="1"/>
  <c r="S127" i="1"/>
  <c r="U127" i="1" s="1"/>
  <c r="S105" i="1"/>
  <c r="U105" i="1" s="1"/>
  <c r="S94" i="1"/>
  <c r="U94" i="1" s="1"/>
  <c r="Q122" i="1"/>
  <c r="Q113" i="1"/>
  <c r="Q97" i="1"/>
  <c r="Q119" i="1"/>
  <c r="Q110" i="1"/>
  <c r="Q103" i="1"/>
  <c r="Q91" i="1"/>
  <c r="Q105" i="1"/>
  <c r="Q94" i="1"/>
  <c r="S110" i="1"/>
  <c r="Q124" i="1"/>
  <c r="S113" i="1"/>
  <c r="Q127" i="1"/>
  <c r="Q83" i="1"/>
  <c r="Q116" i="1"/>
  <c r="Q100" i="1"/>
  <c r="Q86" i="1"/>
  <c r="Q130" i="1"/>
  <c r="Q89" i="1"/>
  <c r="S119" i="1"/>
  <c r="S122" i="1"/>
  <c r="S83" i="1"/>
  <c r="U83" i="1" s="1"/>
  <c r="S124" i="1"/>
  <c r="S86" i="1"/>
  <c r="U86" i="1" s="1"/>
  <c r="S97" i="1"/>
  <c r="S100" i="1"/>
  <c r="U100" i="1" s="1"/>
  <c r="S103" i="1"/>
  <c r="Q82" i="1"/>
  <c r="Q129" i="1"/>
  <c r="S129" i="1"/>
  <c r="U129" i="1" s="1"/>
  <c r="Q117" i="1"/>
  <c r="Q112" i="1"/>
  <c r="S112" i="1"/>
  <c r="U112" i="1" s="1"/>
  <c r="Q101" i="1"/>
  <c r="Q96" i="1"/>
  <c r="S96" i="1"/>
  <c r="U96" i="1" s="1"/>
  <c r="Q84" i="1"/>
  <c r="Q131" i="1"/>
  <c r="Q126" i="1"/>
  <c r="S126" i="1"/>
  <c r="U126" i="1" s="1"/>
  <c r="Q114" i="1"/>
  <c r="Q109" i="1"/>
  <c r="S109" i="1"/>
  <c r="U109" i="1" s="1"/>
  <c r="Q98" i="1"/>
  <c r="Q93" i="1"/>
  <c r="S93" i="1"/>
  <c r="U93" i="1" s="1"/>
  <c r="Q128" i="1"/>
  <c r="Q111" i="1"/>
  <c r="Q107" i="1"/>
  <c r="S107" i="1"/>
  <c r="U107" i="1" s="1"/>
  <c r="Q95" i="1"/>
  <c r="Q90" i="1"/>
  <c r="S90" i="1"/>
  <c r="U90" i="1" s="1"/>
  <c r="Q125" i="1"/>
  <c r="Q121" i="1"/>
  <c r="S121" i="1"/>
  <c r="U121" i="1" s="1"/>
  <c r="Q108" i="1"/>
  <c r="Q92" i="1"/>
  <c r="Q88" i="1"/>
  <c r="S88" i="1"/>
  <c r="U88" i="1" s="1"/>
  <c r="Q123" i="1"/>
  <c r="Q118" i="1"/>
  <c r="S118" i="1"/>
  <c r="U118" i="1" s="1"/>
  <c r="Q106" i="1"/>
  <c r="Q102" i="1"/>
  <c r="S102" i="1"/>
  <c r="U102" i="1" s="1"/>
  <c r="Q85" i="1"/>
  <c r="J175" i="1" s="1"/>
  <c r="L175" i="1" s="1"/>
  <c r="S85" i="1"/>
  <c r="U85" i="1" s="1"/>
  <c r="Q120" i="1"/>
  <c r="Q115" i="1"/>
  <c r="S115" i="1"/>
  <c r="U115" i="1" s="1"/>
  <c r="Q104" i="1"/>
  <c r="Q99" i="1"/>
  <c r="S99" i="1"/>
  <c r="U99" i="1" s="1"/>
  <c r="Q87" i="1"/>
  <c r="S131" i="1"/>
  <c r="U131" i="1" s="1"/>
  <c r="S128" i="1"/>
  <c r="U128" i="1" s="1"/>
  <c r="S125" i="1"/>
  <c r="U125" i="1" s="1"/>
  <c r="S123" i="1"/>
  <c r="U123" i="1" s="1"/>
  <c r="S120" i="1"/>
  <c r="U120" i="1" s="1"/>
  <c r="S117" i="1"/>
  <c r="U117" i="1" s="1"/>
  <c r="S114" i="1"/>
  <c r="U114" i="1" s="1"/>
  <c r="S111" i="1"/>
  <c r="U111" i="1" s="1"/>
  <c r="S108" i="1"/>
  <c r="U108" i="1" s="1"/>
  <c r="S106" i="1"/>
  <c r="U106" i="1" s="1"/>
  <c r="S104" i="1"/>
  <c r="U104" i="1" s="1"/>
  <c r="S101" i="1"/>
  <c r="U101" i="1" s="1"/>
  <c r="S98" i="1"/>
  <c r="U98" i="1" s="1"/>
  <c r="S95" i="1"/>
  <c r="U95" i="1" s="1"/>
  <c r="S92" i="1"/>
  <c r="U92" i="1" s="1"/>
  <c r="S87" i="1"/>
  <c r="U87" i="1" s="1"/>
  <c r="S84" i="1"/>
  <c r="U84" i="1" s="1"/>
  <c r="S82" i="1"/>
  <c r="U82" i="1" s="1"/>
  <c r="Q23" i="1"/>
  <c r="Q25" i="1"/>
  <c r="Q24" i="1"/>
  <c r="Q32" i="1"/>
  <c r="Q14" i="1"/>
  <c r="Q45" i="1"/>
  <c r="S45" i="1"/>
  <c r="U45" i="1" s="1"/>
  <c r="Q37" i="1"/>
  <c r="Q34" i="1"/>
  <c r="S34" i="1"/>
  <c r="U34" i="1" s="1"/>
  <c r="Q33" i="1"/>
  <c r="S33" i="1"/>
  <c r="U33" i="1" s="1"/>
  <c r="Q27" i="1"/>
  <c r="P79" i="1"/>
  <c r="S80" i="1"/>
  <c r="P80" i="1"/>
  <c r="P69" i="1"/>
  <c r="P70" i="1"/>
  <c r="N79" i="1"/>
  <c r="N69" i="1"/>
  <c r="P3" i="1"/>
  <c r="P4" i="1"/>
  <c r="P5" i="1"/>
  <c r="P6" i="1"/>
  <c r="P7" i="1"/>
  <c r="P8" i="1"/>
  <c r="P9" i="1"/>
  <c r="P10" i="1"/>
  <c r="P11" i="1"/>
  <c r="P12" i="1"/>
  <c r="P13" i="1"/>
  <c r="P15" i="1"/>
  <c r="P16" i="1"/>
  <c r="P17" i="1"/>
  <c r="P18" i="1"/>
  <c r="Q18" i="1" s="1"/>
  <c r="P19" i="1"/>
  <c r="P20" i="1"/>
  <c r="P21" i="1"/>
  <c r="P22" i="1"/>
  <c r="P26" i="1"/>
  <c r="P28" i="1"/>
  <c r="P29" i="1"/>
  <c r="P30" i="1"/>
  <c r="P31" i="1"/>
  <c r="P35" i="1"/>
  <c r="S36" i="1"/>
  <c r="P36" i="1"/>
  <c r="S38" i="1"/>
  <c r="P38" i="1"/>
  <c r="S39" i="1"/>
  <c r="P39" i="1"/>
  <c r="Q39" i="1" s="1"/>
  <c r="P40" i="1"/>
  <c r="P41" i="1"/>
  <c r="P42" i="1"/>
  <c r="P43" i="1"/>
  <c r="P44" i="1"/>
  <c r="P46" i="1"/>
  <c r="P47" i="1"/>
  <c r="P48" i="1"/>
  <c r="P49" i="1"/>
  <c r="P50" i="1"/>
  <c r="P51" i="1"/>
  <c r="P52" i="1"/>
  <c r="P53" i="1"/>
  <c r="S54" i="1"/>
  <c r="P54" i="1"/>
  <c r="P55" i="1"/>
  <c r="P56" i="1"/>
  <c r="P57" i="1"/>
  <c r="S58" i="1"/>
  <c r="P58" i="1"/>
  <c r="P59" i="1"/>
  <c r="P60" i="1"/>
  <c r="P61" i="1"/>
  <c r="S62" i="1"/>
  <c r="P62" i="1"/>
  <c r="P63" i="1"/>
  <c r="P64" i="1"/>
  <c r="P65" i="1"/>
  <c r="P66" i="1"/>
  <c r="P67" i="1"/>
  <c r="P68" i="1"/>
  <c r="S71" i="1"/>
  <c r="P71" i="1"/>
  <c r="S72" i="1"/>
  <c r="P72" i="1"/>
  <c r="P73" i="1"/>
  <c r="P74" i="1"/>
  <c r="P75" i="1"/>
  <c r="P76" i="1"/>
  <c r="S77" i="1"/>
  <c r="P77" i="1"/>
  <c r="S78" i="1"/>
  <c r="P78" i="1"/>
  <c r="S81" i="1"/>
  <c r="P81" i="1"/>
  <c r="N3" i="1"/>
  <c r="N4" i="1"/>
  <c r="N5" i="1"/>
  <c r="N6" i="1"/>
  <c r="N7" i="1"/>
  <c r="N8" i="1"/>
  <c r="N9" i="1"/>
  <c r="N10" i="1"/>
  <c r="N11" i="1"/>
  <c r="N13" i="1"/>
  <c r="N15" i="1"/>
  <c r="N16" i="1"/>
  <c r="N17" i="1"/>
  <c r="N18" i="1"/>
  <c r="N19" i="1"/>
  <c r="N20" i="1"/>
  <c r="N21" i="1"/>
  <c r="N22" i="1"/>
  <c r="N26" i="1"/>
  <c r="N27" i="1"/>
  <c r="N28" i="1"/>
  <c r="N29" i="1"/>
  <c r="N30" i="1"/>
  <c r="N31" i="1"/>
  <c r="N38" i="1"/>
  <c r="N39" i="1"/>
  <c r="N40" i="1"/>
  <c r="N41" i="1"/>
  <c r="N42" i="1"/>
  <c r="N43" i="1"/>
  <c r="N44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70" i="1"/>
  <c r="N71" i="1"/>
  <c r="N72" i="1"/>
  <c r="N73" i="1"/>
  <c r="N74" i="1"/>
  <c r="N75" i="1"/>
  <c r="N76" i="1"/>
  <c r="N77" i="1"/>
  <c r="N78" i="1"/>
  <c r="N80" i="1"/>
  <c r="N81" i="1"/>
  <c r="L215" i="1" l="1"/>
  <c r="K215" i="1"/>
  <c r="K244" i="1"/>
  <c r="L244" i="1"/>
  <c r="T250" i="1"/>
  <c r="T185" i="1"/>
  <c r="U251" i="1"/>
  <c r="T251" i="1"/>
  <c r="K160" i="1"/>
  <c r="K161" i="1"/>
  <c r="L161" i="1"/>
  <c r="U233" i="1"/>
  <c r="T233" i="1"/>
  <c r="U235" i="1"/>
  <c r="T235" i="1"/>
  <c r="U228" i="1"/>
  <c r="T228" i="1"/>
  <c r="T243" i="1"/>
  <c r="U243" i="1"/>
  <c r="U241" i="1"/>
  <c r="T241" i="1"/>
  <c r="T244" i="1"/>
  <c r="T246" i="1"/>
  <c r="U248" i="1"/>
  <c r="T248" i="1"/>
  <c r="K207" i="1"/>
  <c r="T210" i="1"/>
  <c r="T242" i="1"/>
  <c r="T240" i="1"/>
  <c r="T238" i="1"/>
  <c r="T247" i="1"/>
  <c r="U245" i="1"/>
  <c r="J235" i="1"/>
  <c r="L235" i="1" s="1"/>
  <c r="J231" i="1"/>
  <c r="L231" i="1" s="1"/>
  <c r="J252" i="1"/>
  <c r="L252" i="1" s="1"/>
  <c r="J208" i="1"/>
  <c r="K208" i="1" s="1"/>
  <c r="J184" i="1"/>
  <c r="J180" i="1"/>
  <c r="J242" i="1"/>
  <c r="L242" i="1" s="1"/>
  <c r="J250" i="1"/>
  <c r="L250" i="1" s="1"/>
  <c r="J243" i="1"/>
  <c r="L243" i="1" s="1"/>
  <c r="J227" i="1"/>
  <c r="L227" i="1" s="1"/>
  <c r="L209" i="1"/>
  <c r="L179" i="1"/>
  <c r="K201" i="1"/>
  <c r="J251" i="1"/>
  <c r="L251" i="1" s="1"/>
  <c r="J240" i="1"/>
  <c r="L240" i="1" s="1"/>
  <c r="J210" i="1"/>
  <c r="K210" i="1" s="1"/>
  <c r="J248" i="1"/>
  <c r="L248" i="1" s="1"/>
  <c r="J216" i="1"/>
  <c r="L216" i="1" s="1"/>
  <c r="L249" i="1"/>
  <c r="U230" i="1"/>
  <c r="T230" i="1"/>
  <c r="K229" i="1"/>
  <c r="L229" i="1"/>
  <c r="T204" i="1"/>
  <c r="U204" i="1"/>
  <c r="U206" i="1"/>
  <c r="T206" i="1"/>
  <c r="T239" i="1"/>
  <c r="U239" i="1"/>
  <c r="U236" i="1"/>
  <c r="T236" i="1"/>
  <c r="U232" i="1"/>
  <c r="T232" i="1"/>
  <c r="U154" i="1"/>
  <c r="T154" i="1"/>
  <c r="U152" i="1"/>
  <c r="T152" i="1"/>
  <c r="J225" i="1"/>
  <c r="J163" i="1"/>
  <c r="L163" i="1" s="1"/>
  <c r="J212" i="1"/>
  <c r="J223" i="1"/>
  <c r="U225" i="1"/>
  <c r="T225" i="1"/>
  <c r="U227" i="1"/>
  <c r="T227" i="1"/>
  <c r="T216" i="1"/>
  <c r="U216" i="1"/>
  <c r="U224" i="1"/>
  <c r="T224" i="1"/>
  <c r="U205" i="1"/>
  <c r="T205" i="1"/>
  <c r="U229" i="1"/>
  <c r="T229" i="1"/>
  <c r="T214" i="1"/>
  <c r="U214" i="1"/>
  <c r="U213" i="1"/>
  <c r="T213" i="1"/>
  <c r="U223" i="1"/>
  <c r="T223" i="1"/>
  <c r="U212" i="1"/>
  <c r="T212" i="1"/>
  <c r="U203" i="1"/>
  <c r="T203" i="1"/>
  <c r="T202" i="1"/>
  <c r="U202" i="1"/>
  <c r="T231" i="1"/>
  <c r="U231" i="1"/>
  <c r="U234" i="1"/>
  <c r="T234" i="1"/>
  <c r="U237" i="1"/>
  <c r="T237" i="1"/>
  <c r="L203" i="1"/>
  <c r="L185" i="1"/>
  <c r="K185" i="1"/>
  <c r="U197" i="1"/>
  <c r="U208" i="1"/>
  <c r="T151" i="1"/>
  <c r="U211" i="1"/>
  <c r="T222" i="1"/>
  <c r="T198" i="1"/>
  <c r="T207" i="1"/>
  <c r="T209" i="1"/>
  <c r="T199" i="1"/>
  <c r="T160" i="1"/>
  <c r="U215" i="1"/>
  <c r="T226" i="1"/>
  <c r="T201" i="1"/>
  <c r="U196" i="1"/>
  <c r="T196" i="1"/>
  <c r="U168" i="1"/>
  <c r="T168" i="1"/>
  <c r="U200" i="1"/>
  <c r="T200" i="1"/>
  <c r="U191" i="1"/>
  <c r="T191" i="1"/>
  <c r="U217" i="1"/>
  <c r="T217" i="1"/>
  <c r="U219" i="1"/>
  <c r="T219" i="1"/>
  <c r="U193" i="1"/>
  <c r="T193" i="1"/>
  <c r="U194" i="1"/>
  <c r="T194" i="1"/>
  <c r="U195" i="1"/>
  <c r="T195" i="1"/>
  <c r="U221" i="1"/>
  <c r="T221" i="1"/>
  <c r="T192" i="1"/>
  <c r="U192" i="1"/>
  <c r="U218" i="1"/>
  <c r="T218" i="1"/>
  <c r="L214" i="1"/>
  <c r="L211" i="1"/>
  <c r="J112" i="1"/>
  <c r="L112" i="1" s="1"/>
  <c r="J125" i="1"/>
  <c r="L125" i="1" s="1"/>
  <c r="J113" i="1"/>
  <c r="L113" i="1" s="1"/>
  <c r="J119" i="1"/>
  <c r="L119" i="1" s="1"/>
  <c r="T181" i="1"/>
  <c r="T161" i="1"/>
  <c r="T176" i="1"/>
  <c r="T156" i="1"/>
  <c r="K218" i="1"/>
  <c r="L218" i="1"/>
  <c r="K234" i="1"/>
  <c r="L234" i="1"/>
  <c r="K239" i="1"/>
  <c r="L239" i="1"/>
  <c r="K219" i="1"/>
  <c r="L219" i="1"/>
  <c r="K217" i="1"/>
  <c r="L217" i="1"/>
  <c r="T190" i="1"/>
  <c r="T177" i="1"/>
  <c r="U179" i="1"/>
  <c r="T169" i="1"/>
  <c r="T182" i="1"/>
  <c r="T149" i="1"/>
  <c r="T167" i="1"/>
  <c r="T183" i="1"/>
  <c r="T170" i="1"/>
  <c r="T150" i="1"/>
  <c r="T171" i="1"/>
  <c r="T186" i="1"/>
  <c r="T165" i="1"/>
  <c r="T174" i="1"/>
  <c r="T180" i="1"/>
  <c r="T172" i="1"/>
  <c r="T173" i="1"/>
  <c r="T175" i="1"/>
  <c r="T163" i="1"/>
  <c r="U184" i="1"/>
  <c r="T189" i="1"/>
  <c r="T158" i="1"/>
  <c r="T188" i="1"/>
  <c r="T166" i="1"/>
  <c r="T153" i="1"/>
  <c r="T159" i="1"/>
  <c r="T178" i="1"/>
  <c r="T187" i="1"/>
  <c r="T157" i="1"/>
  <c r="J172" i="1"/>
  <c r="J140" i="1"/>
  <c r="J116" i="1"/>
  <c r="J167" i="1"/>
  <c r="J134" i="1"/>
  <c r="J137" i="1"/>
  <c r="L137" i="1" s="1"/>
  <c r="T155" i="1"/>
  <c r="T164" i="1"/>
  <c r="J200" i="1"/>
  <c r="J191" i="1"/>
  <c r="J188" i="1"/>
  <c r="J187" i="1"/>
  <c r="J181" i="1"/>
  <c r="J178" i="1"/>
  <c r="J196" i="1"/>
  <c r="L196" i="1" s="1"/>
  <c r="J190" i="1"/>
  <c r="L190" i="1" s="1"/>
  <c r="J173" i="1"/>
  <c r="J154" i="1"/>
  <c r="J158" i="1"/>
  <c r="J198" i="1"/>
  <c r="J166" i="1"/>
  <c r="L166" i="1" s="1"/>
  <c r="J152" i="1"/>
  <c r="J202" i="1"/>
  <c r="L202" i="1" s="1"/>
  <c r="J136" i="1"/>
  <c r="L136" i="1" s="1"/>
  <c r="J157" i="1"/>
  <c r="L165" i="1"/>
  <c r="J169" i="1"/>
  <c r="L169" i="1" s="1"/>
  <c r="J171" i="1"/>
  <c r="L171" i="1" s="1"/>
  <c r="J150" i="1"/>
  <c r="J139" i="1"/>
  <c r="J133" i="1"/>
  <c r="L133" i="1" s="1"/>
  <c r="J141" i="1"/>
  <c r="L141" i="1" s="1"/>
  <c r="J151" i="1"/>
  <c r="J135" i="1"/>
  <c r="L135" i="1" s="1"/>
  <c r="J155" i="1"/>
  <c r="J193" i="1"/>
  <c r="L193" i="1" s="1"/>
  <c r="J138" i="1"/>
  <c r="L138" i="1" s="1"/>
  <c r="L177" i="1"/>
  <c r="K197" i="1"/>
  <c r="L195" i="1"/>
  <c r="L176" i="1"/>
  <c r="L183" i="1"/>
  <c r="L170" i="1"/>
  <c r="K230" i="1"/>
  <c r="K245" i="1"/>
  <c r="L206" i="1"/>
  <c r="K237" i="1"/>
  <c r="L182" i="1"/>
  <c r="K205" i="1"/>
  <c r="K175" i="1"/>
  <c r="K247" i="1"/>
  <c r="R141" i="1"/>
  <c r="T144" i="1"/>
  <c r="R136" i="1"/>
  <c r="R140" i="1"/>
  <c r="R145" i="1"/>
  <c r="T140" i="1"/>
  <c r="R139" i="1"/>
  <c r="R144" i="1"/>
  <c r="R133" i="1"/>
  <c r="T139" i="1"/>
  <c r="T143" i="1"/>
  <c r="R143" i="1"/>
  <c r="R148" i="1"/>
  <c r="R137" i="1"/>
  <c r="R147" i="1"/>
  <c r="T138" i="1"/>
  <c r="U140" i="1"/>
  <c r="R142" i="1"/>
  <c r="T141" i="1"/>
  <c r="T148" i="1"/>
  <c r="T132" i="1"/>
  <c r="U144" i="1"/>
  <c r="T145" i="1"/>
  <c r="T133" i="1"/>
  <c r="T137" i="1"/>
  <c r="U139" i="1"/>
  <c r="U143" i="1"/>
  <c r="R132" i="1"/>
  <c r="R138" i="1"/>
  <c r="K203" i="1"/>
  <c r="T142" i="1"/>
  <c r="T146" i="1"/>
  <c r="R146" i="1"/>
  <c r="T136" i="1"/>
  <c r="T147" i="1"/>
  <c r="R134" i="1"/>
  <c r="R86" i="1"/>
  <c r="J153" i="1"/>
  <c r="L153" i="1" s="1"/>
  <c r="R110" i="1"/>
  <c r="J213" i="1"/>
  <c r="L213" i="1" s="1"/>
  <c r="R82" i="1"/>
  <c r="R100" i="1"/>
  <c r="J189" i="1"/>
  <c r="L189" i="1" s="1"/>
  <c r="R116" i="1"/>
  <c r="L224" i="1"/>
  <c r="R119" i="1"/>
  <c r="J226" i="1"/>
  <c r="L226" i="1" s="1"/>
  <c r="R83" i="1"/>
  <c r="R127" i="1"/>
  <c r="R113" i="1"/>
  <c r="J221" i="1"/>
  <c r="L221" i="1" s="1"/>
  <c r="R122" i="1"/>
  <c r="R124" i="1"/>
  <c r="J238" i="1"/>
  <c r="L238" i="1" s="1"/>
  <c r="R97" i="1"/>
  <c r="J186" i="1"/>
  <c r="L186" i="1" s="1"/>
  <c r="R94" i="1"/>
  <c r="L168" i="1"/>
  <c r="R105" i="1"/>
  <c r="J199" i="1"/>
  <c r="L199" i="1" s="1"/>
  <c r="R89" i="1"/>
  <c r="J156" i="1"/>
  <c r="L156" i="1" s="1"/>
  <c r="R91" i="1"/>
  <c r="J159" i="1"/>
  <c r="L159" i="1" s="1"/>
  <c r="R130" i="1"/>
  <c r="R103" i="1"/>
  <c r="J192" i="1"/>
  <c r="L192" i="1" s="1"/>
  <c r="T116" i="1"/>
  <c r="T122" i="1"/>
  <c r="T97" i="1"/>
  <c r="T89" i="1"/>
  <c r="U97" i="1"/>
  <c r="T103" i="1"/>
  <c r="T113" i="1"/>
  <c r="T105" i="1"/>
  <c r="T110" i="1"/>
  <c r="U110" i="1"/>
  <c r="U113" i="1"/>
  <c r="T119" i="1"/>
  <c r="T127" i="1"/>
  <c r="T91" i="1"/>
  <c r="T100" i="1"/>
  <c r="T94" i="1"/>
  <c r="T130" i="1"/>
  <c r="U103" i="1"/>
  <c r="T86" i="1"/>
  <c r="T124" i="1"/>
  <c r="U124" i="1"/>
  <c r="T83" i="1"/>
  <c r="U119" i="1"/>
  <c r="U122" i="1"/>
  <c r="R128" i="1"/>
  <c r="T128" i="1"/>
  <c r="R123" i="1"/>
  <c r="T123" i="1"/>
  <c r="T82" i="1"/>
  <c r="R95" i="1"/>
  <c r="T95" i="1"/>
  <c r="R85" i="1"/>
  <c r="T85" i="1"/>
  <c r="R92" i="1"/>
  <c r="T92" i="1"/>
  <c r="R93" i="1"/>
  <c r="T93" i="1"/>
  <c r="R96" i="1"/>
  <c r="T96" i="1"/>
  <c r="R125" i="1"/>
  <c r="T125" i="1"/>
  <c r="R118" i="1"/>
  <c r="T118" i="1"/>
  <c r="R90" i="1"/>
  <c r="T90" i="1"/>
  <c r="R84" i="1"/>
  <c r="T84" i="1"/>
  <c r="R88" i="1"/>
  <c r="T88" i="1"/>
  <c r="R87" i="1"/>
  <c r="T87" i="1"/>
  <c r="R107" i="1"/>
  <c r="T107" i="1"/>
  <c r="R98" i="1"/>
  <c r="T98" i="1"/>
  <c r="R101" i="1"/>
  <c r="T101" i="1"/>
  <c r="R99" i="1"/>
  <c r="T99" i="1"/>
  <c r="R115" i="1"/>
  <c r="T115" i="1"/>
  <c r="R111" i="1"/>
  <c r="T111" i="1"/>
  <c r="R108" i="1"/>
  <c r="T108" i="1"/>
  <c r="R112" i="1"/>
  <c r="T112" i="1"/>
  <c r="R106" i="1"/>
  <c r="T106" i="1"/>
  <c r="R109" i="1"/>
  <c r="T109" i="1"/>
  <c r="R117" i="1"/>
  <c r="T117" i="1"/>
  <c r="R104" i="1"/>
  <c r="T104" i="1"/>
  <c r="R129" i="1"/>
  <c r="T129" i="1"/>
  <c r="R102" i="1"/>
  <c r="T102" i="1"/>
  <c r="R121" i="1"/>
  <c r="T121" i="1"/>
  <c r="R114" i="1"/>
  <c r="T114" i="1"/>
  <c r="R120" i="1"/>
  <c r="T120" i="1"/>
  <c r="R126" i="1"/>
  <c r="T126" i="1"/>
  <c r="R131" i="1"/>
  <c r="T131" i="1"/>
  <c r="R23" i="1"/>
  <c r="R24" i="1"/>
  <c r="R25" i="1"/>
  <c r="R32" i="1"/>
  <c r="R27" i="1"/>
  <c r="R14" i="1"/>
  <c r="R33" i="1"/>
  <c r="T33" i="1"/>
  <c r="R34" i="1"/>
  <c r="T34" i="1"/>
  <c r="R37" i="1"/>
  <c r="R45" i="1"/>
  <c r="T45" i="1"/>
  <c r="Q4" i="1"/>
  <c r="Q61" i="1"/>
  <c r="Q57" i="1"/>
  <c r="U39" i="1"/>
  <c r="Q19" i="1"/>
  <c r="Q44" i="1"/>
  <c r="Q67" i="1"/>
  <c r="Q73" i="1"/>
  <c r="Q79" i="1"/>
  <c r="J145" i="1" s="1"/>
  <c r="L145" i="1" s="1"/>
  <c r="Q13" i="1"/>
  <c r="Q41" i="1"/>
  <c r="U80" i="1"/>
  <c r="Q80" i="1"/>
  <c r="J233" i="1" s="1"/>
  <c r="L233" i="1" s="1"/>
  <c r="Q69" i="1"/>
  <c r="Q70" i="1"/>
  <c r="S61" i="1"/>
  <c r="Q5" i="1"/>
  <c r="J232" i="1" s="1"/>
  <c r="L232" i="1" s="1"/>
  <c r="Q8" i="1"/>
  <c r="Q56" i="1"/>
  <c r="Q48" i="1"/>
  <c r="Q17" i="1"/>
  <c r="Q77" i="1"/>
  <c r="J194" i="1" s="1"/>
  <c r="Q68" i="1"/>
  <c r="Q43" i="1"/>
  <c r="Q35" i="1"/>
  <c r="Q28" i="1"/>
  <c r="Q64" i="1"/>
  <c r="J162" i="1" s="1"/>
  <c r="L162" i="1" s="1"/>
  <c r="U58" i="1"/>
  <c r="Q51" i="1"/>
  <c r="U81" i="1"/>
  <c r="Q74" i="1"/>
  <c r="Q50" i="1"/>
  <c r="U38" i="1"/>
  <c r="Q21" i="1"/>
  <c r="J148" i="1" s="1"/>
  <c r="L148" i="1" s="1"/>
  <c r="Q81" i="1"/>
  <c r="J174" i="1" s="1"/>
  <c r="Q66" i="1"/>
  <c r="Q49" i="1"/>
  <c r="U36" i="1"/>
  <c r="Q20" i="1"/>
  <c r="Q12" i="1"/>
  <c r="Q75" i="1"/>
  <c r="Q3" i="1"/>
  <c r="Q58" i="1"/>
  <c r="Q40" i="1"/>
  <c r="Q31" i="1"/>
  <c r="Q11" i="1"/>
  <c r="U77" i="1"/>
  <c r="Q52" i="1"/>
  <c r="Q30" i="1"/>
  <c r="U72" i="1"/>
  <c r="Q65" i="1"/>
  <c r="J246" i="1" s="1"/>
  <c r="L246" i="1" s="1"/>
  <c r="Q60" i="1"/>
  <c r="U54" i="1"/>
  <c r="Q42" i="1"/>
  <c r="Q22" i="1"/>
  <c r="Q10" i="1"/>
  <c r="S56" i="1"/>
  <c r="U56" i="1" s="1"/>
  <c r="S44" i="1"/>
  <c r="U44" i="1" s="1"/>
  <c r="S41" i="1"/>
  <c r="Q76" i="1"/>
  <c r="J222" i="1" s="1"/>
  <c r="Q59" i="1"/>
  <c r="Q29" i="1"/>
  <c r="Q9" i="1"/>
  <c r="U78" i="1"/>
  <c r="Q53" i="1"/>
  <c r="U62" i="1"/>
  <c r="U71" i="1"/>
  <c r="Q78" i="1"/>
  <c r="J241" i="1" s="1"/>
  <c r="Q62" i="1"/>
  <c r="J220" i="1" s="1"/>
  <c r="Q54" i="1"/>
  <c r="Q46" i="1"/>
  <c r="Q36" i="1"/>
  <c r="Q26" i="1"/>
  <c r="J26" i="1" s="1"/>
  <c r="Q15" i="1"/>
  <c r="Q6" i="1"/>
  <c r="Q71" i="1"/>
  <c r="S74" i="1"/>
  <c r="U74" i="1" s="1"/>
  <c r="Q72" i="1"/>
  <c r="S65" i="1"/>
  <c r="U65" i="1" s="1"/>
  <c r="Q63" i="1"/>
  <c r="J228" i="1" s="1"/>
  <c r="S57" i="1"/>
  <c r="U57" i="1" s="1"/>
  <c r="Q55" i="1"/>
  <c r="S49" i="1"/>
  <c r="U49" i="1" s="1"/>
  <c r="Q47" i="1"/>
  <c r="S40" i="1"/>
  <c r="U40" i="1" s="1"/>
  <c r="Q38" i="1"/>
  <c r="Q16" i="1"/>
  <c r="Q7" i="1"/>
  <c r="S59" i="1"/>
  <c r="S42" i="1"/>
  <c r="S43" i="1"/>
  <c r="U43" i="1" s="1"/>
  <c r="P2" i="1"/>
  <c r="Q2" i="1" s="1"/>
  <c r="J2" i="1" s="1"/>
  <c r="L2" i="1" s="1"/>
  <c r="N2" i="1"/>
  <c r="J9" i="1" l="1"/>
  <c r="K9" i="1" s="1"/>
  <c r="J40" i="1"/>
  <c r="L40" i="1" s="1"/>
  <c r="J236" i="1"/>
  <c r="K236" i="1" s="1"/>
  <c r="J4" i="1"/>
  <c r="L4" i="1" s="1"/>
  <c r="K235" i="1"/>
  <c r="K227" i="1"/>
  <c r="K242" i="1"/>
  <c r="K231" i="1"/>
  <c r="K251" i="1"/>
  <c r="K252" i="1"/>
  <c r="L208" i="1"/>
  <c r="K250" i="1"/>
  <c r="J131" i="1"/>
  <c r="L131" i="1" s="1"/>
  <c r="J60" i="1"/>
  <c r="L60" i="1" s="1"/>
  <c r="K248" i="1"/>
  <c r="K216" i="1"/>
  <c r="K240" i="1"/>
  <c r="J30" i="1"/>
  <c r="L30" i="1" s="1"/>
  <c r="L210" i="1"/>
  <c r="K164" i="1"/>
  <c r="L164" i="1"/>
  <c r="K225" i="1"/>
  <c r="L225" i="1"/>
  <c r="K163" i="1"/>
  <c r="K212" i="1"/>
  <c r="L212" i="1"/>
  <c r="J147" i="1"/>
  <c r="J76" i="1"/>
  <c r="L76" i="1" s="1"/>
  <c r="J67" i="1"/>
  <c r="L67" i="1" s="1"/>
  <c r="L223" i="1"/>
  <c r="K223" i="1"/>
  <c r="K233" i="1"/>
  <c r="L194" i="1"/>
  <c r="K194" i="1"/>
  <c r="J36" i="1"/>
  <c r="J253" i="1"/>
  <c r="L253" i="1" s="1"/>
  <c r="L174" i="1"/>
  <c r="K174" i="1"/>
  <c r="J3" i="1"/>
  <c r="J204" i="1"/>
  <c r="K246" i="1"/>
  <c r="J35" i="1"/>
  <c r="L35" i="1" s="1"/>
  <c r="J149" i="1"/>
  <c r="K222" i="1"/>
  <c r="L222" i="1"/>
  <c r="L241" i="1"/>
  <c r="K241" i="1"/>
  <c r="K220" i="1"/>
  <c r="L220" i="1"/>
  <c r="K228" i="1"/>
  <c r="L228" i="1"/>
  <c r="J80" i="1"/>
  <c r="J81" i="1"/>
  <c r="J82" i="1"/>
  <c r="J68" i="1"/>
  <c r="J88" i="1"/>
  <c r="J74" i="1"/>
  <c r="J84" i="1"/>
  <c r="K84" i="1" s="1"/>
  <c r="J70" i="1"/>
  <c r="J85" i="1"/>
  <c r="J71" i="1"/>
  <c r="J78" i="1"/>
  <c r="J83" i="1"/>
  <c r="J69" i="1"/>
  <c r="J66" i="1"/>
  <c r="J65" i="1"/>
  <c r="J75" i="1"/>
  <c r="J142" i="1"/>
  <c r="J77" i="1"/>
  <c r="J144" i="1"/>
  <c r="J79" i="1"/>
  <c r="J86" i="1"/>
  <c r="J72" i="1"/>
  <c r="J73" i="1"/>
  <c r="J132" i="1"/>
  <c r="J90" i="1"/>
  <c r="J42" i="1"/>
  <c r="J39" i="1"/>
  <c r="J28" i="1"/>
  <c r="L28" i="1" s="1"/>
  <c r="J27" i="1"/>
  <c r="J45" i="1"/>
  <c r="L45" i="1" s="1"/>
  <c r="J59" i="1"/>
  <c r="L59" i="1" s="1"/>
  <c r="K113" i="1"/>
  <c r="K112" i="1"/>
  <c r="K125" i="1"/>
  <c r="K119" i="1"/>
  <c r="J48" i="1"/>
  <c r="L48" i="1" s="1"/>
  <c r="J13" i="1"/>
  <c r="K13" i="1" s="1"/>
  <c r="J118" i="1"/>
  <c r="L118" i="1" s="1"/>
  <c r="J55" i="1"/>
  <c r="L55" i="1" s="1"/>
  <c r="J127" i="1"/>
  <c r="L127" i="1" s="1"/>
  <c r="J130" i="1"/>
  <c r="L130" i="1" s="1"/>
  <c r="J38" i="1"/>
  <c r="L38" i="1" s="1"/>
  <c r="J37" i="1"/>
  <c r="L37" i="1" s="1"/>
  <c r="J129" i="1"/>
  <c r="L129" i="1" s="1"/>
  <c r="J52" i="1"/>
  <c r="L52" i="1" s="1"/>
  <c r="J120" i="1"/>
  <c r="L120" i="1" s="1"/>
  <c r="J121" i="1"/>
  <c r="L121" i="1" s="1"/>
  <c r="J54" i="1"/>
  <c r="L54" i="1" s="1"/>
  <c r="K139" i="1"/>
  <c r="L139" i="1"/>
  <c r="K150" i="1"/>
  <c r="L150" i="1"/>
  <c r="K154" i="1"/>
  <c r="L154" i="1"/>
  <c r="K184" i="1"/>
  <c r="L184" i="1"/>
  <c r="K173" i="1"/>
  <c r="L173" i="1"/>
  <c r="K180" i="1"/>
  <c r="L180" i="1"/>
  <c r="K162" i="1"/>
  <c r="K200" i="1"/>
  <c r="L200" i="1"/>
  <c r="K155" i="1"/>
  <c r="L155" i="1"/>
  <c r="K165" i="1"/>
  <c r="K191" i="1"/>
  <c r="L191" i="1"/>
  <c r="K158" i="1"/>
  <c r="L158" i="1"/>
  <c r="K26" i="1"/>
  <c r="L26" i="1"/>
  <c r="K157" i="1"/>
  <c r="L157" i="1"/>
  <c r="K134" i="1"/>
  <c r="L134" i="1"/>
  <c r="K178" i="1"/>
  <c r="L178" i="1"/>
  <c r="K167" i="1"/>
  <c r="L167" i="1"/>
  <c r="K151" i="1"/>
  <c r="L151" i="1"/>
  <c r="K152" i="1"/>
  <c r="L152" i="1"/>
  <c r="K181" i="1"/>
  <c r="L181" i="1"/>
  <c r="K116" i="1"/>
  <c r="L116" i="1"/>
  <c r="K187" i="1"/>
  <c r="L187" i="1"/>
  <c r="K140" i="1"/>
  <c r="L140" i="1"/>
  <c r="K198" i="1"/>
  <c r="L198" i="1"/>
  <c r="K188" i="1"/>
  <c r="L188" i="1"/>
  <c r="K172" i="1"/>
  <c r="L172" i="1"/>
  <c r="J128" i="1"/>
  <c r="L128" i="1" s="1"/>
  <c r="J101" i="1"/>
  <c r="L101" i="1" s="1"/>
  <c r="J117" i="1"/>
  <c r="L117" i="1" s="1"/>
  <c r="J92" i="1"/>
  <c r="L92" i="1" s="1"/>
  <c r="K137" i="1"/>
  <c r="K190" i="1"/>
  <c r="J103" i="1"/>
  <c r="L103" i="1" s="1"/>
  <c r="J104" i="1"/>
  <c r="L104" i="1" s="1"/>
  <c r="J111" i="1"/>
  <c r="L111" i="1" s="1"/>
  <c r="J97" i="1"/>
  <c r="L97" i="1" s="1"/>
  <c r="K166" i="1"/>
  <c r="K202" i="1"/>
  <c r="K196" i="1"/>
  <c r="J8" i="1"/>
  <c r="L8" i="1" s="1"/>
  <c r="J53" i="1"/>
  <c r="L53" i="1" s="1"/>
  <c r="J63" i="1"/>
  <c r="L63" i="1" s="1"/>
  <c r="J20" i="1"/>
  <c r="L20" i="1" s="1"/>
  <c r="J47" i="1"/>
  <c r="L47" i="1" s="1"/>
  <c r="J62" i="1"/>
  <c r="L62" i="1" s="1"/>
  <c r="J29" i="1"/>
  <c r="L29" i="1" s="1"/>
  <c r="J22" i="1"/>
  <c r="L22" i="1" s="1"/>
  <c r="J108" i="1"/>
  <c r="L108" i="1" s="1"/>
  <c r="J15" i="1"/>
  <c r="L15" i="1" s="1"/>
  <c r="K135" i="1"/>
  <c r="J105" i="1"/>
  <c r="L105" i="1" s="1"/>
  <c r="J115" i="1"/>
  <c r="L115" i="1" s="1"/>
  <c r="J107" i="1"/>
  <c r="L107" i="1" s="1"/>
  <c r="J91" i="1"/>
  <c r="L91" i="1" s="1"/>
  <c r="K141" i="1"/>
  <c r="J96" i="1"/>
  <c r="L96" i="1" s="1"/>
  <c r="J50" i="1"/>
  <c r="L50" i="1" s="1"/>
  <c r="J58" i="1"/>
  <c r="L58" i="1" s="1"/>
  <c r="J51" i="1"/>
  <c r="L51" i="1" s="1"/>
  <c r="J102" i="1"/>
  <c r="L102" i="1" s="1"/>
  <c r="J17" i="1"/>
  <c r="L17" i="1" s="1"/>
  <c r="J11" i="1"/>
  <c r="L11" i="1" s="1"/>
  <c r="J93" i="1"/>
  <c r="L93" i="1" s="1"/>
  <c r="K169" i="1"/>
  <c r="J34" i="1"/>
  <c r="L34" i="1" s="1"/>
  <c r="J24" i="1"/>
  <c r="L24" i="1" s="1"/>
  <c r="J44" i="1"/>
  <c r="L44" i="1" s="1"/>
  <c r="J18" i="1"/>
  <c r="L18" i="1" s="1"/>
  <c r="J12" i="1"/>
  <c r="L12" i="1" s="1"/>
  <c r="J110" i="1"/>
  <c r="L110" i="1" s="1"/>
  <c r="J100" i="1"/>
  <c r="L100" i="1" s="1"/>
  <c r="J95" i="1"/>
  <c r="L95" i="1" s="1"/>
  <c r="J49" i="1"/>
  <c r="L49" i="1" s="1"/>
  <c r="J99" i="1"/>
  <c r="L99" i="1" s="1"/>
  <c r="J33" i="1"/>
  <c r="L33" i="1" s="1"/>
  <c r="J14" i="1"/>
  <c r="L14" i="1" s="1"/>
  <c r="L32" i="1"/>
  <c r="J41" i="1"/>
  <c r="L41" i="1" s="1"/>
  <c r="J23" i="1"/>
  <c r="L23" i="1" s="1"/>
  <c r="J94" i="1"/>
  <c r="L94" i="1" s="1"/>
  <c r="J56" i="1"/>
  <c r="L56" i="1" s="1"/>
  <c r="L5" i="1"/>
  <c r="J31" i="1"/>
  <c r="L31" i="1" s="1"/>
  <c r="K171" i="1"/>
  <c r="J146" i="1"/>
  <c r="L146" i="1" s="1"/>
  <c r="J114" i="1"/>
  <c r="L114" i="1" s="1"/>
  <c r="K133" i="1"/>
  <c r="J6" i="1"/>
  <c r="L6" i="1" s="1"/>
  <c r="J61" i="1"/>
  <c r="L61" i="1" s="1"/>
  <c r="K193" i="1"/>
  <c r="J16" i="1"/>
  <c r="L16" i="1" s="1"/>
  <c r="J10" i="1"/>
  <c r="L10" i="1" s="1"/>
  <c r="J64" i="1"/>
  <c r="L64" i="1" s="1"/>
  <c r="K138" i="1"/>
  <c r="J25" i="1"/>
  <c r="L25" i="1" s="1"/>
  <c r="K136" i="1"/>
  <c r="J43" i="1"/>
  <c r="L43" i="1" s="1"/>
  <c r="J109" i="1"/>
  <c r="L109" i="1" s="1"/>
  <c r="J106" i="1"/>
  <c r="L106" i="1" s="1"/>
  <c r="J46" i="1"/>
  <c r="L46" i="1" s="1"/>
  <c r="K249" i="1"/>
  <c r="K159" i="1"/>
  <c r="K238" i="1"/>
  <c r="K226" i="1"/>
  <c r="K192" i="1"/>
  <c r="K156" i="1"/>
  <c r="K168" i="1"/>
  <c r="K221" i="1"/>
  <c r="K224" i="1"/>
  <c r="K243" i="1"/>
  <c r="K213" i="1"/>
  <c r="K232" i="1"/>
  <c r="K153" i="1"/>
  <c r="K199" i="1"/>
  <c r="K186" i="1"/>
  <c r="K189" i="1"/>
  <c r="K148" i="1"/>
  <c r="K145" i="1"/>
  <c r="K2" i="1"/>
  <c r="J122" i="1"/>
  <c r="L122" i="1" s="1"/>
  <c r="J98" i="1"/>
  <c r="L98" i="1" s="1"/>
  <c r="J124" i="1"/>
  <c r="L124" i="1" s="1"/>
  <c r="J123" i="1"/>
  <c r="L123" i="1" s="1"/>
  <c r="J19" i="1"/>
  <c r="L19" i="1" s="1"/>
  <c r="J126" i="1"/>
  <c r="L126" i="1" s="1"/>
  <c r="J57" i="1"/>
  <c r="L57" i="1" s="1"/>
  <c r="J21" i="1"/>
  <c r="L21" i="1" s="1"/>
  <c r="R6" i="1"/>
  <c r="R53" i="1"/>
  <c r="R9" i="1"/>
  <c r="R59" i="1"/>
  <c r="R76" i="1"/>
  <c r="R10" i="1"/>
  <c r="R22" i="1"/>
  <c r="R42" i="1"/>
  <c r="R60" i="1"/>
  <c r="R65" i="1"/>
  <c r="R30" i="1"/>
  <c r="R52" i="1"/>
  <c r="R11" i="1"/>
  <c r="R31" i="1"/>
  <c r="R40" i="1"/>
  <c r="R58" i="1"/>
  <c r="R3" i="1"/>
  <c r="R75" i="1"/>
  <c r="R12" i="1"/>
  <c r="R20" i="1"/>
  <c r="R49" i="1"/>
  <c r="T81" i="1"/>
  <c r="R21" i="1"/>
  <c r="R50" i="1"/>
  <c r="R74" i="1"/>
  <c r="R18" i="1"/>
  <c r="R51" i="1"/>
  <c r="R64" i="1"/>
  <c r="R28" i="1"/>
  <c r="R35" i="1"/>
  <c r="R43" i="1"/>
  <c r="R68" i="1"/>
  <c r="R77" i="1"/>
  <c r="R17" i="1"/>
  <c r="R48" i="1"/>
  <c r="R56" i="1"/>
  <c r="R8" i="1"/>
  <c r="R5" i="1"/>
  <c r="R41" i="1"/>
  <c r="R13" i="1"/>
  <c r="R79" i="1"/>
  <c r="R73" i="1"/>
  <c r="R67" i="1"/>
  <c r="R44" i="1"/>
  <c r="R19" i="1"/>
  <c r="R57" i="1"/>
  <c r="R61" i="1"/>
  <c r="R4" i="1"/>
  <c r="T61" i="1"/>
  <c r="R66" i="1"/>
  <c r="T42" i="1"/>
  <c r="T41" i="1"/>
  <c r="T77" i="1"/>
  <c r="R81" i="1"/>
  <c r="U61" i="1"/>
  <c r="R80" i="1"/>
  <c r="T80" i="1"/>
  <c r="R69" i="1"/>
  <c r="R70" i="1"/>
  <c r="R29" i="1"/>
  <c r="U41" i="1"/>
  <c r="T44" i="1"/>
  <c r="T59" i="1"/>
  <c r="T58" i="1"/>
  <c r="T56" i="1"/>
  <c r="R63" i="1"/>
  <c r="T36" i="1"/>
  <c r="R36" i="1"/>
  <c r="T74" i="1"/>
  <c r="R26" i="1"/>
  <c r="T43" i="1"/>
  <c r="T38" i="1"/>
  <c r="R38" i="1"/>
  <c r="T72" i="1"/>
  <c r="R72" i="1"/>
  <c r="R46" i="1"/>
  <c r="U42" i="1"/>
  <c r="T49" i="1"/>
  <c r="T54" i="1"/>
  <c r="R54" i="1"/>
  <c r="R7" i="1"/>
  <c r="R47" i="1"/>
  <c r="T62" i="1"/>
  <c r="R62" i="1"/>
  <c r="T40" i="1"/>
  <c r="T65" i="1"/>
  <c r="T71" i="1"/>
  <c r="R71" i="1"/>
  <c r="T78" i="1"/>
  <c r="R78" i="1"/>
  <c r="U59" i="1"/>
  <c r="R16" i="1"/>
  <c r="R55" i="1"/>
  <c r="T57" i="1"/>
  <c r="R15" i="1"/>
  <c r="K40" i="1" l="1"/>
  <c r="L9" i="1"/>
  <c r="L236" i="1"/>
  <c r="K131" i="1"/>
  <c r="K67" i="1"/>
  <c r="K76" i="1"/>
  <c r="K35" i="1"/>
  <c r="L36" i="1"/>
  <c r="K36" i="1"/>
  <c r="K3" i="1"/>
  <c r="L3" i="1"/>
  <c r="K253" i="1"/>
  <c r="L204" i="1"/>
  <c r="K204" i="1"/>
  <c r="L147" i="1"/>
  <c r="K147" i="1"/>
  <c r="L149" i="1"/>
  <c r="K149" i="1"/>
  <c r="L143" i="1"/>
  <c r="K143" i="1"/>
  <c r="L142" i="1"/>
  <c r="K142" i="1"/>
  <c r="L144" i="1"/>
  <c r="K144" i="1"/>
  <c r="K68" i="1"/>
  <c r="L68" i="1"/>
  <c r="L74" i="1"/>
  <c r="K74" i="1"/>
  <c r="L70" i="1"/>
  <c r="K70" i="1"/>
  <c r="L71" i="1"/>
  <c r="K71" i="1"/>
  <c r="K78" i="1"/>
  <c r="L78" i="1"/>
  <c r="K69" i="1"/>
  <c r="L69" i="1"/>
  <c r="L65" i="1"/>
  <c r="K65" i="1"/>
  <c r="K75" i="1"/>
  <c r="L75" i="1"/>
  <c r="L77" i="1"/>
  <c r="K77" i="1"/>
  <c r="L79" i="1"/>
  <c r="K79" i="1"/>
  <c r="L72" i="1"/>
  <c r="K72" i="1"/>
  <c r="L73" i="1"/>
  <c r="K73" i="1"/>
  <c r="L132" i="1"/>
  <c r="K132" i="1"/>
  <c r="L84" i="1"/>
  <c r="K28" i="1"/>
  <c r="K42" i="1"/>
  <c r="L42" i="1"/>
  <c r="K88" i="1"/>
  <c r="L88" i="1"/>
  <c r="K66" i="1"/>
  <c r="L66" i="1"/>
  <c r="L83" i="1"/>
  <c r="K83" i="1"/>
  <c r="L85" i="1"/>
  <c r="K85" i="1"/>
  <c r="K86" i="1"/>
  <c r="L86" i="1"/>
  <c r="K39" i="1"/>
  <c r="L39" i="1"/>
  <c r="K7" i="1"/>
  <c r="L7" i="1"/>
  <c r="L27" i="1"/>
  <c r="K27" i="1"/>
  <c r="K45" i="1"/>
  <c r="K59" i="1"/>
  <c r="K120" i="1"/>
  <c r="K127" i="1"/>
  <c r="K48" i="1"/>
  <c r="K118" i="1"/>
  <c r="K30" i="1"/>
  <c r="K37" i="1"/>
  <c r="K38" i="1"/>
  <c r="K55" i="1"/>
  <c r="K121" i="1"/>
  <c r="K129" i="1"/>
  <c r="K52" i="1"/>
  <c r="L13" i="1"/>
  <c r="K130" i="1"/>
  <c r="K54" i="1"/>
  <c r="K80" i="1"/>
  <c r="L80" i="1"/>
  <c r="K82" i="1"/>
  <c r="L82" i="1"/>
  <c r="L89" i="1"/>
  <c r="K89" i="1"/>
  <c r="L90" i="1"/>
  <c r="K90" i="1"/>
  <c r="K81" i="1"/>
  <c r="L81" i="1"/>
  <c r="K87" i="1"/>
  <c r="L87" i="1"/>
  <c r="K117" i="1"/>
  <c r="K128" i="1"/>
  <c r="K92" i="1"/>
  <c r="K101" i="1"/>
  <c r="K20" i="1"/>
  <c r="K111" i="1"/>
  <c r="K107" i="1"/>
  <c r="K103" i="1"/>
  <c r="K115" i="1"/>
  <c r="K51" i="1"/>
  <c r="K104" i="1"/>
  <c r="K22" i="1"/>
  <c r="K97" i="1"/>
  <c r="K108" i="1"/>
  <c r="K63" i="1"/>
  <c r="K8" i="1"/>
  <c r="K15" i="1"/>
  <c r="K96" i="1"/>
  <c r="K62" i="1"/>
  <c r="K64" i="1"/>
  <c r="K29" i="1"/>
  <c r="K16" i="1"/>
  <c r="K53" i="1"/>
  <c r="K47" i="1"/>
  <c r="K6" i="1"/>
  <c r="K102" i="1"/>
  <c r="K110" i="1"/>
  <c r="K91" i="1"/>
  <c r="K25" i="1"/>
  <c r="K105" i="1"/>
  <c r="K95" i="1"/>
  <c r="K18" i="1"/>
  <c r="K58" i="1"/>
  <c r="K41" i="1"/>
  <c r="K100" i="1"/>
  <c r="K44" i="1"/>
  <c r="K61" i="1"/>
  <c r="K146" i="1"/>
  <c r="K31" i="1"/>
  <c r="K33" i="1"/>
  <c r="K60" i="1"/>
  <c r="K99" i="1"/>
  <c r="K114" i="1"/>
  <c r="K50" i="1"/>
  <c r="K24" i="1"/>
  <c r="K14" i="1"/>
  <c r="K12" i="1"/>
  <c r="K109" i="1"/>
  <c r="K46" i="1"/>
  <c r="K56" i="1"/>
  <c r="K11" i="1"/>
  <c r="K10" i="1"/>
  <c r="K49" i="1"/>
  <c r="K93" i="1"/>
  <c r="K5" i="1"/>
  <c r="K4" i="1"/>
  <c r="K94" i="1"/>
  <c r="K17" i="1"/>
  <c r="K106" i="1"/>
  <c r="K43" i="1"/>
  <c r="K34" i="1"/>
  <c r="K32" i="1"/>
  <c r="K23" i="1"/>
  <c r="K123" i="1"/>
  <c r="K98" i="1"/>
  <c r="K122" i="1"/>
  <c r="K21" i="1"/>
  <c r="K57" i="1"/>
  <c r="K124" i="1"/>
  <c r="K126" i="1"/>
  <c r="K19" i="1"/>
  <c r="C1" i="2"/>
  <c r="S30" i="1" l="1"/>
  <c r="S79" i="1"/>
  <c r="S73" i="1"/>
  <c r="S60" i="1"/>
  <c r="S66" i="1"/>
  <c r="H18" i="2"/>
  <c r="H17" i="2"/>
  <c r="S35" i="1" s="1"/>
  <c r="H16" i="2"/>
  <c r="S32" i="1" s="1"/>
  <c r="H15" i="2"/>
  <c r="S31" i="1" s="1"/>
  <c r="H14" i="2"/>
  <c r="H13" i="2"/>
  <c r="H12" i="2"/>
  <c r="S10" i="1" s="1"/>
  <c r="H11" i="2"/>
  <c r="H10" i="2"/>
  <c r="H9" i="2"/>
  <c r="H8" i="2"/>
  <c r="H7" i="2"/>
  <c r="S134" i="1" s="1"/>
  <c r="H6" i="2"/>
  <c r="H5" i="2"/>
  <c r="S220" i="1" s="1"/>
  <c r="H4" i="2"/>
  <c r="S69" i="1"/>
  <c r="T69" i="1" s="1"/>
  <c r="S3" i="1" l="1"/>
  <c r="S55" i="1"/>
  <c r="S37" i="1"/>
  <c r="U35" i="1"/>
  <c r="T35" i="1"/>
  <c r="T220" i="1"/>
  <c r="U220" i="1"/>
  <c r="S24" i="1"/>
  <c r="S53" i="1"/>
  <c r="T31" i="1"/>
  <c r="U31" i="1"/>
  <c r="T32" i="1"/>
  <c r="U32" i="1"/>
  <c r="T134" i="1"/>
  <c r="U134" i="1"/>
  <c r="S8" i="1"/>
  <c r="S28" i="1"/>
  <c r="T28" i="1" s="1"/>
  <c r="S7" i="1"/>
  <c r="S12" i="1"/>
  <c r="U12" i="1" s="1"/>
  <c r="S13" i="1"/>
  <c r="T13" i="1" s="1"/>
  <c r="S18" i="1"/>
  <c r="T18" i="1" s="1"/>
  <c r="S15" i="1"/>
  <c r="U15" i="1" s="1"/>
  <c r="S22" i="1"/>
  <c r="S16" i="1"/>
  <c r="U16" i="1" s="1"/>
  <c r="S11" i="1"/>
  <c r="T11" i="1" s="1"/>
  <c r="S17" i="1"/>
  <c r="U10" i="1"/>
  <c r="T10" i="1"/>
  <c r="S19" i="1"/>
  <c r="U19" i="1" s="1"/>
  <c r="S14" i="1"/>
  <c r="S4" i="1"/>
  <c r="S27" i="1"/>
  <c r="U27" i="1" s="1"/>
  <c r="S9" i="1"/>
  <c r="U9" i="1" s="1"/>
  <c r="S20" i="1"/>
  <c r="T20" i="1" s="1"/>
  <c r="S21" i="1"/>
  <c r="T21" i="1" s="1"/>
  <c r="S6" i="1"/>
  <c r="U6" i="1" s="1"/>
  <c r="S64" i="1"/>
  <c r="U64" i="1" s="1"/>
  <c r="S63" i="1"/>
  <c r="S68" i="1"/>
  <c r="T68" i="1" s="1"/>
  <c r="S67" i="1"/>
  <c r="U66" i="1"/>
  <c r="T66" i="1"/>
  <c r="T60" i="1"/>
  <c r="U60" i="1"/>
  <c r="U73" i="1"/>
  <c r="T73" i="1"/>
  <c r="S52" i="1"/>
  <c r="U52" i="1" s="1"/>
  <c r="S48" i="1"/>
  <c r="S51" i="1"/>
  <c r="T51" i="1" s="1"/>
  <c r="S47" i="1"/>
  <c r="S50" i="1"/>
  <c r="U50" i="1" s="1"/>
  <c r="S46" i="1"/>
  <c r="S26" i="1"/>
  <c r="U26" i="1" s="1"/>
  <c r="S23" i="1"/>
  <c r="S29" i="1"/>
  <c r="U29" i="1" s="1"/>
  <c r="S5" i="1"/>
  <c r="U5" i="1" s="1"/>
  <c r="S25" i="1"/>
  <c r="U30" i="1"/>
  <c r="T30" i="1"/>
  <c r="U79" i="1"/>
  <c r="T79" i="1"/>
  <c r="U69" i="1"/>
  <c r="S76" i="1"/>
  <c r="U76" i="1" s="1"/>
  <c r="S75" i="1"/>
  <c r="S2" i="1"/>
  <c r="S70" i="1"/>
  <c r="U3" i="1" l="1"/>
  <c r="T3" i="1"/>
  <c r="U55" i="1"/>
  <c r="T55" i="1"/>
  <c r="T37" i="1"/>
  <c r="U37" i="1"/>
  <c r="T24" i="1"/>
  <c r="U24" i="1"/>
  <c r="T53" i="1"/>
  <c r="U53" i="1"/>
  <c r="U8" i="1"/>
  <c r="T8" i="1"/>
  <c r="U28" i="1"/>
  <c r="T7" i="1"/>
  <c r="U7" i="1"/>
  <c r="T12" i="1"/>
  <c r="U13" i="1"/>
  <c r="T15" i="1"/>
  <c r="U11" i="1"/>
  <c r="U18" i="1"/>
  <c r="T16" i="1"/>
  <c r="U17" i="1"/>
  <c r="T17" i="1"/>
  <c r="U22" i="1"/>
  <c r="T22" i="1"/>
  <c r="T19" i="1"/>
  <c r="U14" i="1"/>
  <c r="T14" i="1"/>
  <c r="U4" i="1"/>
  <c r="T4" i="1"/>
  <c r="U20" i="1"/>
  <c r="T9" i="1"/>
  <c r="T64" i="1"/>
  <c r="T27" i="1"/>
  <c r="T6" i="1"/>
  <c r="U21" i="1"/>
  <c r="U68" i="1"/>
  <c r="T50" i="1"/>
  <c r="U51" i="1"/>
  <c r="T26" i="1"/>
  <c r="T5" i="1"/>
  <c r="T52" i="1"/>
  <c r="T29" i="1"/>
  <c r="T67" i="1"/>
  <c r="U67" i="1"/>
  <c r="U63" i="1"/>
  <c r="T63" i="1"/>
  <c r="T23" i="1"/>
  <c r="U23" i="1"/>
  <c r="U46" i="1"/>
  <c r="T46" i="1"/>
  <c r="U47" i="1"/>
  <c r="T47" i="1"/>
  <c r="U48" i="1"/>
  <c r="T48" i="1"/>
  <c r="T25" i="1"/>
  <c r="U25" i="1"/>
  <c r="T76" i="1"/>
  <c r="T75" i="1"/>
  <c r="U75" i="1"/>
  <c r="U2" i="1"/>
  <c r="U70" i="1"/>
  <c r="T70" i="1"/>
  <c r="C4" i="4" l="1"/>
  <c r="R39" i="1" l="1"/>
  <c r="T39" i="1"/>
  <c r="R2" i="1"/>
  <c r="T2" i="1"/>
  <c r="C3" i="4" l="1"/>
  <c r="N183" i="1"/>
</calcChain>
</file>

<file path=xl/sharedStrings.xml><?xml version="1.0" encoding="utf-8"?>
<sst xmlns="http://schemas.openxmlformats.org/spreadsheetml/2006/main" count="5646" uniqueCount="303">
  <si>
    <t>COD</t>
  </si>
  <si>
    <t>GRUPO</t>
  </si>
  <si>
    <t>DESCRIÇÃO DO ITEM</t>
  </si>
  <si>
    <t>CA</t>
  </si>
  <si>
    <t>VALIDADE CA</t>
  </si>
  <si>
    <t>UNID</t>
  </si>
  <si>
    <t>EST.MIN</t>
  </si>
  <si>
    <t>EST.MAX</t>
  </si>
  <si>
    <t>EST. ATUAL</t>
  </si>
  <si>
    <t>COMPRA</t>
  </si>
  <si>
    <t>OBSERVAÇÃO</t>
  </si>
  <si>
    <t>DESCRIÇÃO</t>
  </si>
  <si>
    <t>ENTRADA</t>
  </si>
  <si>
    <t>SAÍDA</t>
  </si>
  <si>
    <t>SALDO</t>
  </si>
  <si>
    <t>STATUS</t>
  </si>
  <si>
    <t>VALOR UNIT.</t>
  </si>
  <si>
    <t>VALOR TOTAL DO ESTOQUE</t>
  </si>
  <si>
    <t>VALOR TOTAL DA SAÍDA</t>
  </si>
  <si>
    <t>CONSUMO</t>
  </si>
  <si>
    <t>ABAFADOR DE RUIDOS TIPO CONCHA</t>
  </si>
  <si>
    <t> 09/08/2027</t>
  </si>
  <si>
    <t>UND</t>
  </si>
  <si>
    <t>AVENTAL DE PVC</t>
  </si>
  <si>
    <t>AVENTAL DE RASPA TAM 120X60</t>
  </si>
  <si>
    <t>N/A</t>
  </si>
  <si>
    <t>AVENTAL DE RASPA TAM 1X60MT</t>
  </si>
  <si>
    <t xml:space="preserve">AVENTAL IMPERMEAVEL </t>
  </si>
  <si>
    <t xml:space="preserve">BALACLAVA  </t>
  </si>
  <si>
    <t>BLUSÃO DE RASPA MANGA LONGA</t>
  </si>
  <si>
    <t>BOTA PVC CANO CURTO Nº 40</t>
  </si>
  <si>
    <t>PAR</t>
  </si>
  <si>
    <t>BOTA PVC CANO CURTO Nº 41</t>
  </si>
  <si>
    <t>BOTA PVC CANO CURTO Nº 42</t>
  </si>
  <si>
    <t>BOTA PVC CANO CURTO Nº 43</t>
  </si>
  <si>
    <t>BOTA PVC CANO LONGO Nº 37</t>
  </si>
  <si>
    <t>BOTA PVC CANO LONGO Nº 38</t>
  </si>
  <si>
    <t>BOTA PVC CANO LONGO Nº 39</t>
  </si>
  <si>
    <t>BOTA PVC CANO LONGO Nº 40</t>
  </si>
  <si>
    <t>BOTA PVC CANO LONGO Nº 41</t>
  </si>
  <si>
    <t>BOTA PVC CANO LONGO Nº 42</t>
  </si>
  <si>
    <t>BOTA PVC CANO LONGO Nº 43</t>
  </si>
  <si>
    <t>BOTA PVC CANO LONGO Nº 44</t>
  </si>
  <si>
    <t>BOTA PVC CANO LONGO Nº 45</t>
  </si>
  <si>
    <t>BOTA PVC CANO LONGO Nº 46</t>
  </si>
  <si>
    <t>BOTA PVC CANO LONGO Nº 47</t>
  </si>
  <si>
    <t>BOTA PVC CANO LONGO Nº 48</t>
  </si>
  <si>
    <t>BOTA PVC CANO MEDIO Nº 34</t>
  </si>
  <si>
    <t>BOTA PVC CANO MEDIO Nº 35</t>
  </si>
  <si>
    <t>BOTA PVC CANO MEDIO Nº 36</t>
  </si>
  <si>
    <t>BOTA PVC CANO MEDIO Nº 37</t>
  </si>
  <si>
    <t>BOTA PVC CANO MEDIO Nº 38</t>
  </si>
  <si>
    <t>BOTA PVC CANO MEDIO Nº 39</t>
  </si>
  <si>
    <t>BOTA PVC CANO MEDIO Nº 40</t>
  </si>
  <si>
    <t>BOTA PVC CANO MEDIO Nº 41</t>
  </si>
  <si>
    <t>BOTA PVC CANO MEDIO Nº 42</t>
  </si>
  <si>
    <t>BOTA PVC CANO MEDIO Nº 43</t>
  </si>
  <si>
    <t>BOTA PVC CANO MEDIO Nº 44</t>
  </si>
  <si>
    <t>BOTA PVC CANO MEDIO Nº 45</t>
  </si>
  <si>
    <t>BOTA PVC CANO MEDIO Nº 46</t>
  </si>
  <si>
    <t>BOTINA BICO PVC Nº 39 NOBUCK</t>
  </si>
  <si>
    <t>BOTINA BICO PVC Nº 41 NOBUCK</t>
  </si>
  <si>
    <t>BOTINA BICO PVC Nº 42 NOBUCK</t>
  </si>
  <si>
    <t>BOTINA BICO PVC Nº 45 NOBUCK</t>
  </si>
  <si>
    <t>BOTINA DE ELETRICISTA Nº 36</t>
  </si>
  <si>
    <t>BOTINA DE ELETRICISTA Nº 37</t>
  </si>
  <si>
    <t>BOTINA DE ELETRICISTA Nº 38</t>
  </si>
  <si>
    <t>BOTINA DE ELETRICISTA Nº 39</t>
  </si>
  <si>
    <t>BOTINA DE ELETRICISTA Nº 40</t>
  </si>
  <si>
    <t>BOTINA DE ELETRICISTA Nº 41</t>
  </si>
  <si>
    <t>BOTINA DE ELETRICISTA Nº 42</t>
  </si>
  <si>
    <t>BOTINA DE ELETRICISTA Nº 43</t>
  </si>
  <si>
    <t>BOTINA DE ELETRICISTA Nº 44</t>
  </si>
  <si>
    <t>BOTINA DE ELETRICISTA Nº 45</t>
  </si>
  <si>
    <t>BOTINA OP. BICO PVC Nº 35</t>
  </si>
  <si>
    <t>BOTINA OP. BICO PVC Nº 36</t>
  </si>
  <si>
    <t>BOTINA OP. BICO PVC Nº 37</t>
  </si>
  <si>
    <t>BOTINA OP. BICO PVC Nº 38</t>
  </si>
  <si>
    <t>BOTINA OP. BICO PVC Nº 39</t>
  </si>
  <si>
    <t>BOTINA OP. BICO PVC Nº 40</t>
  </si>
  <si>
    <t>BOTINA OP. BICO PVC Nº 41</t>
  </si>
  <si>
    <t>BOTINA OP. BICO PVC Nº 42</t>
  </si>
  <si>
    <t>BOTINA OP. BICO PVC Nº 43</t>
  </si>
  <si>
    <t>BOTINA OP. BICO PVC Nº 44</t>
  </si>
  <si>
    <t>BOTINA OP. BICO PVC Nº 45</t>
  </si>
  <si>
    <t>BOTINA OP. BICO PVC Nº 46</t>
  </si>
  <si>
    <t>BOTINA SEGURANÇA MATATARSO 35 ADM</t>
  </si>
  <si>
    <t>BOTINA SEGURANÇA MATATARSO 36</t>
  </si>
  <si>
    <t>BOTINA SEGURANÇA MATATARSO 36 ADM</t>
  </si>
  <si>
    <t>BOTINA SEGURANÇA MATATARSO 37 ADM</t>
  </si>
  <si>
    <t>BOTINA SEGURANÇA MATATARSO 38 ADM</t>
  </si>
  <si>
    <t>BOTINA SEGURANÇA MATATARSO 39 ADM</t>
  </si>
  <si>
    <t>BOTINA SEGURANÇA MATATARSO 40 ADM</t>
  </si>
  <si>
    <t>BOTINA SEGURANÇA MATATARSO 41 ADM</t>
  </si>
  <si>
    <t>BOTINA SEGURANÇA MATATARSO 42 ADM</t>
  </si>
  <si>
    <t xml:space="preserve">BOTINA SEGURANÇA MATATARSO 43 ADM </t>
  </si>
  <si>
    <t>BOTINA SEGURANÇA MATATARSO 44 ADM</t>
  </si>
  <si>
    <t>BOTINA SEGURANÇA MATATARSO 45 ADM</t>
  </si>
  <si>
    <t>BOTINA SEGURANÇA MATATARSO 46 ADM</t>
  </si>
  <si>
    <t>BOTINA SEGURANÇA MATATARSO 47 - ADM</t>
  </si>
  <si>
    <t>BOTINA SEGURANÇA MATATARSO 47 ADM</t>
  </si>
  <si>
    <t>BOTINA SEGURANÇA METATARSO  35</t>
  </si>
  <si>
    <t>BOTINA SEGURANÇA METATARSO  37</t>
  </si>
  <si>
    <t>BOTINA SEGURANÇA METATARSO  38</t>
  </si>
  <si>
    <t>BOTINA SEGURANÇA METATARSO  39</t>
  </si>
  <si>
    <t>BOTINA SEGURANÇA METATARSO  40</t>
  </si>
  <si>
    <t>BOTINA SEGURANÇA METATARSO  41</t>
  </si>
  <si>
    <t>BOTINA SEGURANÇA METATARSO  42</t>
  </si>
  <si>
    <t>BOTINA SEGURANÇA METATARSO  43</t>
  </si>
  <si>
    <t>BOTINA SEGURANÇA METATARSO  44</t>
  </si>
  <si>
    <t>BOTINA SEGURANÇA METATARSO  45</t>
  </si>
  <si>
    <t>BOTINA SEGURANÇA METATARSO  46</t>
  </si>
  <si>
    <t>CALÇA CINZA OP. C/ FAIXA REFLETIVA TAM: EG</t>
  </si>
  <si>
    <t>CALÇA CINZA OP. C/ FAIXA REFLETIVA TAM: EXG</t>
  </si>
  <si>
    <t>CALÇA CINZA OP. C/ FAIXA REFLETIVA TAM: G</t>
  </si>
  <si>
    <t>CALÇA CINZA OP. C/ FAIXA REFLETIVA TAM: GG</t>
  </si>
  <si>
    <t>CALÇA CINZA OP. C/ FAIXA REFLETIVA TAM: M</t>
  </si>
  <si>
    <t>CALÇA CINZA OP. C/ FAIXA REFLETIVA TAM: P</t>
  </si>
  <si>
    <t>CALÇA CINZA OP. C/ FAIXA REFLETIVA TAM: XG</t>
  </si>
  <si>
    <t>CALÇA DE ELETRICISTA NR.10 TAM: EG</t>
  </si>
  <si>
    <t>CALÇA DE ELETRICISTA NR.10 TAM: G</t>
  </si>
  <si>
    <t>CALÇA DE ELETRICISTA NR.10 TAM: GG</t>
  </si>
  <si>
    <t>CALÇA DE ELETRICISTA NR.10 TAM: M</t>
  </si>
  <si>
    <t>CALÇA DE ELETRICISTA NR.10 TAM: P</t>
  </si>
  <si>
    <t>CALÇA DE ELETRICISTA NR.10 TAM: XGG</t>
  </si>
  <si>
    <t>CAMISA ADM FEMININA TAM: G</t>
  </si>
  <si>
    <t>CAMISA ADM FEMININA TAM: GG</t>
  </si>
  <si>
    <t>CAMISA ADM FEMININA TAM: M</t>
  </si>
  <si>
    <t>CAMISA ADM FEMININA TAM: P</t>
  </si>
  <si>
    <t>CAMISA ADM MASCULINA TAM: G</t>
  </si>
  <si>
    <t>CAMISA ADM MASCULINA TAM: GG</t>
  </si>
  <si>
    <t>CAMISA ADM MASCULINA TAM: M</t>
  </si>
  <si>
    <t>CAMISA ADM MASCULINA TAM: P</t>
  </si>
  <si>
    <t>CAMISA ADM MASCULINA TAM: XG</t>
  </si>
  <si>
    <t>CAMISA ADM MASCULINA TAM: XGG</t>
  </si>
  <si>
    <t>CAMISA DE ELETRICISTA NR.10 TAM: G</t>
  </si>
  <si>
    <t>CAMISA DE ELETRICISTA NR.10 TAM: GG</t>
  </si>
  <si>
    <t>CAMISA DE ELETRICISTA NR.10 TAM: M</t>
  </si>
  <si>
    <t>CAMISA DE ELETRICISTA NR.10 TAM: P</t>
  </si>
  <si>
    <t>CAMISA DE ELETRICISTA NR.10 TAM: XG</t>
  </si>
  <si>
    <t>CAMISA LARANJA OP. C/ FAIXA REFLETIVA TAM: EXG</t>
  </si>
  <si>
    <t>CAMISA LARANJA OP. C/ FAIXA REFLETIVA TAM: G</t>
  </si>
  <si>
    <t>CAMISA LARANJA OP. C/ FAIXA REFLETIVA TAM: GG</t>
  </si>
  <si>
    <t>CAMISA LARANJA OP. C/ FAIXA REFLETIVA TAM: M</t>
  </si>
  <si>
    <t>CAMISA LARANJA OP. C/ FAIXA REFLETIVA TAM: P</t>
  </si>
  <si>
    <t>CAMISA LARANJA OP. C/ FAIXA REFLETIVA TAM: XG</t>
  </si>
  <si>
    <t>CAMISA LARANJA OP. C/ FAIXA REFLETIVA TAM: XGG</t>
  </si>
  <si>
    <t>CAPA DE CHUVA G</t>
  </si>
  <si>
    <t>CAPA DE CHUVA GG</t>
  </si>
  <si>
    <t>CAPACETE CAMPER AMARELO</t>
  </si>
  <si>
    <t>CAPACETE CAMPER AZUL ESCURO</t>
  </si>
  <si>
    <t>CAPACETE CAMPER BRANCO</t>
  </si>
  <si>
    <t>CAPACETE CAMPER CINZA</t>
  </si>
  <si>
    <t>CAPACETE CAMPER MARROM</t>
  </si>
  <si>
    <t>CAPACETE GENISIS AMARELO</t>
  </si>
  <si>
    <t>CAPACETE GENISIS AZUL</t>
  </si>
  <si>
    <t>CAPACETE GENISIS BRANCO</t>
  </si>
  <si>
    <t>CAPACETE GENISIS CINZA</t>
  </si>
  <si>
    <t xml:space="preserve">CAPACETE GENISIS LARANJA </t>
  </si>
  <si>
    <t>CAPACETE GENISIS MARRON</t>
  </si>
  <si>
    <t>CAPACETE GENISIS PRETO</t>
  </si>
  <si>
    <t>CAPACETE GENISIS VERDE</t>
  </si>
  <si>
    <t>CAPACETE GENISIS VERMELHO</t>
  </si>
  <si>
    <t>CAPACETE LIBUS AMARELO</t>
  </si>
  <si>
    <t>CAPACETE LIBUS AZUL CLARO</t>
  </si>
  <si>
    <t>CAPACETE LIBUS BRANCO</t>
  </si>
  <si>
    <t>CAPACETE LIBUS CINZA</t>
  </si>
  <si>
    <t>CAPACETE LIBUS LARANJA</t>
  </si>
  <si>
    <t>CAPACETE LIBUS MARROM</t>
  </si>
  <si>
    <t>CAPACETE LIBUS PRETO</t>
  </si>
  <si>
    <t>CAPACETE LIBUS VERDE</t>
  </si>
  <si>
    <t>CAPACETE LIBUS VERMELHO</t>
  </si>
  <si>
    <t>CAPACETE PLASTCOR AMARELO</t>
  </si>
  <si>
    <t>CAPACETE PLASTCOR AZUL ESCURO</t>
  </si>
  <si>
    <t>CAPACETE PLASTCOR BRANCO</t>
  </si>
  <si>
    <t>CAPACETE PLASTCOR CINZA</t>
  </si>
  <si>
    <t>CAPACETE PLASTCOR ROXO</t>
  </si>
  <si>
    <t>CARNEIRA 3M</t>
  </si>
  <si>
    <t>CARNEIRA P/ CAPACETE C/ CATRACA GENESIS</t>
  </si>
  <si>
    <t>CARNEIRA P/ CAPACETE CAMPER</t>
  </si>
  <si>
    <t>CARNEIRA P/ CAPACETE LIBUS</t>
  </si>
  <si>
    <t xml:space="preserve">CINTO DE SEGURANÇA ARAMIDA </t>
  </si>
  <si>
    <t>CINTO DE SEGURANÇA ATHENAS TAM:2</t>
  </si>
  <si>
    <t xml:space="preserve">CINTO DE SEGURANÇA MODELO:C70 </t>
  </si>
  <si>
    <t>CINTO PQD SOLDADOR</t>
  </si>
  <si>
    <t>COLETE REFLETIVO LARANJA G</t>
  </si>
  <si>
    <t>COLETE REFLETIVO LARANJA GG</t>
  </si>
  <si>
    <t>COLETE REFLETIVO LARANJA M</t>
  </si>
  <si>
    <t>COLETE REFLETIVO LARANJA XG</t>
  </si>
  <si>
    <t>COLETE REFLETIVO LARANJA XGG</t>
  </si>
  <si>
    <t>COLETE REFLETIVO LARANJA XXG</t>
  </si>
  <si>
    <t>CONE PLASTICOR DE SINALIZACAO 75cm</t>
  </si>
  <si>
    <t>CONJUNTO NR 10 AZUL CLASSE 2 TAM G</t>
  </si>
  <si>
    <t>CONJ</t>
  </si>
  <si>
    <t>CONJUNTO NR 10 AZUL CLASSE 2 TAM GG</t>
  </si>
  <si>
    <t>CONJUNTO NR 10 AZUL CLASSE 2 TAM P</t>
  </si>
  <si>
    <t>CONJUNTO NR 10 CALÇA  CINZA  GG</t>
  </si>
  <si>
    <t>CONJUNTO NR 10 CAMISA  CINZA  GG</t>
  </si>
  <si>
    <t>CORDA MULTIFILAMENTO TRANÇADA 12mm</t>
  </si>
  <si>
    <t>M</t>
  </si>
  <si>
    <t>CORDA PARA SINALIZAÇÃO 12mmx150m</t>
  </si>
  <si>
    <t>CORDA POLIESTER TRANCADA 8MM</t>
  </si>
  <si>
    <t>MTS</t>
  </si>
  <si>
    <t>CORDA TORCIDA DE RÁFIA PP 12mm</t>
  </si>
  <si>
    <t>CORDA TORRIDA DE RAFIA P/ SEGURANÇA 12mm</t>
  </si>
  <si>
    <t xml:space="preserve">CREME PROTETOR P/ MÃOS NUTRIEX </t>
  </si>
  <si>
    <t>FITA REFLETIVA 5 CM PRISMATICO AMARELO/PRETO</t>
  </si>
  <si>
    <t>FITA REFLETIVA 5 CM PRISMATICO LARANJA</t>
  </si>
  <si>
    <t>JARDINEIRA 0190CB TAM GGX NYLON VERDE MILITAR</t>
  </si>
  <si>
    <t>JARDINEIRA AMARELA BOTA Nº 38</t>
  </si>
  <si>
    <t>JARDINEIRA AMARELA BOTA Nº 39</t>
  </si>
  <si>
    <t>JARDINEIRA AMARELA BOTA Nº 40</t>
  </si>
  <si>
    <t>JARDINEIRA AMARELA BOTA Nº 41</t>
  </si>
  <si>
    <t>JARDINEIRA AMARELA BOTA Nº 42</t>
  </si>
  <si>
    <t>JARDINEIRA AMARELA BOTA Nº 43</t>
  </si>
  <si>
    <t>JARDINEIRA AMARELA BOTA Nº 44</t>
  </si>
  <si>
    <t>JARDINEIRA AMARELA BOTA Nº 45</t>
  </si>
  <si>
    <t>JUGULAR</t>
  </si>
  <si>
    <t>KIT PROTEÇÃO FACIAL P/ ARCO ELETRICO</t>
  </si>
  <si>
    <t>LENTE PARA SOLDA RETANGULAR ESCURA</t>
  </si>
  <si>
    <t>LENTE PARA SOLDA RETANGULAR INCOLOR</t>
  </si>
  <si>
    <t>LUVA  ALTA TENSÃO 2,5 KV  ORION CLASSE 00</t>
  </si>
  <si>
    <t>LUVA DE PU PRETA TAM 8</t>
  </si>
  <si>
    <t>LUVA DE RASPA CANO LONGO</t>
  </si>
  <si>
    <t>LUVA DE RASPA CANO MEDIO</t>
  </si>
  <si>
    <t xml:space="preserve">LUVA DE RASPA MISTA </t>
  </si>
  <si>
    <t>LUVA DE SEGURANÇA DE ALTA TEMPERATURA 5KV TIPO 2 TAM 9,5</t>
  </si>
  <si>
    <t>LUVA DE VAQUETA MARROM</t>
  </si>
  <si>
    <t xml:space="preserve">LUVA DE VAQUETA MISTA </t>
  </si>
  <si>
    <t xml:space="preserve">LUVA DE VAQUETA VERDE </t>
  </si>
  <si>
    <t>LUVA DE VAUQETA CINZA</t>
  </si>
  <si>
    <t xml:space="preserve">LUVA LATEX NITRILICA </t>
  </si>
  <si>
    <t xml:space="preserve">LUVA MULTITATO </t>
  </si>
  <si>
    <t>LUVA ORION ALTA TENSÃO 20KV CLASSE 2 TIPO 2 TAM 9</t>
  </si>
  <si>
    <t>LUVA PARA SOLDADOR MIG AZUL TAM 10</t>
  </si>
  <si>
    <t>LUVA PARA SOLDADOR MIG AZUL TAM 9</t>
  </si>
  <si>
    <t>LUVA PIGMENTADA</t>
  </si>
  <si>
    <t>LUVA POLIESTER ANTICORTE BANHADA PU TAM 9</t>
  </si>
  <si>
    <t>LUVA PVC LINEA - CANO LONGO</t>
  </si>
  <si>
    <t>LUVA QUIMICA ( 2 OU 3)</t>
  </si>
  <si>
    <t>LUVA VOLK ANTIVIBRAÇÃO GORILA TAM 10</t>
  </si>
  <si>
    <t>LUVA VOLK ANTIVIBRAÇÃO GORILA TAM 9</t>
  </si>
  <si>
    <t>MACACÃO DE PROTEÇÃO TYVEK</t>
  </si>
  <si>
    <t xml:space="preserve">MACACÃO DE RASPA </t>
  </si>
  <si>
    <t>MACACÃO DE RASPA MANGA LONGA</t>
  </si>
  <si>
    <t>MANGOTE DE RASPA</t>
  </si>
  <si>
    <t xml:space="preserve">MASCARA DE SOLDA AUTOMATICA </t>
  </si>
  <si>
    <t>OCULOS DE PROTEÇÃO ESCURO</t>
  </si>
  <si>
    <t xml:space="preserve">OCULOS DE PROTEÇÃO INCOLOR </t>
  </si>
  <si>
    <t>OCULOS DE SOLDADOR LENTE DUPLA - MAÇARIQUEIRO</t>
  </si>
  <si>
    <t>OCULOS OPERACIONAL SOBRE POR ESCURO</t>
  </si>
  <si>
    <t>OCULOS OPERACIONAL SOBRE POR INCOLOR</t>
  </si>
  <si>
    <t>OMBREIRA COM ENCHIMENTO DE RASPA</t>
  </si>
  <si>
    <t>PERNEIRA DE RASPA</t>
  </si>
  <si>
    <t>PERNEIRA PVC C/ VELCRO</t>
  </si>
  <si>
    <t>PROTETOR AUDITIVO TIPO CONCHA</t>
  </si>
  <si>
    <t>PROTETOR AUDITIVO TIPO CONCHA L-300</t>
  </si>
  <si>
    <t>PROTETOR AURICULAR TIPO PLUG</t>
  </si>
  <si>
    <t xml:space="preserve">PROTETOR DE VERGALHÃO </t>
  </si>
  <si>
    <t>PROTETOR FACIAL COM LENTE FOSCA</t>
  </si>
  <si>
    <t>PROTETOR SOLAR 70 FPS FACIAL E CORPORAL</t>
  </si>
  <si>
    <t>PROTETOR SOLAR FACIAL ALGSUN 2L</t>
  </si>
  <si>
    <t>RESPIRADOR SEMIFACIAL T 9500</t>
  </si>
  <si>
    <t>SUPORTE P/ ACOPLAR PROTETOR FACIAL PRETO</t>
  </si>
  <si>
    <t xml:space="preserve">SUPORTE PROTETOR FACIAL </t>
  </si>
  <si>
    <t xml:space="preserve">TALABARTE  DUPLO ARAMIDA </t>
  </si>
  <si>
    <t>TALABARTE DE POSICIONAMENTO</t>
  </si>
  <si>
    <t>TALABARTE DUPLO TIPO Y</t>
  </si>
  <si>
    <t>TALABARTE DUPLO Y SOLDADOR</t>
  </si>
  <si>
    <t>TAYCO CARTUCHO P/ GASES TGV-500 - MASCARA</t>
  </si>
  <si>
    <t xml:space="preserve">TOUCA ARABE </t>
  </si>
  <si>
    <t>TRAVA QUEDA GUIADO EM LINHA FLEXIVEL 12mm</t>
  </si>
  <si>
    <t>TRAVA QUEDA P/ CABO DE AÇO 8mm</t>
  </si>
  <si>
    <t>TRAVA QUEDAS RETRATIL</t>
  </si>
  <si>
    <t>VISEIRA ACOPLADA</t>
  </si>
  <si>
    <t>LUVA POLIESTER ANTICORTE CANO LONGO</t>
  </si>
  <si>
    <t>Data</t>
  </si>
  <si>
    <t>Cod</t>
  </si>
  <si>
    <t>Descrição</t>
  </si>
  <si>
    <t>UN.</t>
  </si>
  <si>
    <t>Quant</t>
  </si>
  <si>
    <t>Valor unit</t>
  </si>
  <si>
    <t>CUSTO</t>
  </si>
  <si>
    <t>Fornecedor</t>
  </si>
  <si>
    <t>Nº N.F</t>
  </si>
  <si>
    <t>Observação</t>
  </si>
  <si>
    <t>Ajuste de estoque conforme inventário</t>
  </si>
  <si>
    <t>CAMISA LARANJA OP. C/ FAIXA REFLETIVA TAM XGG</t>
  </si>
  <si>
    <t>DATA</t>
  </si>
  <si>
    <t>COD.</t>
  </si>
  <si>
    <t>QUANT</t>
  </si>
  <si>
    <t>Funcionario</t>
  </si>
  <si>
    <t>Empresa</t>
  </si>
  <si>
    <t>EST. MIN</t>
  </si>
  <si>
    <t>CUSTO TOTAL DE EPI - OBRA ATIAIA / PCH - UHE - CAÇU/GO</t>
  </si>
  <si>
    <t>TOTAL GERAL DE ENTRADAS</t>
  </si>
  <si>
    <t>TOTAL GERAL DE SAIDA</t>
  </si>
  <si>
    <t>TABOCA</t>
  </si>
  <si>
    <t>BOTA PVC CANO CURTO N  39</t>
  </si>
  <si>
    <t xml:space="preserve">PCH TABOCA </t>
  </si>
  <si>
    <t xml:space="preserve">LUVA DE VAQUETA </t>
  </si>
  <si>
    <t>a</t>
  </si>
  <si>
    <t>MASCARA PFF2-S C/ 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</si>
</sst>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&quot;R$&quot;\ #,##0.00"/>
    <numFmt numFmtId="166" formatCode="0000"/>
    <numFmt numFmtId="167" formatCode="00"/>
    <numFmt numFmtId="168" formatCode="dd/mm/yy;@"/>
    <numFmt numFmtId="169" formatCode="_(&quot;R$&quot;* #,##0.00_);_(&quot;R$&quot;* \(#,##0.00\);_(&quot;R$&quot;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167">
    <xf numFmtId="0" fontId="0" fillId="0" borderId="0" xfId="0"/>
    <xf numFmtId="0" fontId="4" fillId="2" borderId="0" xfId="0" applyFont="1" applyFill="1" applyProtection="1">
      <protection locked="0"/>
    </xf>
    <xf numFmtId="166" fontId="4" fillId="2" borderId="0" xfId="0" applyNumberFormat="1" applyFont="1" applyFill="1" applyAlignment="1" applyProtection="1">
      <alignment horizontal="center"/>
      <protection locked="0"/>
    </xf>
    <xf numFmtId="0" fontId="4" fillId="2" borderId="0" xfId="0" applyFont="1" applyFill="1"/>
    <xf numFmtId="2" fontId="4" fillId="2" borderId="0" xfId="1" applyNumberFormat="1" applyFont="1" applyFill="1" applyBorder="1" applyProtection="1">
      <protection locked="0"/>
    </xf>
    <xf numFmtId="43" fontId="4" fillId="2" borderId="0" xfId="1" applyFont="1" applyFill="1" applyBorder="1" applyProtection="1">
      <protection locked="0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 applyProtection="1">
      <alignment horizontal="center"/>
      <protection locked="0"/>
    </xf>
    <xf numFmtId="166" fontId="1" fillId="0" borderId="2" xfId="0" applyNumberFormat="1" applyFont="1" applyBorder="1" applyAlignment="1" applyProtection="1">
      <alignment horizontal="center"/>
      <protection locked="0"/>
    </xf>
    <xf numFmtId="14" fontId="4" fillId="2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166" fontId="8" fillId="4" borderId="4" xfId="0" applyNumberFormat="1" applyFont="1" applyFill="1" applyBorder="1" applyAlignment="1" applyProtection="1">
      <alignment horizontal="center" vertical="center"/>
      <protection locked="0"/>
    </xf>
    <xf numFmtId="0" fontId="8" fillId="4" borderId="6" xfId="0" applyFont="1" applyFill="1" applyBorder="1" applyAlignment="1" applyProtection="1">
      <alignment horizontal="center" vertical="center"/>
      <protection locked="0"/>
    </xf>
    <xf numFmtId="3" fontId="8" fillId="6" borderId="6" xfId="0" applyNumberFormat="1" applyFont="1" applyFill="1" applyBorder="1" applyAlignment="1" applyProtection="1">
      <alignment horizontal="center" vertical="center"/>
      <protection locked="0"/>
    </xf>
    <xf numFmtId="0" fontId="8" fillId="4" borderId="5" xfId="0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vertical="center"/>
      <protection locked="0"/>
    </xf>
    <xf numFmtId="166" fontId="7" fillId="0" borderId="0" xfId="0" applyNumberFormat="1" applyFont="1" applyAlignment="1" applyProtection="1">
      <alignment horizontal="center" vertical="center"/>
      <protection locked="0"/>
    </xf>
    <xf numFmtId="168" fontId="3" fillId="0" borderId="0" xfId="0" applyNumberFormat="1" applyFont="1" applyAlignment="1" applyProtection="1">
      <alignment horizontal="center" vertical="center"/>
      <protection locked="0"/>
    </xf>
    <xf numFmtId="166" fontId="3" fillId="3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3" fillId="0" borderId="7" xfId="0" applyNumberFormat="1" applyFont="1" applyBorder="1" applyAlignment="1" applyProtection="1">
      <alignment horizontal="center" vertical="center"/>
      <protection locked="0"/>
    </xf>
    <xf numFmtId="166" fontId="3" fillId="0" borderId="7" xfId="0" applyNumberFormat="1" applyFont="1" applyBorder="1" applyAlignment="1">
      <alignment horizontal="center" vertical="center"/>
    </xf>
    <xf numFmtId="49" fontId="0" fillId="0" borderId="7" xfId="1" applyNumberFormat="1" applyFont="1" applyBorder="1" applyAlignment="1" applyProtection="1">
      <alignment horizontal="center" vertical="center"/>
      <protection locked="0"/>
    </xf>
    <xf numFmtId="0" fontId="8" fillId="4" borderId="7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49" fontId="0" fillId="0" borderId="7" xfId="0" applyNumberFormat="1" applyBorder="1" applyAlignment="1" applyProtection="1">
      <alignment horizontal="center" vertical="center"/>
      <protection locked="0"/>
    </xf>
    <xf numFmtId="0" fontId="7" fillId="8" borderId="0" xfId="0" applyFont="1" applyFill="1" applyAlignment="1" applyProtection="1">
      <alignment vertical="center"/>
      <protection locked="0"/>
    </xf>
    <xf numFmtId="0" fontId="7" fillId="8" borderId="1" xfId="0" applyFont="1" applyFill="1" applyBorder="1" applyAlignment="1" applyProtection="1">
      <alignment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166" fontId="7" fillId="5" borderId="8" xfId="0" applyNumberFormat="1" applyFont="1" applyFill="1" applyBorder="1" applyAlignment="1">
      <alignment horizontal="center" vertical="center"/>
    </xf>
    <xf numFmtId="166" fontId="7" fillId="5" borderId="7" xfId="0" applyNumberFormat="1" applyFont="1" applyFill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center" vertical="center"/>
    </xf>
    <xf numFmtId="4" fontId="1" fillId="3" borderId="0" xfId="0" applyNumberFormat="1" applyFont="1" applyFill="1" applyAlignment="1" applyProtection="1">
      <alignment horizontal="center" vertical="center"/>
      <protection locked="0"/>
    </xf>
    <xf numFmtId="165" fontId="1" fillId="3" borderId="0" xfId="0" applyNumberFormat="1" applyFont="1" applyFill="1" applyAlignment="1" applyProtection="1">
      <alignment horizontal="center" vertical="center"/>
      <protection locked="0"/>
    </xf>
    <xf numFmtId="165" fontId="1" fillId="3" borderId="0" xfId="1" applyNumberFormat="1" applyFont="1" applyFill="1" applyBorder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49" fontId="1" fillId="3" borderId="0" xfId="1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166" fontId="3" fillId="0" borderId="7" xfId="0" applyNumberFormat="1" applyFont="1" applyBorder="1" applyAlignment="1" applyProtection="1">
      <alignment horizontal="center" vertical="center"/>
      <protection locked="0"/>
    </xf>
    <xf numFmtId="49" fontId="0" fillId="2" borderId="7" xfId="1" applyNumberFormat="1" applyFont="1" applyFill="1" applyBorder="1" applyAlignment="1" applyProtection="1">
      <alignment horizontal="center" vertical="center"/>
      <protection locked="0"/>
    </xf>
    <xf numFmtId="49" fontId="2" fillId="6" borderId="7" xfId="0" applyNumberFormat="1" applyFont="1" applyFill="1" applyBorder="1" applyAlignment="1" applyProtection="1">
      <alignment horizontal="center"/>
      <protection locked="0"/>
    </xf>
    <xf numFmtId="43" fontId="2" fillId="7" borderId="7" xfId="1" applyFont="1" applyFill="1" applyBorder="1" applyAlignment="1" applyProtection="1">
      <alignment horizontal="center"/>
      <protection locked="0"/>
    </xf>
    <xf numFmtId="0" fontId="5" fillId="9" borderId="7" xfId="0" applyFont="1" applyFill="1" applyBorder="1" applyProtection="1">
      <protection locked="0"/>
    </xf>
    <xf numFmtId="166" fontId="1" fillId="2" borderId="7" xfId="0" applyNumberFormat="1" applyFont="1" applyFill="1" applyBorder="1" applyAlignment="1" applyProtection="1">
      <alignment horizontal="center"/>
      <protection locked="0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49" fontId="0" fillId="0" borderId="7" xfId="0" applyNumberFormat="1" applyBorder="1" applyAlignment="1" applyProtection="1">
      <alignment horizontal="center"/>
      <protection locked="0"/>
    </xf>
    <xf numFmtId="43" fontId="1" fillId="0" borderId="7" xfId="1" applyFont="1" applyBorder="1" applyProtection="1">
      <protection locked="0"/>
    </xf>
    <xf numFmtId="0" fontId="0" fillId="2" borderId="7" xfId="0" applyFill="1" applyBorder="1" applyProtection="1">
      <protection locked="0"/>
    </xf>
    <xf numFmtId="0" fontId="1" fillId="2" borderId="7" xfId="0" applyFont="1" applyFill="1" applyBorder="1" applyProtection="1">
      <protection locked="0"/>
    </xf>
    <xf numFmtId="166" fontId="1" fillId="0" borderId="7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 applyProtection="1">
      <alignment horizontal="center" vertical="center"/>
      <protection locked="0"/>
    </xf>
    <xf numFmtId="166" fontId="1" fillId="0" borderId="7" xfId="0" applyNumberFormat="1" applyFont="1" applyBorder="1" applyAlignment="1" applyProtection="1">
      <alignment horizontal="center"/>
      <protection locked="0"/>
    </xf>
    <xf numFmtId="49" fontId="1" fillId="0" borderId="7" xfId="0" applyNumberFormat="1" applyFont="1" applyBorder="1" applyAlignment="1" applyProtection="1">
      <alignment horizontal="center"/>
      <protection locked="0"/>
    </xf>
    <xf numFmtId="166" fontId="3" fillId="0" borderId="7" xfId="0" applyNumberFormat="1" applyFont="1" applyBorder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1" fillId="2" borderId="7" xfId="0" applyFont="1" applyFill="1" applyBorder="1" applyAlignment="1" applyProtection="1">
      <alignment horizontal="center"/>
      <protection locked="0"/>
    </xf>
    <xf numFmtId="166" fontId="3" fillId="0" borderId="7" xfId="0" applyNumberFormat="1" applyFont="1" applyBorder="1" applyAlignment="1">
      <alignment horizontal="center"/>
    </xf>
    <xf numFmtId="3" fontId="7" fillId="8" borderId="8" xfId="1" applyNumberFormat="1" applyFont="1" applyFill="1" applyBorder="1" applyAlignment="1" applyProtection="1">
      <alignment horizontal="center" vertical="center"/>
    </xf>
    <xf numFmtId="3" fontId="7" fillId="0" borderId="0" xfId="1" applyNumberFormat="1" applyFont="1" applyFill="1" applyBorder="1" applyAlignment="1" applyProtection="1">
      <alignment horizontal="center" vertical="center"/>
    </xf>
    <xf numFmtId="3" fontId="7" fillId="10" borderId="7" xfId="1" applyNumberFormat="1" applyFont="1" applyFill="1" applyBorder="1" applyAlignment="1" applyProtection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0" fillId="2" borderId="7" xfId="0" applyFill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5" fillId="4" borderId="7" xfId="0" applyFont="1" applyFill="1" applyBorder="1" applyAlignment="1" applyProtection="1">
      <alignment horizontal="center" vertical="center"/>
      <protection locked="0"/>
    </xf>
    <xf numFmtId="0" fontId="5" fillId="4" borderId="7" xfId="0" applyFont="1" applyFill="1" applyBorder="1" applyAlignment="1">
      <alignment horizontal="center" vertical="center"/>
    </xf>
    <xf numFmtId="4" fontId="5" fillId="4" borderId="7" xfId="0" applyNumberFormat="1" applyFont="1" applyFill="1" applyBorder="1" applyAlignment="1" applyProtection="1">
      <alignment horizontal="center" vertical="center"/>
      <protection locked="0"/>
    </xf>
    <xf numFmtId="165" fontId="5" fillId="4" borderId="7" xfId="0" applyNumberFormat="1" applyFont="1" applyFill="1" applyBorder="1" applyAlignment="1" applyProtection="1">
      <alignment horizontal="center" vertical="center"/>
      <protection locked="0"/>
    </xf>
    <xf numFmtId="165" fontId="5" fillId="4" borderId="7" xfId="1" applyNumberFormat="1" applyFont="1" applyFill="1" applyBorder="1" applyAlignment="1" applyProtection="1">
      <alignment horizontal="center" vertical="center"/>
    </xf>
    <xf numFmtId="49" fontId="5" fillId="4" borderId="7" xfId="1" applyNumberFormat="1" applyFont="1" applyFill="1" applyBorder="1" applyAlignment="1" applyProtection="1">
      <alignment horizontal="center" vertical="center"/>
      <protection locked="0"/>
    </xf>
    <xf numFmtId="49" fontId="5" fillId="4" borderId="7" xfId="0" applyNumberFormat="1" applyFont="1" applyFill="1" applyBorder="1" applyAlignment="1" applyProtection="1">
      <alignment horizontal="center" vertical="center"/>
      <protection locked="0"/>
    </xf>
    <xf numFmtId="168" fontId="5" fillId="4" borderId="7" xfId="0" applyNumberFormat="1" applyFont="1" applyFill="1" applyBorder="1" applyAlignment="1" applyProtection="1">
      <alignment horizontal="center" vertical="center"/>
      <protection locked="0"/>
    </xf>
    <xf numFmtId="166" fontId="5" fillId="4" borderId="7" xfId="0" applyNumberFormat="1" applyFont="1" applyFill="1" applyBorder="1" applyAlignment="1" applyProtection="1">
      <alignment horizontal="center" vertical="center"/>
      <protection locked="0"/>
    </xf>
    <xf numFmtId="14" fontId="5" fillId="4" borderId="3" xfId="0" applyNumberFormat="1" applyFont="1" applyFill="1" applyBorder="1" applyAlignment="1" applyProtection="1">
      <alignment horizontal="center" vertical="center"/>
      <protection locked="0"/>
    </xf>
    <xf numFmtId="166" fontId="5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7" xfId="0" applyFont="1" applyFill="1" applyBorder="1" applyAlignment="1">
      <alignment horizontal="center"/>
    </xf>
    <xf numFmtId="2" fontId="5" fillId="4" borderId="7" xfId="1" applyNumberFormat="1" applyFont="1" applyFill="1" applyBorder="1" applyAlignment="1" applyProtection="1">
      <alignment horizontal="center"/>
      <protection locked="0"/>
    </xf>
    <xf numFmtId="0" fontId="8" fillId="4" borderId="1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3" fontId="1" fillId="0" borderId="7" xfId="0" applyNumberFormat="1" applyFont="1" applyBorder="1" applyAlignment="1" applyProtection="1">
      <alignment horizontal="center" vertical="center"/>
      <protection locked="0"/>
    </xf>
    <xf numFmtId="3" fontId="1" fillId="0" borderId="7" xfId="0" applyNumberFormat="1" applyFont="1" applyBorder="1" applyAlignment="1">
      <alignment horizontal="center" vertical="center"/>
    </xf>
    <xf numFmtId="44" fontId="1" fillId="0" borderId="7" xfId="0" applyNumberFormat="1" applyFont="1" applyBorder="1" applyAlignment="1" applyProtection="1">
      <alignment horizontal="center" vertical="center"/>
      <protection locked="0"/>
    </xf>
    <xf numFmtId="44" fontId="1" fillId="0" borderId="7" xfId="1" applyNumberFormat="1" applyFont="1" applyBorder="1" applyAlignment="1">
      <alignment horizontal="center" vertical="center"/>
    </xf>
    <xf numFmtId="44" fontId="1" fillId="0" borderId="7" xfId="0" applyNumberFormat="1" applyFont="1" applyBorder="1" applyAlignment="1">
      <alignment horizontal="center" vertical="center"/>
    </xf>
    <xf numFmtId="44" fontId="7" fillId="0" borderId="7" xfId="3" applyNumberFormat="1" applyFont="1" applyFill="1" applyBorder="1" applyAlignment="1" applyProtection="1">
      <alignment horizontal="center" vertical="center"/>
      <protection locked="0"/>
    </xf>
    <xf numFmtId="0" fontId="11" fillId="8" borderId="0" xfId="0" applyFont="1" applyFill="1"/>
    <xf numFmtId="44" fontId="11" fillId="8" borderId="0" xfId="0" applyNumberFormat="1" applyFont="1" applyFill="1"/>
    <xf numFmtId="0" fontId="1" fillId="0" borderId="7" xfId="1" applyNumberFormat="1" applyFont="1" applyBorder="1" applyAlignment="1" applyProtection="1">
      <alignment horizontal="center"/>
      <protection locked="0"/>
    </xf>
    <xf numFmtId="0" fontId="1" fillId="2" borderId="7" xfId="1" applyNumberFormat="1" applyFont="1" applyFill="1" applyBorder="1" applyAlignment="1" applyProtection="1">
      <alignment horizontal="center"/>
      <protection locked="0"/>
    </xf>
    <xf numFmtId="0" fontId="1" fillId="0" borderId="7" xfId="1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/>
    </xf>
    <xf numFmtId="0" fontId="0" fillId="2" borderId="0" xfId="0" applyFill="1" applyProtection="1">
      <protection locked="0"/>
    </xf>
    <xf numFmtId="14" fontId="12" fillId="0" borderId="13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49" fontId="1" fillId="0" borderId="7" xfId="0" applyNumberFormat="1" applyFont="1" applyBorder="1" applyAlignment="1" applyProtection="1">
      <alignment horizontal="left" vertical="center"/>
      <protection locked="0"/>
    </xf>
    <xf numFmtId="49" fontId="1" fillId="3" borderId="0" xfId="0" applyNumberFormat="1" applyFont="1" applyFill="1" applyAlignment="1" applyProtection="1">
      <alignment horizontal="left" vertical="center"/>
      <protection locked="0"/>
    </xf>
    <xf numFmtId="49" fontId="1" fillId="2" borderId="7" xfId="0" applyNumberFormat="1" applyFont="1" applyFill="1" applyBorder="1" applyAlignment="1" applyProtection="1">
      <alignment horizontal="left" vertical="center"/>
      <protection locked="0"/>
    </xf>
    <xf numFmtId="49" fontId="1" fillId="0" borderId="7" xfId="0" applyNumberFormat="1" applyFont="1" applyBorder="1" applyAlignment="1">
      <alignment horizontal="left" vertical="center"/>
    </xf>
    <xf numFmtId="14" fontId="0" fillId="0" borderId="3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0" fontId="0" fillId="0" borderId="7" xfId="0" applyBorder="1"/>
    <xf numFmtId="0" fontId="0" fillId="11" borderId="7" xfId="0" applyFill="1" applyBorder="1" applyAlignment="1">
      <alignment horizontal="left" vertical="center"/>
    </xf>
    <xf numFmtId="0" fontId="7" fillId="11" borderId="9" xfId="0" applyFont="1" applyFill="1" applyBorder="1" applyAlignment="1">
      <alignment horizontal="center" vertical="center"/>
    </xf>
    <xf numFmtId="14" fontId="7" fillId="11" borderId="7" xfId="0" applyNumberFormat="1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7" fillId="11" borderId="7" xfId="0" applyFont="1" applyFill="1" applyBorder="1" applyAlignment="1">
      <alignment horizontal="center" vertical="center"/>
    </xf>
    <xf numFmtId="14" fontId="7" fillId="11" borderId="8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11" borderId="7" xfId="0" applyFont="1" applyFill="1" applyBorder="1" applyAlignment="1" applyProtection="1">
      <alignment horizontal="center" vertical="center"/>
      <protection locked="0"/>
    </xf>
    <xf numFmtId="0" fontId="0" fillId="11" borderId="7" xfId="0" applyFill="1" applyBorder="1"/>
    <xf numFmtId="0" fontId="1" fillId="11" borderId="7" xfId="0" applyFont="1" applyFill="1" applyBorder="1"/>
    <xf numFmtId="0" fontId="7" fillId="11" borderId="0" xfId="0" applyFont="1" applyFill="1" applyAlignment="1" applyProtection="1">
      <alignment vertical="center"/>
      <protection locked="0"/>
    </xf>
    <xf numFmtId="0" fontId="7" fillId="11" borderId="0" xfId="0" applyFont="1" applyFill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8" fillId="4" borderId="6" xfId="0" applyNumberFormat="1" applyFont="1" applyFill="1" applyBorder="1" applyAlignment="1" applyProtection="1">
      <alignment horizontal="center" vertical="center"/>
      <protection locked="0"/>
    </xf>
    <xf numFmtId="0" fontId="0" fillId="11" borderId="7" xfId="0" applyFill="1" applyBorder="1" applyAlignment="1">
      <alignment vertical="center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13" fillId="11" borderId="7" xfId="0" applyFont="1" applyFill="1" applyBorder="1" applyAlignment="1">
      <alignment horizontal="left" vertical="center"/>
    </xf>
    <xf numFmtId="0" fontId="0" fillId="12" borderId="0" xfId="0" applyFill="1"/>
    <xf numFmtId="0" fontId="2" fillId="12" borderId="0" xfId="0" applyFont="1" applyFill="1"/>
    <xf numFmtId="14" fontId="12" fillId="0" borderId="3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1" fillId="0" borderId="3" xfId="0" applyNumberFormat="1" applyFont="1" applyBorder="1" applyAlignment="1" applyProtection="1">
      <alignment horizontal="center" vertical="center"/>
      <protection locked="0"/>
    </xf>
    <xf numFmtId="166" fontId="3" fillId="0" borderId="2" xfId="0" applyNumberFormat="1" applyFont="1" applyBorder="1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43" fontId="1" fillId="0" borderId="0" xfId="1" applyFont="1" applyBorder="1" applyProtection="1">
      <protection locked="0"/>
    </xf>
    <xf numFmtId="0" fontId="7" fillId="11" borderId="8" xfId="0" applyFont="1" applyFill="1" applyBorder="1" applyAlignment="1" applyProtection="1">
      <alignment horizontal="center" vertical="center"/>
      <protection locked="0"/>
    </xf>
    <xf numFmtId="14" fontId="0" fillId="2" borderId="3" xfId="0" applyNumberFormat="1" applyFill="1" applyBorder="1" applyAlignment="1">
      <alignment horizontal="center" vertical="center"/>
    </xf>
    <xf numFmtId="49" fontId="1" fillId="2" borderId="7" xfId="0" applyNumberFormat="1" applyFont="1" applyFill="1" applyBorder="1" applyAlignment="1" applyProtection="1">
      <alignment horizontal="center"/>
      <protection locked="0"/>
    </xf>
    <xf numFmtId="43" fontId="1" fillId="2" borderId="7" xfId="1" applyFont="1" applyFill="1" applyBorder="1" applyProtection="1">
      <protection locked="0"/>
    </xf>
    <xf numFmtId="49" fontId="1" fillId="2" borderId="0" xfId="0" applyNumberFormat="1" applyFont="1" applyFill="1" applyAlignment="1" applyProtection="1">
      <alignment horizontal="center"/>
      <protection locked="0"/>
    </xf>
    <xf numFmtId="43" fontId="1" fillId="2" borderId="0" xfId="1" applyFont="1" applyFill="1" applyBorder="1" applyProtection="1">
      <protection locked="0"/>
    </xf>
    <xf numFmtId="166" fontId="0" fillId="0" borderId="7" xfId="0" applyNumberFormat="1" applyBorder="1" applyAlignment="1">
      <alignment horizontal="left"/>
    </xf>
    <xf numFmtId="0" fontId="0" fillId="0" borderId="2" xfId="0" applyBorder="1"/>
    <xf numFmtId="44" fontId="0" fillId="0" borderId="7" xfId="0" applyNumberFormat="1" applyBorder="1" applyAlignment="1" applyProtection="1">
      <alignment horizontal="center" vertical="center"/>
      <protection locked="0"/>
    </xf>
    <xf numFmtId="44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66" fontId="4" fillId="2" borderId="2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15" fillId="0" borderId="16" xfId="0" applyNumberFormat="1" applyFont="1" applyBorder="1" applyAlignment="1">
      <alignment horizontal="center" vertical="center"/>
    </xf>
    <xf numFmtId="14" fontId="4" fillId="2" borderId="7" xfId="0" applyNumberFormat="1" applyFont="1" applyFill="1" applyBorder="1" applyAlignment="1" applyProtection="1">
      <alignment horizontal="center" vertical="center"/>
      <protection locked="0"/>
    </xf>
    <xf numFmtId="14" fontId="0" fillId="2" borderId="7" xfId="0" applyNumberFormat="1" applyFill="1" applyBorder="1" applyAlignment="1" applyProtection="1">
      <alignment horizontal="center" vertical="center"/>
      <protection locked="0"/>
    </xf>
    <xf numFmtId="0" fontId="14" fillId="12" borderId="1" xfId="0" applyFont="1" applyFill="1" applyBorder="1" applyAlignment="1">
      <alignment horizontal="center" vertical="center"/>
    </xf>
    <xf numFmtId="0" fontId="14" fillId="12" borderId="11" xfId="0" applyFont="1" applyFill="1" applyBorder="1" applyAlignment="1">
      <alignment horizontal="center" vertical="center"/>
    </xf>
    <xf numFmtId="0" fontId="14" fillId="12" borderId="12" xfId="0" applyFont="1" applyFill="1" applyBorder="1" applyAlignment="1">
      <alignment horizontal="center" vertical="center"/>
    </xf>
  </cellXfs>
  <cellStyles count="50">
    <cellStyle name="Moeda" xfId="3" builtinId="4"/>
    <cellStyle name="Moeda 2" xfId="6" xr:uid="{00000000-0005-0000-0000-000030000000}"/>
    <cellStyle name="Moeda 2 2" xfId="12" xr:uid="{00000000-0005-0000-0000-000030000000}"/>
    <cellStyle name="Moeda 2 2 2" xfId="24" xr:uid="{00000000-0005-0000-0000-000030000000}"/>
    <cellStyle name="Moeda 2 2 2 2" xfId="48" xr:uid="{00000000-0005-0000-0000-000030000000}"/>
    <cellStyle name="Moeda 2 2 3" xfId="36" xr:uid="{00000000-0005-0000-0000-000030000000}"/>
    <cellStyle name="Moeda 2 3" xfId="18" xr:uid="{00000000-0005-0000-0000-000030000000}"/>
    <cellStyle name="Moeda 2 3 2" xfId="42" xr:uid="{00000000-0005-0000-0000-000030000000}"/>
    <cellStyle name="Moeda 2 3 3" xfId="49" xr:uid="{007DEE54-600A-4420-84A6-DC70FEDFEE1D}"/>
    <cellStyle name="Moeda 2 4" xfId="30" xr:uid="{00000000-0005-0000-0000-000030000000}"/>
    <cellStyle name="Moeda 3" xfId="9" xr:uid="{00000000-0005-0000-0000-000033000000}"/>
    <cellStyle name="Moeda 3 2" xfId="21" xr:uid="{00000000-0005-0000-0000-000033000000}"/>
    <cellStyle name="Moeda 3 2 2" xfId="45" xr:uid="{00000000-0005-0000-0000-000033000000}"/>
    <cellStyle name="Moeda 3 3" xfId="33" xr:uid="{00000000-0005-0000-0000-000033000000}"/>
    <cellStyle name="Moeda 4" xfId="15" xr:uid="{00000000-0005-0000-0000-000039000000}"/>
    <cellStyle name="Moeda 4 2" xfId="39" xr:uid="{00000000-0005-0000-0000-000039000000}"/>
    <cellStyle name="Moeda 5" xfId="27" xr:uid="{00000000-0005-0000-0000-000045000000}"/>
    <cellStyle name="Normal" xfId="0" builtinId="0"/>
    <cellStyle name="Vírgula" xfId="1" builtinId="3"/>
    <cellStyle name="Vírgula 2" xfId="2" xr:uid="{00000000-0005-0000-0000-000003000000}"/>
    <cellStyle name="Vírgula 2 2" xfId="5" xr:uid="{00000000-0005-0000-0000-000003000000}"/>
    <cellStyle name="Vírgula 2 2 2" xfId="11" xr:uid="{00000000-0005-0000-0000-000003000000}"/>
    <cellStyle name="Vírgula 2 2 2 2" xfId="23" xr:uid="{00000000-0005-0000-0000-000003000000}"/>
    <cellStyle name="Vírgula 2 2 2 2 2" xfId="47" xr:uid="{00000000-0005-0000-0000-000003000000}"/>
    <cellStyle name="Vírgula 2 2 2 3" xfId="35" xr:uid="{00000000-0005-0000-0000-000003000000}"/>
    <cellStyle name="Vírgula 2 2 3" xfId="17" xr:uid="{00000000-0005-0000-0000-000003000000}"/>
    <cellStyle name="Vírgula 2 2 3 2" xfId="41" xr:uid="{00000000-0005-0000-0000-000003000000}"/>
    <cellStyle name="Vírgula 2 2 4" xfId="29" xr:uid="{00000000-0005-0000-0000-000003000000}"/>
    <cellStyle name="Vírgula 2 3" xfId="8" xr:uid="{00000000-0005-0000-0000-000003000000}"/>
    <cellStyle name="Vírgula 2 3 2" xfId="20" xr:uid="{00000000-0005-0000-0000-000003000000}"/>
    <cellStyle name="Vírgula 2 3 2 2" xfId="44" xr:uid="{00000000-0005-0000-0000-000003000000}"/>
    <cellStyle name="Vírgula 2 3 3" xfId="32" xr:uid="{00000000-0005-0000-0000-000003000000}"/>
    <cellStyle name="Vírgula 2 4" xfId="14" xr:uid="{00000000-0005-0000-0000-000003000000}"/>
    <cellStyle name="Vírgula 2 4 2" xfId="38" xr:uid="{00000000-0005-0000-0000-000003000000}"/>
    <cellStyle name="Vírgula 2 5" xfId="26" xr:uid="{00000000-0005-0000-0000-000003000000}"/>
    <cellStyle name="Vírgula 3" xfId="4" xr:uid="{00000000-0005-0000-0000-000031000000}"/>
    <cellStyle name="Vírgula 3 2" xfId="10" xr:uid="{00000000-0005-0000-0000-000031000000}"/>
    <cellStyle name="Vírgula 3 2 2" xfId="22" xr:uid="{00000000-0005-0000-0000-000031000000}"/>
    <cellStyle name="Vírgula 3 2 2 2" xfId="46" xr:uid="{00000000-0005-0000-0000-000031000000}"/>
    <cellStyle name="Vírgula 3 2 3" xfId="34" xr:uid="{00000000-0005-0000-0000-000031000000}"/>
    <cellStyle name="Vírgula 3 3" xfId="16" xr:uid="{00000000-0005-0000-0000-000031000000}"/>
    <cellStyle name="Vírgula 3 3 2" xfId="40" xr:uid="{00000000-0005-0000-0000-000031000000}"/>
    <cellStyle name="Vírgula 3 4" xfId="28" xr:uid="{00000000-0005-0000-0000-000031000000}"/>
    <cellStyle name="Vírgula 4" xfId="7" xr:uid="{00000000-0005-0000-0000-000035000000}"/>
    <cellStyle name="Vírgula 4 2" xfId="19" xr:uid="{00000000-0005-0000-0000-000035000000}"/>
    <cellStyle name="Vírgula 4 2 2" xfId="43" xr:uid="{00000000-0005-0000-0000-000035000000}"/>
    <cellStyle name="Vírgula 4 3" xfId="31" xr:uid="{00000000-0005-0000-0000-000035000000}"/>
    <cellStyle name="Vírgula 5" xfId="13" xr:uid="{00000000-0005-0000-0000-00003D000000}"/>
    <cellStyle name="Vírgula 5 2" xfId="37" xr:uid="{00000000-0005-0000-0000-00003D000000}"/>
    <cellStyle name="Vírgula 6" xfId="25" xr:uid="{00000000-0005-0000-0000-00004D000000}"/>
  </cellStyles>
  <dxfs count="24"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ont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EE0000"/>
      </font>
    </dxf>
    <dxf>
      <font>
        <color rgb="FFEE0000"/>
      </font>
    </dxf>
    <dxf>
      <font>
        <color rgb="FFEE0000"/>
      </font>
    </dxf>
    <dxf>
      <font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EE0000"/>
      </font>
    </dxf>
    <dxf>
      <font>
        <color rgb="FFEE0000"/>
      </font>
    </dxf>
    <dxf>
      <font>
        <color rgb="FFEE0000"/>
      </font>
    </dxf>
    <dxf>
      <font>
        <color rgb="FFEE0000"/>
      </font>
    </dxf>
    <dxf>
      <font>
        <color rgb="FFEE0000"/>
      </font>
    </dxf>
    <dxf>
      <font>
        <color rgb="FFEE0000"/>
      </font>
    </dxf>
    <dxf>
      <font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EE0000"/>
      </font>
    </dxf>
  </dxfs>
  <tableStyles count="0" defaultTableStyle="TableStyleMedium2" defaultPivotStyle="PivotStyleLight16"/>
  <colors>
    <mruColors>
      <color rgb="FFFFCC99"/>
      <color rgb="FFFF9966"/>
      <color rgb="FFFFFFFF"/>
      <color rgb="FFFF7979"/>
      <color rgb="FFFF6161"/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6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CUSTO_TOTAL!$B$3:$B$4</c:f>
              <c:strCache>
                <c:ptCount val="2"/>
                <c:pt idx="0">
                  <c:v>TOTAL GERAL DE ENTRADAS</c:v>
                </c:pt>
                <c:pt idx="1">
                  <c:v>TOTAL GERAL DE SAIDA</c:v>
                </c:pt>
              </c:strCache>
            </c:strRef>
          </c:cat>
          <c:val>
            <c:numRef>
              <c:f>CUSTO_TOTAL!$C$3:$C$4</c:f>
              <c:numCache>
                <c:formatCode>_("R$"* #,##0.00_);_("R$"* \(#,##0.00\);_("R$"* "-"??_);_(@_)</c:formatCode>
                <c:ptCount val="2"/>
                <c:pt idx="0">
                  <c:v>38325.513420885451</c:v>
                </c:pt>
                <c:pt idx="1">
                  <c:v>105891.11657911455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4-4F2B-97C7-816196236F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59627216"/>
        <c:axId val="574145568"/>
      </c:barChart>
      <c:catAx>
        <c:axId val="4596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145568"/>
        <c:crosses val="autoZero"/>
        <c:auto val="1"/>
        <c:lblAlgn val="ctr"/>
        <c:lblOffset val="100"/>
        <c:noMultiLvlLbl val="0"/>
      </c:catAx>
      <c:valAx>
        <c:axId val="5741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6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DE CONSUMO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B4-4498-B5B1-C05286D7206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B4-4498-B5B1-C05286D720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CUSTO_TOTAL!$B$3:$B$4</c:f>
              <c:strCache>
                <c:ptCount val="2"/>
                <c:pt idx="0">
                  <c:v>TOTAL GERAL DE ENTRADAS</c:v>
                </c:pt>
                <c:pt idx="1">
                  <c:v>TOTAL GERAL DE SAIDA</c:v>
                </c:pt>
              </c:strCache>
            </c:strRef>
          </c:cat>
          <c:val>
            <c:numRef>
              <c:f>CUSTO_TOTAL!$C$3:$C$4</c:f>
              <c:numCache>
                <c:formatCode>_("R$"* #,##0.00_);_("R$"* \(#,##0.00\);_("R$"* "-"??_);_(@_)</c:formatCode>
                <c:ptCount val="2"/>
                <c:pt idx="0">
                  <c:v>38325.513420885451</c:v>
                </c:pt>
                <c:pt idx="1">
                  <c:v>105891.11657911455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B-4214-98C7-88A73FA5EB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5</xdr:row>
      <xdr:rowOff>7620</xdr:rowOff>
    </xdr:from>
    <xdr:to>
      <xdr:col>8</xdr:col>
      <xdr:colOff>99060</xdr:colOff>
      <xdr:row>21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85EE2-6781-A23F-2F0D-A020DC4A1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464820</xdr:colOff>
      <xdr:row>5</xdr:row>
      <xdr:rowOff>0</xdr:rowOff>
    </xdr:from>
    <xdr:to>
      <xdr:col>20</xdr:col>
      <xdr:colOff>274320</xdr:colOff>
      <xdr:row>21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375E04-96DD-D43B-41A1-9BA3FC329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99060</xdr:colOff>
      <xdr:row>0</xdr:row>
      <xdr:rowOff>68580</xdr:rowOff>
    </xdr:from>
    <xdr:to>
      <xdr:col>1</xdr:col>
      <xdr:colOff>1491615</xdr:colOff>
      <xdr:row>0</xdr:row>
      <xdr:rowOff>764012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5A63C70-7175-1686-B688-9B54AE9C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68580"/>
          <a:ext cx="1402080" cy="695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411480</xdr:colOff>
      <xdr:row>0</xdr:row>
      <xdr:rowOff>76200</xdr:rowOff>
    </xdr:from>
    <xdr:to>
      <xdr:col>21</xdr:col>
      <xdr:colOff>121919</xdr:colOff>
      <xdr:row>0</xdr:row>
      <xdr:rowOff>769620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809E118-46BF-2E12-7205-EB201B3D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2520" y="76200"/>
          <a:ext cx="1539239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Cvrdcjssa01/dados/Implantacao_CKS_Planejamento_Controle_Plan_Fisico/Projetos/01-Diversos/01-RELAT&#211;RIO%20SEMANAL%20DIEP/Sem%2048&#170;%20-%2025-11-07%20&#224;%2030-11-07/CVRD/98PR2331/CALCULO/TAB-MOT.XLS" TargetMode="External"/><Relationship Id="rId1" Type="http://schemas.openxmlformats.org/officeDocument/2006/relationships/externalLinkPath" Target="/Cvrdcjssa01/dados/Implantacao_CKS_Planejamento_Controle_Plan_Fisico/Projetos/01-Diversos/01-RELAT&#211;RIO%20SEMANAL%20DIEP/Sem%2048&#170;%20-%2025-11-07%20&#224;%2030-11-07/CVRD/98PR2331/CALCULO/TAB-MO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L:/DADOS/CONTROLE/BALANCOS/ALUVALE/1998/BAL1998.XLS" TargetMode="External"/><Relationship Id="rId1" Type="http://schemas.openxmlformats.org/officeDocument/2006/relationships/externalLinkPath" Target="/L:/DADOS/CONTROLE/BALANCOS/ALUVALE/1998/BAL1998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L:/WINDOWS/TEMP/Result.&#225;reas.xls" TargetMode="External"/><Relationship Id="rId1" Type="http://schemas.openxmlformats.org/officeDocument/2006/relationships/externalLinkPath" Target="/L:/WINDOWS/TEMP/Result.&#225;reas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G:/Planejamento/4%20259/Or&#231;amento/Evapora&#231;&#227;o/Comercial/Email%20240604/MB%20Dedini%20Alunorte.xls" TargetMode="External"/><Relationship Id="rId1" Type="http://schemas.openxmlformats.org/officeDocument/2006/relationships/externalLinkPath" Target="/G:/Planejamento/4%20259/Or&#231;amento/Evapora&#231;&#227;o/Comercial/Email%20240604/MB%20Dedini%20Alunorte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A:/FERROSTA/PL-AQUAC/MAPA1.XLS" TargetMode="External"/><Relationship Id="rId1" Type="http://schemas.openxmlformats.org/officeDocument/2006/relationships/externalLinkPath" Target="/A:/FERROSTA/PL-AQUAC/MAPA1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Cvrdcjssa01/dados/Implantacao_CKS_Planejamento_Controle_Plan_Fisico/Projetos/01-Diversos/01-RELAT&#211;RIO%20SEMANAL%20DIEP/Sem%2048&#170;%20-%2025-11-07%20&#224;%2030-11-07/CVRD/98PR2331/CALCULO/TAB-MOT1.XLS" TargetMode="External"/><Relationship Id="rId1" Type="http://schemas.openxmlformats.org/officeDocument/2006/relationships/externalLinkPath" Target="/Cvrdcjssa01/dados/Implantacao_CKS_Planejamento_Controle_Plan_Fisico/Projetos/01-Diversos/01-RELAT&#211;RIO%20SEMANAL%20DIEP/Sem%2048&#170;%20-%2025-11-07%20&#224;%2030-11-07/CVRD/98PR2331/CALCULO/TAB-MOT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Consolidado/Pdc/Difn/PdcDifn(01)Indicadores1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M:/CONTROLE/APONTAMENTO%20FER/M&#227;o%20de%20Obra/201409/Users/marcio.bezerra/Desktop/apontamento%20marcio%2001.xlsm" TargetMode="External"/><Relationship Id="rId1" Type="http://schemas.openxmlformats.org/officeDocument/2006/relationships/externalLinkPath" Target="/M:/CONTROLE/APONTAMENTO%20FER/M&#227;o%20de%20Obra/201409/Users/marcio.bezerra/Desktop/apontamento%20marcio%2001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G:/Documents%20and%20Settings/01075937/Configura&#231;&#245;es%20locais/Temp/003_0_01-%20Medi&#231;&#227;o%2003_revis&#227;o_0%20em%2026-09-05.xls" TargetMode="External"/><Relationship Id="rId1" Type="http://schemas.openxmlformats.org/officeDocument/2006/relationships/externalLinkPath" Target="/G:/Documents%20and%20Settings/01075937/Configura&#231;&#245;es%20locais/Temp/003_0_01-%20Medi&#231;&#227;o%2003_revis&#227;o_0%20em%2026-09-05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C:/Users/fabiana.mattos/AppData/Local/Microsoft/Windows/Temporary%20Internet%20Files/Content.Outlook/BLPNHOS4/Apontamento%20de%20M&#227;o%20de%20Obra%20marcio%2001_a_26%20Jan.xlsm" TargetMode="External"/><Relationship Id="rId1" Type="http://schemas.openxmlformats.org/officeDocument/2006/relationships/externalLinkPath" Target="/C:/Users/fabiana.mattos/AppData/Local/Microsoft/Windows/Temporary%20Internet%20Files/Content.Outlook/BLPNHOS4/Apontamento%20de%20M&#227;o%20de%20Obra%20marcio%2001_a_26%20Jan.xlsm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G:/Planejamento/4%20259/Or&#231;amento/Evapora&#231;&#227;o/Comercial/Email%20240604/Tabsal.xls" TargetMode="External"/><Relationship Id="rId1" Type="http://schemas.openxmlformats.org/officeDocument/2006/relationships/externalLinkPath" Target="/G:/Planejamento/4%20259/Or&#231;amento/Evapora&#231;&#227;o/Comercial/Email%20240604/Tabsal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L:/Controle/GEPOL/GERAL/Extras/Pre02FUS.xls" TargetMode="External"/><Relationship Id="rId1" Type="http://schemas.openxmlformats.org/officeDocument/2006/relationships/externalLinkPath" Target="/L:/Controle/GEPOL/GERAL/Extras/Pre02FUS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Felipe/planejamento/planejamento/RIP-FFS/PROPOSTAS%202004/CONTROLE%20DE%20PROPOSTAS%202004.xls" TargetMode="External"/><Relationship Id="rId1" Type="http://schemas.openxmlformats.org/officeDocument/2006/relationships/externalLinkPath" Target="/Felipe/planejamento/planejamento/RIP-FFS/PROPOSTAS%202004/CONTROLE%20DE%20PROPOSTAS%202004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Frank/rip/PROJETO%20DE%20EXPANS&#195;O/Plano%20Diretor%20de%20Obras/Planodiretor4b.xls" TargetMode="External"/><Relationship Id="rId1" Type="http://schemas.openxmlformats.org/officeDocument/2006/relationships/externalLinkPath" Target="/Frank/rip/PROJETO%20DE%20EXPANS&#195;O/Plano%20Diretor%20de%20Obras/Planodiretor4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ionament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L0198"/>
      <sheetName val="BAL0298"/>
      <sheetName val="Fluxo"/>
      <sheetName val="BAL0398"/>
      <sheetName val="BAL0498"/>
      <sheetName val="BAL0598"/>
      <sheetName val="BAL0698"/>
      <sheetName val="BAL0798"/>
      <sheetName val="bal0898"/>
      <sheetName val="bal0998"/>
      <sheetName val="bal1098"/>
      <sheetName val="bal1198"/>
      <sheetName val="bal1298"/>
      <sheetName val="bal1998"/>
      <sheetName val="BAL1297"/>
    </sheetNames>
    <definedNames>
      <definedName name="BALANCO"/>
      <definedName name="ID_UGCCATD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dos"/>
      <sheetName val="DRAPODIR"/>
      <sheetName val="Min.Transf."/>
      <sheetName val="resultado"/>
      <sheetName val="B.DADOS"/>
      <sheetName val="Min_Transf_"/>
      <sheetName val="B_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B-2.11"/>
      <sheetName val="Fec-2.12"/>
      <sheetName val="Plan-2.7"/>
      <sheetName val="Composicao apres"/>
      <sheetName val="Resumo do Orcam"/>
      <sheetName val="Fluxo"/>
      <sheetName val="PlanBásico-2.10"/>
      <sheetName val="MOB-2_11"/>
      <sheetName val="Fec-2_12"/>
      <sheetName val="Plan-2_7"/>
      <sheetName val="Composicao_apres"/>
      <sheetName val="Resumo_do_Orcam"/>
      <sheetName val="PlanBásico-2_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ILHA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ionamento"/>
      <sheetName val="Motores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dos"/>
      <sheetName val="Capa"/>
      <sheetName val="ComentariosCusteio"/>
      <sheetName val="CapaIndic"/>
      <sheetName val="Dolar"/>
      <sheetName val="PrecoDiesel"/>
      <sheetName val="Eva"/>
      <sheetName val="Ebitda"/>
      <sheetName val="Roce"/>
      <sheetName val="DemostracaoResultados"/>
      <sheetName val="MargemCash"/>
      <sheetName val="ProducaoMinerio"/>
      <sheetName val="VolumeTransportado"/>
      <sheetName val="VolumeEmbarcado "/>
      <sheetName val="QuantidadeVendidaMe"/>
      <sheetName val="PrecoMedioMe"/>
      <sheetName val="ReceitaLiquidaMe"/>
      <sheetName val="QuantidadeVendidaMi"/>
      <sheetName val="PrecoMedioMi"/>
      <sheetName val="ReceitaLiquidaMi"/>
      <sheetName val="Relatório até aqui"/>
      <sheetName val="Inflacao(apresentacao)"/>
      <sheetName val="VariacaoCambial(apresentacao)"/>
      <sheetName val="VariacaoParidade(apresentacao)"/>
      <sheetName val="BdPerformance"/>
      <sheetName val="CADASTRO DOS ACIDENTES 2005"/>
      <sheetName val="PLANO DE AÇÃO2005"/>
      <sheetName val="2005"/>
      <sheetName val="GRÁFICO APT 2005"/>
      <sheetName val="CATEGORIA APT 2005"/>
      <sheetName val="#REF"/>
      <sheetName val="VolumeEmbarcado_"/>
      <sheetName val="Relatório_até_aqui"/>
      <sheetName val="CADASTRO_DOS_ACIDENTES_2005"/>
      <sheetName val="PLANO_DE_AÇÃO2005"/>
      <sheetName val="GRÁFICO_APT_2005"/>
      <sheetName val="CATEGORIA_APT_2005"/>
      <sheetName val="VolumeEmbarcado_1"/>
      <sheetName val="Relatório_até_aqui1"/>
      <sheetName val="CADASTRO_DOS_ACIDENTES_20051"/>
      <sheetName val="PLANO_DE_AÇÃO20051"/>
      <sheetName val="GRÁFICO_APT_20051"/>
      <sheetName val="CATEGORIA_APT_20051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C"/>
      <sheetName val="Apropriação Mão de Obra"/>
      <sheetName val="Relatorio SAPO"/>
      <sheetName val="Conf."/>
      <sheetName val="Folha de pagamento"/>
      <sheetName val="conferir relatorio de apontamen"/>
      <sheetName val="CADASTRO"/>
      <sheetName val="Apropriação_Mão_de_Obra"/>
      <sheetName val="Relatorio_SAPO"/>
      <sheetName val="Conf_"/>
      <sheetName val="Folha_de_pagamento"/>
      <sheetName val="conferir_relatorio_de_aponta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593-SEP119-05"/>
      <sheetName val="3592-SEP030-04"/>
      <sheetName val="3590-SEP050-04"/>
      <sheetName val="3543-SEP000-05"/>
      <sheetName val="Resumo"/>
      <sheetName val="Total-Det."/>
      <sheetName val="ITENS"/>
      <sheetName val="SOMAS"/>
      <sheetName val="A1Eq. 3543"/>
      <sheetName val="Desp. Reemb. Agosto-05"/>
      <sheetName val="Desp Reemb Julho-05"/>
      <sheetName val="SEP-000-05 Memória coordenação"/>
      <sheetName val="3592-SEP-030-04 Mem. Lev. campo"/>
      <sheetName val="Total-Det_"/>
      <sheetName val="A1Eq__3543"/>
      <sheetName val="Desp__Reemb__Agosto-05"/>
      <sheetName val="Desp_Reemb_Julho-05"/>
      <sheetName val="SEP-000-05_Memória_coordenação"/>
      <sheetName val="3592-SEP-030-04_Mem__Lev__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LATÓRIO DIÁRIO DE PERDA"/>
      <sheetName val="Conf."/>
      <sheetName val="CALENDARIO"/>
      <sheetName val="Apropriação Mão de Obra"/>
      <sheetName val="PLANO PESSOAL"/>
      <sheetName val="CADASTRO"/>
      <sheetName val="Relatorio SAPO"/>
      <sheetName val="FOLHA"/>
      <sheetName val="CENTRODECUSTO"/>
      <sheetName val="CC"/>
      <sheetName val="Plan2"/>
      <sheetName val="Plan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sal-2.9"/>
      <sheetName val="Tabsal-2_9"/>
    </sheetNames>
    <sheetDataSet>
      <sheetData sheetId="0"/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áfico"/>
      <sheetName val="Preços"/>
      <sheetName val="US$"/>
      <sheetName val="Dado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E 2004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r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L775"/>
  <sheetViews>
    <sheetView showGridLines="0" tabSelected="1" topLeftCell="A2" zoomScale="80" zoomScaleNormal="80" zoomScaleSheetLayoutView="80" workbookViewId="0">
      <pane ySplit="1" topLeftCell="A473" activePane="bottomLeft" state="frozen"/>
      <selection activeCell="A2" sqref="A2"/>
      <selection pane="bottomLeft" activeCell="D541" sqref="D541"/>
    </sheetView>
  </sheetViews>
  <sheetFormatPr defaultColWidth="9.28515625" defaultRowHeight="15" x14ac:dyDescent="0.25"/>
  <cols>
    <col min="1" max="1" width="13.28515625" customWidth="1"/>
    <col min="2" max="2" width="11.5703125" customWidth="1"/>
    <col min="3" max="3" width="22.5703125" bestFit="1" customWidth="1"/>
    <col min="4" max="4" width="56.5703125" style="87" bestFit="1" customWidth="1"/>
    <col min="5" max="5" width="19.28515625" customWidth="1"/>
    <col min="6" max="6" width="12.42578125" customWidth="1"/>
    <col min="7" max="7" width="16.28515625" customWidth="1"/>
    <col min="8" max="8" width="18.5703125" bestFit="1" customWidth="1"/>
    <col min="9" max="9" width="39.42578125" bestFit="1" customWidth="1"/>
    <col min="10" max="10" width="16.5703125" customWidth="1"/>
    <col min="11" max="11" width="34.5703125" style="87" bestFit="1" customWidth="1"/>
  </cols>
  <sheetData>
    <row r="1" spans="1:12" s="21" customFormat="1" x14ac:dyDescent="0.25">
      <c r="A1" s="19"/>
      <c r="B1" s="20"/>
      <c r="C1" s="35" t="str">
        <f>IF(ISBLANK(#REF!),"",IFERROR(VLOOKUP(#REF!,ESTOQUE!$B$2:$M$997973,2,FALSE),"Produto não cadastrado"))</f>
        <v>Produto não cadastrado</v>
      </c>
      <c r="D1" s="86"/>
      <c r="E1" s="36"/>
      <c r="F1" s="37"/>
      <c r="G1" s="38"/>
      <c r="H1" s="39"/>
      <c r="I1" s="40"/>
      <c r="J1" s="41"/>
      <c r="K1" s="105"/>
      <c r="L1" s="42"/>
    </row>
    <row r="2" spans="1:12" s="21" customFormat="1" x14ac:dyDescent="0.25">
      <c r="A2" s="79" t="s">
        <v>276</v>
      </c>
      <c r="B2" s="80" t="s">
        <v>277</v>
      </c>
      <c r="C2" s="72" t="s">
        <v>1</v>
      </c>
      <c r="D2" s="73" t="s">
        <v>278</v>
      </c>
      <c r="E2" s="73" t="s">
        <v>279</v>
      </c>
      <c r="F2" s="74" t="s">
        <v>280</v>
      </c>
      <c r="G2" s="75" t="s">
        <v>281</v>
      </c>
      <c r="H2" s="76" t="s">
        <v>282</v>
      </c>
      <c r="I2" s="72" t="s">
        <v>283</v>
      </c>
      <c r="J2" s="77" t="s">
        <v>284</v>
      </c>
      <c r="K2" s="78" t="s">
        <v>285</v>
      </c>
      <c r="L2" s="42"/>
    </row>
    <row r="3" spans="1:12" s="21" customFormat="1" ht="15" customHeight="1" x14ac:dyDescent="0.25">
      <c r="A3" s="22">
        <v>45678</v>
      </c>
      <c r="B3" s="23">
        <v>122</v>
      </c>
      <c r="C3" s="49" t="str">
        <f>IF(ISBLANK($B3),"",IFERROR(VLOOKUP($B3,ESTOQUE!$B$2:$D$97168,2,FALSE),"Produto não cadastrado"))</f>
        <v>CONSUMO</v>
      </c>
      <c r="D3" s="69" t="str">
        <f>IF(ISBLANK($B3),"",IFERROR(VLOOKUP($B3,ESTOQUE!$B$2:$M$997973,3,FALSE),"Produto não cadastrado"))</f>
        <v xml:space="preserve">SUPORTE PROTETOR FACIAL </v>
      </c>
      <c r="E3" s="89" t="str">
        <f>_xlfn.XLOOKUP(B3,ESTOQUE!B:B,ESTOQUE!G:G)</f>
        <v>UND</v>
      </c>
      <c r="F3" s="88">
        <v>1</v>
      </c>
      <c r="G3" s="90"/>
      <c r="H3" s="91">
        <f t="shared" ref="H3:H66" si="0">F3*G3</f>
        <v>0</v>
      </c>
      <c r="I3" s="71"/>
      <c r="J3" s="24"/>
      <c r="K3" s="104"/>
      <c r="L3" s="42"/>
    </row>
    <row r="4" spans="1:12" s="21" customFormat="1" ht="15" customHeight="1" x14ac:dyDescent="0.25">
      <c r="A4" s="22">
        <v>45929</v>
      </c>
      <c r="B4" s="43">
        <v>2</v>
      </c>
      <c r="C4" s="49" t="str">
        <f>IF(ISBLANK($B4),"",IFERROR(VLOOKUP($B4,ESTOQUE!$B$2:$D$97168,2,FALSE),"Produto não cadastrado"))</f>
        <v>CONSUMO</v>
      </c>
      <c r="D4" s="69" t="str">
        <f>IF(ISBLANK($B4),"",IFERROR(VLOOKUP($B4,ESTOQUE!$B$2:$M$997973,3,FALSE),"Produto não cadastrado"))</f>
        <v>AVENTAL DE RASPA TAM 1X60MT</v>
      </c>
      <c r="E4" s="89" t="str">
        <f>_xlfn.XLOOKUP(B4,ESTOQUE!B:B,ESTOQUE!G:G)</f>
        <v>UND</v>
      </c>
      <c r="F4" s="89">
        <v>20</v>
      </c>
      <c r="G4" s="90">
        <v>49</v>
      </c>
      <c r="H4" s="91">
        <f t="shared" si="0"/>
        <v>980</v>
      </c>
      <c r="I4" s="70"/>
      <c r="J4" s="44"/>
      <c r="K4" s="106" t="s">
        <v>286</v>
      </c>
      <c r="L4" s="42"/>
    </row>
    <row r="5" spans="1:12" s="21" customFormat="1" ht="15" customHeight="1" x14ac:dyDescent="0.25">
      <c r="A5" s="22">
        <v>45929</v>
      </c>
      <c r="B5" s="23">
        <v>228</v>
      </c>
      <c r="C5" s="49" t="str">
        <f>IF(ISBLANK($B5),"",IFERROR(VLOOKUP($B5,ESTOQUE!$B$2:$D$97168,2,FALSE),"Produto não cadastrado"))</f>
        <v>CONSUMO</v>
      </c>
      <c r="D5" s="69" t="str">
        <f>IF(ISBLANK($B5),"",IFERROR(VLOOKUP($B5,ESTOQUE!$B$2:$M$997973,3,FALSE),"Produto não cadastrado"))</f>
        <v xml:space="preserve">BALACLAVA  </v>
      </c>
      <c r="E5" s="89" t="str">
        <f>_xlfn.XLOOKUP(B5,ESTOQUE!B:B,ESTOQUE!G:G)</f>
        <v>UND</v>
      </c>
      <c r="F5" s="89">
        <v>250</v>
      </c>
      <c r="G5" s="92">
        <v>18.899999999999999</v>
      </c>
      <c r="H5" s="91">
        <f t="shared" si="0"/>
        <v>4725</v>
      </c>
      <c r="I5" s="70"/>
      <c r="J5" s="44"/>
      <c r="K5" s="106" t="s">
        <v>286</v>
      </c>
      <c r="L5" s="42"/>
    </row>
    <row r="6" spans="1:12" s="21" customFormat="1" ht="15" customHeight="1" x14ac:dyDescent="0.25">
      <c r="A6" s="22">
        <v>45929</v>
      </c>
      <c r="B6" s="23">
        <v>4</v>
      </c>
      <c r="C6" s="49" t="str">
        <f>IF(ISBLANK($B6),"",IFERROR(VLOOKUP($B6,ESTOQUE!$B$2:$D$97168,2,FALSE),"Produto não cadastrado"))</f>
        <v>CONSUMO</v>
      </c>
      <c r="D6" s="69" t="str">
        <f>IF(ISBLANK($B6),"",IFERROR(VLOOKUP($B6,ESTOQUE!$B$2:$M$997973,3,FALSE),"Produto não cadastrado"))</f>
        <v>BLUSÃO DE RASPA MANGA LONGA</v>
      </c>
      <c r="E6" s="89" t="str">
        <f>_xlfn.XLOOKUP(B6,ESTOQUE!B:B,ESTOQUE!G:G)</f>
        <v>UND</v>
      </c>
      <c r="F6" s="89">
        <v>1</v>
      </c>
      <c r="G6" s="92">
        <v>91.82</v>
      </c>
      <c r="H6" s="91">
        <f t="shared" si="0"/>
        <v>91.82</v>
      </c>
      <c r="I6" s="70"/>
      <c r="J6" s="44"/>
      <c r="K6" s="106" t="s">
        <v>286</v>
      </c>
      <c r="L6" s="42"/>
    </row>
    <row r="7" spans="1:12" s="21" customFormat="1" ht="15" customHeight="1" x14ac:dyDescent="0.25">
      <c r="A7" s="22">
        <v>45929</v>
      </c>
      <c r="B7" s="23">
        <v>16</v>
      </c>
      <c r="C7" s="49" t="str">
        <f>IF(ISBLANK($B7),"",IFERROR(VLOOKUP($B7,ESTOQUE!$B$2:$D$97168,2,FALSE),"Produto não cadastrado"))</f>
        <v>CONSUMO</v>
      </c>
      <c r="D7" s="69" t="str">
        <f>IF(ISBLANK($B7),"",IFERROR(VLOOKUP($B7,ESTOQUE!$B$2:$M$997973,3,FALSE),"Produto não cadastrado"))</f>
        <v>BOTA PVC CANO MEDIO Nº 37</v>
      </c>
      <c r="E7" s="89" t="str">
        <f>_xlfn.XLOOKUP(B7,ESTOQUE!B:B,ESTOQUE!G:G)</f>
        <v>PAR</v>
      </c>
      <c r="F7" s="89">
        <v>5</v>
      </c>
      <c r="G7" s="92">
        <v>34.9</v>
      </c>
      <c r="H7" s="91">
        <f t="shared" si="0"/>
        <v>174.5</v>
      </c>
      <c r="I7" s="70"/>
      <c r="J7" s="44"/>
      <c r="K7" s="106" t="s">
        <v>286</v>
      </c>
      <c r="L7" s="42"/>
    </row>
    <row r="8" spans="1:12" s="21" customFormat="1" ht="15" customHeight="1" x14ac:dyDescent="0.25">
      <c r="A8" s="22">
        <v>45929</v>
      </c>
      <c r="B8" s="23">
        <v>17</v>
      </c>
      <c r="C8" s="49" t="str">
        <f>IF(ISBLANK($B8),"",IFERROR(VLOOKUP($B8,ESTOQUE!$B$2:$D$97168,2,FALSE),"Produto não cadastrado"))</f>
        <v>CONSUMO</v>
      </c>
      <c r="D8" s="69" t="str">
        <f>IF(ISBLANK($B8),"",IFERROR(VLOOKUP($B8,ESTOQUE!$B$2:$M$997973,3,FALSE),"Produto não cadastrado"))</f>
        <v>BOTA PVC CANO MEDIO Nº 38</v>
      </c>
      <c r="E8" s="89" t="str">
        <f>_xlfn.XLOOKUP(B8,ESTOQUE!B:B,ESTOQUE!G:G)</f>
        <v>PAR</v>
      </c>
      <c r="F8" s="89">
        <v>2</v>
      </c>
      <c r="G8" s="92">
        <v>34.9</v>
      </c>
      <c r="H8" s="91">
        <f t="shared" si="0"/>
        <v>69.8</v>
      </c>
      <c r="I8" s="70"/>
      <c r="J8" s="44"/>
      <c r="K8" s="106" t="s">
        <v>286</v>
      </c>
      <c r="L8" s="42"/>
    </row>
    <row r="9" spans="1:12" s="21" customFormat="1" ht="15" customHeight="1" x14ac:dyDescent="0.25">
      <c r="A9" s="22">
        <v>45929</v>
      </c>
      <c r="B9" s="23">
        <v>7</v>
      </c>
      <c r="C9" s="49" t="str">
        <f>IF(ISBLANK($B9),"",IFERROR(VLOOKUP($B9,ESTOQUE!$B$2:$D$97168,2,FALSE),"Produto não cadastrado"))</f>
        <v>CONSUMO</v>
      </c>
      <c r="D9" s="69" t="str">
        <f>IF(ISBLANK($B9),"",IFERROR(VLOOKUP($B9,ESTOQUE!$B$2:$M$997973,3,FALSE),"Produto não cadastrado"))</f>
        <v>BOTA PVC CANO LONGO Nº 39</v>
      </c>
      <c r="E9" s="89" t="str">
        <f>_xlfn.XLOOKUP(B9,ESTOQUE!B:B,ESTOQUE!G:G)</f>
        <v>PAR</v>
      </c>
      <c r="F9" s="89">
        <v>4</v>
      </c>
      <c r="G9" s="90">
        <v>56.3</v>
      </c>
      <c r="H9" s="91">
        <f t="shared" si="0"/>
        <v>225.2</v>
      </c>
      <c r="I9" s="70"/>
      <c r="J9" s="44"/>
      <c r="K9" s="106" t="s">
        <v>286</v>
      </c>
      <c r="L9" s="42"/>
    </row>
    <row r="10" spans="1:12" s="21" customFormat="1" ht="15" customHeight="1" x14ac:dyDescent="0.25">
      <c r="A10" s="22">
        <v>45929</v>
      </c>
      <c r="B10" s="23">
        <v>10</v>
      </c>
      <c r="C10" s="49" t="str">
        <f>IF(ISBLANK($B10),"",IFERROR(VLOOKUP($B10,ESTOQUE!$B$2:$D$97168,2,FALSE),"Produto não cadastrado"))</f>
        <v>CONSUMO</v>
      </c>
      <c r="D10" s="111" t="s">
        <v>40</v>
      </c>
      <c r="E10" s="89" t="str">
        <f>_xlfn.XLOOKUP(B10,ESTOQUE!B:B,ESTOQUE!G:G)</f>
        <v>PAR</v>
      </c>
      <c r="F10" s="89">
        <v>8</v>
      </c>
      <c r="G10" s="90">
        <v>56.3</v>
      </c>
      <c r="H10" s="91">
        <f t="shared" si="0"/>
        <v>450.4</v>
      </c>
      <c r="I10" s="70"/>
      <c r="J10" s="44"/>
      <c r="K10" s="106" t="s">
        <v>286</v>
      </c>
      <c r="L10" s="42"/>
    </row>
    <row r="11" spans="1:12" s="21" customFormat="1" ht="15" customHeight="1" x14ac:dyDescent="0.25">
      <c r="A11" s="22">
        <v>45929</v>
      </c>
      <c r="B11" s="23">
        <v>11</v>
      </c>
      <c r="C11" s="49" t="str">
        <f>IF(ISBLANK($B11),"",IFERROR(VLOOKUP($B11,ESTOQUE!$B$2:$D$97168,2,FALSE),"Produto não cadastrado"))</f>
        <v>CONSUMO</v>
      </c>
      <c r="D11" s="69" t="str">
        <f>D18</f>
        <v>BOTINA OP. BICO PVC Nº 38</v>
      </c>
      <c r="E11" s="89" t="str">
        <f>_xlfn.XLOOKUP(B11,ESTOQUE!B:B,ESTOQUE!G:G)</f>
        <v>PAR</v>
      </c>
      <c r="F11" s="89">
        <v>12</v>
      </c>
      <c r="G11" s="90">
        <v>56.3</v>
      </c>
      <c r="H11" s="91">
        <f t="shared" si="0"/>
        <v>675.59999999999991</v>
      </c>
      <c r="I11" s="70"/>
      <c r="J11" s="44"/>
      <c r="K11" s="106" t="s">
        <v>286</v>
      </c>
      <c r="L11" s="42"/>
    </row>
    <row r="12" spans="1:12" s="21" customFormat="1" ht="15" customHeight="1" x14ac:dyDescent="0.25">
      <c r="A12" s="22">
        <v>45929</v>
      </c>
      <c r="B12" s="23">
        <v>12</v>
      </c>
      <c r="C12" s="49" t="str">
        <f>IF(ISBLANK($B12),"",IFERROR(VLOOKUP($B12,ESTOQUE!$B$2:$D$97168,2,FALSE),"Produto não cadastrado"))</f>
        <v>CONSUMO</v>
      </c>
      <c r="D12" s="69" t="str">
        <f>IF(ISBLANK($B12),"",IFERROR(VLOOKUP($B12,ESTOQUE!$B$2:$M$997973,3,FALSE),"Produto não cadastrado"))</f>
        <v>BOTA PVC CANO LONGO Nº 44</v>
      </c>
      <c r="E12" s="89" t="str">
        <f>_xlfn.XLOOKUP(B12,ESTOQUE!B:B,ESTOQUE!G:G)</f>
        <v>PAR</v>
      </c>
      <c r="F12" s="89">
        <v>1</v>
      </c>
      <c r="G12" s="90">
        <v>56.3</v>
      </c>
      <c r="H12" s="91">
        <f t="shared" si="0"/>
        <v>56.3</v>
      </c>
      <c r="I12" s="70"/>
      <c r="J12" s="44"/>
      <c r="K12" s="106" t="s">
        <v>286</v>
      </c>
      <c r="L12" s="42"/>
    </row>
    <row r="13" spans="1:12" s="21" customFormat="1" ht="15" customHeight="1" x14ac:dyDescent="0.25">
      <c r="A13" s="22">
        <v>45929</v>
      </c>
      <c r="B13" s="23">
        <v>13</v>
      </c>
      <c r="C13" s="49" t="str">
        <f>IF(ISBLANK($B13),"",IFERROR(VLOOKUP($B13,ESTOQUE!$B$2:$D$97168,2,FALSE),"Produto não cadastrado"))</f>
        <v>CONSUMO</v>
      </c>
      <c r="D13" s="69" t="str">
        <f>IF(ISBLANK($B13),"",IFERROR(VLOOKUP($B13,ESTOQUE!$B$2:$M$997973,3,FALSE),"Produto não cadastrado"))</f>
        <v>BOTA PVC CANO LONGO Nº 45</v>
      </c>
      <c r="E13" s="89" t="str">
        <f>_xlfn.XLOOKUP(B13,ESTOQUE!B:B,ESTOQUE!G:G)</f>
        <v>PAR</v>
      </c>
      <c r="F13" s="89">
        <v>10</v>
      </c>
      <c r="G13" s="90">
        <v>56.3</v>
      </c>
      <c r="H13" s="91">
        <f t="shared" si="0"/>
        <v>563</v>
      </c>
      <c r="I13" s="70"/>
      <c r="J13" s="44"/>
      <c r="K13" s="106" t="s">
        <v>286</v>
      </c>
      <c r="L13" s="42"/>
    </row>
    <row r="14" spans="1:12" s="21" customFormat="1" ht="15" customHeight="1" x14ac:dyDescent="0.25">
      <c r="A14" s="22">
        <v>45929</v>
      </c>
      <c r="B14" s="23">
        <v>14</v>
      </c>
      <c r="C14" s="49" t="str">
        <f>IF(ISBLANK($B14),"",IFERROR(VLOOKUP($B14,ESTOQUE!$B$2:$D$97168,2,FALSE),"Produto não cadastrado"))</f>
        <v>CONSUMO</v>
      </c>
      <c r="D14" s="69" t="str">
        <f>IF(ISBLANK($B14),"",IFERROR(VLOOKUP($B14,ESTOQUE!$B$2:$M$997973,3,FALSE),"Produto não cadastrado"))</f>
        <v>BOTA PVC CANO LONGO Nº 46</v>
      </c>
      <c r="E14" s="89" t="str">
        <f>_xlfn.XLOOKUP(B14,ESTOQUE!B:B,ESTOQUE!G:G)</f>
        <v>PAR</v>
      </c>
      <c r="F14" s="89">
        <v>1</v>
      </c>
      <c r="G14" s="90">
        <v>56.3</v>
      </c>
      <c r="H14" s="91">
        <f t="shared" si="0"/>
        <v>56.3</v>
      </c>
      <c r="I14" s="70"/>
      <c r="J14" s="44"/>
      <c r="K14" s="106" t="s">
        <v>286</v>
      </c>
      <c r="L14" s="42"/>
    </row>
    <row r="15" spans="1:12" s="21" customFormat="1" ht="15" customHeight="1" x14ac:dyDescent="0.25">
      <c r="A15" s="22">
        <v>45929</v>
      </c>
      <c r="B15" s="23">
        <v>19</v>
      </c>
      <c r="C15" s="49" t="str">
        <f>IF(ISBLANK($B15),"",IFERROR(VLOOKUP($B15,ESTOQUE!$B$2:$D$97168,2,FALSE),"Produto não cadastrado"))</f>
        <v>CONSUMO</v>
      </c>
      <c r="D15" s="69" t="str">
        <f>IF(ISBLANK($B15),"",IFERROR(VLOOKUP($B15,ESTOQUE!$B$2:$M$997973,3,FALSE),"Produto não cadastrado"))</f>
        <v>BOTA PVC CANO MEDIO Nº 40</v>
      </c>
      <c r="E15" s="89" t="str">
        <f>_xlfn.XLOOKUP(B15,ESTOQUE!B:B,ESTOQUE!G:G)</f>
        <v>PAR</v>
      </c>
      <c r="F15" s="89">
        <v>6</v>
      </c>
      <c r="G15" s="92">
        <v>34.9</v>
      </c>
      <c r="H15" s="91">
        <f t="shared" si="0"/>
        <v>209.39999999999998</v>
      </c>
      <c r="I15" s="70"/>
      <c r="J15" s="44"/>
      <c r="K15" s="106" t="s">
        <v>286</v>
      </c>
      <c r="L15" s="42"/>
    </row>
    <row r="16" spans="1:12" s="21" customFormat="1" ht="15" customHeight="1" x14ac:dyDescent="0.25">
      <c r="A16" s="22">
        <v>45929</v>
      </c>
      <c r="B16" s="23">
        <v>20</v>
      </c>
      <c r="C16" s="49" t="str">
        <f>IF(ISBLANK($B16),"",IFERROR(VLOOKUP($B16,ESTOQUE!$B$2:$D$97168,2,FALSE),"Produto não cadastrado"))</f>
        <v>CONSUMO</v>
      </c>
      <c r="D16" s="69" t="str">
        <f>IF(ISBLANK($B16),"",IFERROR(VLOOKUP($B16,ESTOQUE!$B$2:$M$997973,3,FALSE),"Produto não cadastrado"))</f>
        <v>BOTA PVC CANO MEDIO Nº 41</v>
      </c>
      <c r="E16" s="89" t="str">
        <f>_xlfn.XLOOKUP(B16,ESTOQUE!B:B,ESTOQUE!G:G)</f>
        <v>PAR</v>
      </c>
      <c r="F16" s="89">
        <v>14</v>
      </c>
      <c r="G16" s="92">
        <v>34.9</v>
      </c>
      <c r="H16" s="91">
        <f t="shared" si="0"/>
        <v>488.59999999999997</v>
      </c>
      <c r="I16" s="70"/>
      <c r="J16" s="44"/>
      <c r="K16" s="106" t="s">
        <v>286</v>
      </c>
      <c r="L16" s="42"/>
    </row>
    <row r="17" spans="1:12" s="21" customFormat="1" ht="15" customHeight="1" x14ac:dyDescent="0.25">
      <c r="A17" s="22">
        <v>45929</v>
      </c>
      <c r="B17" s="23">
        <v>34</v>
      </c>
      <c r="C17" s="49" t="str">
        <f>IF(ISBLANK($B17),"",IFERROR(VLOOKUP($B17,ESTOQUE!$B$2:$D$97168,2,FALSE),"Produto não cadastrado"))</f>
        <v>CONSUMO</v>
      </c>
      <c r="D17" s="69" t="str">
        <f>IF(ISBLANK($B17),"",IFERROR(VLOOKUP($B17,ESTOQUE!$B$2:$M$997973,3,FALSE),"Produto não cadastrado"))</f>
        <v>BOTINA OP. BICO PVC Nº 36</v>
      </c>
      <c r="E17" s="89" t="str">
        <f>_xlfn.XLOOKUP(B17,ESTOQUE!B:B,ESTOQUE!G:G)</f>
        <v>PAR</v>
      </c>
      <c r="F17" s="88">
        <v>5</v>
      </c>
      <c r="G17" s="92">
        <v>62.7</v>
      </c>
      <c r="H17" s="91">
        <f t="shared" si="0"/>
        <v>313.5</v>
      </c>
      <c r="I17" s="70"/>
      <c r="J17" s="44"/>
      <c r="K17" s="106" t="s">
        <v>286</v>
      </c>
      <c r="L17" s="42"/>
    </row>
    <row r="18" spans="1:12" s="21" customFormat="1" ht="15" customHeight="1" x14ac:dyDescent="0.25">
      <c r="A18" s="22">
        <v>45929</v>
      </c>
      <c r="B18" s="23">
        <v>36</v>
      </c>
      <c r="C18" s="49" t="str">
        <f>IF(ISBLANK($B18),"",IFERROR(VLOOKUP($B18,ESTOQUE!$B$2:$D$97168,2,FALSE),"Produto não cadastrado"))</f>
        <v>CONSUMO</v>
      </c>
      <c r="D18" s="69" t="str">
        <f>IF(ISBLANK($B18),"",IFERROR(VLOOKUP($B18,ESTOQUE!$B$2:$M$997973,3,FALSE),"Produto não cadastrado"))</f>
        <v>BOTINA OP. BICO PVC Nº 38</v>
      </c>
      <c r="E18" s="89" t="str">
        <f>_xlfn.XLOOKUP(B18,ESTOQUE!B:B,ESTOQUE!G:G)</f>
        <v>PAR</v>
      </c>
      <c r="F18" s="89">
        <v>10</v>
      </c>
      <c r="G18" s="92">
        <v>62.7</v>
      </c>
      <c r="H18" s="91">
        <f t="shared" si="0"/>
        <v>627</v>
      </c>
      <c r="I18" s="70"/>
      <c r="J18" s="44"/>
      <c r="K18" s="106" t="s">
        <v>286</v>
      </c>
      <c r="L18" s="42"/>
    </row>
    <row r="19" spans="1:12" s="21" customFormat="1" ht="15" customHeight="1" x14ac:dyDescent="0.25">
      <c r="A19" s="22">
        <v>45929</v>
      </c>
      <c r="B19" s="23">
        <v>37</v>
      </c>
      <c r="C19" s="49" t="str">
        <f>IF(ISBLANK($B19),"",IFERROR(VLOOKUP($B19,ESTOQUE!$B$2:$D$97168,2,FALSE),"Produto não cadastrado"))</f>
        <v>CONSUMO</v>
      </c>
      <c r="D19" s="69" t="str">
        <f>IF(ISBLANK($B19),"",IFERROR(VLOOKUP($B19,ESTOQUE!$B$2:$M$997973,3,FALSE),"Produto não cadastrado"))</f>
        <v>BOTINA OP. BICO PVC Nº 39</v>
      </c>
      <c r="E19" s="89" t="str">
        <f>_xlfn.XLOOKUP(B19,ESTOQUE!B:B,ESTOQUE!G:G)</f>
        <v>PAR</v>
      </c>
      <c r="F19" s="88">
        <v>9</v>
      </c>
      <c r="G19" s="92">
        <v>62.7</v>
      </c>
      <c r="H19" s="91">
        <f t="shared" si="0"/>
        <v>564.30000000000007</v>
      </c>
      <c r="I19" s="70"/>
      <c r="J19" s="44"/>
      <c r="K19" s="106" t="s">
        <v>286</v>
      </c>
      <c r="L19" s="42"/>
    </row>
    <row r="20" spans="1:12" s="21" customFormat="1" ht="15" customHeight="1" x14ac:dyDescent="0.25">
      <c r="A20" s="22">
        <v>45929</v>
      </c>
      <c r="B20" s="23">
        <v>38</v>
      </c>
      <c r="C20" s="49" t="str">
        <f>IF(ISBLANK($B20),"",IFERROR(VLOOKUP($B20,ESTOQUE!$B$2:$D$97168,2,FALSE),"Produto não cadastrado"))</f>
        <v>CONSUMO</v>
      </c>
      <c r="D20" s="69" t="str">
        <f>IF(ISBLANK($B20),"",IFERROR(VLOOKUP($B20,ESTOQUE!$B$2:$M$997973,3,FALSE),"Produto não cadastrado"))</f>
        <v>BOTINA OP. BICO PVC Nº 40</v>
      </c>
      <c r="E20" s="89" t="str">
        <f>_xlfn.XLOOKUP(B20,ESTOQUE!B:B,ESTOQUE!G:G)</f>
        <v>PAR</v>
      </c>
      <c r="F20" s="88">
        <v>32</v>
      </c>
      <c r="G20" s="92">
        <v>62.7</v>
      </c>
      <c r="H20" s="91">
        <f t="shared" si="0"/>
        <v>2006.4</v>
      </c>
      <c r="I20" s="70"/>
      <c r="J20" s="44"/>
      <c r="K20" s="106" t="s">
        <v>286</v>
      </c>
      <c r="L20" s="42"/>
    </row>
    <row r="21" spans="1:12" s="21" customFormat="1" ht="15" customHeight="1" x14ac:dyDescent="0.25">
      <c r="A21" s="22">
        <v>45929</v>
      </c>
      <c r="B21" s="23">
        <v>39</v>
      </c>
      <c r="C21" s="49" t="str">
        <f>IF(ISBLANK($B21),"",IFERROR(VLOOKUP($B21,ESTOQUE!$B$2:$D$97168,2,FALSE),"Produto não cadastrado"))</f>
        <v>CONSUMO</v>
      </c>
      <c r="D21" s="69" t="str">
        <f>IF(ISBLANK($B21),"",IFERROR(VLOOKUP($B21,ESTOQUE!$B$2:$M$997973,3,FALSE),"Produto não cadastrado"))</f>
        <v>BOTINA OP. BICO PVC Nº 41</v>
      </c>
      <c r="E21" s="89" t="str">
        <f>_xlfn.XLOOKUP(B21,ESTOQUE!B:B,ESTOQUE!G:G)</f>
        <v>PAR</v>
      </c>
      <c r="F21" s="88">
        <v>21</v>
      </c>
      <c r="G21" s="92">
        <v>62.7</v>
      </c>
      <c r="H21" s="91">
        <f t="shared" si="0"/>
        <v>1316.7</v>
      </c>
      <c r="I21" s="70"/>
      <c r="J21" s="44"/>
      <c r="K21" s="106" t="s">
        <v>286</v>
      </c>
      <c r="L21" s="42"/>
    </row>
    <row r="22" spans="1:12" s="21" customFormat="1" ht="15" customHeight="1" x14ac:dyDescent="0.25">
      <c r="A22" s="22">
        <v>45929</v>
      </c>
      <c r="B22" s="23">
        <v>40</v>
      </c>
      <c r="C22" s="49" t="str">
        <f>IF(ISBLANK($B22),"",IFERROR(VLOOKUP($B22,ESTOQUE!$B$2:$D$97168,2,FALSE),"Produto não cadastrado"))</f>
        <v>CONSUMO</v>
      </c>
      <c r="D22" s="69" t="str">
        <f>IF(ISBLANK($B22),"",IFERROR(VLOOKUP($B22,ESTOQUE!$B$2:$M$997973,3,FALSE),"Produto não cadastrado"))</f>
        <v>BOTINA OP. BICO PVC Nº 42</v>
      </c>
      <c r="E22" s="89" t="str">
        <f>_xlfn.XLOOKUP(B22,ESTOQUE!B:B,ESTOQUE!G:G)</f>
        <v>PAR</v>
      </c>
      <c r="F22" s="88">
        <v>15</v>
      </c>
      <c r="G22" s="92">
        <v>62.7</v>
      </c>
      <c r="H22" s="91">
        <f t="shared" si="0"/>
        <v>940.5</v>
      </c>
      <c r="I22" s="70"/>
      <c r="J22" s="44"/>
      <c r="K22" s="106" t="s">
        <v>286</v>
      </c>
      <c r="L22" s="42"/>
    </row>
    <row r="23" spans="1:12" s="21" customFormat="1" ht="15" customHeight="1" x14ac:dyDescent="0.25">
      <c r="A23" s="22">
        <v>45929</v>
      </c>
      <c r="B23" s="23">
        <v>41</v>
      </c>
      <c r="C23" s="49" t="str">
        <f>IF(ISBLANK($B23),"",IFERROR(VLOOKUP($B23,ESTOQUE!$B$2:$D$97168,2,FALSE),"Produto não cadastrado"))</f>
        <v>CONSUMO</v>
      </c>
      <c r="D23" s="69" t="str">
        <f>IF(ISBLANK($B23),"",IFERROR(VLOOKUP($B23,ESTOQUE!$B$2:$M$997973,3,FALSE),"Produto não cadastrado"))</f>
        <v>BOTINA OP. BICO PVC Nº 43</v>
      </c>
      <c r="E23" s="89" t="str">
        <f>_xlfn.XLOOKUP(B23,ESTOQUE!B:B,ESTOQUE!G:G)</f>
        <v>PAR</v>
      </c>
      <c r="F23" s="88">
        <v>13</v>
      </c>
      <c r="G23" s="92">
        <v>62.7</v>
      </c>
      <c r="H23" s="91">
        <f t="shared" si="0"/>
        <v>815.1</v>
      </c>
      <c r="I23" s="70"/>
      <c r="J23" s="44"/>
      <c r="K23" s="106" t="s">
        <v>286</v>
      </c>
      <c r="L23" s="42"/>
    </row>
    <row r="24" spans="1:12" s="21" customFormat="1" ht="15" customHeight="1" x14ac:dyDescent="0.25">
      <c r="A24" s="22">
        <v>45929</v>
      </c>
      <c r="B24" s="23">
        <v>42</v>
      </c>
      <c r="C24" s="49" t="str">
        <f>IF(ISBLANK($B24),"",IFERROR(VLOOKUP($B24,ESTOQUE!$B$2:$D$97168,2,FALSE),"Produto não cadastrado"))</f>
        <v>CONSUMO</v>
      </c>
      <c r="D24" s="69" t="str">
        <f>IF(ISBLANK($B24),"",IFERROR(VLOOKUP($B24,ESTOQUE!$B$2:$M$997973,3,FALSE),"Produto não cadastrado"))</f>
        <v>BOTINA OP. BICO PVC Nº 44</v>
      </c>
      <c r="E24" s="89" t="str">
        <f>_xlfn.XLOOKUP(B24,ESTOQUE!B:B,ESTOQUE!G:G)</f>
        <v>PAR</v>
      </c>
      <c r="F24" s="88">
        <v>29</v>
      </c>
      <c r="G24" s="92">
        <v>62.7</v>
      </c>
      <c r="H24" s="91">
        <f t="shared" si="0"/>
        <v>1818.3000000000002</v>
      </c>
      <c r="I24" s="70"/>
      <c r="J24" s="44"/>
      <c r="K24" s="106" t="s">
        <v>286</v>
      </c>
      <c r="L24" s="42"/>
    </row>
    <row r="25" spans="1:12" s="21" customFormat="1" ht="15" customHeight="1" x14ac:dyDescent="0.25">
      <c r="A25" s="22">
        <v>45929</v>
      </c>
      <c r="B25" s="23">
        <v>221</v>
      </c>
      <c r="C25" s="49" t="str">
        <f>IF(ISBLANK($B25),"",IFERROR(VLOOKUP($B25,ESTOQUE!$B$2:$D$97168,2,FALSE),"Produto não cadastrado"))</f>
        <v>CONSUMO</v>
      </c>
      <c r="D25" s="69" t="str">
        <f>IF(ISBLANK($B25),"",IFERROR(VLOOKUP($B25,ESTOQUE!$B$2:$M$997973,3,FALSE),"Produto não cadastrado"))</f>
        <v>BOTINA SEGURANÇA METATARSO  44</v>
      </c>
      <c r="E25" s="89" t="str">
        <f>_xlfn.XLOOKUP(B25,ESTOQUE!B:B,ESTOQUE!G:G)</f>
        <v>PAR</v>
      </c>
      <c r="F25" s="88">
        <v>7</v>
      </c>
      <c r="G25" s="92">
        <v>120</v>
      </c>
      <c r="H25" s="91">
        <f t="shared" si="0"/>
        <v>840</v>
      </c>
      <c r="I25" s="70"/>
      <c r="J25" s="44"/>
      <c r="K25" s="106" t="s">
        <v>286</v>
      </c>
      <c r="L25" s="42"/>
    </row>
    <row r="26" spans="1:12" s="21" customFormat="1" ht="15" customHeight="1" x14ac:dyDescent="0.25">
      <c r="A26" s="22">
        <v>45929</v>
      </c>
      <c r="B26" s="23">
        <v>223</v>
      </c>
      <c r="C26" s="49" t="str">
        <f>IF(ISBLANK($B26),"",IFERROR(VLOOKUP($B26,ESTOQUE!$B$2:$D$97168,2,FALSE),"Produto não cadastrado"))</f>
        <v>CONSUMO</v>
      </c>
      <c r="D26" s="69" t="str">
        <f>IF(ISBLANK($B26),"",IFERROR(VLOOKUP($B26,ESTOQUE!$B$2:$M$997973,3,FALSE),"Produto não cadastrado"))</f>
        <v>BOTINA SEGURANÇA METATARSO  46</v>
      </c>
      <c r="E26" s="89" t="str">
        <f>_xlfn.XLOOKUP(B26,ESTOQUE!B:B,ESTOQUE!G:G)</f>
        <v>PAR</v>
      </c>
      <c r="F26" s="88">
        <v>2</v>
      </c>
      <c r="G26" s="92">
        <v>120</v>
      </c>
      <c r="H26" s="91">
        <f t="shared" si="0"/>
        <v>240</v>
      </c>
      <c r="I26" s="70"/>
      <c r="J26" s="44"/>
      <c r="K26" s="106" t="s">
        <v>286</v>
      </c>
      <c r="L26" s="42"/>
    </row>
    <row r="27" spans="1:12" s="21" customFormat="1" ht="15" customHeight="1" x14ac:dyDescent="0.25">
      <c r="A27" s="22">
        <v>45929</v>
      </c>
      <c r="B27" s="23">
        <v>46</v>
      </c>
      <c r="C27" s="49" t="str">
        <f>IF(ISBLANK($B27),"",IFERROR(VLOOKUP($B27,ESTOQUE!$B$2:$D$97168,2,FALSE),"Produto não cadastrado"))</f>
        <v>CONSUMO</v>
      </c>
      <c r="D27" s="69" t="str">
        <f>IF(ISBLANK($B27),"",IFERROR(VLOOKUP($B27,ESTOQUE!$B$2:$M$997973,3,FALSE),"Produto não cadastrado"))</f>
        <v>CALÇA CINZA OP. C/ FAIXA REFLETIVA TAM: G</v>
      </c>
      <c r="E27" s="89" t="str">
        <f>_xlfn.XLOOKUP(B27,ESTOQUE!B:B,ESTOQUE!G:G)</f>
        <v>UND</v>
      </c>
      <c r="F27" s="88">
        <v>43</v>
      </c>
      <c r="G27" s="92">
        <v>74.400000000000006</v>
      </c>
      <c r="H27" s="91">
        <f t="shared" si="0"/>
        <v>3199.2000000000003</v>
      </c>
      <c r="I27" s="70"/>
      <c r="J27" s="44"/>
      <c r="K27" s="106" t="s">
        <v>286</v>
      </c>
      <c r="L27" s="42"/>
    </row>
    <row r="28" spans="1:12" s="21" customFormat="1" ht="15" customHeight="1" x14ac:dyDescent="0.25">
      <c r="A28" s="22">
        <v>45929</v>
      </c>
      <c r="B28" s="23">
        <v>47</v>
      </c>
      <c r="C28" s="49" t="str">
        <f>IF(ISBLANK($B28),"",IFERROR(VLOOKUP($B28,ESTOQUE!$B$2:$D$97168,2,FALSE),"Produto não cadastrado"))</f>
        <v>CONSUMO</v>
      </c>
      <c r="D28" s="69" t="str">
        <f>IF(ISBLANK($B28),"",IFERROR(VLOOKUP($B28,ESTOQUE!$B$2:$M$997973,3,FALSE),"Produto não cadastrado"))</f>
        <v>CALÇA CINZA OP. C/ FAIXA REFLETIVA TAM: GG</v>
      </c>
      <c r="E28" s="89" t="str">
        <f>_xlfn.XLOOKUP(B28,ESTOQUE!B:B,ESTOQUE!G:G)</f>
        <v>UND</v>
      </c>
      <c r="F28" s="88">
        <v>74</v>
      </c>
      <c r="G28" s="92">
        <v>74.400000000000006</v>
      </c>
      <c r="H28" s="91">
        <f t="shared" si="0"/>
        <v>5505.6</v>
      </c>
      <c r="I28" s="70"/>
      <c r="J28" s="44"/>
      <c r="K28" s="106" t="s">
        <v>286</v>
      </c>
      <c r="L28" s="42"/>
    </row>
    <row r="29" spans="1:12" s="21" customFormat="1" ht="15" customHeight="1" x14ac:dyDescent="0.25">
      <c r="A29" s="22">
        <v>45929</v>
      </c>
      <c r="B29" s="23">
        <v>48</v>
      </c>
      <c r="C29" s="49" t="str">
        <f>IF(ISBLANK($B29),"",IFERROR(VLOOKUP($B29,ESTOQUE!$B$2:$D$97168,2,FALSE),"Produto não cadastrado"))</f>
        <v>CONSUMO</v>
      </c>
      <c r="D29" s="69" t="str">
        <f>IF(ISBLANK($B29),"",IFERROR(VLOOKUP($B29,ESTOQUE!$B$2:$M$997973,3,FALSE),"Produto não cadastrado"))</f>
        <v>CALÇA CINZA OP. C/ FAIXA REFLETIVA TAM: M</v>
      </c>
      <c r="E29" s="89" t="str">
        <f>_xlfn.XLOOKUP(B29,ESTOQUE!B:B,ESTOQUE!G:G)</f>
        <v>UND</v>
      </c>
      <c r="F29" s="88">
        <v>6</v>
      </c>
      <c r="G29" s="92">
        <v>74.400000000000006</v>
      </c>
      <c r="H29" s="91">
        <f t="shared" si="0"/>
        <v>446.40000000000003</v>
      </c>
      <c r="I29" s="70"/>
      <c r="J29" s="44"/>
      <c r="K29" s="106" t="s">
        <v>286</v>
      </c>
      <c r="L29" s="42"/>
    </row>
    <row r="30" spans="1:12" s="21" customFormat="1" ht="15" customHeight="1" x14ac:dyDescent="0.25">
      <c r="A30" s="22">
        <v>45929</v>
      </c>
      <c r="B30" s="23">
        <v>49</v>
      </c>
      <c r="C30" s="49" t="str">
        <f>IF(ISBLANK($B30),"",IFERROR(VLOOKUP($B30,ESTOQUE!$B$2:$D$97168,2,FALSE),"Produto não cadastrado"))</f>
        <v>CONSUMO</v>
      </c>
      <c r="D30" s="69" t="str">
        <f>IF(ISBLANK($B30),"",IFERROR(VLOOKUP($B30,ESTOQUE!$B$2:$M$997973,3,FALSE),"Produto não cadastrado"))</f>
        <v>CALÇA CINZA OP. C/ FAIXA REFLETIVA TAM: P</v>
      </c>
      <c r="E30" s="89" t="str">
        <f>_xlfn.XLOOKUP(B30,ESTOQUE!B:B,ESTOQUE!G:G)</f>
        <v>UND</v>
      </c>
      <c r="F30" s="88">
        <v>13</v>
      </c>
      <c r="G30" s="92">
        <v>74.400000000000006</v>
      </c>
      <c r="H30" s="91">
        <f t="shared" si="0"/>
        <v>967.2</v>
      </c>
      <c r="I30" s="70"/>
      <c r="J30" s="44"/>
      <c r="K30" s="106" t="s">
        <v>286</v>
      </c>
      <c r="L30" s="42"/>
    </row>
    <row r="31" spans="1:12" s="21" customFormat="1" ht="15" customHeight="1" x14ac:dyDescent="0.25">
      <c r="A31" s="22">
        <v>45929</v>
      </c>
      <c r="B31" s="23">
        <v>50</v>
      </c>
      <c r="C31" s="49" t="str">
        <f>IF(ISBLANK($B31),"",IFERROR(VLOOKUP($B31,ESTOQUE!$B$2:$D$97168,2,FALSE),"Produto não cadastrado"))</f>
        <v>CONSUMO</v>
      </c>
      <c r="D31" s="69" t="str">
        <f>IF(ISBLANK($B31),"",IFERROR(VLOOKUP($B31,ESTOQUE!$B$2:$M$997973,3,FALSE),"Produto não cadastrado"))</f>
        <v>CALÇA CINZA OP. C/ FAIXA REFLETIVA TAM: XG</v>
      </c>
      <c r="E31" s="89" t="str">
        <f>_xlfn.XLOOKUP(B31,ESTOQUE!B:B,ESTOQUE!G:G)</f>
        <v>UND</v>
      </c>
      <c r="F31" s="88">
        <v>27</v>
      </c>
      <c r="G31" s="92">
        <v>74.400000000000006</v>
      </c>
      <c r="H31" s="91">
        <f t="shared" si="0"/>
        <v>2008.8000000000002</v>
      </c>
      <c r="I31" s="70"/>
      <c r="J31" s="44"/>
      <c r="K31" s="106" t="s">
        <v>286</v>
      </c>
      <c r="L31" s="42"/>
    </row>
    <row r="32" spans="1:12" s="21" customFormat="1" ht="15" customHeight="1" x14ac:dyDescent="0.25">
      <c r="A32" s="22">
        <v>45929</v>
      </c>
      <c r="B32" s="23">
        <v>237</v>
      </c>
      <c r="C32" s="49" t="str">
        <f>IF(ISBLANK($B32),"",IFERROR(VLOOKUP($B32,ESTOQUE!$B$2:$D$97168,2,FALSE),"Produto não cadastrado"))</f>
        <v>CONSUMO</v>
      </c>
      <c r="D32" s="69" t="str">
        <f>IF(ISBLANK($B32),"",IFERROR(VLOOKUP($B32,ESTOQUE!$B$2:$M$997973,3,FALSE),"Produto não cadastrado"))</f>
        <v>BOTINA SEGURANÇA MATATARSO 36 ADM</v>
      </c>
      <c r="E32" s="89" t="str">
        <f>_xlfn.XLOOKUP(B32,ESTOQUE!B:B,ESTOQUE!G:G)</f>
        <v>PAR</v>
      </c>
      <c r="F32" s="88">
        <v>4</v>
      </c>
      <c r="G32" s="92">
        <v>120</v>
      </c>
      <c r="H32" s="91">
        <f t="shared" si="0"/>
        <v>480</v>
      </c>
      <c r="I32" s="70"/>
      <c r="J32" s="44"/>
      <c r="K32" s="106" t="s">
        <v>286</v>
      </c>
      <c r="L32" s="42"/>
    </row>
    <row r="33" spans="1:12" s="21" customFormat="1" ht="15" customHeight="1" x14ac:dyDescent="0.25">
      <c r="A33" s="22">
        <v>45929</v>
      </c>
      <c r="B33" s="23">
        <v>238</v>
      </c>
      <c r="C33" s="49" t="str">
        <f>IF(ISBLANK($B33),"",IFERROR(VLOOKUP($B33,ESTOQUE!$B$2:$D$97168,2,FALSE),"Produto não cadastrado"))</f>
        <v>CONSUMO</v>
      </c>
      <c r="D33" s="69" t="str">
        <f>IF(ISBLANK($B33),"",IFERROR(VLOOKUP($B33,ESTOQUE!$B$2:$M$997973,3,FALSE),"Produto não cadastrado"))</f>
        <v>BOTINA SEGURANÇA MATATARSO 37 ADM</v>
      </c>
      <c r="E33" s="89" t="str">
        <f>_xlfn.XLOOKUP(B33,ESTOQUE!B:B,ESTOQUE!G:G)</f>
        <v>PAR</v>
      </c>
      <c r="F33" s="88">
        <v>4</v>
      </c>
      <c r="G33" s="92">
        <v>120</v>
      </c>
      <c r="H33" s="91">
        <f t="shared" si="0"/>
        <v>480</v>
      </c>
      <c r="I33" s="70"/>
      <c r="J33" s="44"/>
      <c r="K33" s="106" t="s">
        <v>286</v>
      </c>
      <c r="L33" s="42"/>
    </row>
    <row r="34" spans="1:12" s="21" customFormat="1" ht="15" customHeight="1" x14ac:dyDescent="0.25">
      <c r="A34" s="22">
        <v>45929</v>
      </c>
      <c r="B34" s="23">
        <v>244</v>
      </c>
      <c r="C34" s="49" t="str">
        <f>IF(ISBLANK($B34),"",IFERROR(VLOOKUP($B34,ESTOQUE!$B$2:$D$97168,2,FALSE),"Produto não cadastrado"))</f>
        <v>CONSUMO</v>
      </c>
      <c r="D34" s="69" t="str">
        <f>IF(ISBLANK($B34),"",IFERROR(VLOOKUP($B34,ESTOQUE!$B$2:$M$997973,3,FALSE),"Produto não cadastrado"))</f>
        <v xml:space="preserve">BOTINA SEGURANÇA MATATARSO 43 ADM </v>
      </c>
      <c r="E34" s="89" t="str">
        <f>_xlfn.XLOOKUP(B34,ESTOQUE!B:B,ESTOQUE!G:G)</f>
        <v>PAR</v>
      </c>
      <c r="F34" s="88">
        <v>9</v>
      </c>
      <c r="G34" s="92">
        <v>120</v>
      </c>
      <c r="H34" s="91">
        <f t="shared" si="0"/>
        <v>1080</v>
      </c>
      <c r="I34" s="70"/>
      <c r="J34" s="24"/>
      <c r="K34" s="106" t="s">
        <v>286</v>
      </c>
      <c r="L34" s="42"/>
    </row>
    <row r="35" spans="1:12" s="21" customFormat="1" ht="15" customHeight="1" x14ac:dyDescent="0.25">
      <c r="A35" s="22">
        <v>45929</v>
      </c>
      <c r="B35" s="23">
        <v>241</v>
      </c>
      <c r="C35" s="49" t="str">
        <f>IF(ISBLANK($B35),"",IFERROR(VLOOKUP($B35,ESTOQUE!$B$2:$D$97168,2,FALSE),"Produto não cadastrado"))</f>
        <v>CONSUMO</v>
      </c>
      <c r="D35" s="69" t="str">
        <f>IF(ISBLANK($B35),"",IFERROR(VLOOKUP($B35,ESTOQUE!$B$2:$M$997973,3,FALSE),"Produto não cadastrado"))</f>
        <v>BOTINA SEGURANÇA MATATARSO 40 ADM</v>
      </c>
      <c r="E35" s="89" t="str">
        <f>_xlfn.XLOOKUP(B35,ESTOQUE!B:B,ESTOQUE!G:G)</f>
        <v>PAR</v>
      </c>
      <c r="F35" s="88">
        <v>9</v>
      </c>
      <c r="G35" s="92">
        <v>120</v>
      </c>
      <c r="H35" s="91">
        <f t="shared" si="0"/>
        <v>1080</v>
      </c>
      <c r="I35" s="71"/>
      <c r="J35" s="24"/>
      <c r="K35" s="106" t="s">
        <v>286</v>
      </c>
      <c r="L35" s="42"/>
    </row>
    <row r="36" spans="1:12" s="21" customFormat="1" ht="15" customHeight="1" x14ac:dyDescent="0.25">
      <c r="A36" s="22">
        <v>45929</v>
      </c>
      <c r="B36" s="23">
        <v>242</v>
      </c>
      <c r="C36" s="49" t="str">
        <f>IF(ISBLANK($B36),"",IFERROR(VLOOKUP($B36,ESTOQUE!$B$2:$D$97168,2,FALSE),"Produto não cadastrado"))</f>
        <v>CONSUMO</v>
      </c>
      <c r="D36" s="69" t="str">
        <f>IF(ISBLANK($B36),"",IFERROR(VLOOKUP($B36,ESTOQUE!$B$2:$M$997973,3,FALSE),"Produto não cadastrado"))</f>
        <v>BOTINA SEGURANÇA MATATARSO 41 ADM</v>
      </c>
      <c r="E36" s="89" t="str">
        <f>_xlfn.XLOOKUP(B36,ESTOQUE!B:B,ESTOQUE!G:G)</f>
        <v>PAR</v>
      </c>
      <c r="F36" s="88">
        <v>10</v>
      </c>
      <c r="G36" s="92">
        <v>120</v>
      </c>
      <c r="H36" s="91">
        <f t="shared" si="0"/>
        <v>1200</v>
      </c>
      <c r="I36" s="71"/>
      <c r="J36" s="24"/>
      <c r="K36" s="106" t="s">
        <v>286</v>
      </c>
      <c r="L36" s="42"/>
    </row>
    <row r="37" spans="1:12" s="21" customFormat="1" ht="15" customHeight="1" x14ac:dyDescent="0.25">
      <c r="A37" s="22">
        <v>45929</v>
      </c>
      <c r="B37" s="23">
        <v>56</v>
      </c>
      <c r="C37" s="49" t="str">
        <f>IF(ISBLANK($B37),"",IFERROR(VLOOKUP($B37,ESTOQUE!$B$2:$D$97168,2,FALSE),"Produto não cadastrado"))</f>
        <v>CONSUMO</v>
      </c>
      <c r="D37" s="69" t="str">
        <f>IF(ISBLANK($B37),"",IFERROR(VLOOKUP($B37,ESTOQUE!$B$2:$M$997973,3,FALSE),"Produto não cadastrado"))</f>
        <v>CAMISA ADM FEMININA TAM: G</v>
      </c>
      <c r="E37" s="89" t="str">
        <f>_xlfn.XLOOKUP(B37,ESTOQUE!B:B,ESTOQUE!G:G)</f>
        <v>UND</v>
      </c>
      <c r="F37" s="88">
        <v>3</v>
      </c>
      <c r="G37" s="92">
        <v>69.900000000000006</v>
      </c>
      <c r="H37" s="91">
        <f t="shared" si="0"/>
        <v>209.70000000000002</v>
      </c>
      <c r="I37" s="71"/>
      <c r="J37" s="24"/>
      <c r="K37" s="106" t="s">
        <v>286</v>
      </c>
      <c r="L37" s="42"/>
    </row>
    <row r="38" spans="1:12" s="21" customFormat="1" ht="15" customHeight="1" x14ac:dyDescent="0.25">
      <c r="A38" s="22">
        <v>45929</v>
      </c>
      <c r="B38" s="23">
        <v>58</v>
      </c>
      <c r="C38" s="49" t="str">
        <f>IF(ISBLANK($B38),"",IFERROR(VLOOKUP($B38,ESTOQUE!$B$2:$D$97168,2,FALSE),"Produto não cadastrado"))</f>
        <v>CONSUMO</v>
      </c>
      <c r="D38" s="69" t="str">
        <f>IF(ISBLANK($B38),"",IFERROR(VLOOKUP($B38,ESTOQUE!$B$2:$M$997973,3,FALSE),"Produto não cadastrado"))</f>
        <v>CAMISA ADM FEMININA TAM: M</v>
      </c>
      <c r="E38" s="89" t="str">
        <f>_xlfn.XLOOKUP(B38,ESTOQUE!B:B,ESTOQUE!G:G)</f>
        <v>UND</v>
      </c>
      <c r="F38" s="88">
        <v>2</v>
      </c>
      <c r="G38" s="92">
        <v>69.900000000000006</v>
      </c>
      <c r="H38" s="91">
        <f t="shared" si="0"/>
        <v>139.80000000000001</v>
      </c>
      <c r="I38" s="71"/>
      <c r="J38" s="24"/>
      <c r="K38" s="106" t="s">
        <v>286</v>
      </c>
      <c r="L38" s="42"/>
    </row>
    <row r="39" spans="1:12" s="21" customFormat="1" ht="15" customHeight="1" x14ac:dyDescent="0.25">
      <c r="A39" s="22">
        <v>45929</v>
      </c>
      <c r="B39" s="23">
        <v>60</v>
      </c>
      <c r="C39" s="49" t="str">
        <f>IF(ISBLANK($B39),"",IFERROR(VLOOKUP($B39,ESTOQUE!$B$2:$D$97168,2,FALSE),"Produto não cadastrado"))</f>
        <v>CONSUMO</v>
      </c>
      <c r="D39" s="69" t="str">
        <f>IF(ISBLANK($B39),"",IFERROR(VLOOKUP($B39,ESTOQUE!$B$2:$M$997973,3,FALSE),"Produto não cadastrado"))</f>
        <v>CAMISA ADM MASCULINA TAM: G</v>
      </c>
      <c r="E39" s="89" t="str">
        <f>_xlfn.XLOOKUP(B39,ESTOQUE!B:B,ESTOQUE!G:G)</f>
        <v>UND</v>
      </c>
      <c r="F39" s="88">
        <v>3</v>
      </c>
      <c r="G39" s="92">
        <v>69.900000000000006</v>
      </c>
      <c r="H39" s="91">
        <f t="shared" si="0"/>
        <v>209.70000000000002</v>
      </c>
      <c r="I39" s="71"/>
      <c r="J39" s="24"/>
      <c r="K39" s="106" t="s">
        <v>286</v>
      </c>
      <c r="L39" s="42"/>
    </row>
    <row r="40" spans="1:12" s="21" customFormat="1" ht="15" customHeight="1" x14ac:dyDescent="0.25">
      <c r="A40" s="22">
        <v>45929</v>
      </c>
      <c r="B40" s="23">
        <v>64</v>
      </c>
      <c r="C40" s="49" t="str">
        <f>IF(ISBLANK($B40),"",IFERROR(VLOOKUP($B40,ESTOQUE!$B$2:$D$97168,2,FALSE),"Produto não cadastrado"))</f>
        <v>CONSUMO</v>
      </c>
      <c r="D40" s="69" t="str">
        <f>IF(ISBLANK($B40),"",IFERROR(VLOOKUP($B40,ESTOQUE!$B$2:$M$997973,3,FALSE),"Produto não cadastrado"))</f>
        <v>CAMISA DE ELETRICISTA NR.10 TAM: GG</v>
      </c>
      <c r="E40" s="89" t="str">
        <f>_xlfn.XLOOKUP(B40,ESTOQUE!B:B,ESTOQUE!G:G)</f>
        <v>UND</v>
      </c>
      <c r="F40" s="88">
        <v>2</v>
      </c>
      <c r="G40" s="92">
        <v>203</v>
      </c>
      <c r="H40" s="91">
        <f t="shared" si="0"/>
        <v>406</v>
      </c>
      <c r="I40" s="71"/>
      <c r="J40" s="24"/>
      <c r="K40" s="106" t="s">
        <v>286</v>
      </c>
      <c r="L40" s="42"/>
    </row>
    <row r="41" spans="1:12" s="21" customFormat="1" ht="15" customHeight="1" x14ac:dyDescent="0.25">
      <c r="A41" s="22">
        <v>45929</v>
      </c>
      <c r="B41" s="23">
        <v>67</v>
      </c>
      <c r="C41" s="49" t="str">
        <f>IF(ISBLANK($B41),"",IFERROR(VLOOKUP($B41,ESTOQUE!$B$2:$D$97168,2,FALSE),"Produto não cadastrado"))</f>
        <v>CONSUMO</v>
      </c>
      <c r="D41" s="69" t="str">
        <f>IF(ISBLANK($B41),"",IFERROR(VLOOKUP($B41,ESTOQUE!$B$2:$M$997973,3,FALSE),"Produto não cadastrado"))</f>
        <v>CAMISA LARANJA OP. C/ FAIXA REFLETIVA TAM: G</v>
      </c>
      <c r="E41" s="89" t="str">
        <f>_xlfn.XLOOKUP(B41,ESTOQUE!B:B,ESTOQUE!G:G)</f>
        <v>UND</v>
      </c>
      <c r="F41" s="88">
        <v>55</v>
      </c>
      <c r="G41" s="92">
        <v>74.400000000000006</v>
      </c>
      <c r="H41" s="91">
        <f t="shared" si="0"/>
        <v>4092.0000000000005</v>
      </c>
      <c r="I41" s="71"/>
      <c r="J41" s="24"/>
      <c r="K41" s="106" t="s">
        <v>286</v>
      </c>
      <c r="L41" s="42"/>
    </row>
    <row r="42" spans="1:12" s="21" customFormat="1" ht="15" customHeight="1" x14ac:dyDescent="0.25">
      <c r="A42" s="22">
        <v>45929</v>
      </c>
      <c r="B42" s="23">
        <v>68</v>
      </c>
      <c r="C42" s="49" t="str">
        <f>IF(ISBLANK($B42),"",IFERROR(VLOOKUP($B42,ESTOQUE!$B$2:$D$97168,2,FALSE),"Produto não cadastrado"))</f>
        <v>CONSUMO</v>
      </c>
      <c r="D42" s="69" t="str">
        <f>IF(ISBLANK($B42),"",IFERROR(VLOOKUP($B42,ESTOQUE!$B$2:$M$997973,3,FALSE),"Produto não cadastrado"))</f>
        <v>CAMISA LARANJA OP. C/ FAIXA REFLETIVA TAM: GG</v>
      </c>
      <c r="E42" s="89" t="str">
        <f>_xlfn.XLOOKUP(B42,ESTOQUE!B:B,ESTOQUE!G:G)</f>
        <v>UND</v>
      </c>
      <c r="F42" s="88">
        <v>62</v>
      </c>
      <c r="G42" s="92">
        <v>74.400000000000006</v>
      </c>
      <c r="H42" s="91">
        <f t="shared" si="0"/>
        <v>4612.8</v>
      </c>
      <c r="I42" s="71"/>
      <c r="J42" s="24"/>
      <c r="K42" s="106" t="s">
        <v>286</v>
      </c>
      <c r="L42" s="42"/>
    </row>
    <row r="43" spans="1:12" s="21" customFormat="1" ht="15" customHeight="1" x14ac:dyDescent="0.25">
      <c r="A43" s="22">
        <v>45929</v>
      </c>
      <c r="B43" s="23">
        <v>69</v>
      </c>
      <c r="C43" s="49" t="str">
        <f>IF(ISBLANK($B43),"",IFERROR(VLOOKUP($B43,ESTOQUE!$B$2:$D$97168,2,FALSE),"Produto não cadastrado"))</f>
        <v>CONSUMO</v>
      </c>
      <c r="D43" s="69" t="str">
        <f>IF(ISBLANK($B43),"",IFERROR(VLOOKUP($B43,ESTOQUE!$B$2:$M$997973,3,FALSE),"Produto não cadastrado"))</f>
        <v>CAMISA LARANJA OP. C/ FAIXA REFLETIVA TAM: M</v>
      </c>
      <c r="E43" s="89" t="str">
        <f>_xlfn.XLOOKUP(B43,ESTOQUE!B:B,ESTOQUE!G:G)</f>
        <v>UND</v>
      </c>
      <c r="F43" s="88">
        <v>46</v>
      </c>
      <c r="G43" s="92">
        <v>74.400000000000006</v>
      </c>
      <c r="H43" s="91">
        <f t="shared" si="0"/>
        <v>3422.4</v>
      </c>
      <c r="I43" s="71"/>
      <c r="J43" s="24"/>
      <c r="K43" s="106" t="s">
        <v>286</v>
      </c>
      <c r="L43" s="42"/>
    </row>
    <row r="44" spans="1:12" s="21" customFormat="1" ht="15" customHeight="1" x14ac:dyDescent="0.25">
      <c r="A44" s="22">
        <v>45929</v>
      </c>
      <c r="B44" s="23">
        <v>70</v>
      </c>
      <c r="C44" s="49" t="str">
        <f>IF(ISBLANK($B44),"",IFERROR(VLOOKUP($B44,ESTOQUE!$B$2:$D$97168,2,FALSE),"Produto não cadastrado"))</f>
        <v>CONSUMO</v>
      </c>
      <c r="D44" s="69" t="str">
        <f>IF(ISBLANK($B44),"",IFERROR(VLOOKUP($B44,ESTOQUE!$B$2:$M$997973,3,FALSE),"Produto não cadastrado"))</f>
        <v>CAMISA LARANJA OP. C/ FAIXA REFLETIVA TAM: P</v>
      </c>
      <c r="E44" s="89" t="str">
        <f>_xlfn.XLOOKUP(B44,ESTOQUE!B:B,ESTOQUE!G:G)</f>
        <v>UND</v>
      </c>
      <c r="F44" s="88">
        <v>48</v>
      </c>
      <c r="G44" s="92">
        <v>74.400000000000006</v>
      </c>
      <c r="H44" s="91">
        <f t="shared" si="0"/>
        <v>3571.2000000000003</v>
      </c>
      <c r="I44" s="71"/>
      <c r="J44" s="24"/>
      <c r="K44" s="106" t="s">
        <v>286</v>
      </c>
      <c r="L44" s="42"/>
    </row>
    <row r="45" spans="1:12" x14ac:dyDescent="0.25">
      <c r="A45" s="22">
        <v>45929</v>
      </c>
      <c r="B45" s="23">
        <v>71</v>
      </c>
      <c r="C45" s="49" t="str">
        <f>IF(ISBLANK($B45),"",IFERROR(VLOOKUP($B45,ESTOQUE!$B$2:$D$97168,2,FALSE),"Produto não cadastrado"))</f>
        <v>CONSUMO</v>
      </c>
      <c r="D45" s="69" t="str">
        <f>IF(ISBLANK($B45),"",IFERROR(VLOOKUP($B45,ESTOQUE!$B$2:$M$997973,3,FALSE),"Produto não cadastrado"))</f>
        <v>CAMISA LARANJA OP. C/ FAIXA REFLETIVA TAM: XG</v>
      </c>
      <c r="E45" s="89" t="str">
        <f>_xlfn.XLOOKUP(B45,ESTOQUE!B:B,ESTOQUE!G:G)</f>
        <v>UND</v>
      </c>
      <c r="F45" s="88">
        <v>44</v>
      </c>
      <c r="G45" s="92">
        <v>74.400000000000006</v>
      </c>
      <c r="H45" s="91">
        <f t="shared" si="0"/>
        <v>3273.6000000000004</v>
      </c>
      <c r="I45" s="71"/>
      <c r="J45" s="24"/>
      <c r="K45" s="106" t="s">
        <v>286</v>
      </c>
    </row>
    <row r="46" spans="1:12" x14ac:dyDescent="0.25">
      <c r="A46" s="22">
        <v>45929</v>
      </c>
      <c r="B46" s="23">
        <v>200</v>
      </c>
      <c r="C46" s="49" t="str">
        <f>IF(ISBLANK($B46),"",IFERROR(VLOOKUP($B46,ESTOQUE!$B$2:$D$97168,2,FALSE),"Produto não cadastrado"))</f>
        <v>CONSUMO</v>
      </c>
      <c r="D46" s="69" t="s">
        <v>287</v>
      </c>
      <c r="E46" s="89" t="str">
        <f>_xlfn.XLOOKUP(B46,ESTOQUE!B:B,ESTOQUE!G:G)</f>
        <v>UND</v>
      </c>
      <c r="F46" s="88">
        <v>1</v>
      </c>
      <c r="G46" s="92">
        <v>74.400000000000006</v>
      </c>
      <c r="H46" s="91">
        <f t="shared" si="0"/>
        <v>74.400000000000006</v>
      </c>
      <c r="I46" s="71"/>
      <c r="J46" s="24"/>
      <c r="K46" s="106" t="s">
        <v>286</v>
      </c>
    </row>
    <row r="47" spans="1:12" x14ac:dyDescent="0.25">
      <c r="A47" s="22">
        <v>45929</v>
      </c>
      <c r="B47" s="23">
        <v>72</v>
      </c>
      <c r="C47" s="49" t="str">
        <f>IF(ISBLANK($B47),"",IFERROR(VLOOKUP($B47,ESTOQUE!$B$2:$D$97168,2,FALSE),"Produto não cadastrado"))</f>
        <v>CONSUMO</v>
      </c>
      <c r="D47" s="69" t="str">
        <f>IF(ISBLANK($B47),"",IFERROR(VLOOKUP($B47,ESTOQUE!$B$2:$M$997973,3,FALSE),"Produto não cadastrado"))</f>
        <v>CAPA DE CHUVA G</v>
      </c>
      <c r="E47" s="89" t="str">
        <f>_xlfn.XLOOKUP(B47,ESTOQUE!B:B,ESTOQUE!G:G)</f>
        <v>UND</v>
      </c>
      <c r="F47" s="88">
        <v>8</v>
      </c>
      <c r="G47" s="92">
        <v>17.899999999999999</v>
      </c>
      <c r="H47" s="91">
        <f t="shared" si="0"/>
        <v>143.19999999999999</v>
      </c>
      <c r="I47" s="71"/>
      <c r="J47" s="24"/>
      <c r="K47" s="106" t="s">
        <v>286</v>
      </c>
    </row>
    <row r="48" spans="1:12" x14ac:dyDescent="0.25">
      <c r="A48" s="22">
        <v>45929</v>
      </c>
      <c r="B48" s="23">
        <v>73</v>
      </c>
      <c r="C48" s="49" t="str">
        <f>IF(ISBLANK($B48),"",IFERROR(VLOOKUP($B48,ESTOQUE!$B$2:$D$97168,2,FALSE),"Produto não cadastrado"))</f>
        <v>CONSUMO</v>
      </c>
      <c r="D48" s="69" t="str">
        <f>IF(ISBLANK($B48),"",IFERROR(VLOOKUP($B48,ESTOQUE!$B$2:$M$997973,3,FALSE),"Produto não cadastrado"))</f>
        <v>CAPA DE CHUVA GG</v>
      </c>
      <c r="E48" s="89" t="str">
        <f>_xlfn.XLOOKUP(B48,ESTOQUE!B:B,ESTOQUE!G:G)</f>
        <v>UND</v>
      </c>
      <c r="F48" s="88">
        <v>87</v>
      </c>
      <c r="G48" s="92">
        <v>17.899999999999999</v>
      </c>
      <c r="H48" s="91">
        <f t="shared" si="0"/>
        <v>1557.3</v>
      </c>
      <c r="I48" s="71"/>
      <c r="J48" s="24"/>
      <c r="K48" s="106" t="s">
        <v>286</v>
      </c>
    </row>
    <row r="49" spans="1:11" x14ac:dyDescent="0.25">
      <c r="A49" s="22">
        <v>45929</v>
      </c>
      <c r="B49" s="23">
        <v>75</v>
      </c>
      <c r="C49" s="49" t="str">
        <f>IF(ISBLANK($B49),"",IFERROR(VLOOKUP($B49,ESTOQUE!$B$2:$D$97168,2,FALSE),"Produto não cadastrado"))</f>
        <v>CONSUMO</v>
      </c>
      <c r="D49" s="69" t="str">
        <f>IF(ISBLANK($B49),"",IFERROR(VLOOKUP($B49,ESTOQUE!$B$2:$M$997973,3,FALSE),"Produto não cadastrado"))</f>
        <v>CAPACETE CAMPER AZUL ESCURO</v>
      </c>
      <c r="E49" s="89" t="str">
        <f>_xlfn.XLOOKUP(B49,ESTOQUE!B:B,ESTOQUE!G:G)</f>
        <v>UND</v>
      </c>
      <c r="F49" s="88">
        <v>14</v>
      </c>
      <c r="G49" s="92">
        <v>16.97</v>
      </c>
      <c r="H49" s="91">
        <f t="shared" si="0"/>
        <v>237.57999999999998</v>
      </c>
      <c r="I49" s="71"/>
      <c r="J49" s="24"/>
      <c r="K49" s="106" t="s">
        <v>286</v>
      </c>
    </row>
    <row r="50" spans="1:11" x14ac:dyDescent="0.25">
      <c r="A50" s="22">
        <v>45929</v>
      </c>
      <c r="B50" s="23">
        <v>76</v>
      </c>
      <c r="C50" s="49" t="str">
        <f>IF(ISBLANK($B50),"",IFERROR(VLOOKUP($B50,ESTOQUE!$B$2:$D$97168,2,FALSE),"Produto não cadastrado"))</f>
        <v>CONSUMO</v>
      </c>
      <c r="D50" s="69" t="str">
        <f>IF(ISBLANK($B50),"",IFERROR(VLOOKUP($B50,ESTOQUE!$B$2:$M$997973,3,FALSE),"Produto não cadastrado"))</f>
        <v>CAPACETE CAMPER BRANCO</v>
      </c>
      <c r="E50" s="89" t="str">
        <f>_xlfn.XLOOKUP(B50,ESTOQUE!B:B,ESTOQUE!G:G)</f>
        <v>UND</v>
      </c>
      <c r="F50" s="88">
        <v>6</v>
      </c>
      <c r="G50" s="92">
        <v>16.97</v>
      </c>
      <c r="H50" s="91">
        <f t="shared" si="0"/>
        <v>101.82</v>
      </c>
      <c r="I50" s="71"/>
      <c r="J50" s="24"/>
      <c r="K50" s="106" t="s">
        <v>286</v>
      </c>
    </row>
    <row r="51" spans="1:11" x14ac:dyDescent="0.25">
      <c r="A51" s="22">
        <v>45929</v>
      </c>
      <c r="B51" s="23">
        <v>77</v>
      </c>
      <c r="C51" s="49" t="str">
        <f>IF(ISBLANK($B51),"",IFERROR(VLOOKUP($B51,ESTOQUE!$B$2:$D$97168,2,FALSE),"Produto não cadastrado"))</f>
        <v>CONSUMO</v>
      </c>
      <c r="D51" s="69" t="str">
        <f>IF(ISBLANK($B51),"",IFERROR(VLOOKUP($B51,ESTOQUE!$B$2:$M$997973,3,FALSE),"Produto não cadastrado"))</f>
        <v>CAPACETE CAMPER CINZA</v>
      </c>
      <c r="E51" s="89" t="str">
        <f>_xlfn.XLOOKUP(B51,ESTOQUE!B:B,ESTOQUE!G:G)</f>
        <v>UND</v>
      </c>
      <c r="F51" s="88">
        <v>10</v>
      </c>
      <c r="G51" s="92">
        <v>15.97</v>
      </c>
      <c r="H51" s="91">
        <f t="shared" si="0"/>
        <v>159.70000000000002</v>
      </c>
      <c r="I51" s="71"/>
      <c r="J51" s="24"/>
      <c r="K51" s="106" t="s">
        <v>286</v>
      </c>
    </row>
    <row r="52" spans="1:11" x14ac:dyDescent="0.25">
      <c r="A52" s="22">
        <v>45929</v>
      </c>
      <c r="B52" s="23">
        <v>177</v>
      </c>
      <c r="C52" s="49" t="str">
        <f>IF(ISBLANK($B52),"",IFERROR(VLOOKUP($B52,ESTOQUE!$B$2:$D$97168,2,FALSE),"Produto não cadastrado"))</f>
        <v>CONSUMO</v>
      </c>
      <c r="D52" s="69" t="str">
        <f>IF(ISBLANK($B52),"",IFERROR(VLOOKUP($B52,ESTOQUE!$B$2:$M$997973,3,FALSE),"Produto não cadastrado"))</f>
        <v>CAPACETE GENISIS AMARELO</v>
      </c>
      <c r="E52" s="89" t="str">
        <f>_xlfn.XLOOKUP(B52,ESTOQUE!B:B,ESTOQUE!G:G)</f>
        <v>UND</v>
      </c>
      <c r="F52" s="88">
        <v>19</v>
      </c>
      <c r="G52" s="92">
        <v>15.97</v>
      </c>
      <c r="H52" s="91">
        <f t="shared" si="0"/>
        <v>303.43</v>
      </c>
      <c r="I52" s="71"/>
      <c r="J52" s="24"/>
      <c r="K52" s="106" t="s">
        <v>286</v>
      </c>
    </row>
    <row r="53" spans="1:11" x14ac:dyDescent="0.25">
      <c r="A53" s="22">
        <v>45929</v>
      </c>
      <c r="B53" s="23">
        <v>180</v>
      </c>
      <c r="C53" s="49" t="str">
        <f>IF(ISBLANK($B53),"",IFERROR(VLOOKUP($B53,ESTOQUE!$B$2:$D$97168,2,FALSE),"Produto não cadastrado"))</f>
        <v>CONSUMO</v>
      </c>
      <c r="D53" s="69" t="str">
        <f>IF(ISBLANK($B53),"",IFERROR(VLOOKUP($B53,ESTOQUE!$B$2:$M$997973,3,FALSE),"Produto não cadastrado"))</f>
        <v>CAPACETE GENISIS MARRON</v>
      </c>
      <c r="E53" s="89" t="str">
        <f>_xlfn.XLOOKUP(B53,ESTOQUE!B:B,ESTOQUE!G:G)</f>
        <v>UND</v>
      </c>
      <c r="F53" s="88">
        <v>15</v>
      </c>
      <c r="G53" s="92">
        <v>15.97</v>
      </c>
      <c r="H53" s="91">
        <f t="shared" si="0"/>
        <v>239.55</v>
      </c>
      <c r="I53" s="71"/>
      <c r="J53" s="24"/>
      <c r="K53" s="106" t="s">
        <v>286</v>
      </c>
    </row>
    <row r="54" spans="1:11" x14ac:dyDescent="0.25">
      <c r="A54" s="22">
        <v>45929</v>
      </c>
      <c r="B54" s="23">
        <v>181</v>
      </c>
      <c r="C54" s="49" t="str">
        <f>IF(ISBLANK($B54),"",IFERROR(VLOOKUP($B54,ESTOQUE!$B$2:$D$97168,2,FALSE),"Produto não cadastrado"))</f>
        <v>CONSUMO</v>
      </c>
      <c r="D54" s="69" t="str">
        <f>IF(ISBLANK($B54),"",IFERROR(VLOOKUP($B54,ESTOQUE!$B$2:$M$997973,3,FALSE),"Produto não cadastrado"))</f>
        <v>CAPACETE GENISIS VERDE</v>
      </c>
      <c r="E54" s="89" t="str">
        <f>_xlfn.XLOOKUP(B54,ESTOQUE!B:B,ESTOQUE!G:G)</f>
        <v>UND</v>
      </c>
      <c r="F54" s="88">
        <v>20</v>
      </c>
      <c r="G54" s="92">
        <v>15.97</v>
      </c>
      <c r="H54" s="91">
        <f t="shared" si="0"/>
        <v>319.40000000000003</v>
      </c>
      <c r="I54" s="71"/>
      <c r="J54" s="24"/>
      <c r="K54" s="106" t="s">
        <v>286</v>
      </c>
    </row>
    <row r="55" spans="1:11" x14ac:dyDescent="0.25">
      <c r="A55" s="22">
        <v>45929</v>
      </c>
      <c r="B55" s="23">
        <v>178</v>
      </c>
      <c r="C55" s="49" t="str">
        <f>IF(ISBLANK($B55),"",IFERROR(VLOOKUP($B55,ESTOQUE!$B$2:$D$97168,2,FALSE),"Produto não cadastrado"))</f>
        <v>CONSUMO</v>
      </c>
      <c r="D55" s="69" t="str">
        <f>IF(ISBLANK($B55),"",IFERROR(VLOOKUP($B55,ESTOQUE!$B$2:$M$997973,3,FALSE),"Produto não cadastrado"))</f>
        <v>CAPACETE GENISIS VERMELHO</v>
      </c>
      <c r="E55" s="89" t="str">
        <f>_xlfn.XLOOKUP(B55,ESTOQUE!B:B,ESTOQUE!G:G)</f>
        <v>UND</v>
      </c>
      <c r="F55" s="88">
        <v>26</v>
      </c>
      <c r="G55" s="92">
        <v>15.97</v>
      </c>
      <c r="H55" s="91">
        <f t="shared" si="0"/>
        <v>415.22</v>
      </c>
      <c r="I55" s="71"/>
      <c r="J55" s="24"/>
      <c r="K55" s="106" t="s">
        <v>286</v>
      </c>
    </row>
    <row r="56" spans="1:11" x14ac:dyDescent="0.25">
      <c r="A56" s="22">
        <v>45929</v>
      </c>
      <c r="B56" s="23">
        <v>87</v>
      </c>
      <c r="C56" s="49" t="str">
        <f>IF(ISBLANK($B56),"",IFERROR(VLOOKUP($B56,ESTOQUE!$B$2:$D$97168,2,FALSE),"Produto não cadastrado"))</f>
        <v>CONSUMO</v>
      </c>
      <c r="D56" s="69" t="str">
        <f>IF(ISBLANK($B56),"",IFERROR(VLOOKUP($B56,ESTOQUE!$B$2:$M$997973,3,FALSE),"Produto não cadastrado"))</f>
        <v>CAPACETE PLASTCOR AMARELO</v>
      </c>
      <c r="E56" s="89" t="str">
        <f>_xlfn.XLOOKUP(B56,ESTOQUE!B:B,ESTOQUE!G:G)</f>
        <v>UND</v>
      </c>
      <c r="F56" s="88">
        <v>5</v>
      </c>
      <c r="G56" s="90">
        <v>15.16</v>
      </c>
      <c r="H56" s="91">
        <f t="shared" si="0"/>
        <v>75.8</v>
      </c>
      <c r="I56" s="71"/>
      <c r="J56" s="24"/>
      <c r="K56" s="106" t="s">
        <v>286</v>
      </c>
    </row>
    <row r="57" spans="1:11" x14ac:dyDescent="0.25">
      <c r="A57" s="22">
        <v>45929</v>
      </c>
      <c r="B57" s="23">
        <v>91</v>
      </c>
      <c r="C57" s="49" t="str">
        <f>IF(ISBLANK($B57),"",IFERROR(VLOOKUP($B57,ESTOQUE!$B$2:$D$97168,2,FALSE),"Produto não cadastrado"))</f>
        <v>CONSUMO</v>
      </c>
      <c r="D57" s="69" t="str">
        <f>IF(ISBLANK($B57),"",IFERROR(VLOOKUP($B57,ESTOQUE!$B$2:$M$997973,3,FALSE),"Produto não cadastrado"))</f>
        <v>CAPACETE PLASTCOR ROXO</v>
      </c>
      <c r="E57" s="89" t="str">
        <f>_xlfn.XLOOKUP(B57,ESTOQUE!B:B,ESTOQUE!G:G)</f>
        <v>UND</v>
      </c>
      <c r="F57" s="88">
        <v>8</v>
      </c>
      <c r="G57" s="90">
        <v>15.16</v>
      </c>
      <c r="H57" s="91">
        <f t="shared" si="0"/>
        <v>121.28</v>
      </c>
      <c r="I57" s="71"/>
      <c r="J57" s="24"/>
      <c r="K57" s="106" t="s">
        <v>286</v>
      </c>
    </row>
    <row r="58" spans="1:11" x14ac:dyDescent="0.25">
      <c r="A58" s="22">
        <v>45929</v>
      </c>
      <c r="B58" s="23">
        <v>94</v>
      </c>
      <c r="C58" s="49" t="str">
        <f>IF(ISBLANK($B58),"",IFERROR(VLOOKUP($B58,ESTOQUE!$B$2:$D$97168,2,FALSE),"Produto não cadastrado"))</f>
        <v>CONSUMO</v>
      </c>
      <c r="D58" s="69" t="str">
        <f>IF(ISBLANK($B58),"",IFERROR(VLOOKUP($B58,ESTOQUE!$B$2:$M$997973,3,FALSE),"Produto não cadastrado"))</f>
        <v>CARNEIRA P/ CAPACETE CAMPER</v>
      </c>
      <c r="E58" s="89" t="str">
        <f>_xlfn.XLOOKUP(B58,ESTOQUE!B:B,ESTOQUE!G:G)</f>
        <v>UND</v>
      </c>
      <c r="F58" s="88">
        <v>100</v>
      </c>
      <c r="G58" s="92">
        <v>15.16</v>
      </c>
      <c r="H58" s="91">
        <f t="shared" si="0"/>
        <v>1516</v>
      </c>
      <c r="I58" s="71"/>
      <c r="J58" s="24"/>
      <c r="K58" s="106" t="s">
        <v>286</v>
      </c>
    </row>
    <row r="59" spans="1:11" x14ac:dyDescent="0.25">
      <c r="A59" s="22">
        <v>45929</v>
      </c>
      <c r="B59" s="23">
        <v>95</v>
      </c>
      <c r="C59" s="49" t="str">
        <f>IF(ISBLANK($B59),"",IFERROR(VLOOKUP($B59,ESTOQUE!$B$2:$D$97168,2,FALSE),"Produto não cadastrado"))</f>
        <v>CONSUMO</v>
      </c>
      <c r="D59" s="69" t="str">
        <f>IF(ISBLANK($B59),"",IFERROR(VLOOKUP($B59,ESTOQUE!$B$2:$M$997973,3,FALSE),"Produto não cadastrado"))</f>
        <v>CARNEIRA P/ CAPACETE LIBUS</v>
      </c>
      <c r="E59" s="89" t="str">
        <f>_xlfn.XLOOKUP(B59,ESTOQUE!B:B,ESTOQUE!G:G)</f>
        <v>UND</v>
      </c>
      <c r="F59" s="88">
        <v>120</v>
      </c>
      <c r="G59" s="92">
        <v>12.1</v>
      </c>
      <c r="H59" s="91">
        <f t="shared" si="0"/>
        <v>1452</v>
      </c>
      <c r="I59" s="71"/>
      <c r="J59" s="24"/>
      <c r="K59" s="106" t="s">
        <v>286</v>
      </c>
    </row>
    <row r="60" spans="1:11" x14ac:dyDescent="0.25">
      <c r="A60" s="22">
        <v>45929</v>
      </c>
      <c r="B60" s="23">
        <v>96</v>
      </c>
      <c r="C60" s="49" t="str">
        <f>IF(ISBLANK($B60),"",IFERROR(VLOOKUP($B60,ESTOQUE!$B$2:$D$97168,2,FALSE),"Produto não cadastrado"))</f>
        <v>CONSUMO</v>
      </c>
      <c r="D60" s="69" t="str">
        <f>IF(ISBLANK($B60),"",IFERROR(VLOOKUP($B60,ESTOQUE!$B$2:$M$997973,3,FALSE),"Produto não cadastrado"))</f>
        <v xml:space="preserve">CINTO DE SEGURANÇA MODELO:C70 </v>
      </c>
      <c r="E60" s="89" t="str">
        <f>_xlfn.XLOOKUP(B60,ESTOQUE!B:B,ESTOQUE!G:G)</f>
        <v>UND</v>
      </c>
      <c r="F60" s="88">
        <v>35</v>
      </c>
      <c r="G60" s="92">
        <v>169.08</v>
      </c>
      <c r="H60" s="91">
        <f t="shared" si="0"/>
        <v>5917.8</v>
      </c>
      <c r="I60" s="71"/>
      <c r="J60" s="24"/>
      <c r="K60" s="106" t="s">
        <v>286</v>
      </c>
    </row>
    <row r="61" spans="1:11" x14ac:dyDescent="0.25">
      <c r="A61" s="22">
        <v>45929</v>
      </c>
      <c r="B61" s="23">
        <v>97</v>
      </c>
      <c r="C61" s="49" t="str">
        <f>IF(ISBLANK($B61),"",IFERROR(VLOOKUP($B61,ESTOQUE!$B$2:$D$97168,2,FALSE),"Produto não cadastrado"))</f>
        <v>CONSUMO</v>
      </c>
      <c r="D61" s="69" t="str">
        <f>IF(ISBLANK($B61),"",IFERROR(VLOOKUP($B61,ESTOQUE!$B$2:$M$997973,3,FALSE),"Produto não cadastrado"))</f>
        <v>COLETE REFLETIVO LARANJA M</v>
      </c>
      <c r="E61" s="89" t="str">
        <f>_xlfn.XLOOKUP(B61,ESTOQUE!B:B,ESTOQUE!G:G)</f>
        <v>UND</v>
      </c>
      <c r="F61" s="88">
        <v>55</v>
      </c>
      <c r="G61" s="92">
        <v>19</v>
      </c>
      <c r="H61" s="91">
        <f t="shared" si="0"/>
        <v>1045</v>
      </c>
      <c r="I61" s="71"/>
      <c r="J61" s="24"/>
      <c r="K61" s="106" t="s">
        <v>286</v>
      </c>
    </row>
    <row r="62" spans="1:11" x14ac:dyDescent="0.25">
      <c r="A62" s="22">
        <v>45929</v>
      </c>
      <c r="B62" s="23">
        <v>188</v>
      </c>
      <c r="C62" s="49" t="str">
        <f>IF(ISBLANK($B62),"",IFERROR(VLOOKUP($B62,ESTOQUE!$B$2:$D$97168,2,FALSE),"Produto não cadastrado"))</f>
        <v>CONSUMO</v>
      </c>
      <c r="D62" s="69" t="str">
        <f>IF(ISBLANK($B62),"",IFERROR(VLOOKUP($B62,ESTOQUE!$B$2:$M$997973,3,FALSE),"Produto não cadastrado"))</f>
        <v>COLETE REFLETIVO LARANJA XG</v>
      </c>
      <c r="E62" s="89" t="str">
        <f>_xlfn.XLOOKUP(B62,ESTOQUE!B:B,ESTOQUE!G:G)</f>
        <v>UND</v>
      </c>
      <c r="F62" s="88">
        <v>5</v>
      </c>
      <c r="G62" s="92">
        <v>19</v>
      </c>
      <c r="H62" s="91">
        <f t="shared" si="0"/>
        <v>95</v>
      </c>
      <c r="I62" s="71"/>
      <c r="J62" s="24"/>
      <c r="K62" s="106" t="s">
        <v>286</v>
      </c>
    </row>
    <row r="63" spans="1:11" x14ac:dyDescent="0.25">
      <c r="A63" s="22">
        <v>45929</v>
      </c>
      <c r="B63" s="23">
        <v>98</v>
      </c>
      <c r="C63" s="49" t="str">
        <f>IF(ISBLANK($B63),"",IFERROR(VLOOKUP($B63,ESTOQUE!$B$2:$D$97168,2,FALSE),"Produto não cadastrado"))</f>
        <v>CONSUMO</v>
      </c>
      <c r="D63" s="69" t="s">
        <v>189</v>
      </c>
      <c r="E63" s="89" t="str">
        <f>_xlfn.XLOOKUP(B63,ESTOQUE!B:B,ESTOQUE!G:G)</f>
        <v>UND</v>
      </c>
      <c r="F63" s="88">
        <v>87</v>
      </c>
      <c r="G63" s="92">
        <v>19</v>
      </c>
      <c r="H63" s="91">
        <f t="shared" si="0"/>
        <v>1653</v>
      </c>
      <c r="I63" s="71"/>
      <c r="J63" s="24"/>
      <c r="K63" s="106" t="s">
        <v>286</v>
      </c>
    </row>
    <row r="64" spans="1:11" x14ac:dyDescent="0.25">
      <c r="A64" s="22">
        <v>45929</v>
      </c>
      <c r="B64" s="23">
        <v>156</v>
      </c>
      <c r="C64" s="49" t="str">
        <f>IF(ISBLANK($B64),"",IFERROR(VLOOKUP($B64,ESTOQUE!$B$2:$D$97168,2,FALSE),"Produto não cadastrado"))</f>
        <v>CONSUMO</v>
      </c>
      <c r="D64" s="69" t="str">
        <f>IF(ISBLANK($B64),"",IFERROR(VLOOKUP($B64,ESTOQUE!$B$2:$M$997973,3,FALSE),"Produto não cadastrado"))</f>
        <v>CONJUNTO NR 10 AZUL CLASSE 2 TAM G</v>
      </c>
      <c r="E64" s="89" t="str">
        <f>_xlfn.XLOOKUP(B64,ESTOQUE!B:B,ESTOQUE!G:G)</f>
        <v>CONJ</v>
      </c>
      <c r="F64" s="88">
        <v>5</v>
      </c>
      <c r="G64" s="92">
        <v>375.9</v>
      </c>
      <c r="H64" s="91">
        <f t="shared" si="0"/>
        <v>1879.5</v>
      </c>
      <c r="I64" s="71"/>
      <c r="J64" s="24"/>
      <c r="K64" s="106" t="s">
        <v>286</v>
      </c>
    </row>
    <row r="65" spans="1:11" x14ac:dyDescent="0.25">
      <c r="A65" s="22">
        <v>45929</v>
      </c>
      <c r="B65" s="23">
        <v>157</v>
      </c>
      <c r="C65" s="49" t="str">
        <f>IF(ISBLANK($B65),"",IFERROR(VLOOKUP($B65,ESTOQUE!$B$2:$D$97168,2,FALSE),"Produto não cadastrado"))</f>
        <v>CONSUMO</v>
      </c>
      <c r="D65" s="69" t="str">
        <f>IF(ISBLANK($B65),"",IFERROR(VLOOKUP($B65,ESTOQUE!$B$2:$M$997973,3,FALSE),"Produto não cadastrado"))</f>
        <v>CONJUNTO NR 10 AZUL CLASSE 2 TAM GG</v>
      </c>
      <c r="E65" s="89" t="str">
        <f>_xlfn.XLOOKUP(B65,ESTOQUE!B:B,ESTOQUE!G:G)</f>
        <v>CONJ</v>
      </c>
      <c r="F65" s="88">
        <v>5</v>
      </c>
      <c r="G65" s="92">
        <v>375.9</v>
      </c>
      <c r="H65" s="91">
        <f t="shared" si="0"/>
        <v>1879.5</v>
      </c>
      <c r="I65" s="71"/>
      <c r="J65" s="24"/>
      <c r="K65" s="106" t="s">
        <v>286</v>
      </c>
    </row>
    <row r="66" spans="1:11" x14ac:dyDescent="0.25">
      <c r="A66" s="22">
        <v>45929</v>
      </c>
      <c r="B66" s="23">
        <v>155</v>
      </c>
      <c r="C66" s="49" t="str">
        <f>IF(ISBLANK($B66),"",IFERROR(VLOOKUP($B66,ESTOQUE!$B$2:$D$97168,2,FALSE),"Produto não cadastrado"))</f>
        <v>CONSUMO</v>
      </c>
      <c r="D66" s="69" t="str">
        <f>IF(ISBLANK($B66),"",IFERROR(VLOOKUP($B66,ESTOQUE!$B$2:$M$997973,3,FALSE),"Produto não cadastrado"))</f>
        <v>CONJUNTO NR 10 AZUL CLASSE 2 TAM P</v>
      </c>
      <c r="E66" s="89" t="str">
        <f>_xlfn.XLOOKUP(B66,ESTOQUE!B:B,ESTOQUE!G:G)</f>
        <v>CONJ</v>
      </c>
      <c r="F66" s="88">
        <v>5</v>
      </c>
      <c r="G66" s="92">
        <v>375.9</v>
      </c>
      <c r="H66" s="91">
        <f t="shared" si="0"/>
        <v>1879.5</v>
      </c>
      <c r="I66" s="71"/>
      <c r="J66" s="24"/>
      <c r="K66" s="106" t="s">
        <v>286</v>
      </c>
    </row>
    <row r="67" spans="1:11" x14ac:dyDescent="0.25">
      <c r="A67" s="22">
        <v>45929</v>
      </c>
      <c r="B67" s="23">
        <v>101</v>
      </c>
      <c r="C67" s="49" t="str">
        <f>IF(ISBLANK($B67),"",IFERROR(VLOOKUP($B67,ESTOQUE!$B$2:$D$97168,2,FALSE),"Produto não cadastrado"))</f>
        <v>CONSUMO</v>
      </c>
      <c r="D67" s="69" t="str">
        <f>IF(ISBLANK($B67),"",IFERROR(VLOOKUP($B67,ESTOQUE!$B$2:$M$997973,3,FALSE),"Produto não cadastrado"))</f>
        <v>JARDINEIRA AMARELA BOTA Nº 39</v>
      </c>
      <c r="E67" s="89" t="str">
        <f>_xlfn.XLOOKUP(B67,ESTOQUE!B:B,ESTOQUE!G:G)</f>
        <v>UND</v>
      </c>
      <c r="F67" s="88">
        <v>10</v>
      </c>
      <c r="G67" s="92">
        <v>189.9</v>
      </c>
      <c r="H67" s="91">
        <f t="shared" ref="H67:H130" si="1">F67*G67</f>
        <v>1899</v>
      </c>
      <c r="I67" s="71"/>
      <c r="J67" s="24"/>
      <c r="K67" s="106" t="s">
        <v>286</v>
      </c>
    </row>
    <row r="68" spans="1:11" x14ac:dyDescent="0.25">
      <c r="A68" s="22">
        <v>45929</v>
      </c>
      <c r="B68" s="23">
        <v>102</v>
      </c>
      <c r="C68" s="49" t="str">
        <f>IF(ISBLANK($B68),"",IFERROR(VLOOKUP($B68,ESTOQUE!$B$2:$D$97168,2,FALSE),"Produto não cadastrado"))</f>
        <v>CONSUMO</v>
      </c>
      <c r="D68" s="69" t="str">
        <f>IF(ISBLANK($B68),"",IFERROR(VLOOKUP($B68,ESTOQUE!$B$2:$M$997973,3,FALSE),"Produto não cadastrado"))</f>
        <v>JARDINEIRA AMARELA BOTA Nº 40</v>
      </c>
      <c r="E68" s="89" t="str">
        <f>_xlfn.XLOOKUP(B68,ESTOQUE!B:B,ESTOQUE!G:G)</f>
        <v>UND</v>
      </c>
      <c r="F68" s="88">
        <v>6</v>
      </c>
      <c r="G68" s="92">
        <v>189.9</v>
      </c>
      <c r="H68" s="91">
        <f t="shared" si="1"/>
        <v>1139.4000000000001</v>
      </c>
      <c r="I68" s="71"/>
      <c r="J68" s="24"/>
      <c r="K68" s="106" t="s">
        <v>286</v>
      </c>
    </row>
    <row r="69" spans="1:11" x14ac:dyDescent="0.25">
      <c r="A69" s="22">
        <v>45929</v>
      </c>
      <c r="B69" s="23">
        <v>103</v>
      </c>
      <c r="C69" s="49" t="str">
        <f>IF(ISBLANK($B69),"",IFERROR(VLOOKUP($B69,ESTOQUE!$B$2:$D$97168,2,FALSE),"Produto não cadastrado"))</f>
        <v>CONSUMO</v>
      </c>
      <c r="D69" s="69" t="str">
        <f>IF(ISBLANK($B69),"",IFERROR(VLOOKUP($B69,ESTOQUE!$B$2:$M$997973,3,FALSE),"Produto não cadastrado"))</f>
        <v>JARDINEIRA AMARELA BOTA Nº 41</v>
      </c>
      <c r="E69" s="89" t="str">
        <f>_xlfn.XLOOKUP(B69,ESTOQUE!B:B,ESTOQUE!G:G)</f>
        <v>UND</v>
      </c>
      <c r="F69" s="88">
        <v>16</v>
      </c>
      <c r="G69" s="92">
        <v>189.9</v>
      </c>
      <c r="H69" s="91">
        <f t="shared" si="1"/>
        <v>3038.4</v>
      </c>
      <c r="I69" s="71"/>
      <c r="J69" s="24"/>
      <c r="K69" s="106" t="s">
        <v>286</v>
      </c>
    </row>
    <row r="70" spans="1:11" x14ac:dyDescent="0.25">
      <c r="A70" s="22">
        <v>45929</v>
      </c>
      <c r="B70" s="23">
        <v>104</v>
      </c>
      <c r="C70" s="49" t="str">
        <f>IF(ISBLANK($B70),"",IFERROR(VLOOKUP($B70,ESTOQUE!$B$2:$D$97168,2,FALSE),"Produto não cadastrado"))</f>
        <v>CONSUMO</v>
      </c>
      <c r="D70" s="69" t="str">
        <f>IF(ISBLANK($B70),"",IFERROR(VLOOKUP($B70,ESTOQUE!$B$2:$M$997973,3,FALSE),"Produto não cadastrado"))</f>
        <v>JARDINEIRA AMARELA BOTA Nº 42</v>
      </c>
      <c r="E70" s="89" t="str">
        <f>_xlfn.XLOOKUP(B70,ESTOQUE!B:B,ESTOQUE!G:G)</f>
        <v>UND</v>
      </c>
      <c r="F70" s="88">
        <v>15</v>
      </c>
      <c r="G70" s="92">
        <v>189.9</v>
      </c>
      <c r="H70" s="91">
        <f t="shared" si="1"/>
        <v>2848.5</v>
      </c>
      <c r="I70" s="71"/>
      <c r="J70" s="24"/>
      <c r="K70" s="106" t="s">
        <v>286</v>
      </c>
    </row>
    <row r="71" spans="1:11" x14ac:dyDescent="0.25">
      <c r="A71" s="22">
        <v>45929</v>
      </c>
      <c r="B71" s="23">
        <v>105</v>
      </c>
      <c r="C71" s="49" t="str">
        <f>IF(ISBLANK($B71),"",IFERROR(VLOOKUP($B71,ESTOQUE!$B$2:$D$97168,2,FALSE),"Produto não cadastrado"))</f>
        <v>CONSUMO</v>
      </c>
      <c r="D71" s="69" t="str">
        <f>IF(ISBLANK($B71),"",IFERROR(VLOOKUP($B71,ESTOQUE!$B$2:$M$997973,3,FALSE),"Produto não cadastrado"))</f>
        <v>JARDINEIRA AMARELA BOTA Nº 43</v>
      </c>
      <c r="E71" s="89" t="str">
        <f>_xlfn.XLOOKUP(B71,ESTOQUE!B:B,ESTOQUE!G:G)</f>
        <v>UND</v>
      </c>
      <c r="F71" s="88">
        <v>15</v>
      </c>
      <c r="G71" s="92">
        <v>189.9</v>
      </c>
      <c r="H71" s="91">
        <f t="shared" si="1"/>
        <v>2848.5</v>
      </c>
      <c r="I71" s="71"/>
      <c r="J71" s="24"/>
      <c r="K71" s="106" t="s">
        <v>286</v>
      </c>
    </row>
    <row r="72" spans="1:11" x14ac:dyDescent="0.25">
      <c r="A72" s="22">
        <v>45929</v>
      </c>
      <c r="B72" s="23">
        <v>106</v>
      </c>
      <c r="C72" s="49" t="str">
        <f>IF(ISBLANK($B72),"",IFERROR(VLOOKUP($B72,ESTOQUE!$B$2:$D$97168,2,FALSE),"Produto não cadastrado"))</f>
        <v>CONSUMO</v>
      </c>
      <c r="D72" s="69" t="str">
        <f>IF(ISBLANK($B72),"",IFERROR(VLOOKUP($B72,ESTOQUE!$B$2:$M$997973,3,FALSE),"Produto não cadastrado"))</f>
        <v>JARDINEIRA AMARELA BOTA Nº 44</v>
      </c>
      <c r="E72" s="89" t="str">
        <f>_xlfn.XLOOKUP(B72,ESTOQUE!B:B,ESTOQUE!G:G)</f>
        <v>UND</v>
      </c>
      <c r="F72" s="88">
        <v>3</v>
      </c>
      <c r="G72" s="92">
        <v>189.9</v>
      </c>
      <c r="H72" s="91">
        <f t="shared" si="1"/>
        <v>569.70000000000005</v>
      </c>
      <c r="I72" s="71"/>
      <c r="J72" s="24"/>
      <c r="K72" s="106" t="s">
        <v>286</v>
      </c>
    </row>
    <row r="73" spans="1:11" x14ac:dyDescent="0.25">
      <c r="A73" s="22">
        <v>45929</v>
      </c>
      <c r="B73" s="23">
        <v>107</v>
      </c>
      <c r="C73" s="49" t="str">
        <f>IF(ISBLANK($B73),"",IFERROR(VLOOKUP($B73,ESTOQUE!$B$2:$D$97168,2,FALSE),"Produto não cadastrado"))</f>
        <v>CONSUMO</v>
      </c>
      <c r="D73" s="69" t="str">
        <f>IF(ISBLANK($B73),"",IFERROR(VLOOKUP($B73,ESTOQUE!$B$2:$M$997973,3,FALSE),"Produto não cadastrado"))</f>
        <v>JARDINEIRA AMARELA BOTA Nº 45</v>
      </c>
      <c r="E73" s="89" t="str">
        <f>_xlfn.XLOOKUP(B73,ESTOQUE!B:B,ESTOQUE!G:G)</f>
        <v>UND</v>
      </c>
      <c r="F73" s="88">
        <v>5</v>
      </c>
      <c r="G73" s="92">
        <v>189.9</v>
      </c>
      <c r="H73" s="91">
        <f t="shared" si="1"/>
        <v>949.5</v>
      </c>
      <c r="I73" s="71"/>
      <c r="J73" s="24"/>
      <c r="K73" s="106" t="s">
        <v>286</v>
      </c>
    </row>
    <row r="74" spans="1:11" x14ac:dyDescent="0.25">
      <c r="A74" s="22">
        <v>45929</v>
      </c>
      <c r="B74" s="23">
        <v>110</v>
      </c>
      <c r="C74" s="49" t="str">
        <f>IF(ISBLANK($B74),"",IFERROR(VLOOKUP($B74,ESTOQUE!$B$2:$D$97168,2,FALSE),"Produto não cadastrado"))</f>
        <v>CONSUMO</v>
      </c>
      <c r="D74" s="69" t="str">
        <f>IF(ISBLANK($B74),"",IFERROR(VLOOKUP($B74,ESTOQUE!$B$2:$M$997973,3,FALSE),"Produto não cadastrado"))</f>
        <v>LUVA DE RASPA CANO LONGO</v>
      </c>
      <c r="E74" s="89" t="str">
        <f>_xlfn.XLOOKUP(B74,ESTOQUE!B:B,ESTOQUE!G:G)</f>
        <v>PAR</v>
      </c>
      <c r="F74" s="88">
        <v>180</v>
      </c>
      <c r="G74" s="92">
        <v>12.99</v>
      </c>
      <c r="H74" s="91">
        <f t="shared" si="1"/>
        <v>2338.1999999999998</v>
      </c>
      <c r="I74" s="71"/>
      <c r="J74" s="24"/>
      <c r="K74" s="106" t="s">
        <v>286</v>
      </c>
    </row>
    <row r="75" spans="1:11" x14ac:dyDescent="0.25">
      <c r="A75" s="22">
        <v>45929</v>
      </c>
      <c r="B75" s="23">
        <v>141</v>
      </c>
      <c r="C75" s="49" t="str">
        <f>IF(ISBLANK($B75),"",IFERROR(VLOOKUP($B75,ESTOQUE!$B$2:$D$97168,2,FALSE),"Produto não cadastrado"))</f>
        <v>CONSUMO</v>
      </c>
      <c r="D75" s="69" t="str">
        <f>IF(ISBLANK($B75),"",IFERROR(VLOOKUP($B75,ESTOQUE!$B$2:$M$997973,3,FALSE),"Produto não cadastrado"))</f>
        <v xml:space="preserve">LUVA DE VAQUETA </v>
      </c>
      <c r="E75" s="89" t="str">
        <f>_xlfn.XLOOKUP(B75,ESTOQUE!B:B,ESTOQUE!G:G)</f>
        <v>PAR</v>
      </c>
      <c r="F75" s="88">
        <v>75</v>
      </c>
      <c r="G75" s="92">
        <v>11</v>
      </c>
      <c r="H75" s="91">
        <f t="shared" si="1"/>
        <v>825</v>
      </c>
      <c r="I75" s="71"/>
      <c r="J75" s="24"/>
      <c r="K75" s="106" t="s">
        <v>286</v>
      </c>
    </row>
    <row r="76" spans="1:11" x14ac:dyDescent="0.25">
      <c r="A76" s="22">
        <v>45929</v>
      </c>
      <c r="B76" s="23">
        <v>189</v>
      </c>
      <c r="C76" s="49" t="str">
        <f>IF(ISBLANK($B76),"",IFERROR(VLOOKUP($B76,ESTOQUE!$B$2:$D$97168,2,FALSE),"Produto não cadastrado"))</f>
        <v>CONSUMO</v>
      </c>
      <c r="D76" s="69" t="str">
        <f>IF(ISBLANK($B76),"",IFERROR(VLOOKUP($B76,ESTOQUE!$B$2:$M$997973,3,FALSE),"Produto não cadastrado"))</f>
        <v xml:space="preserve">LUVA DE VAQUETA MISTA </v>
      </c>
      <c r="E76" s="89" t="str">
        <f>_xlfn.XLOOKUP(B76,ESTOQUE!B:B,ESTOQUE!G:G)</f>
        <v>UND</v>
      </c>
      <c r="F76" s="88">
        <v>75</v>
      </c>
      <c r="G76" s="92">
        <v>26.9</v>
      </c>
      <c r="H76" s="91">
        <f t="shared" si="1"/>
        <v>2017.5</v>
      </c>
      <c r="I76" s="71"/>
      <c r="J76" s="24"/>
      <c r="K76" s="106" t="s">
        <v>286</v>
      </c>
    </row>
    <row r="77" spans="1:11" x14ac:dyDescent="0.25">
      <c r="A77" s="22">
        <v>45929</v>
      </c>
      <c r="B77" s="23">
        <v>114</v>
      </c>
      <c r="C77" s="49" t="str">
        <f>IF(ISBLANK($B77),"",IFERROR(VLOOKUP($B77,ESTOQUE!$B$2:$D$97168,2,FALSE),"Produto não cadastrado"))</f>
        <v>CONSUMO</v>
      </c>
      <c r="D77" s="69" t="str">
        <f>IF(ISBLANK($B77),"",IFERROR(VLOOKUP($B77,ESTOQUE!$B$2:$M$997973,3,FALSE),"Produto não cadastrado"))</f>
        <v xml:space="preserve">LUVA LATEX NITRILICA </v>
      </c>
      <c r="E77" s="89" t="str">
        <f>_xlfn.XLOOKUP(B77,ESTOQUE!B:B,ESTOQUE!G:G)</f>
        <v>PAR</v>
      </c>
      <c r="F77" s="88">
        <v>269</v>
      </c>
      <c r="G77" s="92">
        <v>9.89</v>
      </c>
      <c r="H77" s="91">
        <f t="shared" si="1"/>
        <v>2660.4100000000003</v>
      </c>
      <c r="I77" s="71"/>
      <c r="J77" s="24"/>
      <c r="K77" s="106" t="s">
        <v>286</v>
      </c>
    </row>
    <row r="78" spans="1:11" x14ac:dyDescent="0.25">
      <c r="A78" s="22">
        <v>45929</v>
      </c>
      <c r="B78" s="23">
        <v>115</v>
      </c>
      <c r="C78" s="49" t="str">
        <f>IF(ISBLANK($B78),"",IFERROR(VLOOKUP($B78,ESTOQUE!$B$2:$D$97168,2,FALSE),"Produto não cadastrado"))</f>
        <v>CONSUMO</v>
      </c>
      <c r="D78" s="69" t="str">
        <f>IF(ISBLANK($B78),"",IFERROR(VLOOKUP($B78,ESTOQUE!$B$2:$M$997973,3,FALSE),"Produto não cadastrado"))</f>
        <v>LUVA PARA SOLDADOR MIG AZUL TAM 9</v>
      </c>
      <c r="E78" s="89" t="str">
        <f>_xlfn.XLOOKUP(B78,ESTOQUE!B:B,ESTOQUE!G:G)</f>
        <v>PAR</v>
      </c>
      <c r="F78" s="88">
        <v>14</v>
      </c>
      <c r="G78" s="92">
        <v>63.86</v>
      </c>
      <c r="H78" s="91">
        <f t="shared" si="1"/>
        <v>894.04</v>
      </c>
      <c r="I78" s="71"/>
      <c r="J78" s="24"/>
      <c r="K78" s="106" t="s">
        <v>286</v>
      </c>
    </row>
    <row r="79" spans="1:11" x14ac:dyDescent="0.25">
      <c r="A79" s="22">
        <v>45929</v>
      </c>
      <c r="B79" s="23">
        <v>207</v>
      </c>
      <c r="C79" s="49" t="str">
        <f>IF(ISBLANK($B79),"",IFERROR(VLOOKUP($B79,ESTOQUE!$B$2:$D$97168,2,FALSE),"Produto não cadastrado"))</f>
        <v>CONSUMO</v>
      </c>
      <c r="D79" s="69" t="str">
        <f>IF(ISBLANK($B79),"",IFERROR(VLOOKUP($B79,ESTOQUE!$B$2:$M$997973,3,FALSE),"Produto não cadastrado"))</f>
        <v>LUVA POLIESTER ANTICORTE BANHADA PU TAM 9</v>
      </c>
      <c r="E79" s="89" t="str">
        <f>_xlfn.XLOOKUP(B79,ESTOQUE!B:B,ESTOQUE!G:G)</f>
        <v>PAR</v>
      </c>
      <c r="F79" s="88">
        <v>30</v>
      </c>
      <c r="G79" s="92">
        <v>16.63</v>
      </c>
      <c r="H79" s="91">
        <f t="shared" si="1"/>
        <v>498.9</v>
      </c>
      <c r="I79" s="71"/>
      <c r="J79" s="24"/>
      <c r="K79" s="106" t="s">
        <v>286</v>
      </c>
    </row>
    <row r="80" spans="1:11" x14ac:dyDescent="0.25">
      <c r="A80" s="22">
        <v>45929</v>
      </c>
      <c r="B80" s="23">
        <v>116</v>
      </c>
      <c r="C80" s="49" t="str">
        <f>IF(ISBLANK($B80),"",IFERROR(VLOOKUP($B80,ESTOQUE!$B$2:$D$97168,2,FALSE),"Produto não cadastrado"))</f>
        <v>CONSUMO</v>
      </c>
      <c r="D80" s="69" t="str">
        <f>IF(ISBLANK($B80),"",IFERROR(VLOOKUP($B80,ESTOQUE!$B$2:$M$997973,3,FALSE),"Produto não cadastrado"))</f>
        <v>LUVA PVC LINEA - CANO LONGO</v>
      </c>
      <c r="E80" s="89" t="str">
        <f>_xlfn.XLOOKUP(B80,ESTOQUE!B:B,ESTOQUE!G:G)</f>
        <v>PAR</v>
      </c>
      <c r="F80" s="88">
        <v>20</v>
      </c>
      <c r="G80" s="92">
        <v>39.9</v>
      </c>
      <c r="H80" s="91">
        <f t="shared" si="1"/>
        <v>798</v>
      </c>
      <c r="I80" s="71"/>
      <c r="J80" s="24"/>
      <c r="K80" s="106" t="s">
        <v>286</v>
      </c>
    </row>
    <row r="81" spans="1:11" x14ac:dyDescent="0.25">
      <c r="A81" s="22">
        <v>45929</v>
      </c>
      <c r="B81" s="23">
        <v>192</v>
      </c>
      <c r="C81" s="49" t="str">
        <f>IF(ISBLANK($B81),"",IFERROR(VLOOKUP($B81,ESTOQUE!$B$2:$D$97168,2,FALSE),"Produto não cadastrado"))</f>
        <v>CONSUMO</v>
      </c>
      <c r="D81" s="69" t="str">
        <f>IF(ISBLANK($B81),"",IFERROR(VLOOKUP($B81,ESTOQUE!$B$2:$M$997973,3,FALSE),"Produto não cadastrado"))</f>
        <v>LUVA QUIMICA ( 2 OU 3)</v>
      </c>
      <c r="E81" s="89" t="str">
        <f>_xlfn.XLOOKUP(B81,ESTOQUE!B:B,ESTOQUE!G:G)</f>
        <v>UND</v>
      </c>
      <c r="F81" s="88">
        <v>11</v>
      </c>
      <c r="G81" s="92">
        <v>25</v>
      </c>
      <c r="H81" s="91">
        <f t="shared" si="1"/>
        <v>275</v>
      </c>
      <c r="I81" s="71"/>
      <c r="J81" s="24"/>
      <c r="K81" s="106" t="s">
        <v>286</v>
      </c>
    </row>
    <row r="82" spans="1:11" x14ac:dyDescent="0.25">
      <c r="A82" s="22">
        <v>45929</v>
      </c>
      <c r="B82" s="23">
        <v>159</v>
      </c>
      <c r="C82" s="49" t="str">
        <f>IF(ISBLANK($B82),"",IFERROR(VLOOKUP($B82,ESTOQUE!$B$2:$D$97168,2,FALSE),"Produto não cadastrado"))</f>
        <v>CONSUMO</v>
      </c>
      <c r="D82" s="69" t="str">
        <f>IF(ISBLANK($B82),"",IFERROR(VLOOKUP($B82,ESTOQUE!$B$2:$M$997973,3,FALSE),"Produto não cadastrado"))</f>
        <v>LUVA VOLK ANTIVIBRAÇÃO GORILA TAM 9</v>
      </c>
      <c r="E82" s="89" t="str">
        <f>_xlfn.XLOOKUP(B82,ESTOQUE!B:B,ESTOQUE!G:G)</f>
        <v>PAR</v>
      </c>
      <c r="F82" s="88">
        <v>106</v>
      </c>
      <c r="G82" s="92">
        <v>73.5</v>
      </c>
      <c r="H82" s="91">
        <f t="shared" si="1"/>
        <v>7791</v>
      </c>
      <c r="I82" s="71"/>
      <c r="J82" s="24"/>
      <c r="K82" s="106" t="s">
        <v>286</v>
      </c>
    </row>
    <row r="83" spans="1:11" x14ac:dyDescent="0.25">
      <c r="A83" s="22">
        <v>45929</v>
      </c>
      <c r="B83" s="23">
        <v>118</v>
      </c>
      <c r="C83" s="49" t="str">
        <f>IF(ISBLANK($B83),"",IFERROR(VLOOKUP($B83,ESTOQUE!$B$2:$D$97168,2,FALSE),"Produto não cadastrado"))</f>
        <v>CONSUMO</v>
      </c>
      <c r="D83" s="69" t="str">
        <f>IF(ISBLANK($B83),"",IFERROR(VLOOKUP($B83,ESTOQUE!$B$2:$M$997973,3,FALSE),"Produto não cadastrado"))</f>
        <v>MACACÃO DE PROTEÇÃO TYVEK</v>
      </c>
      <c r="E83" s="89" t="str">
        <f>_xlfn.XLOOKUP(B83,ESTOQUE!B:B,ESTOQUE!G:G)</f>
        <v>UND</v>
      </c>
      <c r="F83" s="88">
        <v>40</v>
      </c>
      <c r="G83" s="92">
        <v>11.99</v>
      </c>
      <c r="H83" s="91">
        <f t="shared" si="1"/>
        <v>479.6</v>
      </c>
      <c r="I83" s="71"/>
      <c r="J83" s="24"/>
      <c r="K83" s="106" t="s">
        <v>286</v>
      </c>
    </row>
    <row r="84" spans="1:11" x14ac:dyDescent="0.25">
      <c r="A84" s="22">
        <v>45929</v>
      </c>
      <c r="B84" s="23">
        <v>131</v>
      </c>
      <c r="C84" s="49" t="str">
        <f>IF(ISBLANK($B84),"",IFERROR(VLOOKUP($B84,ESTOQUE!$B$2:$D$97168,2,FALSE),"Produto não cadastrado"))</f>
        <v>CONSUMO</v>
      </c>
      <c r="D84" s="69" t="str">
        <f>IF(ISBLANK($B84),"",IFERROR(VLOOKUP($B84,ESTOQUE!$B$2:$M$997973,3,FALSE),"Produto não cadastrado"))</f>
        <v>MACACÃO DE RASPA MANGA LONGA</v>
      </c>
      <c r="E84" s="89" t="str">
        <f>_xlfn.XLOOKUP(B84,ESTOQUE!B:B,ESTOQUE!G:G)</f>
        <v>UND</v>
      </c>
      <c r="F84" s="88">
        <v>3</v>
      </c>
      <c r="G84" s="92">
        <v>91.8</v>
      </c>
      <c r="H84" s="91">
        <f t="shared" si="1"/>
        <v>275.39999999999998</v>
      </c>
      <c r="I84" s="71"/>
      <c r="J84" s="24"/>
      <c r="K84" s="106" t="s">
        <v>286</v>
      </c>
    </row>
    <row r="85" spans="1:11" x14ac:dyDescent="0.25">
      <c r="A85" s="22">
        <v>45929</v>
      </c>
      <c r="B85" s="23">
        <v>121</v>
      </c>
      <c r="C85" s="49" t="str">
        <f>IF(ISBLANK($B85),"",IFERROR(VLOOKUP($B85,ESTOQUE!$B$2:$D$97168,2,FALSE),"Produto não cadastrado"))</f>
        <v>CONSUMO</v>
      </c>
      <c r="D85" s="69" t="str">
        <f>IF(ISBLANK($B85),"",IFERROR(VLOOKUP($B85,ESTOQUE!$B$2:$M$997973,3,FALSE),"Produto não cadastrado"))</f>
        <v>MANGOTE DE RASPA</v>
      </c>
      <c r="E85" s="89" t="str">
        <f>_xlfn.XLOOKUP(B85,ESTOQUE!B:B,ESTOQUE!G:G)</f>
        <v>UND</v>
      </c>
      <c r="F85" s="88">
        <v>6</v>
      </c>
      <c r="G85" s="92">
        <v>26.79</v>
      </c>
      <c r="H85" s="91">
        <f t="shared" si="1"/>
        <v>160.74</v>
      </c>
      <c r="I85" s="71"/>
      <c r="J85" s="24"/>
      <c r="K85" s="106" t="s">
        <v>286</v>
      </c>
    </row>
    <row r="86" spans="1:11" x14ac:dyDescent="0.25">
      <c r="A86" s="22">
        <v>45929</v>
      </c>
      <c r="B86" s="23">
        <v>125</v>
      </c>
      <c r="C86" s="49" t="str">
        <f>IF(ISBLANK($B86),"",IFERROR(VLOOKUP($B86,ESTOQUE!$B$2:$D$97168,2,FALSE),"Produto não cadastrado"))</f>
        <v>CONSUMO</v>
      </c>
      <c r="D86" s="69" t="str">
        <f>IF(ISBLANK($B86),"",IFERROR(VLOOKUP($B86,ESTOQUE!$B$2:$M$997973,3,FALSE),"Produto não cadastrado"))</f>
        <v xml:space="preserve">MASCARA DE SOLDA AUTOMATICA </v>
      </c>
      <c r="E86" s="89" t="str">
        <f>_xlfn.XLOOKUP(B86,ESTOQUE!B:B,ESTOQUE!G:G)</f>
        <v>UND</v>
      </c>
      <c r="F86" s="88">
        <v>20</v>
      </c>
      <c r="G86" s="92">
        <v>149.97999999999999</v>
      </c>
      <c r="H86" s="91">
        <f t="shared" si="1"/>
        <v>2999.6</v>
      </c>
      <c r="I86" s="71"/>
      <c r="J86" s="24"/>
      <c r="K86" s="106" t="s">
        <v>286</v>
      </c>
    </row>
    <row r="87" spans="1:11" x14ac:dyDescent="0.25">
      <c r="A87" s="22">
        <v>45929</v>
      </c>
      <c r="B87" s="23">
        <v>144</v>
      </c>
      <c r="C87" s="49" t="str">
        <f>IF(ISBLANK($B87),"",IFERROR(VLOOKUP($B87,ESTOQUE!$B$2:$D$97168,2,FALSE),"Produto não cadastrado"))</f>
        <v>CONSUMO</v>
      </c>
      <c r="D87" s="69" t="str">
        <f>IF(ISBLANK($B87),"",IFERROR(VLOOKUP($B87,ESTOQUE!$B$2:$M$997973,3,FALSE),"Produto não cadastrado"))</f>
        <v>MASCARA PFF2-S C/ FILTRO</v>
      </c>
      <c r="E87" s="89" t="str">
        <f>_xlfn.XLOOKUP(B87,ESTOQUE!B:B,ESTOQUE!G:G)</f>
        <v>UND</v>
      </c>
      <c r="F87" s="88">
        <v>150</v>
      </c>
      <c r="G87" s="92">
        <v>3.26</v>
      </c>
      <c r="H87" s="91">
        <f t="shared" si="1"/>
        <v>488.99999999999994</v>
      </c>
      <c r="I87" s="71"/>
      <c r="J87" s="24"/>
      <c r="K87" s="106" t="s">
        <v>286</v>
      </c>
    </row>
    <row r="88" spans="1:11" x14ac:dyDescent="0.25">
      <c r="A88" s="22">
        <v>45929</v>
      </c>
      <c r="B88" s="23">
        <v>126</v>
      </c>
      <c r="C88" s="49" t="str">
        <f>IF(ISBLANK($B88),"",IFERROR(VLOOKUP($B88,ESTOQUE!$B$2:$D$97168,2,FALSE),"Produto não cadastrado"))</f>
        <v>CONSUMO</v>
      </c>
      <c r="D88" s="69" t="str">
        <f>IF(ISBLANK($B88),"",IFERROR(VLOOKUP($B88,ESTOQUE!$B$2:$M$997973,3,FALSE),"Produto não cadastrado"))</f>
        <v>OCULOS DE PROTEÇÃO ESCURO</v>
      </c>
      <c r="E88" s="89" t="str">
        <f>_xlfn.XLOOKUP(B88,ESTOQUE!B:B,ESTOQUE!G:G)</f>
        <v>UND</v>
      </c>
      <c r="F88" s="88">
        <v>202</v>
      </c>
      <c r="G88" s="92">
        <v>8.1999999999999993</v>
      </c>
      <c r="H88" s="91">
        <f t="shared" si="1"/>
        <v>1656.3999999999999</v>
      </c>
      <c r="I88" s="71"/>
      <c r="J88" s="24"/>
      <c r="K88" s="106" t="s">
        <v>286</v>
      </c>
    </row>
    <row r="89" spans="1:11" x14ac:dyDescent="0.25">
      <c r="A89" s="22">
        <v>45929</v>
      </c>
      <c r="B89" s="23">
        <v>124</v>
      </c>
      <c r="C89" s="49" t="str">
        <f>IF(ISBLANK($B89),"",IFERROR(VLOOKUP($B89,ESTOQUE!$B$2:$D$97168,2,FALSE),"Produto não cadastrado"))</f>
        <v>CONSUMO</v>
      </c>
      <c r="D89" s="69" t="str">
        <f>IF(ISBLANK($B89),"",IFERROR(VLOOKUP($B89,ESTOQUE!$B$2:$M$997973,3,FALSE),"Produto não cadastrado"))</f>
        <v xml:space="preserve">OCULOS DE PROTEÇÃO INCOLOR </v>
      </c>
      <c r="E89" s="89" t="str">
        <f>_xlfn.XLOOKUP(B89,ESTOQUE!B:B,ESTOQUE!G:G)</f>
        <v>UND</v>
      </c>
      <c r="F89" s="88">
        <v>171</v>
      </c>
      <c r="G89" s="92">
        <v>3.77</v>
      </c>
      <c r="H89" s="91">
        <f t="shared" si="1"/>
        <v>644.66999999999996</v>
      </c>
      <c r="I89" s="71"/>
      <c r="J89" s="24"/>
      <c r="K89" s="106" t="s">
        <v>286</v>
      </c>
    </row>
    <row r="90" spans="1:11" x14ac:dyDescent="0.25">
      <c r="A90" s="22">
        <v>45929</v>
      </c>
      <c r="B90" s="23">
        <v>224</v>
      </c>
      <c r="C90" s="49" t="str">
        <f>IF(ISBLANK($B90),"",IFERROR(VLOOKUP($B90,ESTOQUE!$B$2:$D$97168,2,FALSE),"Produto não cadastrado"))</f>
        <v>CONSUMO</v>
      </c>
      <c r="D90" s="69" t="str">
        <f>IF(ISBLANK($B90),"",IFERROR(VLOOKUP($B90,ESTOQUE!$B$2:$M$997973,3,FALSE),"Produto não cadastrado"))</f>
        <v>OCULOS OPERACIONAL SOBRE POR ESCURO</v>
      </c>
      <c r="E90" s="89" t="str">
        <f>_xlfn.XLOOKUP(B90,ESTOQUE!B:B,ESTOQUE!G:G)</f>
        <v>UND</v>
      </c>
      <c r="F90" s="88">
        <v>1</v>
      </c>
      <c r="G90" s="92">
        <v>17.5</v>
      </c>
      <c r="H90" s="91">
        <f t="shared" si="1"/>
        <v>17.5</v>
      </c>
      <c r="I90" s="71"/>
      <c r="J90" s="24"/>
      <c r="K90" s="106" t="s">
        <v>286</v>
      </c>
    </row>
    <row r="91" spans="1:11" x14ac:dyDescent="0.25">
      <c r="A91" s="22">
        <v>45929</v>
      </c>
      <c r="B91" s="23">
        <v>225</v>
      </c>
      <c r="C91" s="49" t="str">
        <f>IF(ISBLANK($B91),"",IFERROR(VLOOKUP($B91,ESTOQUE!$B$2:$D$97168,2,FALSE),"Produto não cadastrado"))</f>
        <v>CONSUMO</v>
      </c>
      <c r="D91" s="69" t="str">
        <f>IF(ISBLANK($B91),"",IFERROR(VLOOKUP($B91,ESTOQUE!$B$2:$M$997973,3,FALSE),"Produto não cadastrado"))</f>
        <v>OCULOS OPERACIONAL SOBRE POR INCOLOR</v>
      </c>
      <c r="E91" s="89" t="str">
        <f>_xlfn.XLOOKUP(B91,ESTOQUE!B:B,ESTOQUE!G:G)</f>
        <v>UND</v>
      </c>
      <c r="F91" s="88">
        <v>10</v>
      </c>
      <c r="G91" s="92">
        <v>17.5</v>
      </c>
      <c r="H91" s="91">
        <f t="shared" si="1"/>
        <v>175</v>
      </c>
      <c r="I91" s="71"/>
      <c r="J91" s="24"/>
      <c r="K91" s="106" t="s">
        <v>286</v>
      </c>
    </row>
    <row r="92" spans="1:11" x14ac:dyDescent="0.25">
      <c r="A92" s="22">
        <v>45929</v>
      </c>
      <c r="B92" s="23">
        <v>127</v>
      </c>
      <c r="C92" s="49" t="str">
        <f>IF(ISBLANK($B92),"",IFERROR(VLOOKUP($B92,ESTOQUE!$B$2:$D$97168,2,FALSE),"Produto não cadastrado"))</f>
        <v>CONSUMO</v>
      </c>
      <c r="D92" s="69" t="str">
        <f>IF(ISBLANK($B92),"",IFERROR(VLOOKUP($B92,ESTOQUE!$B$2:$M$997973,3,FALSE),"Produto não cadastrado"))</f>
        <v>OMBREIRA COM ENCHIMENTO DE RASPA</v>
      </c>
      <c r="E92" s="89" t="str">
        <f>_xlfn.XLOOKUP(B92,ESTOQUE!B:B,ESTOQUE!G:G)</f>
        <v>UND</v>
      </c>
      <c r="F92" s="88">
        <v>6</v>
      </c>
      <c r="G92" s="92">
        <v>69.5</v>
      </c>
      <c r="H92" s="91">
        <f t="shared" si="1"/>
        <v>417</v>
      </c>
      <c r="I92" s="71"/>
      <c r="J92" s="24"/>
      <c r="K92" s="106" t="s">
        <v>286</v>
      </c>
    </row>
    <row r="93" spans="1:11" x14ac:dyDescent="0.25">
      <c r="A93" s="22">
        <v>45929</v>
      </c>
      <c r="B93" s="23">
        <v>129</v>
      </c>
      <c r="C93" s="49" t="str">
        <f>IF(ISBLANK($B93),"",IFERROR(VLOOKUP($B93,ESTOQUE!$B$2:$D$97168,2,FALSE),"Produto não cadastrado"))</f>
        <v>CONSUMO</v>
      </c>
      <c r="D93" s="69" t="str">
        <f>IF(ISBLANK($B93),"",IFERROR(VLOOKUP($B93,ESTOQUE!$B$2:$M$997973,3,FALSE),"Produto não cadastrado"))</f>
        <v>PERNEIRA DE RASPA</v>
      </c>
      <c r="E93" s="89" t="str">
        <f>_xlfn.XLOOKUP(B93,ESTOQUE!B:B,ESTOQUE!G:G)</f>
        <v>PAR</v>
      </c>
      <c r="F93" s="88">
        <v>18</v>
      </c>
      <c r="G93" s="92">
        <v>27.7</v>
      </c>
      <c r="H93" s="91">
        <f t="shared" si="1"/>
        <v>498.59999999999997</v>
      </c>
      <c r="I93" s="71"/>
      <c r="J93" s="24"/>
      <c r="K93" s="106" t="s">
        <v>286</v>
      </c>
    </row>
    <row r="94" spans="1:11" x14ac:dyDescent="0.25">
      <c r="A94" s="22">
        <v>45929</v>
      </c>
      <c r="B94" s="23">
        <v>128</v>
      </c>
      <c r="C94" s="49" t="str">
        <f>IF(ISBLANK($B94),"",IFERROR(VLOOKUP($B94,ESTOQUE!$B$2:$D$97168,2,FALSE),"Produto não cadastrado"))</f>
        <v>CONSUMO</v>
      </c>
      <c r="D94" s="69" t="str">
        <f>IF(ISBLANK($B94),"",IFERROR(VLOOKUP($B94,ESTOQUE!$B$2:$M$997973,3,FALSE),"Produto não cadastrado"))</f>
        <v>PERNEIRA PVC C/ VELCRO</v>
      </c>
      <c r="E94" s="89" t="str">
        <f>_xlfn.XLOOKUP(B94,ESTOQUE!B:B,ESTOQUE!G:G)</f>
        <v>PAR</v>
      </c>
      <c r="F94" s="88">
        <v>20</v>
      </c>
      <c r="G94" s="92">
        <v>36.89</v>
      </c>
      <c r="H94" s="91">
        <f t="shared" si="1"/>
        <v>737.8</v>
      </c>
      <c r="I94" s="71"/>
      <c r="J94" s="24"/>
      <c r="K94" s="106" t="s">
        <v>286</v>
      </c>
    </row>
    <row r="95" spans="1:11" x14ac:dyDescent="0.25">
      <c r="A95" s="22">
        <v>45929</v>
      </c>
      <c r="B95" s="23">
        <v>130</v>
      </c>
      <c r="C95" s="49" t="str">
        <f>IF(ISBLANK($B95),"",IFERROR(VLOOKUP($B95,ESTOQUE!$B$2:$D$97168,2,FALSE),"Produto não cadastrado"))</f>
        <v>CONSUMO</v>
      </c>
      <c r="D95" s="69" t="str">
        <f>IF(ISBLANK($B95),"",IFERROR(VLOOKUP($B95,ESTOQUE!$B$2:$M$997973,3,FALSE),"Produto não cadastrado"))</f>
        <v>PROTETOR AUDITIVO TIPO CONCHA L-300</v>
      </c>
      <c r="E95" s="89" t="str">
        <f>_xlfn.XLOOKUP(B95,ESTOQUE!B:B,ESTOQUE!G:G)</f>
        <v>UND</v>
      </c>
      <c r="F95" s="88">
        <v>14</v>
      </c>
      <c r="G95" s="92">
        <v>32</v>
      </c>
      <c r="H95" s="91">
        <f t="shared" si="1"/>
        <v>448</v>
      </c>
      <c r="I95" s="71"/>
      <c r="J95" s="24"/>
      <c r="K95" s="106" t="s">
        <v>286</v>
      </c>
    </row>
    <row r="96" spans="1:11" x14ac:dyDescent="0.25">
      <c r="A96" s="22">
        <v>45929</v>
      </c>
      <c r="B96" s="23">
        <v>139</v>
      </c>
      <c r="C96" s="49" t="str">
        <f>IF(ISBLANK($B96),"",IFERROR(VLOOKUP($B96,ESTOQUE!$B$2:$D$97168,2,FALSE),"Produto não cadastrado"))</f>
        <v>CONSUMO</v>
      </c>
      <c r="D96" s="69" t="str">
        <f>IF(ISBLANK($B96),"",IFERROR(VLOOKUP($B96,ESTOQUE!$B$2:$M$997973,3,FALSE),"Produto não cadastrado"))</f>
        <v>PROTETOR AURICULAR TIPO PLUG</v>
      </c>
      <c r="E96" s="89" t="str">
        <f>_xlfn.XLOOKUP(B96,ESTOQUE!B:B,ESTOQUE!G:G)</f>
        <v>UND</v>
      </c>
      <c r="F96" s="88">
        <v>200</v>
      </c>
      <c r="G96" s="92">
        <v>3.29</v>
      </c>
      <c r="H96" s="91">
        <f t="shared" si="1"/>
        <v>658</v>
      </c>
      <c r="I96" s="71"/>
      <c r="J96" s="24"/>
      <c r="K96" s="106" t="s">
        <v>286</v>
      </c>
    </row>
    <row r="97" spans="1:11" x14ac:dyDescent="0.25">
      <c r="A97" s="22">
        <v>45929</v>
      </c>
      <c r="B97" s="23">
        <v>231</v>
      </c>
      <c r="C97" s="49" t="str">
        <f>IF(ISBLANK($B97),"",IFERROR(VLOOKUP($B97,ESTOQUE!$B$2:$D$97168,2,FALSE),"Produto não cadastrado"))</f>
        <v>CONSUMO</v>
      </c>
      <c r="D97" s="69" t="str">
        <f>IF(ISBLANK($B97),"",IFERROR(VLOOKUP($B97,ESTOQUE!$B$2:$M$997973,3,FALSE),"Produto não cadastrado"))</f>
        <v xml:space="preserve">PROTETOR DE VERGALHÃO </v>
      </c>
      <c r="E97" s="89" t="str">
        <f>_xlfn.XLOOKUP(B97,ESTOQUE!B:B,ESTOQUE!G:G)</f>
        <v>UND</v>
      </c>
      <c r="F97" s="88">
        <v>1500</v>
      </c>
      <c r="G97" s="92">
        <v>1.34</v>
      </c>
      <c r="H97" s="91">
        <f t="shared" si="1"/>
        <v>2010.0000000000002</v>
      </c>
      <c r="I97" s="71"/>
      <c r="J97" s="24"/>
      <c r="K97" s="106" t="s">
        <v>286</v>
      </c>
    </row>
    <row r="98" spans="1:11" x14ac:dyDescent="0.25">
      <c r="A98" s="22">
        <v>45929</v>
      </c>
      <c r="B98" s="23">
        <v>134</v>
      </c>
      <c r="C98" s="49" t="str">
        <f>IF(ISBLANK($B98),"",IFERROR(VLOOKUP($B98,ESTOQUE!$B$2:$D$97168,2,FALSE),"Produto não cadastrado"))</f>
        <v>CONSUMO</v>
      </c>
      <c r="D98" s="69" t="str">
        <f>IF(ISBLANK($B98),"",IFERROR(VLOOKUP($B98,ESTOQUE!$B$2:$M$997973,3,FALSE),"Produto não cadastrado"))</f>
        <v>PROTETOR SOLAR FACIAL ALGSUN 2L</v>
      </c>
      <c r="E98" s="89" t="str">
        <f>_xlfn.XLOOKUP(B98,ESTOQUE!B:B,ESTOQUE!G:G)</f>
        <v>UND</v>
      </c>
      <c r="F98" s="88">
        <v>5</v>
      </c>
      <c r="G98" s="92">
        <v>149.5</v>
      </c>
      <c r="H98" s="91">
        <f t="shared" si="1"/>
        <v>747.5</v>
      </c>
      <c r="I98" s="71"/>
      <c r="J98" s="24"/>
      <c r="K98" s="106" t="s">
        <v>286</v>
      </c>
    </row>
    <row r="99" spans="1:11" x14ac:dyDescent="0.25">
      <c r="A99" s="22">
        <v>45929</v>
      </c>
      <c r="B99" s="23">
        <v>211</v>
      </c>
      <c r="C99" s="49" t="str">
        <f>IF(ISBLANK($B99),"",IFERROR(VLOOKUP($B99,ESTOQUE!$B$2:$D$97168,2,FALSE),"Produto não cadastrado"))</f>
        <v>CONSUMO</v>
      </c>
      <c r="D99" s="69" t="str">
        <f>IF(ISBLANK($B99),"",IFERROR(VLOOKUP($B99,ESTOQUE!$B$2:$M$997973,3,FALSE),"Produto não cadastrado"))</f>
        <v>RESPIRADOR SEMIFACIAL T 9500</v>
      </c>
      <c r="E99" s="89" t="str">
        <f>_xlfn.XLOOKUP(B99,ESTOQUE!B:B,ESTOQUE!G:G)</f>
        <v>UND</v>
      </c>
      <c r="F99" s="88">
        <v>3</v>
      </c>
      <c r="G99" s="92">
        <v>98.91</v>
      </c>
      <c r="H99" s="91">
        <f t="shared" si="1"/>
        <v>296.73</v>
      </c>
      <c r="I99" s="71"/>
      <c r="J99" s="24"/>
      <c r="K99" s="106" t="s">
        <v>286</v>
      </c>
    </row>
    <row r="100" spans="1:11" x14ac:dyDescent="0.25">
      <c r="A100" s="22">
        <v>45929</v>
      </c>
      <c r="B100" s="23">
        <v>122</v>
      </c>
      <c r="C100" s="49" t="str">
        <f>IF(ISBLANK($B100),"",IFERROR(VLOOKUP($B100,ESTOQUE!$B$2:$D$97168,2,FALSE),"Produto não cadastrado"))</f>
        <v>CONSUMO</v>
      </c>
      <c r="D100" s="69" t="str">
        <f>IF(ISBLANK($B100),"",IFERROR(VLOOKUP($B100,ESTOQUE!$B$2:$M$997973,3,FALSE),"Produto não cadastrado"))</f>
        <v xml:space="preserve">SUPORTE PROTETOR FACIAL </v>
      </c>
      <c r="E100" s="89" t="str">
        <f>_xlfn.XLOOKUP(B100,ESTOQUE!B:B,ESTOQUE!G:G)</f>
        <v>UND</v>
      </c>
      <c r="F100" s="88">
        <v>11</v>
      </c>
      <c r="G100" s="92">
        <v>32.93</v>
      </c>
      <c r="H100" s="91">
        <f t="shared" si="1"/>
        <v>362.23</v>
      </c>
      <c r="I100" s="71"/>
      <c r="J100" s="24"/>
      <c r="K100" s="106" t="s">
        <v>286</v>
      </c>
    </row>
    <row r="101" spans="1:11" x14ac:dyDescent="0.25">
      <c r="A101" s="22">
        <v>45929</v>
      </c>
      <c r="B101" s="23">
        <v>232</v>
      </c>
      <c r="C101" s="49" t="str">
        <f>IF(ISBLANK($B101),"",IFERROR(VLOOKUP($B101,ESTOQUE!$B$2:$D$97168,2,FALSE),"Produto não cadastrado"))</f>
        <v>CONSUMO</v>
      </c>
      <c r="D101" s="69" t="str">
        <f>IF(ISBLANK($B101),"",IFERROR(VLOOKUP($B101,ESTOQUE!$B$2:$M$997973,3,FALSE),"Produto não cadastrado"))</f>
        <v>TALABARTE DE POSICIONAMENTO</v>
      </c>
      <c r="E101" s="89" t="str">
        <f>_xlfn.XLOOKUP(B101,ESTOQUE!B:B,ESTOQUE!G:G)</f>
        <v>UND</v>
      </c>
      <c r="F101" s="88">
        <v>10</v>
      </c>
      <c r="G101" s="92">
        <v>165.25</v>
      </c>
      <c r="H101" s="91">
        <f t="shared" si="1"/>
        <v>1652.5</v>
      </c>
      <c r="I101" s="71"/>
      <c r="J101" s="24"/>
      <c r="K101" s="106" t="s">
        <v>286</v>
      </c>
    </row>
    <row r="102" spans="1:11" x14ac:dyDescent="0.25">
      <c r="A102" s="22">
        <v>45929</v>
      </c>
      <c r="B102" s="23">
        <v>135</v>
      </c>
      <c r="C102" s="49" t="str">
        <f>IF(ISBLANK($B102),"",IFERROR(VLOOKUP($B102,ESTOQUE!$B$2:$D$97168,2,FALSE),"Produto não cadastrado"))</f>
        <v>CONSUMO</v>
      </c>
      <c r="D102" s="69" t="str">
        <f>IF(ISBLANK($B102),"",IFERROR(VLOOKUP($B102,ESTOQUE!$B$2:$M$997973,3,FALSE),"Produto não cadastrado"))</f>
        <v>TALABARTE DUPLO TIPO Y</v>
      </c>
      <c r="E102" s="89" t="str">
        <f>_xlfn.XLOOKUP(B102,ESTOQUE!B:B,ESTOQUE!G:G)</f>
        <v>UND</v>
      </c>
      <c r="F102" s="88">
        <v>31</v>
      </c>
      <c r="G102" s="92">
        <v>134.9</v>
      </c>
      <c r="H102" s="91">
        <f t="shared" si="1"/>
        <v>4181.9000000000005</v>
      </c>
      <c r="I102" s="71"/>
      <c r="J102" s="24"/>
      <c r="K102" s="106" t="s">
        <v>286</v>
      </c>
    </row>
    <row r="103" spans="1:11" x14ac:dyDescent="0.25">
      <c r="A103" s="22">
        <v>45929</v>
      </c>
      <c r="B103" s="23">
        <v>136</v>
      </c>
      <c r="C103" s="49" t="str">
        <f>IF(ISBLANK($B103),"",IFERROR(VLOOKUP($B103,ESTOQUE!$B$2:$D$97168,2,FALSE),"Produto não cadastrado"))</f>
        <v>CONSUMO</v>
      </c>
      <c r="D103" s="69" t="str">
        <f>IF(ISBLANK($B103),"",IFERROR(VLOOKUP($B103,ESTOQUE!$B$2:$M$997973,3,FALSE),"Produto não cadastrado"))</f>
        <v>TAYCO CARTUCHO P/ GASES TGV-500 - MASCARA</v>
      </c>
      <c r="E103" s="89" t="str">
        <f>_xlfn.XLOOKUP(B103,ESTOQUE!B:B,ESTOQUE!G:G)</f>
        <v>UND</v>
      </c>
      <c r="F103" s="88">
        <v>3</v>
      </c>
      <c r="G103" s="92">
        <v>82.5</v>
      </c>
      <c r="H103" s="91">
        <f t="shared" si="1"/>
        <v>247.5</v>
      </c>
      <c r="I103" s="71"/>
      <c r="J103" s="24"/>
      <c r="K103" s="106" t="s">
        <v>286</v>
      </c>
    </row>
    <row r="104" spans="1:11" x14ac:dyDescent="0.25">
      <c r="A104" s="22">
        <v>45929</v>
      </c>
      <c r="B104" s="23">
        <v>137</v>
      </c>
      <c r="C104" s="49" t="str">
        <f>IF(ISBLANK($B104),"",IFERROR(VLOOKUP($B104,ESTOQUE!$B$2:$D$97168,2,FALSE),"Produto não cadastrado"))</f>
        <v>CONSUMO</v>
      </c>
      <c r="D104" s="69" t="str">
        <f>IF(ISBLANK($B104),"",IFERROR(VLOOKUP($B104,ESTOQUE!$B$2:$M$997973,3,FALSE),"Produto não cadastrado"))</f>
        <v xml:space="preserve">TOUCA ARABE </v>
      </c>
      <c r="E104" s="89" t="str">
        <f>_xlfn.XLOOKUP(B104,ESTOQUE!B:B,ESTOQUE!G:G)</f>
        <v>UND</v>
      </c>
      <c r="F104" s="88">
        <v>30</v>
      </c>
      <c r="G104" s="92">
        <v>14</v>
      </c>
      <c r="H104" s="91">
        <f t="shared" si="1"/>
        <v>420</v>
      </c>
      <c r="I104" s="71"/>
      <c r="J104" s="24"/>
      <c r="K104" s="106" t="s">
        <v>286</v>
      </c>
    </row>
    <row r="105" spans="1:11" x14ac:dyDescent="0.25">
      <c r="A105" s="22">
        <v>45929</v>
      </c>
      <c r="B105" s="23">
        <v>142</v>
      </c>
      <c r="C105" s="49" t="str">
        <f>IF(ISBLANK($B105),"",IFERROR(VLOOKUP($B105,ESTOQUE!$B$2:$D$97168,2,FALSE),"Produto não cadastrado"))</f>
        <v>CONSUMO</v>
      </c>
      <c r="D105" s="69" t="str">
        <f>IF(ISBLANK($B105),"",IFERROR(VLOOKUP($B105,ESTOQUE!$B$2:$M$997973,3,FALSE),"Produto não cadastrado"))</f>
        <v>TRAVA QUEDA P/ CABO DE AÇO 8mm</v>
      </c>
      <c r="E105" s="89" t="str">
        <f>_xlfn.XLOOKUP(B105,ESTOQUE!B:B,ESTOQUE!G:G)</f>
        <v>UND</v>
      </c>
      <c r="F105" s="88">
        <v>6</v>
      </c>
      <c r="G105" s="92">
        <v>399.6</v>
      </c>
      <c r="H105" s="91">
        <f t="shared" si="1"/>
        <v>2397.6000000000004</v>
      </c>
      <c r="I105" s="71"/>
      <c r="J105" s="24"/>
      <c r="K105" s="106" t="s">
        <v>286</v>
      </c>
    </row>
    <row r="106" spans="1:11" x14ac:dyDescent="0.25">
      <c r="A106" s="22">
        <v>45929</v>
      </c>
      <c r="B106" s="23">
        <v>194</v>
      </c>
      <c r="C106" s="49" t="str">
        <f>IF(ISBLANK($B106),"",IFERROR(VLOOKUP($B106,ESTOQUE!$B$2:$D$97168,2,FALSE),"Produto não cadastrado"))</f>
        <v>CONSUMO</v>
      </c>
      <c r="D106" s="69" t="str">
        <f>IF(ISBLANK($B106),"",IFERROR(VLOOKUP($B106,ESTOQUE!$B$2:$M$997973,3,FALSE),"Produto não cadastrado"))</f>
        <v>VISEIRA ACOPLADA</v>
      </c>
      <c r="E106" s="89" t="str">
        <f>_xlfn.XLOOKUP(B106,ESTOQUE!B:B,ESTOQUE!G:G)</f>
        <v>UND</v>
      </c>
      <c r="F106" s="88">
        <v>8</v>
      </c>
      <c r="G106" s="92">
        <v>17</v>
      </c>
      <c r="H106" s="91">
        <f t="shared" si="1"/>
        <v>136</v>
      </c>
      <c r="I106" s="71"/>
      <c r="J106" s="24"/>
      <c r="K106" s="106" t="s">
        <v>286</v>
      </c>
    </row>
    <row r="107" spans="1:11" x14ac:dyDescent="0.25">
      <c r="A107" s="22">
        <v>45929</v>
      </c>
      <c r="B107" s="23">
        <v>103</v>
      </c>
      <c r="C107" s="49" t="str">
        <f>IF(ISBLANK($B107),"",IFERROR(VLOOKUP($B107,ESTOQUE!$B$2:$D$97168,2,FALSE),"Produto não cadastrado"))</f>
        <v>CONSUMO</v>
      </c>
      <c r="D107" s="69" t="str">
        <f>IF(ISBLANK($B107),"",IFERROR(VLOOKUP($B107,ESTOQUE!$B$2:$M$997973,3,FALSE),"Produto não cadastrado"))</f>
        <v>JARDINEIRA AMARELA BOTA Nº 41</v>
      </c>
      <c r="E107" s="89" t="str">
        <f>_xlfn.XLOOKUP(B107,ESTOQUE!B:B,ESTOQUE!G:G)</f>
        <v>UND</v>
      </c>
      <c r="F107" s="88">
        <v>18</v>
      </c>
      <c r="G107" s="92">
        <v>189.9</v>
      </c>
      <c r="H107" s="91">
        <f t="shared" si="1"/>
        <v>3418.2000000000003</v>
      </c>
      <c r="I107" s="71"/>
      <c r="J107" s="24"/>
      <c r="K107" s="106" t="s">
        <v>286</v>
      </c>
    </row>
    <row r="108" spans="1:11" x14ac:dyDescent="0.25">
      <c r="A108" s="22">
        <v>45929</v>
      </c>
      <c r="B108" s="23">
        <v>234</v>
      </c>
      <c r="C108" s="49" t="str">
        <f>IF(ISBLANK($B108),"",IFERROR(VLOOKUP($B108,ESTOQUE!$B$2:$D$97168,2,FALSE),"Produto não cadastrado"))</f>
        <v>CONSUMO</v>
      </c>
      <c r="D108" s="69" t="str">
        <f>IF(ISBLANK($B108),"",IFERROR(VLOOKUP($B108,ESTOQUE!$B$2:$M$997973,3,FALSE),"Produto não cadastrado"))</f>
        <v>CONE PLASTICOR DE SINALIZACAO 75cm</v>
      </c>
      <c r="E108" s="89" t="str">
        <f>_xlfn.XLOOKUP(B108,ESTOQUE!B:B,ESTOQUE!G:G)</f>
        <v>UND</v>
      </c>
      <c r="F108" s="88">
        <v>200</v>
      </c>
      <c r="G108" s="92">
        <v>59</v>
      </c>
      <c r="H108" s="91">
        <f t="shared" si="1"/>
        <v>11800</v>
      </c>
      <c r="I108" s="71"/>
      <c r="J108" s="24"/>
      <c r="K108" s="106" t="s">
        <v>286</v>
      </c>
    </row>
    <row r="109" spans="1:11" x14ac:dyDescent="0.25">
      <c r="A109" s="22">
        <v>45929</v>
      </c>
      <c r="B109" s="23">
        <v>161</v>
      </c>
      <c r="C109" s="49" t="str">
        <f>IF(ISBLANK($B109),"",IFERROR(VLOOKUP($B109,ESTOQUE!$B$2:$D$97168,2,FALSE),"Produto não cadastrado"))</f>
        <v>CONSUMO</v>
      </c>
      <c r="D109" s="69" t="str">
        <f>IF(ISBLANK($B109),"",IFERROR(VLOOKUP($B109,ESTOQUE!$B$2:$M$997973,3,FALSE),"Produto não cadastrado"))</f>
        <v>JUGULAR</v>
      </c>
      <c r="E109" s="89" t="str">
        <f>_xlfn.XLOOKUP(B109,ESTOQUE!B:B,ESTOQUE!G:G)</f>
        <v>UND</v>
      </c>
      <c r="F109" s="88">
        <v>100</v>
      </c>
      <c r="G109" s="92">
        <v>3.3</v>
      </c>
      <c r="H109" s="91">
        <f t="shared" si="1"/>
        <v>330</v>
      </c>
      <c r="I109" s="71"/>
      <c r="J109" s="24"/>
      <c r="K109" s="106" t="s">
        <v>286</v>
      </c>
    </row>
    <row r="110" spans="1:11" x14ac:dyDescent="0.25">
      <c r="A110" s="22">
        <v>45930</v>
      </c>
      <c r="B110" s="23">
        <v>43</v>
      </c>
      <c r="C110" s="49" t="str">
        <f>IF(ISBLANK($B110),"",IFERROR(VLOOKUP($B110,ESTOQUE!$B$2:$D$97168,2,FALSE),"Produto não cadastrado"))</f>
        <v>CONSUMO</v>
      </c>
      <c r="D110" s="69" t="str">
        <f>IF(ISBLANK($B110),"",IFERROR(VLOOKUP($B110,ESTOQUE!$B$2:$M$997973,3,FALSE),"Produto não cadastrado"))</f>
        <v>BOTINA OP. BICO PVC Nº 45</v>
      </c>
      <c r="E110" s="89" t="str">
        <f>_xlfn.XLOOKUP(B110,ESTOQUE!B:B,ESTOQUE!G:G)</f>
        <v>PAR</v>
      </c>
      <c r="F110" s="88">
        <v>10</v>
      </c>
      <c r="G110" s="92">
        <v>62.7</v>
      </c>
      <c r="H110" s="91">
        <f t="shared" si="1"/>
        <v>627</v>
      </c>
      <c r="I110" s="71"/>
      <c r="J110" s="24"/>
      <c r="K110" s="106" t="s">
        <v>286</v>
      </c>
    </row>
    <row r="111" spans="1:11" x14ac:dyDescent="0.25">
      <c r="A111" s="22">
        <v>45930</v>
      </c>
      <c r="B111" s="23">
        <v>118</v>
      </c>
      <c r="C111" s="49" t="str">
        <f>IF(ISBLANK($B111),"",IFERROR(VLOOKUP($B111,ESTOQUE!$B$2:$D$97168,2,FALSE),"Produto não cadastrado"))</f>
        <v>CONSUMO</v>
      </c>
      <c r="D111" s="69" t="str">
        <f>IF(ISBLANK($B111),"",IFERROR(VLOOKUP($B111,ESTOQUE!$B$2:$M$997973,3,FALSE),"Produto não cadastrado"))</f>
        <v>MACACÃO DE PROTEÇÃO TYVEK</v>
      </c>
      <c r="E111" s="89" t="str">
        <f>_xlfn.XLOOKUP(B111,ESTOQUE!B:B,ESTOQUE!G:G)</f>
        <v>UND</v>
      </c>
      <c r="F111" s="88">
        <v>25</v>
      </c>
      <c r="G111" s="92">
        <v>11.99</v>
      </c>
      <c r="H111" s="91">
        <f t="shared" si="1"/>
        <v>299.75</v>
      </c>
      <c r="I111" s="71"/>
      <c r="J111" s="24"/>
      <c r="K111" s="106" t="s">
        <v>286</v>
      </c>
    </row>
    <row r="112" spans="1:11" x14ac:dyDescent="0.25">
      <c r="A112" s="22">
        <v>45930</v>
      </c>
      <c r="B112" s="23">
        <v>136</v>
      </c>
      <c r="C112" s="49" t="str">
        <f>IF(ISBLANK($B112),"",IFERROR(VLOOKUP($B112,ESTOQUE!$B$2:$D$97168,2,FALSE),"Produto não cadastrado"))</f>
        <v>CONSUMO</v>
      </c>
      <c r="D112" s="69" t="str">
        <f>IF(ISBLANK($B112),"",IFERROR(VLOOKUP($B112,ESTOQUE!$B$2:$M$997973,3,FALSE),"Produto não cadastrado"))</f>
        <v>TAYCO CARTUCHO P/ GASES TGV-500 - MASCARA</v>
      </c>
      <c r="E112" s="89" t="str">
        <f>_xlfn.XLOOKUP(B112,ESTOQUE!B:B,ESTOQUE!G:G)</f>
        <v>UND</v>
      </c>
      <c r="F112" s="88">
        <v>20</v>
      </c>
      <c r="G112" s="92">
        <v>82.5</v>
      </c>
      <c r="H112" s="91">
        <f t="shared" si="1"/>
        <v>1650</v>
      </c>
      <c r="I112" s="71"/>
      <c r="J112" s="24"/>
      <c r="K112" s="106" t="s">
        <v>286</v>
      </c>
    </row>
    <row r="113" spans="1:11" x14ac:dyDescent="0.25">
      <c r="A113" s="22">
        <v>45930</v>
      </c>
      <c r="B113" s="23">
        <v>144</v>
      </c>
      <c r="C113" s="49" t="str">
        <f>IF(ISBLANK($B113),"",IFERROR(VLOOKUP($B113,ESTOQUE!$B$2:$D$97168,2,FALSE),"Produto não cadastrado"))</f>
        <v>CONSUMO</v>
      </c>
      <c r="D113" s="69" t="str">
        <f>IF(ISBLANK($B113),"",IFERROR(VLOOKUP($B113,ESTOQUE!$B$2:$M$997973,3,FALSE),"Produto não cadastrado"))</f>
        <v>MASCARA PFF2-S C/ FILTRO</v>
      </c>
      <c r="E113" s="89" t="str">
        <f>_xlfn.XLOOKUP(B113,ESTOQUE!B:B,ESTOQUE!G:G)</f>
        <v>UND</v>
      </c>
      <c r="F113" s="88">
        <v>200</v>
      </c>
      <c r="G113" s="92">
        <v>3.26</v>
      </c>
      <c r="H113" s="91">
        <f t="shared" si="1"/>
        <v>652</v>
      </c>
      <c r="I113" s="71"/>
      <c r="J113" s="24"/>
      <c r="K113" s="106" t="s">
        <v>286</v>
      </c>
    </row>
    <row r="114" spans="1:11" x14ac:dyDescent="0.25">
      <c r="A114" s="22">
        <v>45930</v>
      </c>
      <c r="B114" s="23">
        <v>211</v>
      </c>
      <c r="C114" s="49" t="str">
        <f>IF(ISBLANK($B114),"",IFERROR(VLOOKUP($B114,ESTOQUE!$B$2:$D$97168,2,FALSE),"Produto não cadastrado"))</f>
        <v>CONSUMO</v>
      </c>
      <c r="D114" s="69" t="str">
        <f>IF(ISBLANK($B114),"",IFERROR(VLOOKUP($B114,ESTOQUE!$B$2:$M$997973,3,FALSE),"Produto não cadastrado"))</f>
        <v>RESPIRADOR SEMIFACIAL T 9500</v>
      </c>
      <c r="E114" s="89" t="str">
        <f>_xlfn.XLOOKUP(B114,ESTOQUE!B:B,ESTOQUE!G:G)</f>
        <v>UND</v>
      </c>
      <c r="F114" s="88">
        <v>6</v>
      </c>
      <c r="G114" s="92">
        <v>98.91</v>
      </c>
      <c r="H114" s="91">
        <f t="shared" si="1"/>
        <v>593.46</v>
      </c>
      <c r="I114" s="71"/>
      <c r="J114" s="24"/>
      <c r="K114" s="106" t="s">
        <v>286</v>
      </c>
    </row>
    <row r="115" spans="1:11" x14ac:dyDescent="0.25">
      <c r="A115" s="22">
        <v>45930</v>
      </c>
      <c r="B115" s="23">
        <v>207</v>
      </c>
      <c r="C115" s="49" t="str">
        <f>IF(ISBLANK($B115),"",IFERROR(VLOOKUP($B115,ESTOQUE!$B$2:$D$97168,2,FALSE),"Produto não cadastrado"))</f>
        <v>CONSUMO</v>
      </c>
      <c r="D115" s="69" t="str">
        <f>IF(ISBLANK($B115),"",IFERROR(VLOOKUP($B115,ESTOQUE!$B$2:$M$997973,3,FALSE),"Produto não cadastrado"))</f>
        <v>LUVA POLIESTER ANTICORTE BANHADA PU TAM 9</v>
      </c>
      <c r="E115" s="89" t="str">
        <f>_xlfn.XLOOKUP(B115,ESTOQUE!B:B,ESTOQUE!G:G)</f>
        <v>PAR</v>
      </c>
      <c r="F115" s="88">
        <v>30</v>
      </c>
      <c r="G115" s="92">
        <v>16.63</v>
      </c>
      <c r="H115" s="91">
        <f t="shared" si="1"/>
        <v>498.9</v>
      </c>
      <c r="I115" s="71"/>
      <c r="J115" s="24"/>
      <c r="K115" s="106" t="s">
        <v>286</v>
      </c>
    </row>
    <row r="116" spans="1:11" x14ac:dyDescent="0.25">
      <c r="A116" s="22">
        <v>45932</v>
      </c>
      <c r="B116" s="23">
        <v>118</v>
      </c>
      <c r="C116" s="49" t="str">
        <f>IF(ISBLANK($B116),"",IFERROR(VLOOKUP($B116,ESTOQUE!$B$2:$D$97168,2,FALSE),"Produto não cadastrado"))</f>
        <v>CONSUMO</v>
      </c>
      <c r="D116" s="69" t="str">
        <f>IF(ISBLANK($B116),"",IFERROR(VLOOKUP($B116,ESTOQUE!$B$2:$M$997973,3,FALSE),"Produto não cadastrado"))</f>
        <v>MACACÃO DE PROTEÇÃO TYVEK</v>
      </c>
      <c r="E116" s="89" t="str">
        <f>_xlfn.XLOOKUP(B116,ESTOQUE!B:B,ESTOQUE!G:G)</f>
        <v>UND</v>
      </c>
      <c r="F116" s="88">
        <v>75</v>
      </c>
      <c r="G116" s="92"/>
      <c r="H116" s="91">
        <f t="shared" si="1"/>
        <v>0</v>
      </c>
      <c r="I116" s="71"/>
      <c r="J116" s="24"/>
      <c r="K116" s="106" t="s">
        <v>286</v>
      </c>
    </row>
    <row r="117" spans="1:11" x14ac:dyDescent="0.25">
      <c r="A117" s="22">
        <v>45932</v>
      </c>
      <c r="B117" s="23">
        <v>144</v>
      </c>
      <c r="C117" s="49" t="str">
        <f>IF(ISBLANK($B117),"",IFERROR(VLOOKUP($B117,ESTOQUE!$B$2:$D$97168,2,FALSE),"Produto não cadastrado"))</f>
        <v>CONSUMO</v>
      </c>
      <c r="D117" s="69" t="str">
        <f>IF(ISBLANK($B117),"",IFERROR(VLOOKUP($B117,ESTOQUE!$B$2:$M$997973,3,FALSE),"Produto não cadastrado"))</f>
        <v>MASCARA PFF2-S C/ FILTRO</v>
      </c>
      <c r="E117" s="89" t="str">
        <f>_xlfn.XLOOKUP(B117,ESTOQUE!B:B,ESTOQUE!G:G)</f>
        <v>UND</v>
      </c>
      <c r="F117" s="88">
        <v>400</v>
      </c>
      <c r="G117" s="90"/>
      <c r="H117" s="91">
        <f t="shared" si="1"/>
        <v>0</v>
      </c>
      <c r="I117" s="71"/>
      <c r="J117" s="24"/>
      <c r="K117" s="106" t="s">
        <v>286</v>
      </c>
    </row>
    <row r="118" spans="1:11" x14ac:dyDescent="0.25">
      <c r="A118" s="22">
        <v>45932</v>
      </c>
      <c r="B118" s="23">
        <v>207</v>
      </c>
      <c r="C118" s="49" t="str">
        <f>IF(ISBLANK($B118),"",IFERROR(VLOOKUP($B118,ESTOQUE!$B$2:$D$97168,2,FALSE),"Produto não cadastrado"))</f>
        <v>CONSUMO</v>
      </c>
      <c r="D118" s="69" t="str">
        <f>IF(ISBLANK($B118),"",IFERROR(VLOOKUP($B118,ESTOQUE!$B$2:$M$997973,3,FALSE),"Produto não cadastrado"))</f>
        <v>LUVA POLIESTER ANTICORTE BANHADA PU TAM 9</v>
      </c>
      <c r="E118" s="89" t="str">
        <f>_xlfn.XLOOKUP(B118,ESTOQUE!B:B,ESTOQUE!G:G)</f>
        <v>PAR</v>
      </c>
      <c r="F118" s="88">
        <v>76</v>
      </c>
      <c r="G118" s="90"/>
      <c r="H118" s="91">
        <f t="shared" si="1"/>
        <v>0</v>
      </c>
      <c r="I118" s="71"/>
      <c r="J118" s="24"/>
      <c r="K118" s="107"/>
    </row>
    <row r="119" spans="1:11" x14ac:dyDescent="0.25">
      <c r="A119" s="22">
        <v>45932</v>
      </c>
      <c r="B119" s="23">
        <v>258</v>
      </c>
      <c r="C119" s="49" t="str">
        <f>IF(ISBLANK($B119),"",IFERROR(VLOOKUP($B119,ESTOQUE!$B$2:$D$97168,2,FALSE),"Produto não cadastrado"))</f>
        <v>CONSUMO</v>
      </c>
      <c r="D119" s="69" t="str">
        <f>IF(ISBLANK($B119),"",IFERROR(VLOOKUP($B119,ESTOQUE!$B$2:$M$997973,3,FALSE),"Produto não cadastrado"))</f>
        <v>CORDA MULTIFILAMENTO TRANÇADA 12mm</v>
      </c>
      <c r="E119" s="89" t="str">
        <f>_xlfn.XLOOKUP(B119,ESTOQUE!B:B,ESTOQUE!G:G)</f>
        <v>M</v>
      </c>
      <c r="F119" s="88">
        <v>2800</v>
      </c>
      <c r="G119" s="90"/>
      <c r="H119" s="91">
        <f t="shared" si="1"/>
        <v>0</v>
      </c>
      <c r="I119" s="71"/>
      <c r="J119" s="24"/>
      <c r="K119" s="107"/>
    </row>
    <row r="120" spans="1:11" x14ac:dyDescent="0.25">
      <c r="A120" s="22">
        <v>45932</v>
      </c>
      <c r="B120" s="23">
        <v>259</v>
      </c>
      <c r="C120" s="49" t="str">
        <f>IF(ISBLANK($B120),"",IFERROR(VLOOKUP($B120,ESTOQUE!$B$2:$D$97168,2,FALSE),"Produto não cadastrado"))</f>
        <v>CONSUMO</v>
      </c>
      <c r="D120" s="69" t="str">
        <f>IF(ISBLANK($B120),"",IFERROR(VLOOKUP($B120,ESTOQUE!$B$2:$M$997973,3,FALSE),"Produto não cadastrado"))</f>
        <v>CORDA TORCIDA DE RÁFIA PP 12mm</v>
      </c>
      <c r="E120" s="89" t="str">
        <f>_xlfn.XLOOKUP(B120,ESTOQUE!B:B,ESTOQUE!G:G)</f>
        <v>M</v>
      </c>
      <c r="F120" s="88">
        <v>840</v>
      </c>
      <c r="G120" s="90"/>
      <c r="H120" s="91">
        <f t="shared" si="1"/>
        <v>0</v>
      </c>
      <c r="I120" s="71"/>
      <c r="J120" s="24"/>
      <c r="K120" s="107"/>
    </row>
    <row r="121" spans="1:11" x14ac:dyDescent="0.25">
      <c r="A121" s="22">
        <v>45932</v>
      </c>
      <c r="B121" s="23">
        <v>260</v>
      </c>
      <c r="C121" s="49" t="str">
        <f>IF(ISBLANK($B121),"",IFERROR(VLOOKUP($B121,ESTOQUE!$B$2:$D$97168,2,FALSE),"Produto não cadastrado"))</f>
        <v>CONSUMO</v>
      </c>
      <c r="D121" s="69" t="str">
        <f>IF(ISBLANK($B121),"",IFERROR(VLOOKUP($B121,ESTOQUE!$B$2:$M$997973,3,FALSE),"Produto não cadastrado"))</f>
        <v>CORDA PARA SINALIZAÇÃO 12mmx150m</v>
      </c>
      <c r="E121" s="89" t="str">
        <f>_xlfn.XLOOKUP(B121,ESTOQUE!B:B,ESTOQUE!G:G)</f>
        <v>M</v>
      </c>
      <c r="F121" s="88">
        <v>1400</v>
      </c>
      <c r="G121" s="90"/>
      <c r="H121" s="91">
        <f t="shared" si="1"/>
        <v>0</v>
      </c>
      <c r="I121" s="71"/>
      <c r="J121" s="24"/>
      <c r="K121" s="107"/>
    </row>
    <row r="122" spans="1:11" x14ac:dyDescent="0.25">
      <c r="A122" s="22">
        <v>45933</v>
      </c>
      <c r="B122" s="23">
        <v>46</v>
      </c>
      <c r="C122" s="49" t="str">
        <f>IF(ISBLANK($B122),"",IFERROR(VLOOKUP($B122,ESTOQUE!$B$2:$D$97168,2,FALSE),"Produto não cadastrado"))</f>
        <v>CONSUMO</v>
      </c>
      <c r="D122" s="69" t="str">
        <f>IF(ISBLANK($B122),"",IFERROR(VLOOKUP($B122,ESTOQUE!$B$2:$M$997973,3,FALSE),"Produto não cadastrado"))</f>
        <v>CALÇA CINZA OP. C/ FAIXA REFLETIVA TAM: G</v>
      </c>
      <c r="E122" s="89" t="str">
        <f>_xlfn.XLOOKUP(B122,ESTOQUE!B:B,ESTOQUE!G:G)</f>
        <v>UND</v>
      </c>
      <c r="F122" s="88">
        <v>10</v>
      </c>
      <c r="G122" s="92"/>
      <c r="H122" s="91">
        <f t="shared" si="1"/>
        <v>0</v>
      </c>
      <c r="I122" s="71"/>
      <c r="J122" s="24"/>
      <c r="K122" s="106" t="s">
        <v>286</v>
      </c>
    </row>
    <row r="123" spans="1:11" x14ac:dyDescent="0.25">
      <c r="A123" s="22">
        <v>45933</v>
      </c>
      <c r="B123" s="23">
        <v>47</v>
      </c>
      <c r="C123" s="49" t="str">
        <f>IF(ISBLANK($B123),"",IFERROR(VLOOKUP($B123,ESTOQUE!$B$2:$D$97168,2,FALSE),"Produto não cadastrado"))</f>
        <v>CONSUMO</v>
      </c>
      <c r="D123" s="69" t="str">
        <f>IF(ISBLANK($B123),"",IFERROR(VLOOKUP($B123,ESTOQUE!$B$2:$M$997973,3,FALSE),"Produto não cadastrado"))</f>
        <v>CALÇA CINZA OP. C/ FAIXA REFLETIVA TAM: GG</v>
      </c>
      <c r="E123" s="89" t="str">
        <f>_xlfn.XLOOKUP(B123,ESTOQUE!B:B,ESTOQUE!G:G)</f>
        <v>UND</v>
      </c>
      <c r="F123" s="88">
        <v>10</v>
      </c>
      <c r="G123" s="92"/>
      <c r="H123" s="91">
        <f t="shared" si="1"/>
        <v>0</v>
      </c>
      <c r="I123" s="71"/>
      <c r="J123" s="24"/>
      <c r="K123" s="106" t="s">
        <v>286</v>
      </c>
    </row>
    <row r="124" spans="1:11" x14ac:dyDescent="0.25">
      <c r="A124" s="22">
        <v>45933</v>
      </c>
      <c r="B124" s="23">
        <v>50</v>
      </c>
      <c r="C124" s="49" t="str">
        <f>IF(ISBLANK($B124),"",IFERROR(VLOOKUP($B124,ESTOQUE!$B$2:$D$97168,2,FALSE),"Produto não cadastrado"))</f>
        <v>CONSUMO</v>
      </c>
      <c r="D124" s="69" t="str">
        <f>IF(ISBLANK($B124),"",IFERROR(VLOOKUP($B124,ESTOQUE!$B$2:$M$997973,3,FALSE),"Produto não cadastrado"))</f>
        <v>CALÇA CINZA OP. C/ FAIXA REFLETIVA TAM: XG</v>
      </c>
      <c r="E124" s="89" t="str">
        <f>_xlfn.XLOOKUP(B124,ESTOQUE!B:B,ESTOQUE!G:G)</f>
        <v>UND</v>
      </c>
      <c r="F124" s="88">
        <v>20</v>
      </c>
      <c r="G124" s="92"/>
      <c r="H124" s="91">
        <f t="shared" si="1"/>
        <v>0</v>
      </c>
      <c r="I124" s="71"/>
      <c r="J124" s="24"/>
      <c r="K124" s="106" t="s">
        <v>286</v>
      </c>
    </row>
    <row r="125" spans="1:11" x14ac:dyDescent="0.25">
      <c r="A125" s="22">
        <v>45933</v>
      </c>
      <c r="B125" s="23">
        <v>49</v>
      </c>
      <c r="C125" s="49" t="str">
        <f>IF(ISBLANK($B125),"",IFERROR(VLOOKUP($B125,ESTOQUE!$B$2:$D$97168,2,FALSE),"Produto não cadastrado"))</f>
        <v>CONSUMO</v>
      </c>
      <c r="D125" s="69" t="str">
        <f>IF(ISBLANK($B125),"",IFERROR(VLOOKUP($B125,ESTOQUE!$B$2:$M$997973,3,FALSE),"Produto não cadastrado"))</f>
        <v>CALÇA CINZA OP. C/ FAIXA REFLETIVA TAM: P</v>
      </c>
      <c r="E125" s="89" t="str">
        <f>_xlfn.XLOOKUP(B125,ESTOQUE!B:B,ESTOQUE!G:G)</f>
        <v>UND</v>
      </c>
      <c r="F125" s="88">
        <v>20</v>
      </c>
      <c r="G125" s="92"/>
      <c r="H125" s="91">
        <f t="shared" si="1"/>
        <v>0</v>
      </c>
      <c r="I125" s="71"/>
      <c r="J125" s="24"/>
      <c r="K125" s="106" t="s">
        <v>286</v>
      </c>
    </row>
    <row r="126" spans="1:11" x14ac:dyDescent="0.25">
      <c r="A126" s="22">
        <v>45933</v>
      </c>
      <c r="B126" s="23">
        <v>67</v>
      </c>
      <c r="C126" s="49" t="str">
        <f>IF(ISBLANK($B126),"",IFERROR(VLOOKUP($B126,ESTOQUE!$B$2:$D$97168,2,FALSE),"Produto não cadastrado"))</f>
        <v>CONSUMO</v>
      </c>
      <c r="D126" s="69" t="str">
        <f>IF(ISBLANK($B126),"",IFERROR(VLOOKUP($B126,ESTOQUE!$B$2:$M$997973,3,FALSE),"Produto não cadastrado"))</f>
        <v>CAMISA LARANJA OP. C/ FAIXA REFLETIVA TAM: G</v>
      </c>
      <c r="E126" s="89" t="str">
        <f>_xlfn.XLOOKUP(B126,ESTOQUE!B:B,ESTOQUE!G:G)</f>
        <v>UND</v>
      </c>
      <c r="F126" s="88">
        <v>10</v>
      </c>
      <c r="G126" s="92"/>
      <c r="H126" s="91">
        <f t="shared" si="1"/>
        <v>0</v>
      </c>
      <c r="I126" s="71"/>
      <c r="J126" s="24"/>
      <c r="K126" s="106" t="s">
        <v>286</v>
      </c>
    </row>
    <row r="127" spans="1:11" x14ac:dyDescent="0.25">
      <c r="A127" s="22">
        <v>45933</v>
      </c>
      <c r="B127" s="23">
        <v>68</v>
      </c>
      <c r="C127" s="49" t="str">
        <f>IF(ISBLANK($B127),"",IFERROR(VLOOKUP($B127,ESTOQUE!$B$2:$D$97168,2,FALSE),"Produto não cadastrado"))</f>
        <v>CONSUMO</v>
      </c>
      <c r="D127" s="69" t="str">
        <f>IF(ISBLANK($B127),"",IFERROR(VLOOKUP($B127,ESTOQUE!$B$2:$M$997973,3,FALSE),"Produto não cadastrado"))</f>
        <v>CAMISA LARANJA OP. C/ FAIXA REFLETIVA TAM: GG</v>
      </c>
      <c r="E127" s="89" t="str">
        <f>_xlfn.XLOOKUP(B127,ESTOQUE!B:B,ESTOQUE!G:G)</f>
        <v>UND</v>
      </c>
      <c r="F127" s="88">
        <v>10</v>
      </c>
      <c r="G127" s="92"/>
      <c r="H127" s="91">
        <f t="shared" si="1"/>
        <v>0</v>
      </c>
      <c r="I127" s="71"/>
      <c r="J127" s="24"/>
      <c r="K127" s="106" t="s">
        <v>286</v>
      </c>
    </row>
    <row r="128" spans="1:11" x14ac:dyDescent="0.25">
      <c r="A128" s="22">
        <v>45933</v>
      </c>
      <c r="B128" s="23">
        <v>69</v>
      </c>
      <c r="C128" s="49" t="str">
        <f>IF(ISBLANK($B128),"",IFERROR(VLOOKUP($B128,ESTOQUE!$B$2:$D$97168,2,FALSE),"Produto não cadastrado"))</f>
        <v>CONSUMO</v>
      </c>
      <c r="D128" s="69" t="str">
        <f>IF(ISBLANK($B128),"",IFERROR(VLOOKUP($B128,ESTOQUE!$B$2:$M$997973,3,FALSE),"Produto não cadastrado"))</f>
        <v>CAMISA LARANJA OP. C/ FAIXA REFLETIVA TAM: M</v>
      </c>
      <c r="E128" s="89" t="str">
        <f>_xlfn.XLOOKUP(B128,ESTOQUE!B:B,ESTOQUE!G:G)</f>
        <v>UND</v>
      </c>
      <c r="F128" s="88">
        <v>10</v>
      </c>
      <c r="G128" s="92"/>
      <c r="H128" s="91">
        <f t="shared" si="1"/>
        <v>0</v>
      </c>
      <c r="I128" s="71"/>
      <c r="J128" s="24"/>
      <c r="K128" s="106" t="s">
        <v>286</v>
      </c>
    </row>
    <row r="129" spans="1:11" x14ac:dyDescent="0.25">
      <c r="A129" s="22">
        <v>45933</v>
      </c>
      <c r="B129" s="23">
        <v>70</v>
      </c>
      <c r="C129" s="49" t="str">
        <f>IF(ISBLANK($B129),"",IFERROR(VLOOKUP($B129,ESTOQUE!$B$2:$D$97168,2,FALSE),"Produto não cadastrado"))</f>
        <v>CONSUMO</v>
      </c>
      <c r="D129" s="69" t="str">
        <f>IF(ISBLANK($B129),"",IFERROR(VLOOKUP($B129,ESTOQUE!$B$2:$M$997973,3,FALSE),"Produto não cadastrado"))</f>
        <v>CAMISA LARANJA OP. C/ FAIXA REFLETIVA TAM: P</v>
      </c>
      <c r="E129" s="89" t="str">
        <f>_xlfn.XLOOKUP(B129,ESTOQUE!B:B,ESTOQUE!G:G)</f>
        <v>UND</v>
      </c>
      <c r="F129" s="88">
        <v>10</v>
      </c>
      <c r="G129" s="92"/>
      <c r="H129" s="91">
        <f t="shared" si="1"/>
        <v>0</v>
      </c>
      <c r="I129" s="71"/>
      <c r="J129" s="24"/>
      <c r="K129" s="106" t="s">
        <v>286</v>
      </c>
    </row>
    <row r="130" spans="1:11" x14ac:dyDescent="0.25">
      <c r="A130" s="22">
        <v>45933</v>
      </c>
      <c r="B130" s="23">
        <v>71</v>
      </c>
      <c r="C130" s="49" t="str">
        <f>IF(ISBLANK($B130),"",IFERROR(VLOOKUP($B130,ESTOQUE!$B$2:$D$97168,2,FALSE),"Produto não cadastrado"))</f>
        <v>CONSUMO</v>
      </c>
      <c r="D130" s="69" t="str">
        <f>IF(ISBLANK($B130),"",IFERROR(VLOOKUP($B130,ESTOQUE!$B$2:$M$997973,3,FALSE),"Produto não cadastrado"))</f>
        <v>CAMISA LARANJA OP. C/ FAIXA REFLETIVA TAM: XG</v>
      </c>
      <c r="E130" s="89" t="str">
        <f>_xlfn.XLOOKUP(B130,ESTOQUE!B:B,ESTOQUE!G:G)</f>
        <v>UND</v>
      </c>
      <c r="F130" s="88">
        <v>10</v>
      </c>
      <c r="G130" s="92"/>
      <c r="H130" s="91">
        <f t="shared" si="1"/>
        <v>0</v>
      </c>
      <c r="I130" s="71"/>
      <c r="J130" s="24"/>
      <c r="K130" s="106" t="s">
        <v>286</v>
      </c>
    </row>
    <row r="131" spans="1:11" x14ac:dyDescent="0.25">
      <c r="A131" s="22">
        <v>45933</v>
      </c>
      <c r="B131" s="23">
        <v>76</v>
      </c>
      <c r="C131" s="49" t="str">
        <f>IF(ISBLANK($B131),"",IFERROR(VLOOKUP($B131,ESTOQUE!$B$2:$D$97168,2,FALSE),"Produto não cadastrado"))</f>
        <v>CONSUMO</v>
      </c>
      <c r="D131" s="69" t="str">
        <f>IF(ISBLANK($B131),"",IFERROR(VLOOKUP($B131,ESTOQUE!$B$2:$M$997973,3,FALSE),"Produto não cadastrado"))</f>
        <v>CAPACETE CAMPER BRANCO</v>
      </c>
      <c r="E131" s="89" t="str">
        <f>_xlfn.XLOOKUP(B131,ESTOQUE!B:B,ESTOQUE!G:G)</f>
        <v>UND</v>
      </c>
      <c r="F131" s="88">
        <v>10</v>
      </c>
      <c r="G131" s="92"/>
      <c r="H131" s="91">
        <f t="shared" ref="H131:H194" si="2">F131*G131</f>
        <v>0</v>
      </c>
      <c r="I131" s="71"/>
      <c r="J131" s="24"/>
      <c r="K131" s="106" t="s">
        <v>286</v>
      </c>
    </row>
    <row r="132" spans="1:11" x14ac:dyDescent="0.25">
      <c r="A132" s="22">
        <v>45933</v>
      </c>
      <c r="B132" s="23">
        <v>118</v>
      </c>
      <c r="C132" s="49" t="str">
        <f>IF(ISBLANK($B132),"",IFERROR(VLOOKUP($B132,ESTOQUE!$B$2:$D$97168,2,FALSE),"Produto não cadastrado"))</f>
        <v>CONSUMO</v>
      </c>
      <c r="D132" s="69" t="str">
        <f>IF(ISBLANK($B132),"",IFERROR(VLOOKUP($B132,ESTOQUE!$B$2:$M$997973,3,FALSE),"Produto não cadastrado"))</f>
        <v>MACACÃO DE PROTEÇÃO TYVEK</v>
      </c>
      <c r="E132" s="89" t="str">
        <f>_xlfn.XLOOKUP(B132,ESTOQUE!B:B,ESTOQUE!G:G)</f>
        <v>UND</v>
      </c>
      <c r="F132" s="88">
        <v>75</v>
      </c>
      <c r="G132" s="92"/>
      <c r="H132" s="91">
        <f t="shared" si="2"/>
        <v>0</v>
      </c>
      <c r="I132" s="71"/>
      <c r="J132" s="24"/>
      <c r="K132" s="106" t="s">
        <v>286</v>
      </c>
    </row>
    <row r="133" spans="1:11" x14ac:dyDescent="0.25">
      <c r="A133" s="22">
        <v>45933</v>
      </c>
      <c r="B133" s="23">
        <v>144</v>
      </c>
      <c r="C133" s="49" t="str">
        <f>IF(ISBLANK($B133),"",IFERROR(VLOOKUP($B133,ESTOQUE!$B$2:$D$97168,2,FALSE),"Produto não cadastrado"))</f>
        <v>CONSUMO</v>
      </c>
      <c r="D133" s="69" t="str">
        <f>IF(ISBLANK($B133),"",IFERROR(VLOOKUP($B133,ESTOQUE!$B$2:$M$997973,3,FALSE),"Produto não cadastrado"))</f>
        <v>MASCARA PFF2-S C/ FILTRO</v>
      </c>
      <c r="E133" s="89" t="str">
        <f>_xlfn.XLOOKUP(B133,ESTOQUE!B:B,ESTOQUE!G:G)</f>
        <v>UND</v>
      </c>
      <c r="F133" s="88">
        <v>400</v>
      </c>
      <c r="G133" s="92"/>
      <c r="H133" s="91">
        <f t="shared" si="2"/>
        <v>0</v>
      </c>
      <c r="I133" s="71"/>
      <c r="J133" s="24"/>
      <c r="K133" s="106" t="s">
        <v>286</v>
      </c>
    </row>
    <row r="134" spans="1:11" x14ac:dyDescent="0.25">
      <c r="A134" s="22">
        <v>45933</v>
      </c>
      <c r="B134" s="23">
        <v>117</v>
      </c>
      <c r="C134" s="49" t="str">
        <f>IF(ISBLANK($B134),"",IFERROR(VLOOKUP($B134,ESTOQUE!$B$2:$D$97168,2,FALSE),"Produto não cadastrado"))</f>
        <v>CONSUMO</v>
      </c>
      <c r="D134" s="69" t="str">
        <f>IF(ISBLANK($B134),"",IFERROR(VLOOKUP($B134,ESTOQUE!$B$2:$M$997973,3,FALSE),"Produto não cadastrado"))</f>
        <v>LUVA PIGMENTADA</v>
      </c>
      <c r="E134" s="89" t="str">
        <f>_xlfn.XLOOKUP(B134,ESTOQUE!B:B,ESTOQUE!G:G)</f>
        <v>PAR</v>
      </c>
      <c r="F134" s="88">
        <v>84</v>
      </c>
      <c r="G134" s="92"/>
      <c r="H134" s="91">
        <f t="shared" si="2"/>
        <v>0</v>
      </c>
      <c r="I134" s="71"/>
      <c r="J134" s="24"/>
      <c r="K134" s="106" t="s">
        <v>286</v>
      </c>
    </row>
    <row r="135" spans="1:11" x14ac:dyDescent="0.25">
      <c r="A135" s="22">
        <v>45933</v>
      </c>
      <c r="B135" s="23">
        <v>207</v>
      </c>
      <c r="C135" s="49" t="str">
        <f>IF(ISBLANK($B135),"",IFERROR(VLOOKUP($B135,ESTOQUE!$B$2:$D$97168,2,FALSE),"Produto não cadastrado"))</f>
        <v>CONSUMO</v>
      </c>
      <c r="D135" s="69" t="str">
        <f>IF(ISBLANK($B135),"",IFERROR(VLOOKUP($B135,ESTOQUE!$B$2:$M$997973,3,FALSE),"Produto não cadastrado"))</f>
        <v>LUVA POLIESTER ANTICORTE BANHADA PU TAM 9</v>
      </c>
      <c r="E135" s="89" t="str">
        <f>_xlfn.XLOOKUP(B135,ESTOQUE!B:B,ESTOQUE!G:G)</f>
        <v>PAR</v>
      </c>
      <c r="F135" s="88">
        <v>76</v>
      </c>
      <c r="G135" s="92"/>
      <c r="H135" s="91">
        <f t="shared" si="2"/>
        <v>0</v>
      </c>
      <c r="I135" s="71"/>
      <c r="J135" s="24"/>
      <c r="K135" s="106" t="s">
        <v>286</v>
      </c>
    </row>
    <row r="136" spans="1:11" x14ac:dyDescent="0.25">
      <c r="A136" s="22">
        <v>45933</v>
      </c>
      <c r="B136" s="23">
        <v>257</v>
      </c>
      <c r="C136" s="49" t="str">
        <f>IF(ISBLANK($B136),"",IFERROR(VLOOKUP($B136,ESTOQUE!$B$2:$D$97168,2,FALSE),"Produto não cadastrado"))</f>
        <v>CONSUMO</v>
      </c>
      <c r="D136" s="69" t="str">
        <f>IF(ISBLANK($B136),"",IFERROR(VLOOKUP($B136,ESTOQUE!$B$2:$M$997973,3,FALSE),"Produto não cadastrado"))</f>
        <v xml:space="preserve">LUVA MULTITATO </v>
      </c>
      <c r="E136" s="89" t="str">
        <f>_xlfn.XLOOKUP(B136,ESTOQUE!B:B,ESTOQUE!G:G)</f>
        <v>UND</v>
      </c>
      <c r="F136" s="88">
        <v>300</v>
      </c>
      <c r="G136" s="92"/>
      <c r="H136" s="91">
        <f t="shared" si="2"/>
        <v>0</v>
      </c>
      <c r="I136" s="71"/>
      <c r="J136" s="24"/>
      <c r="K136" s="106" t="s">
        <v>286</v>
      </c>
    </row>
    <row r="137" spans="1:11" x14ac:dyDescent="0.25">
      <c r="A137" s="22">
        <v>45935</v>
      </c>
      <c r="B137" s="23">
        <v>135</v>
      </c>
      <c r="C137" s="49" t="str">
        <f>IF(ISBLANK($B137),"",IFERROR(VLOOKUP($B137,ESTOQUE!$B$2:$D$97168,2,FALSE),"Produto não cadastrado"))</f>
        <v>CONSUMO</v>
      </c>
      <c r="D137" s="69" t="str">
        <f>IF(ISBLANK($B137),"",IFERROR(VLOOKUP($B137,ESTOQUE!$B$2:$M$997973,3,FALSE),"Produto não cadastrado"))</f>
        <v>TALABARTE DUPLO TIPO Y</v>
      </c>
      <c r="E137" s="89" t="str">
        <f>_xlfn.XLOOKUP(B137,ESTOQUE!B:B,ESTOQUE!G:G)</f>
        <v>UND</v>
      </c>
      <c r="F137" s="88">
        <v>10</v>
      </c>
      <c r="G137" s="90"/>
      <c r="H137" s="91">
        <f t="shared" si="2"/>
        <v>0</v>
      </c>
      <c r="I137" s="71"/>
      <c r="J137" s="24"/>
      <c r="K137" s="104"/>
    </row>
    <row r="138" spans="1:11" x14ac:dyDescent="0.25">
      <c r="A138" s="22">
        <v>45936</v>
      </c>
      <c r="B138" s="23">
        <v>96</v>
      </c>
      <c r="C138" s="49" t="str">
        <f>IF(ISBLANK($B138),"",IFERROR(VLOOKUP($B138,ESTOQUE!$B$2:$D$97168,2,FALSE),"Produto não cadastrado"))</f>
        <v>CONSUMO</v>
      </c>
      <c r="D138" s="69" t="str">
        <f>IF(ISBLANK($B138),"",IFERROR(VLOOKUP($B138,ESTOQUE!$B$2:$M$997973,3,FALSE),"Produto não cadastrado"))</f>
        <v xml:space="preserve">CINTO DE SEGURANÇA MODELO:C70 </v>
      </c>
      <c r="E138" s="89" t="str">
        <f>_xlfn.XLOOKUP(B138,ESTOQUE!B:B,ESTOQUE!G:G)</f>
        <v>UND</v>
      </c>
      <c r="F138" s="88">
        <v>10</v>
      </c>
      <c r="G138" s="90"/>
      <c r="H138" s="91">
        <f t="shared" si="2"/>
        <v>0</v>
      </c>
      <c r="I138" s="71"/>
      <c r="J138" s="24"/>
      <c r="K138" s="104"/>
    </row>
    <row r="139" spans="1:11" x14ac:dyDescent="0.25">
      <c r="A139" s="22">
        <v>45944</v>
      </c>
      <c r="B139" s="23">
        <v>111</v>
      </c>
      <c r="C139" s="49" t="str">
        <f>IF(ISBLANK($B139),"",IFERROR(VLOOKUP($B139,ESTOQUE!$B$2:$D$97168,2,FALSE),"Produto não cadastrado"))</f>
        <v>CONSUMO</v>
      </c>
      <c r="D139" s="69" t="str">
        <f>IF(ISBLANK($B139),"",IFERROR(VLOOKUP($B139,ESTOQUE!$B$2:$M$997973,3,FALSE),"Produto não cadastrado"))</f>
        <v>LUVA DE VAQUETA MARROM</v>
      </c>
      <c r="E139" s="89" t="str">
        <f>_xlfn.XLOOKUP(B139,ESTOQUE!B:B,ESTOQUE!G:G)</f>
        <v>PAR</v>
      </c>
      <c r="F139" s="88">
        <v>60</v>
      </c>
      <c r="G139" s="90"/>
      <c r="H139" s="91">
        <f t="shared" si="2"/>
        <v>0</v>
      </c>
      <c r="I139" s="71"/>
      <c r="J139" s="24"/>
      <c r="K139" s="107"/>
    </row>
    <row r="140" spans="1:11" x14ac:dyDescent="0.25">
      <c r="A140" s="22">
        <v>45944</v>
      </c>
      <c r="B140" s="23">
        <v>141</v>
      </c>
      <c r="C140" s="49" t="str">
        <f>IF(ISBLANK($B140),"",IFERROR(VLOOKUP($B140,ESTOQUE!$B$2:$D$97168,2,FALSE),"Produto não cadastrado"))</f>
        <v>CONSUMO</v>
      </c>
      <c r="D140" s="69" t="str">
        <f>IF(ISBLANK($B140),"",IFERROR(VLOOKUP($B140,ESTOQUE!$B$2:$M$997973,3,FALSE),"Produto não cadastrado"))</f>
        <v xml:space="preserve">LUVA DE VAQUETA </v>
      </c>
      <c r="E140" s="89" t="str">
        <f>_xlfn.XLOOKUP(B140,ESTOQUE!B:B,ESTOQUE!G:G)</f>
        <v>PAR</v>
      </c>
      <c r="F140" s="88">
        <v>70</v>
      </c>
      <c r="G140" s="90"/>
      <c r="H140" s="91">
        <f t="shared" si="2"/>
        <v>0</v>
      </c>
      <c r="I140" s="71"/>
      <c r="J140" s="24"/>
      <c r="K140" s="107"/>
    </row>
    <row r="141" spans="1:11" x14ac:dyDescent="0.25">
      <c r="A141" s="22">
        <v>45944</v>
      </c>
      <c r="B141" s="23">
        <v>261</v>
      </c>
      <c r="C141" s="49" t="str">
        <f>IF(ISBLANK($B141),"",IFERROR(VLOOKUP($B141,ESTOQUE!$B$2:$D$97168,2,FALSE),"Produto não cadastrado"))</f>
        <v>CONSUMO</v>
      </c>
      <c r="D141" s="69" t="str">
        <f>IF(ISBLANK($B141),"",IFERROR(VLOOKUP($B141,ESTOQUE!$B$2:$M$997973,3,FALSE),"Produto não cadastrado"))</f>
        <v xml:space="preserve">LUVA DE VAQUETA VERDE </v>
      </c>
      <c r="E141" s="89" t="str">
        <f>_xlfn.XLOOKUP(B141,ESTOQUE!B:B,ESTOQUE!G:G)</f>
        <v>PAR</v>
      </c>
      <c r="F141" s="88">
        <v>20</v>
      </c>
      <c r="G141" s="90"/>
      <c r="H141" s="91">
        <f t="shared" si="2"/>
        <v>0</v>
      </c>
      <c r="I141" s="71"/>
      <c r="J141" s="24"/>
      <c r="K141" s="104"/>
    </row>
    <row r="142" spans="1:11" x14ac:dyDescent="0.25">
      <c r="A142" s="22">
        <v>45944</v>
      </c>
      <c r="B142" s="23">
        <v>144</v>
      </c>
      <c r="C142" s="49" t="str">
        <f>IF(ISBLANK($B142),"",IFERROR(VLOOKUP($B142,ESTOQUE!$B$2:$D$97168,2,FALSE),"Produto não cadastrado"))</f>
        <v>CONSUMO</v>
      </c>
      <c r="D142" s="69" t="str">
        <f>IF(ISBLANK($B142),"",IFERROR(VLOOKUP($B142,ESTOQUE!$B$2:$M$997973,3,FALSE),"Produto não cadastrado"))</f>
        <v>MASCARA PFF2-S C/ FILTRO</v>
      </c>
      <c r="E142" s="89" t="str">
        <f>_xlfn.XLOOKUP(B142,ESTOQUE!B:B,ESTOQUE!G:G)</f>
        <v>UND</v>
      </c>
      <c r="F142" s="88">
        <v>150</v>
      </c>
      <c r="G142" s="90"/>
      <c r="H142" s="91">
        <f t="shared" si="2"/>
        <v>0</v>
      </c>
      <c r="I142" s="71"/>
      <c r="J142" s="24"/>
      <c r="K142" s="104"/>
    </row>
    <row r="143" spans="1:11" x14ac:dyDescent="0.25">
      <c r="A143" s="22">
        <v>45944</v>
      </c>
      <c r="B143" s="23">
        <v>262</v>
      </c>
      <c r="C143" s="49" t="str">
        <f>IF(ISBLANK($B143),"",IFERROR(VLOOKUP($B143,ESTOQUE!$B$2:$D$97168,2,FALSE),"Produto não cadastrado"))</f>
        <v>CONSUMO</v>
      </c>
      <c r="D143" s="69" t="str">
        <f>IF(ISBLANK($B143),"",IFERROR(VLOOKUP($B143,ESTOQUE!$B$2:$M$997973,3,FALSE),"Produto não cadastrado"))</f>
        <v xml:space="preserve">LUVA DE RASPA MISTA </v>
      </c>
      <c r="E143" s="89" t="str">
        <f>_xlfn.XLOOKUP(B143,ESTOQUE!B:B,ESTOQUE!G:G)</f>
        <v>PAR</v>
      </c>
      <c r="F143" s="88">
        <v>12</v>
      </c>
      <c r="G143" s="90"/>
      <c r="H143" s="91">
        <f t="shared" si="2"/>
        <v>0</v>
      </c>
      <c r="I143" s="71"/>
      <c r="J143" s="24"/>
      <c r="K143" s="104"/>
    </row>
    <row r="144" spans="1:11" x14ac:dyDescent="0.25">
      <c r="A144" s="22">
        <v>45945</v>
      </c>
      <c r="B144" s="23">
        <v>49</v>
      </c>
      <c r="C144" s="49" t="str">
        <f>IF(ISBLANK($B144),"",IFERROR(VLOOKUP($B144,ESTOQUE!$B$2:$D$97168,2,FALSE),"Produto não cadastrado"))</f>
        <v>CONSUMO</v>
      </c>
      <c r="D144" s="69" t="str">
        <f>IF(ISBLANK($B144),"",IFERROR(VLOOKUP($B144,ESTOQUE!$B$2:$M$997973,3,FALSE),"Produto não cadastrado"))</f>
        <v>CALÇA CINZA OP. C/ FAIXA REFLETIVA TAM: P</v>
      </c>
      <c r="E144" s="89" t="str">
        <f>_xlfn.XLOOKUP(B144,ESTOQUE!B:B,ESTOQUE!G:G)</f>
        <v>UND</v>
      </c>
      <c r="F144" s="88">
        <v>60</v>
      </c>
      <c r="G144" s="90"/>
      <c r="H144" s="91">
        <f t="shared" si="2"/>
        <v>0</v>
      </c>
      <c r="I144" s="71"/>
      <c r="J144" s="24"/>
      <c r="K144" s="104"/>
    </row>
    <row r="145" spans="1:11" x14ac:dyDescent="0.25">
      <c r="A145" s="22">
        <v>45945</v>
      </c>
      <c r="B145" s="23">
        <v>48</v>
      </c>
      <c r="C145" s="49" t="str">
        <f>IF(ISBLANK($B145),"",IFERROR(VLOOKUP($B145,ESTOQUE!$B$2:$D$97168,2,FALSE),"Produto não cadastrado"))</f>
        <v>CONSUMO</v>
      </c>
      <c r="D145" s="69" t="str">
        <f>IF(ISBLANK($B145),"",IFERROR(VLOOKUP($B145,ESTOQUE!$B$2:$M$997973,3,FALSE),"Produto não cadastrado"))</f>
        <v>CALÇA CINZA OP. C/ FAIXA REFLETIVA TAM: M</v>
      </c>
      <c r="E145" s="89" t="str">
        <f>_xlfn.XLOOKUP(B145,ESTOQUE!B:B,ESTOQUE!G:G)</f>
        <v>UND</v>
      </c>
      <c r="F145" s="88">
        <v>50</v>
      </c>
      <c r="G145" s="90"/>
      <c r="H145" s="91">
        <f t="shared" si="2"/>
        <v>0</v>
      </c>
      <c r="I145" s="71"/>
      <c r="J145" s="24"/>
      <c r="K145" s="104"/>
    </row>
    <row r="146" spans="1:11" x14ac:dyDescent="0.25">
      <c r="A146" s="22">
        <v>45945</v>
      </c>
      <c r="B146" s="23">
        <v>46</v>
      </c>
      <c r="C146" s="49" t="str">
        <f>IF(ISBLANK($B146),"",IFERROR(VLOOKUP($B146,ESTOQUE!$B$2:$D$97168,2,FALSE),"Produto não cadastrado"))</f>
        <v>CONSUMO</v>
      </c>
      <c r="D146" s="69" t="str">
        <f>IF(ISBLANK($B146),"",IFERROR(VLOOKUP($B146,ESTOQUE!$B$2:$M$997973,3,FALSE),"Produto não cadastrado"))</f>
        <v>CALÇA CINZA OP. C/ FAIXA REFLETIVA TAM: G</v>
      </c>
      <c r="E146" s="89" t="str">
        <f>_xlfn.XLOOKUP(B146,ESTOQUE!B:B,ESTOQUE!G:G)</f>
        <v>UND</v>
      </c>
      <c r="F146" s="88">
        <v>140</v>
      </c>
      <c r="G146" s="90"/>
      <c r="H146" s="91">
        <f t="shared" si="2"/>
        <v>0</v>
      </c>
      <c r="I146" s="71"/>
      <c r="J146" s="24"/>
      <c r="K146" s="104"/>
    </row>
    <row r="147" spans="1:11" x14ac:dyDescent="0.25">
      <c r="A147" s="22">
        <v>45953</v>
      </c>
      <c r="B147" s="23">
        <v>217</v>
      </c>
      <c r="C147" s="49" t="str">
        <f>IF(ISBLANK($B147),"",IFERROR(VLOOKUP($B147,ESTOQUE!$B$2:$D$97168,2,FALSE),"Produto não cadastrado"))</f>
        <v>CONSUMO</v>
      </c>
      <c r="D147" s="69" t="str">
        <f>IF(ISBLANK($B147),"",IFERROR(VLOOKUP($B147,ESTOQUE!$B$2:$M$997973,3,FALSE),"Produto não cadastrado"))</f>
        <v>BOTINA SEGURANÇA METATARSO  40</v>
      </c>
      <c r="E147" s="89" t="str">
        <f>_xlfn.XLOOKUP(B147,ESTOQUE!B:B,ESTOQUE!G:G)</f>
        <v>PAR</v>
      </c>
      <c r="F147" s="88">
        <v>5</v>
      </c>
      <c r="G147" s="90"/>
      <c r="H147" s="91">
        <f t="shared" si="2"/>
        <v>0</v>
      </c>
      <c r="I147" s="71"/>
      <c r="J147" s="24"/>
      <c r="K147" s="104"/>
    </row>
    <row r="148" spans="1:11" x14ac:dyDescent="0.25">
      <c r="A148" s="22">
        <v>45953</v>
      </c>
      <c r="B148" s="23">
        <v>218</v>
      </c>
      <c r="C148" s="49" t="str">
        <f>IF(ISBLANK($B148),"",IFERROR(VLOOKUP($B148,ESTOQUE!$B$2:$D$97168,2,FALSE),"Produto não cadastrado"))</f>
        <v>CONSUMO</v>
      </c>
      <c r="D148" s="69" t="str">
        <f>IF(ISBLANK($B148),"",IFERROR(VLOOKUP($B148,ESTOQUE!$B$2:$M$997973,3,FALSE),"Produto não cadastrado"))</f>
        <v>BOTINA SEGURANÇA METATARSO  41</v>
      </c>
      <c r="E148" s="89" t="str">
        <f>_xlfn.XLOOKUP(B148,ESTOQUE!B:B,ESTOQUE!G:G)</f>
        <v>PAR</v>
      </c>
      <c r="F148" s="88">
        <v>11</v>
      </c>
      <c r="G148" s="90"/>
      <c r="H148" s="91">
        <f t="shared" si="2"/>
        <v>0</v>
      </c>
      <c r="I148" s="71"/>
      <c r="J148" s="24"/>
      <c r="K148" s="104"/>
    </row>
    <row r="149" spans="1:11" x14ac:dyDescent="0.25">
      <c r="A149" s="22">
        <v>45953</v>
      </c>
      <c r="B149" s="23">
        <v>219</v>
      </c>
      <c r="C149" s="49" t="str">
        <f>IF(ISBLANK($B149),"",IFERROR(VLOOKUP($B149,ESTOQUE!$B$2:$D$97168,2,FALSE),"Produto não cadastrado"))</f>
        <v>CONSUMO</v>
      </c>
      <c r="D149" s="69" t="str">
        <f>IF(ISBLANK($B149),"",IFERROR(VLOOKUP($B149,ESTOQUE!$B$2:$M$997973,3,FALSE),"Produto não cadastrado"))</f>
        <v>BOTINA SEGURANÇA METATARSO  42</v>
      </c>
      <c r="E149" s="89" t="str">
        <f>_xlfn.XLOOKUP(B149,ESTOQUE!B:B,ESTOQUE!G:G)</f>
        <v>PAR</v>
      </c>
      <c r="F149" s="88">
        <v>10</v>
      </c>
      <c r="G149" s="90"/>
      <c r="H149" s="91">
        <f t="shared" si="2"/>
        <v>0</v>
      </c>
      <c r="I149" s="71"/>
      <c r="J149" s="24"/>
      <c r="K149" s="104"/>
    </row>
    <row r="150" spans="1:11" x14ac:dyDescent="0.25">
      <c r="A150" s="22">
        <v>45953</v>
      </c>
      <c r="B150" s="23">
        <v>220</v>
      </c>
      <c r="C150" s="49" t="str">
        <f>IF(ISBLANK($B150),"",IFERROR(VLOOKUP($B150,ESTOQUE!$B$2:$D$97168,2,FALSE),"Produto não cadastrado"))</f>
        <v>CONSUMO</v>
      </c>
      <c r="D150" s="69" t="str">
        <f>IF(ISBLANK($B150),"",IFERROR(VLOOKUP($B150,ESTOQUE!$B$2:$M$997973,3,FALSE),"Produto não cadastrado"))</f>
        <v>BOTINA SEGURANÇA METATARSO  43</v>
      </c>
      <c r="E150" s="89" t="str">
        <f>_xlfn.XLOOKUP(B150,ESTOQUE!B:B,ESTOQUE!G:G)</f>
        <v>PAR</v>
      </c>
      <c r="F150" s="88">
        <v>2</v>
      </c>
      <c r="G150" s="90"/>
      <c r="H150" s="91">
        <f t="shared" si="2"/>
        <v>0</v>
      </c>
      <c r="I150" s="71"/>
      <c r="J150" s="24"/>
      <c r="K150" s="104"/>
    </row>
    <row r="151" spans="1:11" x14ac:dyDescent="0.25">
      <c r="A151" s="22">
        <v>45953</v>
      </c>
      <c r="B151" s="23">
        <v>221</v>
      </c>
      <c r="C151" s="49" t="str">
        <f>IF(ISBLANK($B151),"",IFERROR(VLOOKUP($B151,ESTOQUE!$B$2:$D$97168,2,FALSE),"Produto não cadastrado"))</f>
        <v>CONSUMO</v>
      </c>
      <c r="D151" s="69" t="str">
        <f>IF(ISBLANK($B151),"",IFERROR(VLOOKUP($B151,ESTOQUE!$B$2:$M$997973,3,FALSE),"Produto não cadastrado"))</f>
        <v>BOTINA SEGURANÇA METATARSO  44</v>
      </c>
      <c r="E151" s="89" t="str">
        <f>_xlfn.XLOOKUP(B151,ESTOQUE!B:B,ESTOQUE!G:G)</f>
        <v>PAR</v>
      </c>
      <c r="F151" s="88">
        <v>8</v>
      </c>
      <c r="G151" s="90"/>
      <c r="H151" s="91">
        <f t="shared" si="2"/>
        <v>0</v>
      </c>
      <c r="I151" s="71"/>
      <c r="J151" s="24"/>
      <c r="K151" s="104"/>
    </row>
    <row r="152" spans="1:11" x14ac:dyDescent="0.25">
      <c r="A152" s="22">
        <v>45953</v>
      </c>
      <c r="B152" s="23">
        <v>222</v>
      </c>
      <c r="C152" s="49" t="str">
        <f>IF(ISBLANK($B152),"",IFERROR(VLOOKUP($B152,ESTOQUE!$B$2:$D$97168,2,FALSE),"Produto não cadastrado"))</f>
        <v>CONSUMO</v>
      </c>
      <c r="D152" s="69" t="str">
        <f>IF(ISBLANK($B152),"",IFERROR(VLOOKUP($B152,ESTOQUE!$B$2:$M$997973,3,FALSE),"Produto não cadastrado"))</f>
        <v>BOTINA SEGURANÇA METATARSO  45</v>
      </c>
      <c r="E152" s="89" t="str">
        <f>_xlfn.XLOOKUP(B152,ESTOQUE!B:B,ESTOQUE!G:G)</f>
        <v>PAR</v>
      </c>
      <c r="F152" s="88">
        <v>23</v>
      </c>
      <c r="G152" s="90"/>
      <c r="H152" s="91">
        <f t="shared" si="2"/>
        <v>0</v>
      </c>
      <c r="I152" s="71"/>
      <c r="J152" s="24"/>
      <c r="K152" s="104"/>
    </row>
    <row r="153" spans="1:11" x14ac:dyDescent="0.25">
      <c r="A153" s="22">
        <v>45953</v>
      </c>
      <c r="B153" s="23">
        <v>214</v>
      </c>
      <c r="C153" s="49" t="str">
        <f>IF(ISBLANK($B153),"",IFERROR(VLOOKUP($B153,ESTOQUE!$B$2:$D$97168,2,FALSE),"Produto não cadastrado"))</f>
        <v>CONSUMO</v>
      </c>
      <c r="D153" s="69" t="str">
        <f>IF(ISBLANK($B153),"",IFERROR(VLOOKUP($B153,ESTOQUE!$B$2:$M$997973,3,FALSE),"Produto não cadastrado"))</f>
        <v>BOTINA SEGURANÇA METATARSO  37</v>
      </c>
      <c r="E153" s="89" t="str">
        <f>_xlfn.XLOOKUP(B153,ESTOQUE!B:B,ESTOQUE!G:G)</f>
        <v>PAR</v>
      </c>
      <c r="F153" s="88">
        <v>6</v>
      </c>
      <c r="G153" s="90"/>
      <c r="H153" s="91">
        <f t="shared" si="2"/>
        <v>0</v>
      </c>
      <c r="I153" s="71"/>
      <c r="J153" s="24"/>
      <c r="K153" s="104"/>
    </row>
    <row r="154" spans="1:11" x14ac:dyDescent="0.25">
      <c r="A154" s="22">
        <v>45953</v>
      </c>
      <c r="B154" s="23">
        <v>215</v>
      </c>
      <c r="C154" s="49" t="str">
        <f>IF(ISBLANK($B154),"",IFERROR(VLOOKUP($B154,ESTOQUE!$B$2:$D$97168,2,FALSE),"Produto não cadastrado"))</f>
        <v>CONSUMO</v>
      </c>
      <c r="D154" s="69" t="str">
        <f>IF(ISBLANK($B154),"",IFERROR(VLOOKUP($B154,ESTOQUE!$B$2:$M$997973,3,FALSE),"Produto não cadastrado"))</f>
        <v>BOTINA SEGURANÇA METATARSO  38</v>
      </c>
      <c r="E154" s="89" t="str">
        <f>_xlfn.XLOOKUP(B154,ESTOQUE!B:B,ESTOQUE!G:G)</f>
        <v>PAR</v>
      </c>
      <c r="F154" s="88">
        <v>5</v>
      </c>
      <c r="G154" s="90"/>
      <c r="H154" s="91">
        <f t="shared" si="2"/>
        <v>0</v>
      </c>
      <c r="I154" s="71"/>
      <c r="J154" s="24"/>
      <c r="K154" s="104"/>
    </row>
    <row r="155" spans="1:11" x14ac:dyDescent="0.25">
      <c r="A155" s="22">
        <v>45953</v>
      </c>
      <c r="B155" s="23">
        <v>216</v>
      </c>
      <c r="C155" s="49" t="str">
        <f>IF(ISBLANK($B155),"",IFERROR(VLOOKUP($B155,ESTOQUE!$B$2:$D$97168,2,FALSE),"Produto não cadastrado"))</f>
        <v>CONSUMO</v>
      </c>
      <c r="D155" s="69" t="str">
        <f>IF(ISBLANK($B155),"",IFERROR(VLOOKUP($B155,ESTOQUE!$B$2:$M$997973,3,FALSE),"Produto não cadastrado"))</f>
        <v>BOTINA SEGURANÇA METATARSO  39</v>
      </c>
      <c r="E155" s="89" t="str">
        <f>_xlfn.XLOOKUP(B155,ESTOQUE!B:B,ESTOQUE!G:G)</f>
        <v>PAR</v>
      </c>
      <c r="F155" s="88">
        <v>6</v>
      </c>
      <c r="G155" s="90"/>
      <c r="H155" s="91">
        <f t="shared" si="2"/>
        <v>0</v>
      </c>
      <c r="I155" s="71"/>
      <c r="J155" s="24"/>
      <c r="K155" s="104"/>
    </row>
    <row r="156" spans="1:11" x14ac:dyDescent="0.25">
      <c r="A156" s="22">
        <v>45953</v>
      </c>
      <c r="B156" s="23">
        <v>96</v>
      </c>
      <c r="C156" s="49" t="str">
        <f>IF(ISBLANK($B156),"",IFERROR(VLOOKUP($B156,ESTOQUE!$B$2:$D$97168,2,FALSE),"Produto não cadastrado"))</f>
        <v>CONSUMO</v>
      </c>
      <c r="D156" s="69" t="str">
        <f>IF(ISBLANK($B156),"",IFERROR(VLOOKUP($B156,ESTOQUE!$B$2:$M$997973,3,FALSE),"Produto não cadastrado"))</f>
        <v xml:space="preserve">CINTO DE SEGURANÇA MODELO:C70 </v>
      </c>
      <c r="E156" s="89" t="str">
        <f>_xlfn.XLOOKUP(B156,ESTOQUE!B:B,ESTOQUE!G:G)</f>
        <v>UND</v>
      </c>
      <c r="F156" s="88">
        <v>10</v>
      </c>
      <c r="G156" s="90"/>
      <c r="H156" s="91">
        <f t="shared" si="2"/>
        <v>0</v>
      </c>
      <c r="I156" s="71"/>
      <c r="J156" s="24"/>
      <c r="K156" s="104"/>
    </row>
    <row r="157" spans="1:11" x14ac:dyDescent="0.25">
      <c r="A157" s="22">
        <v>45953</v>
      </c>
      <c r="B157" s="23">
        <v>135</v>
      </c>
      <c r="C157" s="49" t="str">
        <f>IF(ISBLANK($B157),"",IFERROR(VLOOKUP($B157,ESTOQUE!$B$2:$D$97168,2,FALSE),"Produto não cadastrado"))</f>
        <v>CONSUMO</v>
      </c>
      <c r="D157" s="69" t="str">
        <f>IF(ISBLANK($B157),"",IFERROR(VLOOKUP($B157,ESTOQUE!$B$2:$M$997973,3,FALSE),"Produto não cadastrado"))</f>
        <v>TALABARTE DUPLO TIPO Y</v>
      </c>
      <c r="E157" s="89" t="str">
        <f>_xlfn.XLOOKUP(B157,ESTOQUE!B:B,ESTOQUE!G:G)</f>
        <v>UND</v>
      </c>
      <c r="F157" s="88">
        <v>10</v>
      </c>
      <c r="G157" s="90"/>
      <c r="H157" s="91">
        <f t="shared" si="2"/>
        <v>0</v>
      </c>
      <c r="I157" s="71"/>
      <c r="J157" s="24"/>
      <c r="K157" s="104"/>
    </row>
    <row r="158" spans="1:11" x14ac:dyDescent="0.25">
      <c r="A158" s="22">
        <v>45960</v>
      </c>
      <c r="B158" s="23">
        <v>174</v>
      </c>
      <c r="C158" s="49" t="str">
        <f>IF(ISBLANK($B158),"",IFERROR(VLOOKUP($B158,ESTOQUE!$B$2:$D$97168,2,FALSE),"Produto não cadastrado"))</f>
        <v>CONSUMO</v>
      </c>
      <c r="D158" s="69" t="str">
        <f>IF(ISBLANK($B158),"",IFERROR(VLOOKUP($B158,ESTOQUE!$B$2:$M$997973,3,FALSE),"Produto não cadastrado"))</f>
        <v>BOTA PVC CANO CURTO Nº 43</v>
      </c>
      <c r="E158" s="89" t="str">
        <f>_xlfn.XLOOKUP(B158,ESTOQUE!B:B,ESTOQUE!G:G)</f>
        <v>PAR</v>
      </c>
      <c r="F158" s="88">
        <v>5</v>
      </c>
      <c r="G158" s="90"/>
      <c r="H158" s="91">
        <f t="shared" si="2"/>
        <v>0</v>
      </c>
      <c r="I158" s="71"/>
      <c r="J158" s="24"/>
      <c r="K158" s="104"/>
    </row>
    <row r="159" spans="1:11" x14ac:dyDescent="0.25">
      <c r="A159" s="22">
        <v>45960</v>
      </c>
      <c r="B159" s="23">
        <v>9</v>
      </c>
      <c r="C159" s="49" t="str">
        <f>IF(ISBLANK($B159),"",IFERROR(VLOOKUP($B159,ESTOQUE!$B$2:$D$97168,2,FALSE),"Produto não cadastrado"))</f>
        <v>CONSUMO</v>
      </c>
      <c r="D159" s="69" t="str">
        <f>IF(ISBLANK($B159),"",IFERROR(VLOOKUP($B159,ESTOQUE!$B$2:$M$997973,3,FALSE),"Produto não cadastrado"))</f>
        <v>BOTA PVC CANO LONGO Nº 41</v>
      </c>
      <c r="E159" s="89" t="str">
        <f>_xlfn.XLOOKUP(B159,ESTOQUE!B:B,ESTOQUE!G:G)</f>
        <v>PAR</v>
      </c>
      <c r="F159" s="88">
        <v>6</v>
      </c>
      <c r="G159" s="90"/>
      <c r="H159" s="91">
        <f t="shared" si="2"/>
        <v>0</v>
      </c>
      <c r="I159" s="71"/>
      <c r="J159" s="24"/>
      <c r="K159" s="104"/>
    </row>
    <row r="160" spans="1:11" x14ac:dyDescent="0.25">
      <c r="A160" s="22">
        <v>45960</v>
      </c>
      <c r="B160" s="23">
        <v>17</v>
      </c>
      <c r="C160" s="49" t="str">
        <f>IF(ISBLANK($B160),"",IFERROR(VLOOKUP($B160,ESTOQUE!$B$2:$D$97168,2,FALSE),"Produto não cadastrado"))</f>
        <v>CONSUMO</v>
      </c>
      <c r="D160" s="69" t="str">
        <f>IF(ISBLANK($B160),"",IFERROR(VLOOKUP($B160,ESTOQUE!$B$2:$M$997973,3,FALSE),"Produto não cadastrado"))</f>
        <v>BOTA PVC CANO MEDIO Nº 38</v>
      </c>
      <c r="E160" s="89" t="str">
        <f>_xlfn.XLOOKUP(B160,ESTOQUE!B:B,ESTOQUE!G:G)</f>
        <v>PAR</v>
      </c>
      <c r="F160" s="88">
        <v>1</v>
      </c>
      <c r="G160" s="90"/>
      <c r="H160" s="91">
        <f t="shared" si="2"/>
        <v>0</v>
      </c>
      <c r="I160" s="71"/>
      <c r="J160" s="24"/>
      <c r="K160" s="104"/>
    </row>
    <row r="161" spans="1:11" x14ac:dyDescent="0.25">
      <c r="A161" s="22">
        <v>45960</v>
      </c>
      <c r="B161" s="23">
        <v>18</v>
      </c>
      <c r="C161" s="49" t="str">
        <f>IF(ISBLANK($B161),"",IFERROR(VLOOKUP($B161,ESTOQUE!$B$2:$D$97168,2,FALSE),"Produto não cadastrado"))</f>
        <v>CONSUMO</v>
      </c>
      <c r="D161" s="69" t="str">
        <f>IF(ISBLANK($B161),"",IFERROR(VLOOKUP($B161,ESTOQUE!$B$2:$M$997973,3,FALSE),"Produto não cadastrado"))</f>
        <v>BOTA PVC CANO MEDIO Nº 39</v>
      </c>
      <c r="E161" s="89" t="str">
        <f>_xlfn.XLOOKUP(B161,ESTOQUE!B:B,ESTOQUE!G:G)</f>
        <v>PAR</v>
      </c>
      <c r="F161" s="88">
        <v>1</v>
      </c>
      <c r="G161" s="90"/>
      <c r="H161" s="91">
        <f t="shared" si="2"/>
        <v>0</v>
      </c>
      <c r="I161" s="71"/>
      <c r="J161" s="24"/>
      <c r="K161" s="104"/>
    </row>
    <row r="162" spans="1:11" x14ac:dyDescent="0.25">
      <c r="A162" s="22">
        <v>45960</v>
      </c>
      <c r="B162" s="23">
        <v>151</v>
      </c>
      <c r="C162" s="49" t="str">
        <f>IF(ISBLANK($B162),"",IFERROR(VLOOKUP($B162,ESTOQUE!$B$2:$D$97168,2,FALSE),"Produto não cadastrado"))</f>
        <v>CONSUMO</v>
      </c>
      <c r="D162" s="69" t="str">
        <f>IF(ISBLANK($B162),"",IFERROR(VLOOKUP($B162,ESTOQUE!$B$2:$M$997973,3,FALSE),"Produto não cadastrado"))</f>
        <v>BOTINA BICO PVC Nº 39 NOBUCK</v>
      </c>
      <c r="E162" s="89" t="str">
        <f>_xlfn.XLOOKUP(B162,ESTOQUE!B:B,ESTOQUE!G:G)</f>
        <v>PAR</v>
      </c>
      <c r="F162" s="88">
        <v>11</v>
      </c>
      <c r="G162" s="90"/>
      <c r="H162" s="91">
        <f t="shared" si="2"/>
        <v>0</v>
      </c>
      <c r="I162" s="71"/>
      <c r="J162" s="24"/>
      <c r="K162" s="104"/>
    </row>
    <row r="163" spans="1:11" x14ac:dyDescent="0.25">
      <c r="A163" s="22">
        <v>45960</v>
      </c>
      <c r="B163" s="23">
        <v>28</v>
      </c>
      <c r="C163" s="49" t="str">
        <f>IF(ISBLANK($B163),"",IFERROR(VLOOKUP($B163,ESTOQUE!$B$2:$D$97168,2,FALSE),"Produto não cadastrado"))</f>
        <v>CONSUMO</v>
      </c>
      <c r="D163" s="69" t="str">
        <f>IF(ISBLANK($B163),"",IFERROR(VLOOKUP($B163,ESTOQUE!$B$2:$M$997973,3,FALSE),"Produto não cadastrado"))</f>
        <v>BOTINA DE ELETRICISTA Nº 38</v>
      </c>
      <c r="E163" s="89" t="str">
        <f>_xlfn.XLOOKUP(B163,ESTOQUE!B:B,ESTOQUE!G:G)</f>
        <v>PAR</v>
      </c>
      <c r="F163" s="88">
        <v>5</v>
      </c>
      <c r="G163" s="90"/>
      <c r="H163" s="91">
        <f t="shared" si="2"/>
        <v>0</v>
      </c>
      <c r="I163" s="71"/>
      <c r="J163" s="24"/>
      <c r="K163" s="104"/>
    </row>
    <row r="164" spans="1:11" x14ac:dyDescent="0.25">
      <c r="A164" s="22">
        <v>45960</v>
      </c>
      <c r="B164" s="23">
        <v>34</v>
      </c>
      <c r="C164" s="49" t="str">
        <f>IF(ISBLANK($B164),"",IFERROR(VLOOKUP($B164,ESTOQUE!$B$2:$D$97168,2,FALSE),"Produto não cadastrado"))</f>
        <v>CONSUMO</v>
      </c>
      <c r="D164" s="69" t="str">
        <f>IF(ISBLANK($B164),"",IFERROR(VLOOKUP($B164,ESTOQUE!$B$2:$M$997973,3,FALSE),"Produto não cadastrado"))</f>
        <v>BOTINA OP. BICO PVC Nº 36</v>
      </c>
      <c r="E164" s="89" t="str">
        <f>_xlfn.XLOOKUP(B164,ESTOQUE!B:B,ESTOQUE!G:G)</f>
        <v>PAR</v>
      </c>
      <c r="F164" s="88">
        <v>2</v>
      </c>
      <c r="G164" s="90"/>
      <c r="H164" s="91">
        <f t="shared" si="2"/>
        <v>0</v>
      </c>
      <c r="I164" s="71"/>
      <c r="J164" s="24"/>
      <c r="K164" s="104"/>
    </row>
    <row r="165" spans="1:11" x14ac:dyDescent="0.25">
      <c r="A165" s="22">
        <v>45960</v>
      </c>
      <c r="B165" s="23">
        <v>35</v>
      </c>
      <c r="C165" s="49" t="str">
        <f>IF(ISBLANK($B165),"",IFERROR(VLOOKUP($B165,ESTOQUE!$B$2:$D$97168,2,FALSE),"Produto não cadastrado"))</f>
        <v>CONSUMO</v>
      </c>
      <c r="D165" s="69" t="str">
        <f>IF(ISBLANK($B165),"",IFERROR(VLOOKUP($B165,ESTOQUE!$B$2:$M$997973,3,FALSE),"Produto não cadastrado"))</f>
        <v>BOTINA OP. BICO PVC Nº 37</v>
      </c>
      <c r="E165" s="89" t="str">
        <f>_xlfn.XLOOKUP(B165,ESTOQUE!B:B,ESTOQUE!G:G)</f>
        <v>PAR</v>
      </c>
      <c r="F165" s="88">
        <v>14</v>
      </c>
      <c r="G165" s="90"/>
      <c r="H165" s="91">
        <f t="shared" si="2"/>
        <v>0</v>
      </c>
      <c r="I165" s="71"/>
      <c r="J165" s="24"/>
      <c r="K165" s="104"/>
    </row>
    <row r="166" spans="1:11" x14ac:dyDescent="0.25">
      <c r="A166" s="22">
        <v>45960</v>
      </c>
      <c r="B166" s="23">
        <v>212</v>
      </c>
      <c r="C166" s="49" t="str">
        <f>IF(ISBLANK($B166),"",IFERROR(VLOOKUP($B166,ESTOQUE!$B$2:$D$97168,2,FALSE),"Produto não cadastrado"))</f>
        <v>CONSUMO</v>
      </c>
      <c r="D166" s="69" t="str">
        <f>IF(ISBLANK($B166),"",IFERROR(VLOOKUP($B166,ESTOQUE!$B$2:$M$997973,3,FALSE),"Produto não cadastrado"))</f>
        <v>BOTINA SEGURANÇA METATARSO  35</v>
      </c>
      <c r="E166" s="89" t="str">
        <f>_xlfn.XLOOKUP(B166,ESTOQUE!B:B,ESTOQUE!G:G)</f>
        <v>PAR</v>
      </c>
      <c r="F166" s="88">
        <v>1</v>
      </c>
      <c r="G166" s="90"/>
      <c r="H166" s="91">
        <f t="shared" si="2"/>
        <v>0</v>
      </c>
      <c r="I166" s="71"/>
      <c r="J166" s="24"/>
      <c r="K166" s="104"/>
    </row>
    <row r="167" spans="1:11" x14ac:dyDescent="0.25">
      <c r="A167" s="22">
        <v>45960</v>
      </c>
      <c r="B167" s="23">
        <v>223</v>
      </c>
      <c r="C167" s="49" t="str">
        <f>IF(ISBLANK($B167),"",IFERROR(VLOOKUP($B167,ESTOQUE!$B$2:$D$97168,2,FALSE),"Produto não cadastrado"))</f>
        <v>CONSUMO</v>
      </c>
      <c r="D167" s="69" t="str">
        <f>IF(ISBLANK($B167),"",IFERROR(VLOOKUP($B167,ESTOQUE!$B$2:$M$997973,3,FALSE),"Produto não cadastrado"))</f>
        <v>BOTINA SEGURANÇA METATARSO  46</v>
      </c>
      <c r="E167" s="89" t="str">
        <f>_xlfn.XLOOKUP(B167,ESTOQUE!B:B,ESTOQUE!G:G)</f>
        <v>PAR</v>
      </c>
      <c r="F167" s="88">
        <v>1</v>
      </c>
      <c r="G167" s="90"/>
      <c r="H167" s="91">
        <f t="shared" si="2"/>
        <v>0</v>
      </c>
      <c r="I167" s="71"/>
      <c r="J167" s="24"/>
      <c r="K167" s="104"/>
    </row>
    <row r="168" spans="1:11" x14ac:dyDescent="0.25">
      <c r="A168" s="22">
        <v>45960</v>
      </c>
      <c r="B168" s="23">
        <v>46</v>
      </c>
      <c r="C168" s="49" t="str">
        <f>IF(ISBLANK($B168),"",IFERROR(VLOOKUP($B168,ESTOQUE!$B$2:$D$97168,2,FALSE),"Produto não cadastrado"))</f>
        <v>CONSUMO</v>
      </c>
      <c r="D168" s="69" t="str">
        <f>IF(ISBLANK($B168),"",IFERROR(VLOOKUP($B168,ESTOQUE!$B$2:$M$997973,3,FALSE),"Produto não cadastrado"))</f>
        <v>CALÇA CINZA OP. C/ FAIXA REFLETIVA TAM: G</v>
      </c>
      <c r="E168" s="89" t="str">
        <f>_xlfn.XLOOKUP(B168,ESTOQUE!B:B,ESTOQUE!G:G)</f>
        <v>UND</v>
      </c>
      <c r="F168" s="88">
        <v>39</v>
      </c>
      <c r="G168" s="90"/>
      <c r="H168" s="91">
        <f t="shared" si="2"/>
        <v>0</v>
      </c>
      <c r="I168" s="71"/>
      <c r="J168" s="24"/>
      <c r="K168" s="104"/>
    </row>
    <row r="169" spans="1:11" x14ac:dyDescent="0.25">
      <c r="A169" s="22">
        <v>45960</v>
      </c>
      <c r="B169" s="23">
        <v>50</v>
      </c>
      <c r="C169" s="49" t="str">
        <f>IF(ISBLANK($B169),"",IFERROR(VLOOKUP($B169,ESTOQUE!$B$2:$D$97168,2,FALSE),"Produto não cadastrado"))</f>
        <v>CONSUMO</v>
      </c>
      <c r="D169" s="69" t="str">
        <f>IF(ISBLANK($B169),"",IFERROR(VLOOKUP($B169,ESTOQUE!$B$2:$M$997973,3,FALSE),"Produto não cadastrado"))</f>
        <v>CALÇA CINZA OP. C/ FAIXA REFLETIVA TAM: XG</v>
      </c>
      <c r="E169" s="89" t="str">
        <f>_xlfn.XLOOKUP(B169,ESTOQUE!B:B,ESTOQUE!G:G)</f>
        <v>UND</v>
      </c>
      <c r="F169" s="88">
        <v>3</v>
      </c>
      <c r="G169" s="90"/>
      <c r="H169" s="91">
        <f t="shared" si="2"/>
        <v>0</v>
      </c>
      <c r="I169" s="71"/>
      <c r="J169" s="24"/>
      <c r="K169" s="104"/>
    </row>
    <row r="170" spans="1:11" x14ac:dyDescent="0.25">
      <c r="A170" s="22">
        <v>45960</v>
      </c>
      <c r="B170" s="23">
        <v>52</v>
      </c>
      <c r="C170" s="49" t="str">
        <f>IF(ISBLANK($B170),"",IFERROR(VLOOKUP($B170,ESTOQUE!$B$2:$D$97168,2,FALSE),"Produto não cadastrado"))</f>
        <v>CONSUMO</v>
      </c>
      <c r="D170" s="69" t="str">
        <f>IF(ISBLANK($B170),"",IFERROR(VLOOKUP($B170,ESTOQUE!$B$2:$M$997973,3,FALSE),"Produto não cadastrado"))</f>
        <v>CALÇA DE ELETRICISTA NR.10 TAM: GG</v>
      </c>
      <c r="E170" s="89" t="str">
        <f>_xlfn.XLOOKUP(B170,ESTOQUE!B:B,ESTOQUE!G:G)</f>
        <v>UND</v>
      </c>
      <c r="F170" s="88">
        <v>5</v>
      </c>
      <c r="G170" s="90"/>
      <c r="H170" s="91">
        <f t="shared" si="2"/>
        <v>0</v>
      </c>
      <c r="I170" s="71"/>
      <c r="J170" s="24"/>
      <c r="K170" s="104"/>
    </row>
    <row r="171" spans="1:11" x14ac:dyDescent="0.25">
      <c r="A171" s="22">
        <v>45960</v>
      </c>
      <c r="B171" s="23">
        <v>53</v>
      </c>
      <c r="C171" s="49" t="str">
        <f>IF(ISBLANK($B171),"",IFERROR(VLOOKUP($B171,ESTOQUE!$B$2:$D$97168,2,FALSE),"Produto não cadastrado"))</f>
        <v>CONSUMO</v>
      </c>
      <c r="D171" s="69" t="str">
        <f>IF(ISBLANK($B171),"",IFERROR(VLOOKUP($B171,ESTOQUE!$B$2:$M$997973,3,FALSE),"Produto não cadastrado"))</f>
        <v>CALÇA DE ELETRICISTA NR.10 TAM: P</v>
      </c>
      <c r="E171" s="89" t="str">
        <f>_xlfn.XLOOKUP(B171,ESTOQUE!B:B,ESTOQUE!G:G)</f>
        <v>UND</v>
      </c>
      <c r="F171" s="88">
        <v>4</v>
      </c>
      <c r="G171" s="90"/>
      <c r="H171" s="91">
        <f t="shared" si="2"/>
        <v>0</v>
      </c>
      <c r="I171" s="71"/>
      <c r="J171" s="24"/>
      <c r="K171" s="104"/>
    </row>
    <row r="172" spans="1:11" x14ac:dyDescent="0.25">
      <c r="A172" s="22">
        <v>45960</v>
      </c>
      <c r="B172" s="23">
        <v>185</v>
      </c>
      <c r="C172" s="49" t="str">
        <f>IF(ISBLANK($B172),"",IFERROR(VLOOKUP($B172,ESTOQUE!$B$2:$D$97168,2,FALSE),"Produto não cadastrado"))</f>
        <v>CONSUMO</v>
      </c>
      <c r="D172" s="69" t="str">
        <f>IF(ISBLANK($B172),"",IFERROR(VLOOKUP($B172,ESTOQUE!$B$2:$M$997973,3,FALSE),"Produto não cadastrado"))</f>
        <v>CAMISA DE ELETRICISTA NR.10 TAM: G</v>
      </c>
      <c r="E172" s="89" t="str">
        <f>_xlfn.XLOOKUP(B172,ESTOQUE!B:B,ESTOQUE!G:G)</f>
        <v>UND</v>
      </c>
      <c r="F172" s="88">
        <v>3</v>
      </c>
      <c r="G172" s="90"/>
      <c r="H172" s="91">
        <f t="shared" si="2"/>
        <v>0</v>
      </c>
      <c r="I172" s="71"/>
      <c r="J172" s="24"/>
      <c r="K172" s="104"/>
    </row>
    <row r="173" spans="1:11" x14ac:dyDescent="0.25">
      <c r="A173" s="22">
        <v>45960</v>
      </c>
      <c r="B173" s="23">
        <v>64</v>
      </c>
      <c r="C173" s="49" t="str">
        <f>IF(ISBLANK($B173),"",IFERROR(VLOOKUP($B173,ESTOQUE!$B$2:$D$97168,2,FALSE),"Produto não cadastrado"))</f>
        <v>CONSUMO</v>
      </c>
      <c r="D173" s="69" t="str">
        <f>IF(ISBLANK($B173),"",IFERROR(VLOOKUP($B173,ESTOQUE!$B$2:$M$997973,3,FALSE),"Produto não cadastrado"))</f>
        <v>CAMISA DE ELETRICISTA NR.10 TAM: GG</v>
      </c>
      <c r="E173" s="89" t="str">
        <f>_xlfn.XLOOKUP(B173,ESTOQUE!B:B,ESTOQUE!G:G)</f>
        <v>UND</v>
      </c>
      <c r="F173" s="88">
        <v>1</v>
      </c>
      <c r="G173" s="90"/>
      <c r="H173" s="91">
        <f t="shared" si="2"/>
        <v>0</v>
      </c>
      <c r="I173" s="71"/>
      <c r="J173" s="24"/>
      <c r="K173" s="104"/>
    </row>
    <row r="174" spans="1:11" x14ac:dyDescent="0.25">
      <c r="A174" s="22">
        <v>45960</v>
      </c>
      <c r="B174" s="23">
        <v>65</v>
      </c>
      <c r="C174" s="49" t="str">
        <f>IF(ISBLANK($B174),"",IFERROR(VLOOKUP($B174,ESTOQUE!$B$2:$D$97168,2,FALSE),"Produto não cadastrado"))</f>
        <v>CONSUMO</v>
      </c>
      <c r="D174" s="69" t="str">
        <f>IF(ISBLANK($B174),"",IFERROR(VLOOKUP($B174,ESTOQUE!$B$2:$M$997973,3,FALSE),"Produto não cadastrado"))</f>
        <v>CAMISA DE ELETRICISTA NR.10 TAM: P</v>
      </c>
      <c r="E174" s="89" t="str">
        <f>_xlfn.XLOOKUP(B174,ESTOQUE!B:B,ESTOQUE!G:G)</f>
        <v>UND</v>
      </c>
      <c r="F174" s="88">
        <v>5</v>
      </c>
      <c r="G174" s="90"/>
      <c r="H174" s="91">
        <f t="shared" si="2"/>
        <v>0</v>
      </c>
      <c r="I174" s="71"/>
      <c r="J174" s="24"/>
      <c r="K174" s="104"/>
    </row>
    <row r="175" spans="1:11" x14ac:dyDescent="0.25">
      <c r="A175" s="22">
        <v>45960</v>
      </c>
      <c r="B175" s="23">
        <v>67</v>
      </c>
      <c r="C175" s="49" t="str">
        <f>IF(ISBLANK($B175),"",IFERROR(VLOOKUP($B175,ESTOQUE!$B$2:$D$97168,2,FALSE),"Produto não cadastrado"))</f>
        <v>CONSUMO</v>
      </c>
      <c r="D175" s="69" t="str">
        <f>IF(ISBLANK($B175),"",IFERROR(VLOOKUP($B175,ESTOQUE!$B$2:$M$997973,3,FALSE),"Produto não cadastrado"))</f>
        <v>CAMISA LARANJA OP. C/ FAIXA REFLETIVA TAM: G</v>
      </c>
      <c r="E175" s="89" t="str">
        <f>_xlfn.XLOOKUP(B175,ESTOQUE!B:B,ESTOQUE!G:G)</f>
        <v>UND</v>
      </c>
      <c r="F175" s="88">
        <v>7</v>
      </c>
      <c r="G175" s="90"/>
      <c r="H175" s="91">
        <f t="shared" si="2"/>
        <v>0</v>
      </c>
      <c r="I175" s="71"/>
      <c r="J175" s="24"/>
      <c r="K175" s="104"/>
    </row>
    <row r="176" spans="1:11" x14ac:dyDescent="0.25">
      <c r="A176" s="22">
        <v>45960</v>
      </c>
      <c r="B176" s="23">
        <v>68</v>
      </c>
      <c r="C176" s="49" t="str">
        <f>IF(ISBLANK($B176),"",IFERROR(VLOOKUP($B176,ESTOQUE!$B$2:$D$97168,2,FALSE),"Produto não cadastrado"))</f>
        <v>CONSUMO</v>
      </c>
      <c r="D176" s="69" t="str">
        <f>IF(ISBLANK($B176),"",IFERROR(VLOOKUP($B176,ESTOQUE!$B$2:$M$997973,3,FALSE),"Produto não cadastrado"))</f>
        <v>CAMISA LARANJA OP. C/ FAIXA REFLETIVA TAM: GG</v>
      </c>
      <c r="E176" s="89" t="str">
        <f>_xlfn.XLOOKUP(B176,ESTOQUE!B:B,ESTOQUE!G:G)</f>
        <v>UND</v>
      </c>
      <c r="F176" s="88">
        <v>2</v>
      </c>
      <c r="G176" s="90"/>
      <c r="H176" s="91">
        <f t="shared" si="2"/>
        <v>0</v>
      </c>
      <c r="I176" s="71"/>
      <c r="J176" s="24"/>
      <c r="K176" s="104"/>
    </row>
    <row r="177" spans="1:11" x14ac:dyDescent="0.25">
      <c r="A177" s="22">
        <v>45960</v>
      </c>
      <c r="B177" s="23">
        <v>69</v>
      </c>
      <c r="C177" s="49" t="str">
        <f>IF(ISBLANK($B177),"",IFERROR(VLOOKUP($B177,ESTOQUE!$B$2:$D$97168,2,FALSE),"Produto não cadastrado"))</f>
        <v>CONSUMO</v>
      </c>
      <c r="D177" s="69" t="str">
        <f>IF(ISBLANK($B177),"",IFERROR(VLOOKUP($B177,ESTOQUE!$B$2:$M$997973,3,FALSE),"Produto não cadastrado"))</f>
        <v>CAMISA LARANJA OP. C/ FAIXA REFLETIVA TAM: M</v>
      </c>
      <c r="E177" s="89" t="str">
        <f>_xlfn.XLOOKUP(B177,ESTOQUE!B:B,ESTOQUE!G:G)</f>
        <v>UND</v>
      </c>
      <c r="F177" s="88">
        <v>3</v>
      </c>
      <c r="G177" s="90"/>
      <c r="H177" s="91">
        <f t="shared" si="2"/>
        <v>0</v>
      </c>
      <c r="I177" s="71"/>
      <c r="J177" s="24"/>
      <c r="K177" s="104"/>
    </row>
    <row r="178" spans="1:11" x14ac:dyDescent="0.25">
      <c r="A178" s="22">
        <v>45960</v>
      </c>
      <c r="B178" s="23">
        <v>70</v>
      </c>
      <c r="C178" s="49" t="str">
        <f>IF(ISBLANK($B178),"",IFERROR(VLOOKUP($B178,ESTOQUE!$B$2:$D$97168,2,FALSE),"Produto não cadastrado"))</f>
        <v>CONSUMO</v>
      </c>
      <c r="D178" s="69" t="str">
        <f>IF(ISBLANK($B178),"",IFERROR(VLOOKUP($B178,ESTOQUE!$B$2:$M$997973,3,FALSE),"Produto não cadastrado"))</f>
        <v>CAMISA LARANJA OP. C/ FAIXA REFLETIVA TAM: P</v>
      </c>
      <c r="E178" s="89" t="str">
        <f>_xlfn.XLOOKUP(B178,ESTOQUE!B:B,ESTOQUE!G:G)</f>
        <v>UND</v>
      </c>
      <c r="F178" s="88">
        <v>21</v>
      </c>
      <c r="G178" s="90"/>
      <c r="H178" s="91">
        <f t="shared" si="2"/>
        <v>0</v>
      </c>
      <c r="I178" s="71"/>
      <c r="J178" s="24"/>
      <c r="K178" s="104"/>
    </row>
    <row r="179" spans="1:11" x14ac:dyDescent="0.25">
      <c r="A179" s="22">
        <v>45960</v>
      </c>
      <c r="B179" s="23">
        <v>72</v>
      </c>
      <c r="C179" s="49" t="str">
        <f>IF(ISBLANK($B179),"",IFERROR(VLOOKUP($B179,ESTOQUE!$B$2:$D$97168,2,FALSE),"Produto não cadastrado"))</f>
        <v>CONSUMO</v>
      </c>
      <c r="D179" s="69" t="str">
        <f>IF(ISBLANK($B179),"",IFERROR(VLOOKUP($B179,ESTOQUE!$B$2:$M$997973,3,FALSE),"Produto não cadastrado"))</f>
        <v>CAPA DE CHUVA G</v>
      </c>
      <c r="E179" s="89" t="str">
        <f>_xlfn.XLOOKUP(B179,ESTOQUE!B:B,ESTOQUE!G:G)</f>
        <v>UND</v>
      </c>
      <c r="F179" s="88">
        <v>82</v>
      </c>
      <c r="G179" s="90"/>
      <c r="H179" s="91">
        <f t="shared" si="2"/>
        <v>0</v>
      </c>
      <c r="I179" s="71"/>
      <c r="J179" s="24"/>
      <c r="K179" s="104"/>
    </row>
    <row r="180" spans="1:11" x14ac:dyDescent="0.25">
      <c r="A180" s="22">
        <v>45960</v>
      </c>
      <c r="B180" s="23">
        <v>96</v>
      </c>
      <c r="C180" s="49" t="str">
        <f>IF(ISBLANK($B180),"",IFERROR(VLOOKUP($B180,ESTOQUE!$B$2:$D$97168,2,FALSE),"Produto não cadastrado"))</f>
        <v>CONSUMO</v>
      </c>
      <c r="D180" s="69" t="str">
        <f>IF(ISBLANK($B180),"",IFERROR(VLOOKUP($B180,ESTOQUE!$B$2:$M$997973,3,FALSE),"Produto não cadastrado"))</f>
        <v xml:space="preserve">CINTO DE SEGURANÇA MODELO:C70 </v>
      </c>
      <c r="E180" s="89" t="str">
        <f>_xlfn.XLOOKUP(B180,ESTOQUE!B:B,ESTOQUE!G:G)</f>
        <v>UND</v>
      </c>
      <c r="F180" s="88">
        <v>35</v>
      </c>
      <c r="G180" s="90"/>
      <c r="H180" s="91">
        <f t="shared" si="2"/>
        <v>0</v>
      </c>
      <c r="I180" s="71"/>
      <c r="J180" s="24"/>
      <c r="K180" s="104"/>
    </row>
    <row r="181" spans="1:11" x14ac:dyDescent="0.25">
      <c r="A181" s="22">
        <v>45960</v>
      </c>
      <c r="B181" s="23">
        <v>233</v>
      </c>
      <c r="C181" s="49" t="str">
        <f>IF(ISBLANK($B181),"",IFERROR(VLOOKUP($B181,ESTOQUE!$B$2:$D$97168,2,FALSE),"Produto não cadastrado"))</f>
        <v>CONSUMO</v>
      </c>
      <c r="D181" s="69" t="str">
        <f>IF(ISBLANK($B181),"",IFERROR(VLOOKUP($B181,ESTOQUE!$B$2:$M$997973,3,FALSE),"Produto não cadastrado"))</f>
        <v>CINTO PQD SOLDADOR</v>
      </c>
      <c r="E181" s="89" t="str">
        <f>_xlfn.XLOOKUP(B181,ESTOQUE!B:B,ESTOQUE!G:G)</f>
        <v>UND</v>
      </c>
      <c r="F181" s="88">
        <v>4</v>
      </c>
      <c r="G181" s="92"/>
      <c r="H181" s="91">
        <f t="shared" si="2"/>
        <v>0</v>
      </c>
      <c r="I181" s="71"/>
      <c r="J181" s="24"/>
      <c r="K181" s="104"/>
    </row>
    <row r="182" spans="1:11" x14ac:dyDescent="0.25">
      <c r="A182" s="22">
        <v>45960</v>
      </c>
      <c r="B182" s="23">
        <v>188</v>
      </c>
      <c r="C182" s="49" t="str">
        <f>IF(ISBLANK($B182),"",IFERROR(VLOOKUP($B182,ESTOQUE!$B$2:$D$97168,2,FALSE),"Produto não cadastrado"))</f>
        <v>CONSUMO</v>
      </c>
      <c r="D182" s="69" t="str">
        <f>IF(ISBLANK($B182),"",IFERROR(VLOOKUP($B182,ESTOQUE!$B$2:$M$997973,3,FALSE),"Produto não cadastrado"))</f>
        <v>COLETE REFLETIVO LARANJA XG</v>
      </c>
      <c r="E182" s="89" t="str">
        <f>_xlfn.XLOOKUP(B182,ESTOQUE!B:B,ESTOQUE!G:G)</f>
        <v>UND</v>
      </c>
      <c r="F182" s="88">
        <v>2</v>
      </c>
      <c r="G182" s="92"/>
      <c r="H182" s="91">
        <f t="shared" si="2"/>
        <v>0</v>
      </c>
      <c r="I182" s="71"/>
      <c r="J182" s="24"/>
      <c r="K182" s="104"/>
    </row>
    <row r="183" spans="1:11" x14ac:dyDescent="0.25">
      <c r="A183" s="22">
        <v>45960</v>
      </c>
      <c r="B183" s="23">
        <v>196</v>
      </c>
      <c r="C183" s="49" t="str">
        <f>IF(ISBLANK($B183),"",IFERROR(VLOOKUP($B183,ESTOQUE!$B$2:$D$97168,2,FALSE),"Produto não cadastrado"))</f>
        <v>CONSUMO</v>
      </c>
      <c r="D183" s="69" t="str">
        <f>IF(ISBLANK($B183),"",IFERROR(VLOOKUP($B183,ESTOQUE!$B$2:$M$997973,3,FALSE),"Produto não cadastrado"))</f>
        <v>JARDINEIRA AMARELA BOTA Nº 38</v>
      </c>
      <c r="E183" s="89" t="str">
        <f>_xlfn.XLOOKUP(B183,ESTOQUE!B:B,ESTOQUE!G:G)</f>
        <v>PAR</v>
      </c>
      <c r="F183" s="88">
        <v>20</v>
      </c>
      <c r="G183" s="90"/>
      <c r="H183" s="91">
        <f t="shared" si="2"/>
        <v>0</v>
      </c>
      <c r="I183" s="71"/>
      <c r="J183" s="24"/>
      <c r="K183" s="104"/>
    </row>
    <row r="184" spans="1:11" x14ac:dyDescent="0.25">
      <c r="A184" s="22">
        <v>45960</v>
      </c>
      <c r="B184" s="23">
        <v>73</v>
      </c>
      <c r="C184" s="49" t="str">
        <f>IF(ISBLANK($B184),"",IFERROR(VLOOKUP($B184,ESTOQUE!$B$2:$D$97168,2,FALSE),"Produto não cadastrado"))</f>
        <v>CONSUMO</v>
      </c>
      <c r="D184" s="69" t="str">
        <f>IF(ISBLANK($B184),"",IFERROR(VLOOKUP($B184,ESTOQUE!$B$2:$M$997973,3,FALSE),"Produto não cadastrado"))</f>
        <v>CAPA DE CHUVA GG</v>
      </c>
      <c r="E184" s="89" t="str">
        <f>_xlfn.XLOOKUP(B184,ESTOQUE!B:B,ESTOQUE!G:G)</f>
        <v>UND</v>
      </c>
      <c r="F184" s="88">
        <v>70</v>
      </c>
      <c r="G184" s="90"/>
      <c r="H184" s="91">
        <f t="shared" si="2"/>
        <v>0</v>
      </c>
      <c r="I184" s="71"/>
      <c r="J184" s="24"/>
      <c r="K184" s="104"/>
    </row>
    <row r="185" spans="1:11" x14ac:dyDescent="0.25">
      <c r="A185" s="22">
        <v>45960</v>
      </c>
      <c r="B185" s="23">
        <v>101</v>
      </c>
      <c r="C185" s="49" t="str">
        <f>IF(ISBLANK($B185),"",IFERROR(VLOOKUP($B185,ESTOQUE!$B$2:$D$97168,2,FALSE),"Produto não cadastrado"))</f>
        <v>CONSUMO</v>
      </c>
      <c r="D185" s="69" t="str">
        <f>IF(ISBLANK($B185),"",IFERROR(VLOOKUP($B185,ESTOQUE!$B$2:$M$997973,3,FALSE),"Produto não cadastrado"))</f>
        <v>JARDINEIRA AMARELA BOTA Nº 39</v>
      </c>
      <c r="E185" s="89" t="str">
        <f>_xlfn.XLOOKUP(B185,ESTOQUE!B:B,ESTOQUE!G:G)</f>
        <v>UND</v>
      </c>
      <c r="F185" s="88">
        <v>19</v>
      </c>
      <c r="G185" s="90"/>
      <c r="H185" s="91">
        <f t="shared" si="2"/>
        <v>0</v>
      </c>
      <c r="I185" s="71"/>
      <c r="J185" s="24"/>
      <c r="K185" s="104"/>
    </row>
    <row r="186" spans="1:11" x14ac:dyDescent="0.25">
      <c r="A186" s="22">
        <v>45960</v>
      </c>
      <c r="B186" s="23">
        <v>102</v>
      </c>
      <c r="C186" s="49" t="str">
        <f>IF(ISBLANK($B186),"",IFERROR(VLOOKUP($B186,ESTOQUE!$B$2:$D$97168,2,FALSE),"Produto não cadastrado"))</f>
        <v>CONSUMO</v>
      </c>
      <c r="D186" s="69" t="str">
        <f>IF(ISBLANK($B186),"",IFERROR(VLOOKUP($B186,ESTOQUE!$B$2:$M$997973,3,FALSE),"Produto não cadastrado"))</f>
        <v>JARDINEIRA AMARELA BOTA Nº 40</v>
      </c>
      <c r="E186" s="89" t="str">
        <f>_xlfn.XLOOKUP(B186,ESTOQUE!B:B,ESTOQUE!G:G)</f>
        <v>UND</v>
      </c>
      <c r="F186" s="88">
        <v>19</v>
      </c>
      <c r="G186" s="90"/>
      <c r="H186" s="91">
        <f t="shared" si="2"/>
        <v>0</v>
      </c>
      <c r="I186" s="71"/>
      <c r="J186" s="24"/>
      <c r="K186" s="104"/>
    </row>
    <row r="187" spans="1:11" x14ac:dyDescent="0.25">
      <c r="A187" s="22">
        <v>45960</v>
      </c>
      <c r="B187" s="23">
        <v>106</v>
      </c>
      <c r="C187" s="49" t="str">
        <f>IF(ISBLANK($B187),"",IFERROR(VLOOKUP($B187,ESTOQUE!$B$2:$D$97168,2,FALSE),"Produto não cadastrado"))</f>
        <v>CONSUMO</v>
      </c>
      <c r="D187" s="69" t="str">
        <f>IF(ISBLANK($B187),"",IFERROR(VLOOKUP($B187,ESTOQUE!$B$2:$M$997973,3,FALSE),"Produto não cadastrado"))</f>
        <v>JARDINEIRA AMARELA BOTA Nº 44</v>
      </c>
      <c r="E187" s="89" t="str">
        <f>_xlfn.XLOOKUP(B187,ESTOQUE!B:B,ESTOQUE!G:G)</f>
        <v>UND</v>
      </c>
      <c r="F187" s="88">
        <v>6</v>
      </c>
      <c r="G187" s="90"/>
      <c r="H187" s="91">
        <f t="shared" si="2"/>
        <v>0</v>
      </c>
      <c r="I187" s="71"/>
      <c r="J187" s="24"/>
      <c r="K187" s="104"/>
    </row>
    <row r="188" spans="1:11" x14ac:dyDescent="0.25">
      <c r="A188" s="22">
        <v>45960</v>
      </c>
      <c r="B188" s="23">
        <v>135</v>
      </c>
      <c r="C188" s="49" t="str">
        <f>IF(ISBLANK($B188),"",IFERROR(VLOOKUP($B188,ESTOQUE!$B$2:$D$97168,2,FALSE),"Produto não cadastrado"))</f>
        <v>CONSUMO</v>
      </c>
      <c r="D188" s="69" t="str">
        <f>IF(ISBLANK($B188),"",IFERROR(VLOOKUP($B188,ESTOQUE!$B$2:$M$997973,3,FALSE),"Produto não cadastrado"))</f>
        <v>TALABARTE DUPLO TIPO Y</v>
      </c>
      <c r="E188" s="89" t="str">
        <f>_xlfn.XLOOKUP(B188,ESTOQUE!B:B,ESTOQUE!G:G)</f>
        <v>UND</v>
      </c>
      <c r="F188" s="88">
        <v>17</v>
      </c>
      <c r="G188" s="90"/>
      <c r="H188" s="91">
        <f t="shared" si="2"/>
        <v>0</v>
      </c>
      <c r="I188" s="71"/>
      <c r="J188" s="24"/>
      <c r="K188" s="104"/>
    </row>
    <row r="189" spans="1:11" x14ac:dyDescent="0.25">
      <c r="A189" s="22">
        <v>45960</v>
      </c>
      <c r="B189" s="23">
        <v>236</v>
      </c>
      <c r="C189" s="49" t="str">
        <f>IF(ISBLANK($B189),"",IFERROR(VLOOKUP($B189,ESTOQUE!$B$2:$D$97168,2,FALSE),"Produto não cadastrado"))</f>
        <v>CONSUMO</v>
      </c>
      <c r="D189" s="69" t="str">
        <f>IF(ISBLANK($B189),"",IFERROR(VLOOKUP($B189,ESTOQUE!$B$2:$M$997973,3,FALSE),"Produto não cadastrado"))</f>
        <v>TALABARTE DUPLO Y SOLDADOR</v>
      </c>
      <c r="E189" s="89" t="str">
        <f>_xlfn.XLOOKUP(B189,ESTOQUE!B:B,ESTOQUE!G:G)</f>
        <v>UND</v>
      </c>
      <c r="F189" s="88">
        <v>18</v>
      </c>
      <c r="G189" s="90"/>
      <c r="H189" s="91">
        <f t="shared" si="2"/>
        <v>0</v>
      </c>
      <c r="I189" s="71"/>
      <c r="J189" s="24"/>
      <c r="K189" s="104"/>
    </row>
    <row r="190" spans="1:11" x14ac:dyDescent="0.25">
      <c r="A190" s="22">
        <v>45960</v>
      </c>
      <c r="B190" s="23">
        <v>137</v>
      </c>
      <c r="C190" s="49" t="str">
        <f>IF(ISBLANK($B190),"",IFERROR(VLOOKUP($B190,ESTOQUE!$B$2:$D$97168,2,FALSE),"Produto não cadastrado"))</f>
        <v>CONSUMO</v>
      </c>
      <c r="D190" s="69" t="str">
        <f>IF(ISBLANK($B190),"",IFERROR(VLOOKUP($B190,ESTOQUE!$B$2:$M$997973,3,FALSE),"Produto não cadastrado"))</f>
        <v xml:space="preserve">TOUCA ARABE </v>
      </c>
      <c r="E190" s="89" t="str">
        <f>_xlfn.XLOOKUP(B190,ESTOQUE!B:B,ESTOQUE!G:G)</f>
        <v>UND</v>
      </c>
      <c r="F190" s="88">
        <v>65</v>
      </c>
      <c r="G190" s="90"/>
      <c r="H190" s="91">
        <f t="shared" si="2"/>
        <v>0</v>
      </c>
      <c r="I190" s="71"/>
      <c r="J190" s="24"/>
      <c r="K190" s="104"/>
    </row>
    <row r="191" spans="1:11" x14ac:dyDescent="0.25">
      <c r="A191" s="22">
        <v>45960</v>
      </c>
      <c r="B191" s="23">
        <v>228</v>
      </c>
      <c r="C191" s="49" t="str">
        <f>IF(ISBLANK($B191),"",IFERROR(VLOOKUP($B191,ESTOQUE!$B$2:$D$97168,2,FALSE),"Produto não cadastrado"))</f>
        <v>CONSUMO</v>
      </c>
      <c r="D191" s="69" t="str">
        <f>IF(ISBLANK($B191),"",IFERROR(VLOOKUP($B191,ESTOQUE!$B$2:$M$997973,3,FALSE),"Produto não cadastrado"))</f>
        <v xml:space="preserve">BALACLAVA  </v>
      </c>
      <c r="E191" s="89" t="str">
        <f>_xlfn.XLOOKUP(B191,ESTOQUE!B:B,ESTOQUE!G:G)</f>
        <v>UND</v>
      </c>
      <c r="F191" s="88">
        <v>9</v>
      </c>
      <c r="G191" s="90"/>
      <c r="H191" s="91">
        <f t="shared" si="2"/>
        <v>0</v>
      </c>
      <c r="I191" s="71"/>
      <c r="J191" s="24"/>
      <c r="K191" s="104"/>
    </row>
    <row r="192" spans="1:11" x14ac:dyDescent="0.25">
      <c r="A192" s="22">
        <v>45960</v>
      </c>
      <c r="B192" s="23">
        <v>172</v>
      </c>
      <c r="C192" s="49" t="str">
        <f>IF(ISBLANK($B192),"",IFERROR(VLOOKUP($B192,ESTOQUE!$B$2:$D$97168,2,FALSE),"Produto não cadastrado"))</f>
        <v>CONSUMO</v>
      </c>
      <c r="D192" s="69" t="str">
        <f>IF(ISBLANK($B192),"",IFERROR(VLOOKUP($B192,ESTOQUE!$B$2:$M$997973,3,FALSE),"Produto não cadastrado"))</f>
        <v>BOTA PVC CANO CURTO Nº 41</v>
      </c>
      <c r="E192" s="89" t="str">
        <f>_xlfn.XLOOKUP(B192,ESTOQUE!B:B,ESTOQUE!G:G)</f>
        <v>PAR</v>
      </c>
      <c r="F192" s="88">
        <v>2</v>
      </c>
      <c r="G192" s="90"/>
      <c r="H192" s="91">
        <f t="shared" si="2"/>
        <v>0</v>
      </c>
      <c r="I192" s="71"/>
      <c r="J192" s="24"/>
      <c r="K192" s="104"/>
    </row>
    <row r="193" spans="1:11" x14ac:dyDescent="0.25">
      <c r="A193" s="22">
        <v>45960</v>
      </c>
      <c r="B193" s="23">
        <v>174</v>
      </c>
      <c r="C193" s="49" t="str">
        <f>IF(ISBLANK($B193),"",IFERROR(VLOOKUP($B193,ESTOQUE!$B$2:$D$97168,2,FALSE),"Produto não cadastrado"))</f>
        <v>CONSUMO</v>
      </c>
      <c r="D193" s="69" t="str">
        <f>IF(ISBLANK($B193),"",IFERROR(VLOOKUP($B193,ESTOQUE!$B$2:$M$997973,3,FALSE),"Produto não cadastrado"))</f>
        <v>BOTA PVC CANO CURTO Nº 43</v>
      </c>
      <c r="E193" s="89" t="str">
        <f>_xlfn.XLOOKUP(B193,ESTOQUE!B:B,ESTOQUE!G:G)</f>
        <v>PAR</v>
      </c>
      <c r="F193" s="88">
        <v>2</v>
      </c>
      <c r="G193" s="90"/>
      <c r="H193" s="91">
        <f t="shared" si="2"/>
        <v>0</v>
      </c>
      <c r="I193" s="71"/>
      <c r="J193" s="24"/>
      <c r="K193" s="104"/>
    </row>
    <row r="194" spans="1:11" x14ac:dyDescent="0.25">
      <c r="A194" s="22">
        <v>45960</v>
      </c>
      <c r="B194" s="23">
        <v>75</v>
      </c>
      <c r="C194" s="49" t="str">
        <f>IF(ISBLANK($B194),"",IFERROR(VLOOKUP($B194,ESTOQUE!$B$2:$D$97168,2,FALSE),"Produto não cadastrado"))</f>
        <v>CONSUMO</v>
      </c>
      <c r="D194" s="69" t="str">
        <f>IF(ISBLANK($B194),"",IFERROR(VLOOKUP($B194,ESTOQUE!$B$2:$M$997973,3,FALSE),"Produto não cadastrado"))</f>
        <v>CAPACETE CAMPER AZUL ESCURO</v>
      </c>
      <c r="E194" s="89" t="str">
        <f>_xlfn.XLOOKUP(B194,ESTOQUE!B:B,ESTOQUE!G:G)</f>
        <v>UND</v>
      </c>
      <c r="F194" s="88">
        <v>1</v>
      </c>
      <c r="G194" s="90"/>
      <c r="H194" s="91">
        <f t="shared" si="2"/>
        <v>0</v>
      </c>
      <c r="I194" s="71"/>
      <c r="J194" s="24"/>
      <c r="K194" s="104"/>
    </row>
    <row r="195" spans="1:11" x14ac:dyDescent="0.25">
      <c r="A195" s="22">
        <v>45960</v>
      </c>
      <c r="B195" s="23">
        <v>179</v>
      </c>
      <c r="C195" s="49" t="str">
        <f>IF(ISBLANK($B195),"",IFERROR(VLOOKUP($B195,ESTOQUE!$B$2:$D$97168,2,FALSE),"Produto não cadastrado"))</f>
        <v>CONSUMO</v>
      </c>
      <c r="D195" s="69" t="str">
        <f>IF(ISBLANK($B195),"",IFERROR(VLOOKUP($B195,ESTOQUE!$B$2:$M$997973,3,FALSE),"Produto não cadastrado"))</f>
        <v>CAPACETE GENISIS CINZA</v>
      </c>
      <c r="E195" s="89" t="str">
        <f>_xlfn.XLOOKUP(B195,ESTOQUE!B:B,ESTOQUE!G:G)</f>
        <v>UND</v>
      </c>
      <c r="F195" s="88">
        <v>9</v>
      </c>
      <c r="G195" s="90"/>
      <c r="H195" s="91">
        <f t="shared" ref="H195:H258" si="3">F195*G195</f>
        <v>0</v>
      </c>
      <c r="I195" s="71"/>
      <c r="J195" s="24"/>
      <c r="K195" s="104"/>
    </row>
    <row r="196" spans="1:11" x14ac:dyDescent="0.25">
      <c r="A196" s="22">
        <v>45960</v>
      </c>
      <c r="B196" s="23">
        <v>178</v>
      </c>
      <c r="C196" s="49" t="str">
        <f>IF(ISBLANK($B196),"",IFERROR(VLOOKUP($B196,ESTOQUE!$B$2:$D$97168,2,FALSE),"Produto não cadastrado"))</f>
        <v>CONSUMO</v>
      </c>
      <c r="D196" s="69" t="str">
        <f>IF(ISBLANK($B196),"",IFERROR(VLOOKUP($B196,ESTOQUE!$B$2:$M$997973,3,FALSE),"Produto não cadastrado"))</f>
        <v>CAPACETE GENISIS VERMELHO</v>
      </c>
      <c r="E196" s="89" t="str">
        <f>_xlfn.XLOOKUP(B196,ESTOQUE!B:B,ESTOQUE!G:G)</f>
        <v>UND</v>
      </c>
      <c r="F196" s="88">
        <v>1</v>
      </c>
      <c r="G196" s="90"/>
      <c r="H196" s="91">
        <f t="shared" si="3"/>
        <v>0</v>
      </c>
      <c r="I196" s="71"/>
      <c r="J196" s="24"/>
      <c r="K196" s="104"/>
    </row>
    <row r="197" spans="1:11" x14ac:dyDescent="0.25">
      <c r="A197" s="22">
        <v>45960</v>
      </c>
      <c r="B197" s="23">
        <v>87</v>
      </c>
      <c r="C197" s="49" t="str">
        <f>IF(ISBLANK($B197),"",IFERROR(VLOOKUP($B197,ESTOQUE!$B$2:$D$97168,2,FALSE),"Produto não cadastrado"))</f>
        <v>CONSUMO</v>
      </c>
      <c r="D197" s="69" t="str">
        <f>IF(ISBLANK($B197),"",IFERROR(VLOOKUP($B197,ESTOQUE!$B$2:$M$997973,3,FALSE),"Produto não cadastrado"))</f>
        <v>CAPACETE PLASTCOR AMARELO</v>
      </c>
      <c r="E197" s="89" t="str">
        <f>_xlfn.XLOOKUP(B197,ESTOQUE!B:B,ESTOQUE!G:G)</f>
        <v>UND</v>
      </c>
      <c r="F197" s="88">
        <v>1</v>
      </c>
      <c r="G197" s="90"/>
      <c r="H197" s="91">
        <f t="shared" si="3"/>
        <v>0</v>
      </c>
      <c r="I197" s="71"/>
      <c r="J197" s="24"/>
      <c r="K197" s="104"/>
    </row>
    <row r="198" spans="1:11" x14ac:dyDescent="0.25">
      <c r="A198" s="22">
        <v>45960</v>
      </c>
      <c r="B198" s="23">
        <v>88</v>
      </c>
      <c r="C198" s="49" t="str">
        <f>IF(ISBLANK($B198),"",IFERROR(VLOOKUP($B198,ESTOQUE!$B$2:$D$97168,2,FALSE),"Produto não cadastrado"))</f>
        <v>CONSUMO</v>
      </c>
      <c r="D198" s="69" t="str">
        <f>IF(ISBLANK($B198),"",IFERROR(VLOOKUP($B198,ESTOQUE!$B$2:$M$997973,3,FALSE),"Produto não cadastrado"))</f>
        <v>CAPACETE PLASTCOR AZUL ESCURO</v>
      </c>
      <c r="E198" s="89" t="str">
        <f>_xlfn.XLOOKUP(B198,ESTOQUE!B:B,ESTOQUE!G:G)</f>
        <v>UND</v>
      </c>
      <c r="F198" s="88">
        <v>7</v>
      </c>
      <c r="G198" s="90"/>
      <c r="H198" s="91">
        <f t="shared" si="3"/>
        <v>0</v>
      </c>
      <c r="I198" s="71"/>
      <c r="J198" s="24"/>
      <c r="K198" s="104"/>
    </row>
    <row r="199" spans="1:11" x14ac:dyDescent="0.25">
      <c r="A199" s="22">
        <v>45960</v>
      </c>
      <c r="B199" s="23">
        <v>100</v>
      </c>
      <c r="C199" s="49" t="str">
        <f>IF(ISBLANK($B199),"",IFERROR(VLOOKUP($B199,ESTOQUE!$B$2:$D$97168,2,FALSE),"Produto não cadastrado"))</f>
        <v>CONSUMO</v>
      </c>
      <c r="D199" s="69" t="str">
        <f>IF(ISBLANK($B199),"",IFERROR(VLOOKUP($B199,ESTOQUE!$B$2:$M$997973,3,FALSE),"Produto não cadastrado"))</f>
        <v xml:space="preserve">CREME PROTETOR P/ MÃOS NUTRIEX </v>
      </c>
      <c r="E199" s="89" t="str">
        <f>_xlfn.XLOOKUP(B199,ESTOQUE!B:B,ESTOQUE!G:G)</f>
        <v>UND</v>
      </c>
      <c r="F199" s="88">
        <v>1</v>
      </c>
      <c r="G199" s="90"/>
      <c r="H199" s="91">
        <f t="shared" si="3"/>
        <v>0</v>
      </c>
      <c r="I199" s="71"/>
      <c r="J199" s="24"/>
      <c r="K199" s="104"/>
    </row>
    <row r="200" spans="1:11" x14ac:dyDescent="0.25">
      <c r="A200" s="22">
        <v>45960</v>
      </c>
      <c r="B200" s="23">
        <v>105</v>
      </c>
      <c r="C200" s="49" t="str">
        <f>IF(ISBLANK($B200),"",IFERROR(VLOOKUP($B200,ESTOQUE!$B$2:$D$97168,2,FALSE),"Produto não cadastrado"))</f>
        <v>CONSUMO</v>
      </c>
      <c r="D200" s="69" t="str">
        <f>IF(ISBLANK($B200),"",IFERROR(VLOOKUP($B200,ESTOQUE!$B$2:$M$997973,3,FALSE),"Produto não cadastrado"))</f>
        <v>JARDINEIRA AMARELA BOTA Nº 43</v>
      </c>
      <c r="E200" s="89" t="str">
        <f>_xlfn.XLOOKUP(B200,ESTOQUE!B:B,ESTOQUE!G:G)</f>
        <v>UND</v>
      </c>
      <c r="F200" s="88">
        <v>11</v>
      </c>
      <c r="G200" s="90"/>
      <c r="H200" s="91">
        <f t="shared" si="3"/>
        <v>0</v>
      </c>
      <c r="I200" s="71"/>
      <c r="J200" s="24"/>
      <c r="K200" s="104"/>
    </row>
    <row r="201" spans="1:11" x14ac:dyDescent="0.25">
      <c r="A201" s="22">
        <v>45960</v>
      </c>
      <c r="B201" s="23">
        <v>161</v>
      </c>
      <c r="C201" s="49" t="str">
        <f>IF(ISBLANK($B201),"",IFERROR(VLOOKUP($B201,ESTOQUE!$B$2:$D$97168,2,FALSE),"Produto não cadastrado"))</f>
        <v>CONSUMO</v>
      </c>
      <c r="D201" s="69" t="str">
        <f>IF(ISBLANK($B201),"",IFERROR(VLOOKUP($B201,ESTOQUE!$B$2:$M$997973,3,FALSE),"Produto não cadastrado"))</f>
        <v>JUGULAR</v>
      </c>
      <c r="E201" s="89" t="str">
        <f>_xlfn.XLOOKUP(B201,ESTOQUE!B:B,ESTOQUE!G:G)</f>
        <v>UND</v>
      </c>
      <c r="F201" s="88">
        <v>119</v>
      </c>
      <c r="G201" s="90"/>
      <c r="H201" s="91">
        <f t="shared" si="3"/>
        <v>0</v>
      </c>
      <c r="I201" s="71"/>
      <c r="J201" s="24"/>
      <c r="K201" s="104"/>
    </row>
    <row r="202" spans="1:11" x14ac:dyDescent="0.25">
      <c r="A202" s="22">
        <v>45960</v>
      </c>
      <c r="B202" s="23">
        <v>110</v>
      </c>
      <c r="C202" s="49" t="str">
        <f>IF(ISBLANK($B202),"",IFERROR(VLOOKUP($B202,ESTOQUE!$B$2:$D$97168,2,FALSE),"Produto não cadastrado"))</f>
        <v>CONSUMO</v>
      </c>
      <c r="D202" s="69" t="str">
        <f>IF(ISBLANK($B202),"",IFERROR(VLOOKUP($B202,ESTOQUE!$B$2:$M$997973,3,FALSE),"Produto não cadastrado"))</f>
        <v>LUVA DE RASPA CANO LONGO</v>
      </c>
      <c r="E202" s="89" t="str">
        <f>_xlfn.XLOOKUP(B202,ESTOQUE!B:B,ESTOQUE!G:G)</f>
        <v>PAR</v>
      </c>
      <c r="F202" s="88">
        <v>18</v>
      </c>
      <c r="G202" s="90"/>
      <c r="H202" s="91">
        <f t="shared" si="3"/>
        <v>0</v>
      </c>
      <c r="I202" s="71"/>
      <c r="J202" s="24"/>
      <c r="K202" s="104"/>
    </row>
    <row r="203" spans="1:11" x14ac:dyDescent="0.25">
      <c r="A203" s="22">
        <v>45960</v>
      </c>
      <c r="B203" s="23">
        <v>112</v>
      </c>
      <c r="C203" s="49" t="str">
        <f>IF(ISBLANK($B203),"",IFERROR(VLOOKUP($B203,ESTOQUE!$B$2:$D$97168,2,FALSE),"Produto não cadastrado"))</f>
        <v>CONSUMO</v>
      </c>
      <c r="D203" s="69" t="str">
        <f>IF(ISBLANK($B203),"",IFERROR(VLOOKUP($B203,ESTOQUE!$B$2:$M$997973,3,FALSE),"Produto não cadastrado"))</f>
        <v>LUVA DE RASPA CANO MEDIO</v>
      </c>
      <c r="E203" s="89" t="str">
        <f>_xlfn.XLOOKUP(B203,ESTOQUE!B:B,ESTOQUE!G:G)</f>
        <v>PAR</v>
      </c>
      <c r="F203" s="88">
        <v>8</v>
      </c>
      <c r="G203" s="90"/>
      <c r="H203" s="91">
        <f t="shared" si="3"/>
        <v>0</v>
      </c>
      <c r="I203" s="71"/>
      <c r="J203" s="24"/>
      <c r="K203" s="104"/>
    </row>
    <row r="204" spans="1:11" x14ac:dyDescent="0.25">
      <c r="A204" s="22">
        <v>45960</v>
      </c>
      <c r="B204" s="23">
        <v>150</v>
      </c>
      <c r="C204" s="49" t="str">
        <f>IF(ISBLANK($B204),"",IFERROR(VLOOKUP($B204,ESTOQUE!$B$2:$D$97168,2,FALSE),"Produto não cadastrado"))</f>
        <v>CONSUMO</v>
      </c>
      <c r="D204" s="69" t="str">
        <f>IF(ISBLANK($B204),"",IFERROR(VLOOKUP($B204,ESTOQUE!$B$2:$M$997973,3,FALSE),"Produto não cadastrado"))</f>
        <v>LUVA ORION ALTA TENSÃO 20KV CLASSE 2 TIPO 2 TAM 9</v>
      </c>
      <c r="E204" s="89" t="str">
        <f>_xlfn.XLOOKUP(B204,ESTOQUE!B:B,ESTOQUE!G:G)</f>
        <v>PAR</v>
      </c>
      <c r="F204" s="88">
        <v>280</v>
      </c>
      <c r="G204" s="90"/>
      <c r="H204" s="91">
        <f t="shared" si="3"/>
        <v>0</v>
      </c>
      <c r="I204" s="71"/>
      <c r="J204" s="24"/>
      <c r="K204" s="104"/>
    </row>
    <row r="205" spans="1:11" x14ac:dyDescent="0.25">
      <c r="A205" s="22">
        <v>45960</v>
      </c>
      <c r="B205" s="23">
        <v>209</v>
      </c>
      <c r="C205" s="49" t="str">
        <f>IF(ISBLANK($B205),"",IFERROR(VLOOKUP($B205,ESTOQUE!$B$2:$D$97168,2,FALSE),"Produto não cadastrado"))</f>
        <v>CONSUMO</v>
      </c>
      <c r="D205" s="69" t="str">
        <f>IF(ISBLANK($B205),"",IFERROR(VLOOKUP($B205,ESTOQUE!$B$2:$M$997973,3,FALSE),"Produto não cadastrado"))</f>
        <v>LUVA PARA SOLDADOR MIG AZUL TAM 10</v>
      </c>
      <c r="E205" s="89" t="str">
        <f>_xlfn.XLOOKUP(B205,ESTOQUE!B:B,ESTOQUE!G:G)</f>
        <v>PAR</v>
      </c>
      <c r="F205" s="88">
        <v>18</v>
      </c>
      <c r="G205" s="90"/>
      <c r="H205" s="91">
        <f t="shared" si="3"/>
        <v>0</v>
      </c>
      <c r="I205" s="71"/>
      <c r="J205" s="24"/>
      <c r="K205" s="104"/>
    </row>
    <row r="206" spans="1:11" x14ac:dyDescent="0.25">
      <c r="A206" s="22">
        <v>45960</v>
      </c>
      <c r="B206" s="23">
        <v>117</v>
      </c>
      <c r="C206" s="49" t="str">
        <f>IF(ISBLANK($B206),"",IFERROR(VLOOKUP($B206,ESTOQUE!$B$2:$D$97168,2,FALSE),"Produto não cadastrado"))</f>
        <v>CONSUMO</v>
      </c>
      <c r="D206" s="69" t="str">
        <f>IF(ISBLANK($B206),"",IFERROR(VLOOKUP($B206,ESTOQUE!$B$2:$M$997973,3,FALSE),"Produto não cadastrado"))</f>
        <v>LUVA PIGMENTADA</v>
      </c>
      <c r="E206" s="89" t="str">
        <f>_xlfn.XLOOKUP(B206,ESTOQUE!B:B,ESTOQUE!G:G)</f>
        <v>PAR</v>
      </c>
      <c r="F206" s="88">
        <v>222</v>
      </c>
      <c r="G206" s="90"/>
      <c r="H206" s="91">
        <f t="shared" si="3"/>
        <v>0</v>
      </c>
      <c r="I206" s="71"/>
      <c r="J206" s="24"/>
      <c r="K206" s="104"/>
    </row>
    <row r="207" spans="1:11" x14ac:dyDescent="0.25">
      <c r="A207" s="22">
        <v>45960</v>
      </c>
      <c r="B207" s="23">
        <v>192</v>
      </c>
      <c r="C207" s="49" t="str">
        <f>IF(ISBLANK($B207),"",IFERROR(VLOOKUP($B207,ESTOQUE!$B$2:$D$97168,2,FALSE),"Produto não cadastrado"))</f>
        <v>CONSUMO</v>
      </c>
      <c r="D207" s="69" t="str">
        <f>IF(ISBLANK($B207),"",IFERROR(VLOOKUP($B207,ESTOQUE!$B$2:$M$997973,3,FALSE),"Produto não cadastrado"))</f>
        <v>LUVA QUIMICA ( 2 OU 3)</v>
      </c>
      <c r="E207" s="89" t="str">
        <f>_xlfn.XLOOKUP(B207,ESTOQUE!B:B,ESTOQUE!G:G)</f>
        <v>UND</v>
      </c>
      <c r="F207" s="88">
        <v>8</v>
      </c>
      <c r="G207" s="90"/>
      <c r="H207" s="91">
        <f t="shared" si="3"/>
        <v>0</v>
      </c>
      <c r="I207" s="71"/>
      <c r="J207" s="24"/>
      <c r="K207" s="104"/>
    </row>
    <row r="208" spans="1:11" x14ac:dyDescent="0.25">
      <c r="A208" s="22">
        <v>45960</v>
      </c>
      <c r="B208" s="23">
        <v>159</v>
      </c>
      <c r="C208" s="49" t="str">
        <f>IF(ISBLANK($B208),"",IFERROR(VLOOKUP($B208,ESTOQUE!$B$2:$D$97168,2,FALSE),"Produto não cadastrado"))</f>
        <v>CONSUMO</v>
      </c>
      <c r="D208" s="69" t="str">
        <f>IF(ISBLANK($B208),"",IFERROR(VLOOKUP($B208,ESTOQUE!$B$2:$M$997973,3,FALSE),"Produto não cadastrado"))</f>
        <v>LUVA VOLK ANTIVIBRAÇÃO GORILA TAM 9</v>
      </c>
      <c r="E208" s="89" t="str">
        <f>_xlfn.XLOOKUP(B208,ESTOQUE!B:B,ESTOQUE!G:G)</f>
        <v>PAR</v>
      </c>
      <c r="F208" s="88">
        <v>177</v>
      </c>
      <c r="G208" s="90"/>
      <c r="H208" s="91">
        <f t="shared" si="3"/>
        <v>0</v>
      </c>
      <c r="I208" s="71"/>
      <c r="J208" s="24"/>
      <c r="K208" s="104"/>
    </row>
    <row r="209" spans="1:11" x14ac:dyDescent="0.25">
      <c r="A209" s="22">
        <v>45960</v>
      </c>
      <c r="B209" s="23">
        <v>118</v>
      </c>
      <c r="C209" s="49" t="str">
        <f>IF(ISBLANK($B209),"",IFERROR(VLOOKUP($B209,ESTOQUE!$B$2:$D$97168,2,FALSE),"Produto não cadastrado"))</f>
        <v>CONSUMO</v>
      </c>
      <c r="D209" s="69" t="str">
        <f>IF(ISBLANK($B209),"",IFERROR(VLOOKUP($B209,ESTOQUE!$B$2:$M$997973,3,FALSE),"Produto não cadastrado"))</f>
        <v>MACACÃO DE PROTEÇÃO TYVEK</v>
      </c>
      <c r="E209" s="89" t="str">
        <f>_xlfn.XLOOKUP(B209,ESTOQUE!B:B,ESTOQUE!G:G)</f>
        <v>UND</v>
      </c>
      <c r="F209" s="88">
        <v>3</v>
      </c>
      <c r="G209" s="90"/>
      <c r="H209" s="91">
        <f t="shared" si="3"/>
        <v>0</v>
      </c>
      <c r="I209" s="71"/>
      <c r="J209" s="24"/>
      <c r="K209" s="104"/>
    </row>
    <row r="210" spans="1:11" x14ac:dyDescent="0.25">
      <c r="A210" s="22">
        <v>45960</v>
      </c>
      <c r="B210" s="23">
        <v>120</v>
      </c>
      <c r="C210" s="49" t="str">
        <f>IF(ISBLANK($B210),"",IFERROR(VLOOKUP($B210,ESTOQUE!$B$2:$D$97168,2,FALSE),"Produto não cadastrado"))</f>
        <v>CONSUMO</v>
      </c>
      <c r="D210" s="69" t="str">
        <f>IF(ISBLANK($B210),"",IFERROR(VLOOKUP($B210,ESTOQUE!$B$2:$M$997973,3,FALSE),"Produto não cadastrado"))</f>
        <v xml:space="preserve">MACACÃO DE RASPA </v>
      </c>
      <c r="E210" s="89" t="str">
        <f>_xlfn.XLOOKUP(B210,ESTOQUE!B:B,ESTOQUE!G:G)</f>
        <v>UND</v>
      </c>
      <c r="F210" s="88">
        <v>1</v>
      </c>
      <c r="G210" s="90"/>
      <c r="H210" s="91">
        <f t="shared" si="3"/>
        <v>0</v>
      </c>
      <c r="I210" s="71"/>
      <c r="J210" s="24"/>
      <c r="K210" s="104"/>
    </row>
    <row r="211" spans="1:11" x14ac:dyDescent="0.25">
      <c r="A211" s="22">
        <v>45960</v>
      </c>
      <c r="B211" s="23">
        <v>125</v>
      </c>
      <c r="C211" s="49" t="str">
        <f>IF(ISBLANK($B211),"",IFERROR(VLOOKUP($B211,ESTOQUE!$B$2:$D$97168,2,FALSE),"Produto não cadastrado"))</f>
        <v>CONSUMO</v>
      </c>
      <c r="D211" s="69" t="str">
        <f>IF(ISBLANK($B211),"",IFERROR(VLOOKUP($B211,ESTOQUE!$B$2:$M$997973,3,FALSE),"Produto não cadastrado"))</f>
        <v xml:space="preserve">MASCARA DE SOLDA AUTOMATICA </v>
      </c>
      <c r="E211" s="89" t="str">
        <f>_xlfn.XLOOKUP(B211,ESTOQUE!B:B,ESTOQUE!G:G)</f>
        <v>UND</v>
      </c>
      <c r="F211" s="88">
        <v>5</v>
      </c>
      <c r="G211" s="90"/>
      <c r="H211" s="91">
        <f t="shared" si="3"/>
        <v>0</v>
      </c>
      <c r="I211" s="71"/>
      <c r="J211" s="24"/>
      <c r="K211" s="104"/>
    </row>
    <row r="212" spans="1:11" x14ac:dyDescent="0.25">
      <c r="A212" s="22">
        <v>45960</v>
      </c>
      <c r="B212" s="23">
        <v>144</v>
      </c>
      <c r="C212" s="49" t="str">
        <f>IF(ISBLANK($B212),"",IFERROR(VLOOKUP($B212,ESTOQUE!$B$2:$D$97168,2,FALSE),"Produto não cadastrado"))</f>
        <v>CONSUMO</v>
      </c>
      <c r="D212" s="69" t="str">
        <f>IF(ISBLANK($B212),"",IFERROR(VLOOKUP($B212,ESTOQUE!$B$2:$M$997973,3,FALSE),"Produto não cadastrado"))</f>
        <v>MASCARA PFF2-S C/ FILTRO</v>
      </c>
      <c r="E212" s="89" t="str">
        <f>_xlfn.XLOOKUP(B212,ESTOQUE!B:B,ESTOQUE!G:G)</f>
        <v>UND</v>
      </c>
      <c r="F212" s="88">
        <v>199</v>
      </c>
      <c r="G212" s="90"/>
      <c r="H212" s="91">
        <f t="shared" si="3"/>
        <v>0</v>
      </c>
      <c r="I212" s="71"/>
      <c r="J212" s="24"/>
      <c r="K212" s="104"/>
    </row>
    <row r="213" spans="1:11" x14ac:dyDescent="0.25">
      <c r="A213" s="22">
        <v>45960</v>
      </c>
      <c r="B213" s="23">
        <v>224</v>
      </c>
      <c r="C213" s="49" t="str">
        <f>IF(ISBLANK($B213),"",IFERROR(VLOOKUP($B213,ESTOQUE!$B$2:$D$97168,2,FALSE),"Produto não cadastrado"))</f>
        <v>CONSUMO</v>
      </c>
      <c r="D213" s="69" t="str">
        <f>IF(ISBLANK($B213),"",IFERROR(VLOOKUP($B213,ESTOQUE!$B$2:$M$997973,3,FALSE),"Produto não cadastrado"))</f>
        <v>OCULOS OPERACIONAL SOBRE POR ESCURO</v>
      </c>
      <c r="E213" s="89" t="str">
        <f>_xlfn.XLOOKUP(B213,ESTOQUE!B:B,ESTOQUE!G:G)</f>
        <v>UND</v>
      </c>
      <c r="F213" s="88">
        <v>101</v>
      </c>
      <c r="G213" s="90"/>
      <c r="H213" s="91">
        <f t="shared" si="3"/>
        <v>0</v>
      </c>
      <c r="I213" s="71"/>
      <c r="J213" s="24"/>
      <c r="K213" s="104"/>
    </row>
    <row r="214" spans="1:11" x14ac:dyDescent="0.25">
      <c r="A214" s="22">
        <v>45960</v>
      </c>
      <c r="B214" s="23">
        <v>225</v>
      </c>
      <c r="C214" s="49" t="str">
        <f>IF(ISBLANK($B214),"",IFERROR(VLOOKUP($B214,ESTOQUE!$B$2:$D$97168,2,FALSE),"Produto não cadastrado"))</f>
        <v>CONSUMO</v>
      </c>
      <c r="D214" s="69" t="str">
        <f>IF(ISBLANK($B214),"",IFERROR(VLOOKUP($B214,ESTOQUE!$B$2:$M$997973,3,FALSE),"Produto não cadastrado"))</f>
        <v>OCULOS OPERACIONAL SOBRE POR INCOLOR</v>
      </c>
      <c r="E214" s="89" t="str">
        <f>_xlfn.XLOOKUP(B214,ESTOQUE!B:B,ESTOQUE!G:G)</f>
        <v>UND</v>
      </c>
      <c r="F214" s="88">
        <v>14</v>
      </c>
      <c r="G214" s="90"/>
      <c r="H214" s="91">
        <f t="shared" si="3"/>
        <v>0</v>
      </c>
      <c r="I214" s="71"/>
      <c r="J214" s="24"/>
      <c r="K214" s="104"/>
    </row>
    <row r="215" spans="1:11" x14ac:dyDescent="0.25">
      <c r="A215" s="22">
        <v>45960</v>
      </c>
      <c r="B215" s="23">
        <v>129</v>
      </c>
      <c r="C215" s="49" t="str">
        <f>IF(ISBLANK($B215),"",IFERROR(VLOOKUP($B215,ESTOQUE!$B$2:$D$97168,2,FALSE),"Produto não cadastrado"))</f>
        <v>CONSUMO</v>
      </c>
      <c r="D215" s="69" t="str">
        <f>IF(ISBLANK($B215),"",IFERROR(VLOOKUP($B215,ESTOQUE!$B$2:$M$997973,3,FALSE),"Produto não cadastrado"))</f>
        <v>PERNEIRA DE RASPA</v>
      </c>
      <c r="E215" s="89" t="str">
        <f>_xlfn.XLOOKUP(B215,ESTOQUE!B:B,ESTOQUE!G:G)</f>
        <v>PAR</v>
      </c>
      <c r="F215" s="88">
        <v>31</v>
      </c>
      <c r="G215" s="90"/>
      <c r="H215" s="91">
        <f t="shared" si="3"/>
        <v>0</v>
      </c>
      <c r="I215" s="71"/>
      <c r="J215" s="24"/>
      <c r="K215" s="104"/>
    </row>
    <row r="216" spans="1:11" x14ac:dyDescent="0.25">
      <c r="A216" s="22">
        <v>45960</v>
      </c>
      <c r="B216" s="23">
        <v>191</v>
      </c>
      <c r="C216" s="49" t="str">
        <f>IF(ISBLANK($B216),"",IFERROR(VLOOKUP($B216,ESTOQUE!$B$2:$D$97168,2,FALSE),"Produto não cadastrado"))</f>
        <v>CONSUMO</v>
      </c>
      <c r="D216" s="69" t="str">
        <f>IF(ISBLANK($B216),"",IFERROR(VLOOKUP($B216,ESTOQUE!$B$2:$M$997973,3,FALSE),"Produto não cadastrado"))</f>
        <v>PROTETOR AUDITIVO TIPO CONCHA</v>
      </c>
      <c r="E216" s="89" t="str">
        <f>_xlfn.XLOOKUP(B216,ESTOQUE!B:B,ESTOQUE!G:G)</f>
        <v>UND</v>
      </c>
      <c r="F216" s="88">
        <v>22</v>
      </c>
      <c r="G216" s="90"/>
      <c r="H216" s="91">
        <f t="shared" si="3"/>
        <v>0</v>
      </c>
      <c r="I216" s="71"/>
      <c r="J216" s="24"/>
      <c r="K216" s="104"/>
    </row>
    <row r="217" spans="1:11" x14ac:dyDescent="0.25">
      <c r="A217" s="22">
        <v>45960</v>
      </c>
      <c r="B217" s="23">
        <v>130</v>
      </c>
      <c r="C217" s="49" t="str">
        <f>IF(ISBLANK($B217),"",IFERROR(VLOOKUP($B217,ESTOQUE!$B$2:$D$97168,2,FALSE),"Produto não cadastrado"))</f>
        <v>CONSUMO</v>
      </c>
      <c r="D217" s="69" t="str">
        <f>IF(ISBLANK($B217),"",IFERROR(VLOOKUP($B217,ESTOQUE!$B$2:$M$997973,3,FALSE),"Produto não cadastrado"))</f>
        <v>PROTETOR AUDITIVO TIPO CONCHA L-300</v>
      </c>
      <c r="E217" s="89" t="str">
        <f>_xlfn.XLOOKUP(B217,ESTOQUE!B:B,ESTOQUE!G:G)</f>
        <v>UND</v>
      </c>
      <c r="F217" s="88">
        <v>50</v>
      </c>
      <c r="G217" s="90"/>
      <c r="H217" s="91">
        <f t="shared" si="3"/>
        <v>0</v>
      </c>
      <c r="I217" s="71"/>
      <c r="J217" s="24"/>
      <c r="K217" s="104"/>
    </row>
    <row r="218" spans="1:11" x14ac:dyDescent="0.25">
      <c r="A218" s="22">
        <v>45960</v>
      </c>
      <c r="B218" s="23">
        <v>139</v>
      </c>
      <c r="C218" s="49" t="str">
        <f>IF(ISBLANK($B218),"",IFERROR(VLOOKUP($B218,ESTOQUE!$B$2:$D$97168,2,FALSE),"Produto não cadastrado"))</f>
        <v>CONSUMO</v>
      </c>
      <c r="D218" s="69" t="str">
        <f>IF(ISBLANK($B218),"",IFERROR(VLOOKUP($B218,ESTOQUE!$B$2:$M$997973,3,FALSE),"Produto não cadastrado"))</f>
        <v>PROTETOR AURICULAR TIPO PLUG</v>
      </c>
      <c r="E218" s="89" t="str">
        <f>_xlfn.XLOOKUP(B218,ESTOQUE!B:B,ESTOQUE!G:G)</f>
        <v>UND</v>
      </c>
      <c r="F218" s="88">
        <v>27</v>
      </c>
      <c r="G218" s="90"/>
      <c r="H218" s="91">
        <f t="shared" si="3"/>
        <v>0</v>
      </c>
      <c r="I218" s="71"/>
      <c r="J218" s="24"/>
      <c r="K218" s="104"/>
    </row>
    <row r="219" spans="1:11" x14ac:dyDescent="0.25">
      <c r="A219" s="22">
        <v>45960</v>
      </c>
      <c r="B219" s="23">
        <v>132</v>
      </c>
      <c r="C219" s="49" t="str">
        <f>IF(ISBLANK($B219),"",IFERROR(VLOOKUP($B219,ESTOQUE!$B$2:$D$97168,2,FALSE),"Produto não cadastrado"))</f>
        <v>CONSUMO</v>
      </c>
      <c r="D219" s="69" t="str">
        <f>IF(ISBLANK($B219),"",IFERROR(VLOOKUP($B219,ESTOQUE!$B$2:$M$997973,3,FALSE),"Produto não cadastrado"))</f>
        <v>PROTETOR FACIAL COM LENTE FOSCA</v>
      </c>
      <c r="E219" s="89" t="str">
        <f>_xlfn.XLOOKUP(B219,ESTOQUE!B:B,ESTOQUE!G:G)</f>
        <v>UND</v>
      </c>
      <c r="F219" s="88">
        <v>6</v>
      </c>
      <c r="G219" s="90"/>
      <c r="H219" s="91">
        <f t="shared" si="3"/>
        <v>0</v>
      </c>
      <c r="I219" s="71"/>
      <c r="J219" s="24"/>
      <c r="K219" s="104"/>
    </row>
    <row r="220" spans="1:11" x14ac:dyDescent="0.25">
      <c r="A220" s="22">
        <v>45967</v>
      </c>
      <c r="B220" s="23">
        <v>118</v>
      </c>
      <c r="C220" s="49" t="str">
        <f>IF(ISBLANK($B220),"",IFERROR(VLOOKUP($B220,ESTOQUE!$B$2:$D$97168,2,FALSE),"Produto não cadastrado"))</f>
        <v>CONSUMO</v>
      </c>
      <c r="D220" s="69" t="str">
        <f>IF(ISBLANK($B220),"",IFERROR(VLOOKUP($B220,ESTOQUE!$B$2:$M$997973,3,FALSE),"Produto não cadastrado"))</f>
        <v>MACACÃO DE PROTEÇÃO TYVEK</v>
      </c>
      <c r="E220" s="89" t="str">
        <f>_xlfn.XLOOKUP(B220,ESTOQUE!B:B,ESTOQUE!G:G)</f>
        <v>UND</v>
      </c>
      <c r="F220" s="88">
        <v>50</v>
      </c>
      <c r="G220" s="90"/>
      <c r="H220" s="91">
        <f t="shared" si="3"/>
        <v>0</v>
      </c>
      <c r="I220" s="71"/>
      <c r="J220" s="24"/>
      <c r="K220" s="104"/>
    </row>
    <row r="221" spans="1:11" x14ac:dyDescent="0.25">
      <c r="A221" s="22">
        <v>45967</v>
      </c>
      <c r="B221" s="23">
        <v>207</v>
      </c>
      <c r="C221" s="49" t="str">
        <f>IF(ISBLANK($B221),"",IFERROR(VLOOKUP($B221,ESTOQUE!$B$2:$D$97168,2,FALSE),"Produto não cadastrado"))</f>
        <v>CONSUMO</v>
      </c>
      <c r="D221" s="69" t="str">
        <f>IF(ISBLANK($B221),"",IFERROR(VLOOKUP($B221,ESTOQUE!$B$2:$M$997973,3,FALSE),"Produto não cadastrado"))</f>
        <v>LUVA POLIESTER ANTICORTE BANHADA PU TAM 9</v>
      </c>
      <c r="E221" s="89" t="str">
        <f>_xlfn.XLOOKUP(B221,ESTOQUE!B:B,ESTOQUE!G:G)</f>
        <v>PAR</v>
      </c>
      <c r="F221" s="88">
        <v>60</v>
      </c>
      <c r="G221" s="90"/>
      <c r="H221" s="91">
        <f t="shared" si="3"/>
        <v>0</v>
      </c>
      <c r="I221" s="71"/>
      <c r="J221" s="24"/>
      <c r="K221" s="104"/>
    </row>
    <row r="222" spans="1:11" x14ac:dyDescent="0.25">
      <c r="A222" s="22">
        <v>45967</v>
      </c>
      <c r="B222" s="23">
        <v>116</v>
      </c>
      <c r="C222" s="49" t="str">
        <f>IF(ISBLANK($B222),"",IFERROR(VLOOKUP($B222,ESTOQUE!$B$2:$D$97168,2,FALSE),"Produto não cadastrado"))</f>
        <v>CONSUMO</v>
      </c>
      <c r="D222" s="69" t="str">
        <f>IF(ISBLANK($B222),"",IFERROR(VLOOKUP($B222,ESTOQUE!$B$2:$M$997973,3,FALSE),"Produto não cadastrado"))</f>
        <v>LUVA PVC LINEA - CANO LONGO</v>
      </c>
      <c r="E222" s="89" t="str">
        <f>_xlfn.XLOOKUP(B222,ESTOQUE!B:B,ESTOQUE!G:G)</f>
        <v>PAR</v>
      </c>
      <c r="F222" s="88">
        <v>24</v>
      </c>
      <c r="G222" s="90"/>
      <c r="H222" s="91">
        <f t="shared" si="3"/>
        <v>0</v>
      </c>
      <c r="I222" s="71"/>
      <c r="J222" s="24"/>
      <c r="K222" s="104"/>
    </row>
    <row r="223" spans="1:11" x14ac:dyDescent="0.25">
      <c r="A223" s="22">
        <v>45967</v>
      </c>
      <c r="B223" s="23">
        <v>144</v>
      </c>
      <c r="C223" s="49" t="str">
        <f>IF(ISBLANK($B223),"",IFERROR(VLOOKUP($B223,ESTOQUE!$B$2:$D$97168,2,FALSE),"Produto não cadastrado"))</f>
        <v>CONSUMO</v>
      </c>
      <c r="D223" s="69" t="str">
        <f>IF(ISBLANK($B223),"",IFERROR(VLOOKUP($B223,ESTOQUE!$B$2:$M$997973,3,FALSE),"Produto não cadastrado"))</f>
        <v>MASCARA PFF2-S C/ FILTRO</v>
      </c>
      <c r="E223" s="89" t="str">
        <f>_xlfn.XLOOKUP(B223,ESTOQUE!B:B,ESTOQUE!G:G)</f>
        <v>UND</v>
      </c>
      <c r="F223" s="88">
        <v>200</v>
      </c>
      <c r="G223" s="90"/>
      <c r="H223" s="91">
        <f t="shared" si="3"/>
        <v>0</v>
      </c>
      <c r="I223" s="71"/>
      <c r="J223" s="24"/>
      <c r="K223" s="104"/>
    </row>
    <row r="224" spans="1:11" x14ac:dyDescent="0.25">
      <c r="A224" s="22">
        <v>45967</v>
      </c>
      <c r="B224" s="23">
        <v>1</v>
      </c>
      <c r="C224" s="49" t="str">
        <f>IF(ISBLANK($B224),"",IFERROR(VLOOKUP($B224,ESTOQUE!$B$2:$D$97168,2,FALSE),"Produto não cadastrado"))</f>
        <v>CONSUMO</v>
      </c>
      <c r="D224" s="69" t="str">
        <f>IF(ISBLANK($B224),"",IFERROR(VLOOKUP($B224,ESTOQUE!$B$2:$M$997973,3,FALSE),"Produto não cadastrado"))</f>
        <v>ABAFADOR DE RUIDOS TIPO CONCHA</v>
      </c>
      <c r="E224" s="89" t="str">
        <f>_xlfn.XLOOKUP(B224,ESTOQUE!B:B,ESTOQUE!G:G)</f>
        <v>UND</v>
      </c>
      <c r="F224" s="88">
        <v>15</v>
      </c>
      <c r="G224" s="90"/>
      <c r="H224" s="91">
        <f t="shared" si="3"/>
        <v>0</v>
      </c>
      <c r="I224" s="71"/>
      <c r="J224" s="24"/>
      <c r="K224" s="104"/>
    </row>
    <row r="225" spans="1:11" x14ac:dyDescent="0.25">
      <c r="A225" s="22">
        <v>45967</v>
      </c>
      <c r="B225" s="23">
        <v>141</v>
      </c>
      <c r="C225" s="49" t="str">
        <f>IF(ISBLANK($B225),"",IFERROR(VLOOKUP($B225,ESTOQUE!$B$2:$D$97168,2,FALSE),"Produto não cadastrado"))</f>
        <v>CONSUMO</v>
      </c>
      <c r="D225" s="69" t="str">
        <f>IF(ISBLANK($B225),"",IFERROR(VLOOKUP($B225,ESTOQUE!$B$2:$M$997973,3,FALSE),"Produto não cadastrado"))</f>
        <v xml:space="preserve">LUVA DE VAQUETA </v>
      </c>
      <c r="E225" s="89" t="str">
        <f>_xlfn.XLOOKUP(B225,ESTOQUE!B:B,ESTOQUE!G:G)</f>
        <v>PAR</v>
      </c>
      <c r="F225" s="88">
        <v>5</v>
      </c>
      <c r="G225" s="90"/>
      <c r="H225" s="91">
        <f t="shared" si="3"/>
        <v>0</v>
      </c>
      <c r="I225" s="71"/>
      <c r="J225" s="24"/>
      <c r="K225" s="104"/>
    </row>
    <row r="226" spans="1:11" x14ac:dyDescent="0.25">
      <c r="A226" s="22">
        <v>45967</v>
      </c>
      <c r="B226" s="23">
        <v>189</v>
      </c>
      <c r="C226" s="49" t="str">
        <f>IF(ISBLANK($B226),"",IFERROR(VLOOKUP($B226,ESTOQUE!$B$2:$D$97168,2,FALSE),"Produto não cadastrado"))</f>
        <v>CONSUMO</v>
      </c>
      <c r="D226" s="69" t="str">
        <f>IF(ISBLANK($B226),"",IFERROR(VLOOKUP($B226,ESTOQUE!$B$2:$M$997973,3,FALSE),"Produto não cadastrado"))</f>
        <v xml:space="preserve">LUVA DE VAQUETA MISTA </v>
      </c>
      <c r="E226" s="89" t="str">
        <f>_xlfn.XLOOKUP(B226,ESTOQUE!B:B,ESTOQUE!G:G)</f>
        <v>UND</v>
      </c>
      <c r="F226" s="88">
        <v>10</v>
      </c>
      <c r="G226" s="90"/>
      <c r="H226" s="91">
        <f t="shared" si="3"/>
        <v>0</v>
      </c>
      <c r="I226" s="71"/>
      <c r="J226" s="24"/>
      <c r="K226" s="104"/>
    </row>
    <row r="227" spans="1:11" x14ac:dyDescent="0.25">
      <c r="A227" s="22">
        <v>45967</v>
      </c>
      <c r="B227" s="23">
        <v>224</v>
      </c>
      <c r="C227" s="49" t="str">
        <f>IF(ISBLANK($B227),"",IFERROR(VLOOKUP($B227,ESTOQUE!$B$2:$D$97168,2,FALSE),"Produto não cadastrado"))</f>
        <v>CONSUMO</v>
      </c>
      <c r="D227" s="69" t="str">
        <f>IF(ISBLANK($B227),"",IFERROR(VLOOKUP($B227,ESTOQUE!$B$2:$M$997973,3,FALSE),"Produto não cadastrado"))</f>
        <v>OCULOS OPERACIONAL SOBRE POR ESCURO</v>
      </c>
      <c r="E227" s="89" t="str">
        <f>_xlfn.XLOOKUP(B227,ESTOQUE!B:B,ESTOQUE!G:G)</f>
        <v>UND</v>
      </c>
      <c r="F227" s="88">
        <v>20</v>
      </c>
      <c r="G227" s="92"/>
      <c r="H227" s="91">
        <f t="shared" si="3"/>
        <v>0</v>
      </c>
      <c r="I227" s="71"/>
      <c r="J227" s="24"/>
      <c r="K227" s="104"/>
    </row>
    <row r="228" spans="1:11" x14ac:dyDescent="0.25">
      <c r="A228" s="22">
        <v>45967</v>
      </c>
      <c r="B228" s="23">
        <v>67</v>
      </c>
      <c r="C228" s="49" t="str">
        <f>IF(ISBLANK($B228),"",IFERROR(VLOOKUP($B228,ESTOQUE!$B$2:$D$97168,2,FALSE),"Produto não cadastrado"))</f>
        <v>CONSUMO</v>
      </c>
      <c r="D228" s="69" t="str">
        <f>IF(ISBLANK($B228),"",IFERROR(VLOOKUP($B228,ESTOQUE!$B$2:$M$997973,3,FALSE),"Produto não cadastrado"))</f>
        <v>CAMISA LARANJA OP. C/ FAIXA REFLETIVA TAM: G</v>
      </c>
      <c r="E228" s="89" t="str">
        <f>_xlfn.XLOOKUP(B228,ESTOQUE!B:B,ESTOQUE!G:G)</f>
        <v>UND</v>
      </c>
      <c r="F228" s="88">
        <v>10</v>
      </c>
      <c r="G228" s="90"/>
      <c r="H228" s="91">
        <f t="shared" si="3"/>
        <v>0</v>
      </c>
      <c r="I228" s="71"/>
      <c r="J228" s="24"/>
      <c r="K228" s="104"/>
    </row>
    <row r="229" spans="1:11" x14ac:dyDescent="0.25">
      <c r="A229" s="22">
        <v>45967</v>
      </c>
      <c r="B229" s="23">
        <v>68</v>
      </c>
      <c r="C229" s="49" t="str">
        <f>IF(ISBLANK($B229),"",IFERROR(VLOOKUP($B229,ESTOQUE!$B$2:$D$97168,2,FALSE),"Produto não cadastrado"))</f>
        <v>CONSUMO</v>
      </c>
      <c r="D229" s="69" t="str">
        <f>IF(ISBLANK($B229),"",IFERROR(VLOOKUP($B229,ESTOQUE!$B$2:$M$997973,3,FALSE),"Produto não cadastrado"))</f>
        <v>CAMISA LARANJA OP. C/ FAIXA REFLETIVA TAM: GG</v>
      </c>
      <c r="E229" s="89" t="str">
        <f>_xlfn.XLOOKUP(B229,ESTOQUE!B:B,ESTOQUE!G:G)</f>
        <v>UND</v>
      </c>
      <c r="F229" s="88">
        <v>10</v>
      </c>
      <c r="G229" s="90"/>
      <c r="H229" s="91">
        <f t="shared" si="3"/>
        <v>0</v>
      </c>
      <c r="I229" s="71"/>
      <c r="J229" s="24"/>
      <c r="K229" s="104"/>
    </row>
    <row r="230" spans="1:11" x14ac:dyDescent="0.25">
      <c r="A230" s="22">
        <v>45967</v>
      </c>
      <c r="B230" s="23">
        <v>69</v>
      </c>
      <c r="C230" s="49" t="str">
        <f>IF(ISBLANK($B230),"",IFERROR(VLOOKUP($B230,ESTOQUE!$B$2:$D$97168,2,FALSE),"Produto não cadastrado"))</f>
        <v>CONSUMO</v>
      </c>
      <c r="D230" s="69" t="str">
        <f>IF(ISBLANK($B230),"",IFERROR(VLOOKUP($B230,ESTOQUE!$B$2:$M$997973,3,FALSE),"Produto não cadastrado"))</f>
        <v>CAMISA LARANJA OP. C/ FAIXA REFLETIVA TAM: M</v>
      </c>
      <c r="E230" s="89" t="str">
        <f>_xlfn.XLOOKUP(B230,ESTOQUE!B:B,ESTOQUE!G:G)</f>
        <v>UND</v>
      </c>
      <c r="F230" s="88">
        <v>10</v>
      </c>
      <c r="G230" s="90"/>
      <c r="H230" s="91">
        <f t="shared" si="3"/>
        <v>0</v>
      </c>
      <c r="I230" s="71"/>
      <c r="J230" s="24"/>
      <c r="K230" s="104"/>
    </row>
    <row r="231" spans="1:11" x14ac:dyDescent="0.25">
      <c r="A231" s="22">
        <v>45967</v>
      </c>
      <c r="B231" s="23">
        <v>70</v>
      </c>
      <c r="C231" s="49" t="str">
        <f>IF(ISBLANK($B231),"",IFERROR(VLOOKUP($B231,ESTOQUE!$B$2:$D$97168,2,FALSE),"Produto não cadastrado"))</f>
        <v>CONSUMO</v>
      </c>
      <c r="D231" s="69" t="str">
        <f>IF(ISBLANK($B231),"",IFERROR(VLOOKUP($B231,ESTOQUE!$B$2:$M$997973,3,FALSE),"Produto não cadastrado"))</f>
        <v>CAMISA LARANJA OP. C/ FAIXA REFLETIVA TAM: P</v>
      </c>
      <c r="E231" s="89" t="str">
        <f>_xlfn.XLOOKUP(B231,ESTOQUE!B:B,ESTOQUE!G:G)</f>
        <v>UND</v>
      </c>
      <c r="F231" s="88">
        <v>10</v>
      </c>
      <c r="G231" s="90"/>
      <c r="H231" s="91">
        <f t="shared" si="3"/>
        <v>0</v>
      </c>
      <c r="I231" s="71"/>
      <c r="J231" s="24"/>
      <c r="K231" s="104"/>
    </row>
    <row r="232" spans="1:11" x14ac:dyDescent="0.25">
      <c r="A232" s="22">
        <v>45967</v>
      </c>
      <c r="B232" s="23">
        <v>190</v>
      </c>
      <c r="C232" s="49" t="str">
        <f>IF(ISBLANK($B232),"",IFERROR(VLOOKUP($B232,ESTOQUE!$B$2:$D$97168,2,FALSE),"Produto não cadastrado"))</f>
        <v>CONSUMO</v>
      </c>
      <c r="D232" s="69" t="str">
        <f>IF(ISBLANK($B232),"",IFERROR(VLOOKUP($B232,ESTOQUE!$B$2:$M$997973,3,FALSE),"Produto não cadastrado"))</f>
        <v>AVENTAL DE RASPA TAM 120X60</v>
      </c>
      <c r="E232" s="89" t="str">
        <f>_xlfn.XLOOKUP(B232,ESTOQUE!B:B,ESTOQUE!G:G)</f>
        <v>UND</v>
      </c>
      <c r="F232" s="88">
        <v>16</v>
      </c>
      <c r="G232" s="90"/>
      <c r="H232" s="91">
        <f t="shared" si="3"/>
        <v>0</v>
      </c>
      <c r="I232" s="71"/>
      <c r="J232" s="24"/>
      <c r="K232" s="104"/>
    </row>
    <row r="233" spans="1:11" x14ac:dyDescent="0.25">
      <c r="A233" s="22">
        <v>45967</v>
      </c>
      <c r="B233" s="23">
        <v>46</v>
      </c>
      <c r="C233" s="49" t="str">
        <f>IF(ISBLANK($B233),"",IFERROR(VLOOKUP($B233,ESTOQUE!$B$2:$D$97168,2,FALSE),"Produto não cadastrado"))</f>
        <v>CONSUMO</v>
      </c>
      <c r="D233" s="69" t="str">
        <f>IF(ISBLANK($B233),"",IFERROR(VLOOKUP($B233,ESTOQUE!$B$2:$M$997973,3,FALSE),"Produto não cadastrado"))</f>
        <v>CALÇA CINZA OP. C/ FAIXA REFLETIVA TAM: G</v>
      </c>
      <c r="E233" s="89" t="str">
        <f>_xlfn.XLOOKUP(B233,ESTOQUE!B:B,ESTOQUE!G:G)</f>
        <v>UND</v>
      </c>
      <c r="F233" s="88">
        <v>10</v>
      </c>
      <c r="G233" s="90"/>
      <c r="H233" s="91">
        <f t="shared" si="3"/>
        <v>0</v>
      </c>
      <c r="I233" s="71"/>
      <c r="J233" s="24"/>
      <c r="K233" s="104"/>
    </row>
    <row r="234" spans="1:11" x14ac:dyDescent="0.25">
      <c r="A234" s="22">
        <v>45967</v>
      </c>
      <c r="B234" s="23">
        <v>48</v>
      </c>
      <c r="C234" s="49" t="str">
        <f>IF(ISBLANK($B234),"",IFERROR(VLOOKUP($B234,ESTOQUE!$B$2:$D$97168,2,FALSE),"Produto não cadastrado"))</f>
        <v>CONSUMO</v>
      </c>
      <c r="D234" s="69" t="str">
        <f>IF(ISBLANK($B234),"",IFERROR(VLOOKUP($B234,ESTOQUE!$B$2:$M$997973,3,FALSE),"Produto não cadastrado"))</f>
        <v>CALÇA CINZA OP. C/ FAIXA REFLETIVA TAM: M</v>
      </c>
      <c r="E234" s="89" t="str">
        <f>_xlfn.XLOOKUP(B234,ESTOQUE!B:B,ESTOQUE!G:G)</f>
        <v>UND</v>
      </c>
      <c r="F234" s="88">
        <v>10</v>
      </c>
      <c r="G234" s="90"/>
      <c r="H234" s="91">
        <f t="shared" si="3"/>
        <v>0</v>
      </c>
      <c r="I234" s="71"/>
      <c r="J234" s="24"/>
      <c r="K234" s="104"/>
    </row>
    <row r="235" spans="1:11" x14ac:dyDescent="0.25">
      <c r="A235" s="22">
        <v>45967</v>
      </c>
      <c r="B235" s="23">
        <v>37</v>
      </c>
      <c r="C235" s="49" t="str">
        <f>IF(ISBLANK($B235),"",IFERROR(VLOOKUP($B235,ESTOQUE!$B$2:$D$97168,2,FALSE),"Produto não cadastrado"))</f>
        <v>CONSUMO</v>
      </c>
      <c r="D235" s="69" t="str">
        <f>IF(ISBLANK($B235),"",IFERROR(VLOOKUP($B235,ESTOQUE!$B$2:$M$997973,3,FALSE),"Produto não cadastrado"))</f>
        <v>BOTINA OP. BICO PVC Nº 39</v>
      </c>
      <c r="E235" s="89" t="str">
        <f>_xlfn.XLOOKUP(B235,ESTOQUE!B:B,ESTOQUE!G:G)</f>
        <v>PAR</v>
      </c>
      <c r="F235" s="88">
        <v>10</v>
      </c>
      <c r="G235" s="90"/>
      <c r="H235" s="91">
        <f t="shared" si="3"/>
        <v>0</v>
      </c>
      <c r="I235" s="71"/>
      <c r="J235" s="24"/>
      <c r="K235" s="104"/>
    </row>
    <row r="236" spans="1:11" x14ac:dyDescent="0.25">
      <c r="A236" s="22">
        <v>45967</v>
      </c>
      <c r="B236" s="23">
        <v>114</v>
      </c>
      <c r="C236" s="49" t="str">
        <f>IF(ISBLANK($B236),"",IFERROR(VLOOKUP($B236,ESTOQUE!$B$2:$D$97168,2,FALSE),"Produto não cadastrado"))</f>
        <v>CONSUMO</v>
      </c>
      <c r="D236" s="69" t="str">
        <f>IF(ISBLANK($B236),"",IFERROR(VLOOKUP($B236,ESTOQUE!$B$2:$M$997973,3,FALSE),"Produto não cadastrado"))</f>
        <v xml:space="preserve">LUVA LATEX NITRILICA </v>
      </c>
      <c r="E236" s="89" t="str">
        <f>_xlfn.XLOOKUP(B236,ESTOQUE!B:B,ESTOQUE!G:G)</f>
        <v>PAR</v>
      </c>
      <c r="F236" s="88">
        <v>67</v>
      </c>
      <c r="G236" s="90"/>
      <c r="H236" s="91">
        <f t="shared" si="3"/>
        <v>0</v>
      </c>
      <c r="I236" s="71"/>
      <c r="J236" s="24"/>
      <c r="K236" s="104"/>
    </row>
    <row r="237" spans="1:11" x14ac:dyDescent="0.25">
      <c r="A237" s="22">
        <v>45967</v>
      </c>
      <c r="B237" s="23">
        <v>73</v>
      </c>
      <c r="C237" s="49" t="str">
        <f>IF(ISBLANK($B237),"",IFERROR(VLOOKUP($B237,ESTOQUE!$B$2:$D$97168,2,FALSE),"Produto não cadastrado"))</f>
        <v>CONSUMO</v>
      </c>
      <c r="D237" s="69" t="str">
        <f>IF(ISBLANK($B237),"",IFERROR(VLOOKUP($B237,ESTOQUE!$B$2:$M$997973,3,FALSE),"Produto não cadastrado"))</f>
        <v>CAPA DE CHUVA GG</v>
      </c>
      <c r="E237" s="89" t="str">
        <f>_xlfn.XLOOKUP(B237,ESTOQUE!B:B,ESTOQUE!G:G)</f>
        <v>UND</v>
      </c>
      <c r="F237" s="88">
        <v>100</v>
      </c>
      <c r="G237" s="90"/>
      <c r="H237" s="91">
        <f t="shared" si="3"/>
        <v>0</v>
      </c>
      <c r="I237" s="71"/>
      <c r="J237" s="24"/>
      <c r="K237" s="104"/>
    </row>
    <row r="238" spans="1:11" x14ac:dyDescent="0.25">
      <c r="A238" s="22">
        <v>45967</v>
      </c>
      <c r="B238" s="23">
        <v>207</v>
      </c>
      <c r="C238" s="49" t="str">
        <f>IF(ISBLANK($B238),"",IFERROR(VLOOKUP($B238,ESTOQUE!$B$2:$D$97168,2,FALSE),"Produto não cadastrado"))</f>
        <v>CONSUMO</v>
      </c>
      <c r="D238" s="69" t="str">
        <f>IF(ISBLANK($B238),"",IFERROR(VLOOKUP($B238,ESTOQUE!$B$2:$M$997973,3,FALSE),"Produto não cadastrado"))</f>
        <v>LUVA POLIESTER ANTICORTE BANHADA PU TAM 9</v>
      </c>
      <c r="E238" s="89" t="str">
        <f>_xlfn.XLOOKUP(B238,ESTOQUE!B:B,ESTOQUE!G:G)</f>
        <v>PAR</v>
      </c>
      <c r="F238" s="88">
        <v>72</v>
      </c>
      <c r="G238" s="92"/>
      <c r="H238" s="91">
        <f t="shared" si="3"/>
        <v>0</v>
      </c>
      <c r="I238" s="71"/>
      <c r="J238" s="24"/>
      <c r="K238" s="104"/>
    </row>
    <row r="239" spans="1:11" x14ac:dyDescent="0.25">
      <c r="A239" s="22">
        <v>45967</v>
      </c>
      <c r="B239" s="23">
        <v>118</v>
      </c>
      <c r="C239" s="49" t="str">
        <f>IF(ISBLANK($B239),"",IFERROR(VLOOKUP($B239,ESTOQUE!$B$2:$D$97168,2,FALSE),"Produto não cadastrado"))</f>
        <v>CONSUMO</v>
      </c>
      <c r="D239" s="69" t="str">
        <f>IF(ISBLANK($B239),"",IFERROR(VLOOKUP($B239,ESTOQUE!$B$2:$M$997973,3,FALSE),"Produto não cadastrado"))</f>
        <v>MACACÃO DE PROTEÇÃO TYVEK</v>
      </c>
      <c r="E239" s="89" t="str">
        <f>_xlfn.XLOOKUP(B239,ESTOQUE!B:B,ESTOQUE!G:G)</f>
        <v>UND</v>
      </c>
      <c r="F239" s="88">
        <v>100</v>
      </c>
      <c r="G239" s="90"/>
      <c r="H239" s="91">
        <f t="shared" si="3"/>
        <v>0</v>
      </c>
      <c r="I239" s="71"/>
      <c r="J239" s="24"/>
      <c r="K239" s="104"/>
    </row>
    <row r="240" spans="1:11" x14ac:dyDescent="0.25">
      <c r="A240" s="22">
        <v>45967</v>
      </c>
      <c r="B240" s="23">
        <v>68</v>
      </c>
      <c r="C240" s="49" t="str">
        <f>IF(ISBLANK($B240),"",IFERROR(VLOOKUP($B240,ESTOQUE!$B$2:$D$97168,2,FALSE),"Produto não cadastrado"))</f>
        <v>CONSUMO</v>
      </c>
      <c r="D240" s="69" t="str">
        <f>IF(ISBLANK($B240),"",IFERROR(VLOOKUP($B240,ESTOQUE!$B$2:$M$997973,3,FALSE),"Produto não cadastrado"))</f>
        <v>CAMISA LARANJA OP. C/ FAIXA REFLETIVA TAM: GG</v>
      </c>
      <c r="E240" s="89" t="str">
        <f>_xlfn.XLOOKUP(B240,ESTOQUE!B:B,ESTOQUE!G:G)</f>
        <v>UND</v>
      </c>
      <c r="F240" s="88">
        <v>20</v>
      </c>
      <c r="G240" s="90"/>
      <c r="H240" s="91">
        <f t="shared" si="3"/>
        <v>0</v>
      </c>
      <c r="I240" s="71"/>
      <c r="J240" s="24"/>
      <c r="K240" s="104"/>
    </row>
    <row r="241" spans="1:11" x14ac:dyDescent="0.25">
      <c r="A241" s="22">
        <v>45967</v>
      </c>
      <c r="B241" s="23">
        <v>67</v>
      </c>
      <c r="C241" s="49" t="str">
        <f>IF(ISBLANK($B241),"",IFERROR(VLOOKUP($B241,ESTOQUE!$B$2:$D$97168,2,FALSE),"Produto não cadastrado"))</f>
        <v>CONSUMO</v>
      </c>
      <c r="D241" s="69" t="str">
        <f>IF(ISBLANK($B241),"",IFERROR(VLOOKUP($B241,ESTOQUE!$B$2:$M$997973,3,FALSE),"Produto não cadastrado"))</f>
        <v>CAMISA LARANJA OP. C/ FAIXA REFLETIVA TAM: G</v>
      </c>
      <c r="E241" s="89" t="str">
        <f>_xlfn.XLOOKUP(B241,ESTOQUE!B:B,ESTOQUE!G:G)</f>
        <v>UND</v>
      </c>
      <c r="F241" s="88">
        <v>29</v>
      </c>
      <c r="G241" s="92"/>
      <c r="H241" s="91">
        <f t="shared" si="3"/>
        <v>0</v>
      </c>
      <c r="I241" s="71"/>
      <c r="J241" s="24"/>
      <c r="K241" s="104"/>
    </row>
    <row r="242" spans="1:11" x14ac:dyDescent="0.25">
      <c r="A242" s="22">
        <v>45967</v>
      </c>
      <c r="B242" s="23">
        <v>69</v>
      </c>
      <c r="C242" s="49" t="str">
        <f>IF(ISBLANK($B242),"",IFERROR(VLOOKUP($B242,ESTOQUE!$B$2:$D$97168,2,FALSE),"Produto não cadastrado"))</f>
        <v>CONSUMO</v>
      </c>
      <c r="D242" s="69" t="str">
        <f>IF(ISBLANK($B242),"",IFERROR(VLOOKUP($B242,ESTOQUE!$B$2:$M$997973,3,FALSE),"Produto não cadastrado"))</f>
        <v>CAMISA LARANJA OP. C/ FAIXA REFLETIVA TAM: M</v>
      </c>
      <c r="E242" s="89" t="str">
        <f>_xlfn.XLOOKUP(B242,ESTOQUE!B:B,ESTOQUE!G:G)</f>
        <v>UND</v>
      </c>
      <c r="F242" s="88">
        <v>20</v>
      </c>
      <c r="G242" s="90"/>
      <c r="H242" s="91">
        <f t="shared" si="3"/>
        <v>0</v>
      </c>
      <c r="I242" s="71"/>
      <c r="J242" s="24"/>
      <c r="K242" s="104"/>
    </row>
    <row r="243" spans="1:11" x14ac:dyDescent="0.25">
      <c r="A243" s="22">
        <v>45967</v>
      </c>
      <c r="B243" s="23">
        <v>70</v>
      </c>
      <c r="C243" s="49" t="str">
        <f>IF(ISBLANK($B243),"",IFERROR(VLOOKUP($B243,ESTOQUE!$B$2:$D$97168,2,FALSE),"Produto não cadastrado"))</f>
        <v>CONSUMO</v>
      </c>
      <c r="D243" s="69" t="str">
        <f>IF(ISBLANK($B243),"",IFERROR(VLOOKUP($B243,ESTOQUE!$B$2:$M$997973,3,FALSE),"Produto não cadastrado"))</f>
        <v>CAMISA LARANJA OP. C/ FAIXA REFLETIVA TAM: P</v>
      </c>
      <c r="E243" s="89" t="str">
        <f>_xlfn.XLOOKUP(B243,ESTOQUE!B:B,ESTOQUE!G:G)</f>
        <v>UND</v>
      </c>
      <c r="F243" s="88">
        <v>24</v>
      </c>
      <c r="G243" s="90"/>
      <c r="H243" s="91">
        <f t="shared" si="3"/>
        <v>0</v>
      </c>
      <c r="I243" s="71"/>
      <c r="J243" s="24"/>
      <c r="K243" s="104"/>
    </row>
    <row r="244" spans="1:11" x14ac:dyDescent="0.25">
      <c r="A244" s="22">
        <v>45967</v>
      </c>
      <c r="B244" s="23">
        <v>199</v>
      </c>
      <c r="C244" s="49" t="str">
        <f>IF(ISBLANK($B244),"",IFERROR(VLOOKUP($B244,ESTOQUE!$B$2:$D$97168,2,FALSE),"Produto não cadastrado"))</f>
        <v>CONSUMO</v>
      </c>
      <c r="D244" s="69" t="str">
        <f>IF(ISBLANK($B244),"",IFERROR(VLOOKUP($B244,ESTOQUE!$B$2:$M$997973,3,FALSE),"Produto não cadastrado"))</f>
        <v>CAMISA LARANJA OP. C/ FAIXA REFLETIVA TAM: EXG</v>
      </c>
      <c r="E244" s="89" t="str">
        <f>_xlfn.XLOOKUP(B244,ESTOQUE!B:B,ESTOQUE!G:G)</f>
        <v>UND</v>
      </c>
      <c r="F244" s="88">
        <v>2</v>
      </c>
      <c r="G244" s="92"/>
      <c r="H244" s="91">
        <f t="shared" si="3"/>
        <v>0</v>
      </c>
      <c r="I244" s="71"/>
      <c r="J244" s="24"/>
      <c r="K244" s="104"/>
    </row>
    <row r="245" spans="1:11" x14ac:dyDescent="0.25">
      <c r="A245" s="22">
        <v>45967</v>
      </c>
      <c r="B245" s="23">
        <v>71</v>
      </c>
      <c r="C245" s="49" t="str">
        <f>IF(ISBLANK($B245),"",IFERROR(VLOOKUP($B245,ESTOQUE!$B$2:$D$97168,2,FALSE),"Produto não cadastrado"))</f>
        <v>CONSUMO</v>
      </c>
      <c r="D245" s="69" t="str">
        <f>IF(ISBLANK($B245),"",IFERROR(VLOOKUP($B245,ESTOQUE!$B$2:$M$997973,3,FALSE),"Produto não cadastrado"))</f>
        <v>CAMISA LARANJA OP. C/ FAIXA REFLETIVA TAM: XG</v>
      </c>
      <c r="E245" s="89" t="str">
        <f>_xlfn.XLOOKUP(B245,ESTOQUE!B:B,ESTOQUE!G:G)</f>
        <v>UND</v>
      </c>
      <c r="F245" s="88">
        <v>17</v>
      </c>
      <c r="G245" s="90"/>
      <c r="H245" s="91">
        <f t="shared" si="3"/>
        <v>0</v>
      </c>
      <c r="I245" s="71"/>
      <c r="J245" s="24"/>
      <c r="K245" s="104"/>
    </row>
    <row r="246" spans="1:11" x14ac:dyDescent="0.25">
      <c r="A246" s="22">
        <v>45967</v>
      </c>
      <c r="B246" s="23">
        <v>47</v>
      </c>
      <c r="C246" s="49" t="str">
        <f>IF(ISBLANK($B246),"",IFERROR(VLOOKUP($B246,ESTOQUE!$B$2:$D$97168,2,FALSE),"Produto não cadastrado"))</f>
        <v>CONSUMO</v>
      </c>
      <c r="D246" s="69" t="str">
        <f>IF(ISBLANK($B246),"",IFERROR(VLOOKUP($B246,ESTOQUE!$B$2:$M$997973,3,FALSE),"Produto não cadastrado"))</f>
        <v>CALÇA CINZA OP. C/ FAIXA REFLETIVA TAM: GG</v>
      </c>
      <c r="E246" s="89" t="str">
        <f>_xlfn.XLOOKUP(B246,ESTOQUE!B:B,ESTOQUE!G:G)</f>
        <v>UND</v>
      </c>
      <c r="F246" s="88">
        <v>10</v>
      </c>
      <c r="G246" s="92"/>
      <c r="H246" s="91">
        <f t="shared" si="3"/>
        <v>0</v>
      </c>
      <c r="I246" s="71"/>
      <c r="J246" s="24"/>
      <c r="K246" s="104"/>
    </row>
    <row r="247" spans="1:11" x14ac:dyDescent="0.25">
      <c r="A247" s="22">
        <v>45967</v>
      </c>
      <c r="B247" s="23">
        <v>50</v>
      </c>
      <c r="C247" s="49" t="str">
        <f>IF(ISBLANK($B247),"",IFERROR(VLOOKUP($B247,ESTOQUE!$B$2:$D$97168,2,FALSE),"Produto não cadastrado"))</f>
        <v>CONSUMO</v>
      </c>
      <c r="D247" s="69" t="str">
        <f>IF(ISBLANK($B247),"",IFERROR(VLOOKUP($B247,ESTOQUE!$B$2:$M$997973,3,FALSE),"Produto não cadastrado"))</f>
        <v>CALÇA CINZA OP. C/ FAIXA REFLETIVA TAM: XG</v>
      </c>
      <c r="E247" s="89" t="str">
        <f>_xlfn.XLOOKUP(B247,ESTOQUE!B:B,ESTOQUE!G:G)</f>
        <v>UND</v>
      </c>
      <c r="F247" s="88">
        <v>10</v>
      </c>
      <c r="G247" s="90"/>
      <c r="H247" s="91">
        <f t="shared" si="3"/>
        <v>0</v>
      </c>
      <c r="I247" s="71"/>
      <c r="J247" s="24"/>
      <c r="K247" s="104"/>
    </row>
    <row r="248" spans="1:11" x14ac:dyDescent="0.25">
      <c r="A248" s="22">
        <v>45967</v>
      </c>
      <c r="B248" s="23">
        <v>48</v>
      </c>
      <c r="C248" s="49" t="str">
        <f>IF(ISBLANK($B248),"",IFERROR(VLOOKUP($B248,ESTOQUE!$B$2:$D$97168,2,FALSE),"Produto não cadastrado"))</f>
        <v>CONSUMO</v>
      </c>
      <c r="D248" s="69" t="str">
        <f>IF(ISBLANK($B248),"",IFERROR(VLOOKUP($B248,ESTOQUE!$B$2:$M$997973,3,FALSE),"Produto não cadastrado"))</f>
        <v>CALÇA CINZA OP. C/ FAIXA REFLETIVA TAM: M</v>
      </c>
      <c r="E248" s="89" t="str">
        <f>_xlfn.XLOOKUP(B248,ESTOQUE!B:B,ESTOQUE!G:G)</f>
        <v>UND</v>
      </c>
      <c r="F248" s="88">
        <v>10</v>
      </c>
      <c r="G248" s="90"/>
      <c r="H248" s="91">
        <f t="shared" si="3"/>
        <v>0</v>
      </c>
      <c r="I248" s="71"/>
      <c r="J248" s="24"/>
      <c r="K248" s="104"/>
    </row>
    <row r="249" spans="1:11" x14ac:dyDescent="0.25">
      <c r="A249" s="22">
        <v>45967</v>
      </c>
      <c r="B249" s="23">
        <v>189</v>
      </c>
      <c r="C249" s="49" t="str">
        <f>IF(ISBLANK($B249),"",IFERROR(VLOOKUP($B249,ESTOQUE!$B$2:$D$97168,2,FALSE),"Produto não cadastrado"))</f>
        <v>CONSUMO</v>
      </c>
      <c r="D249" s="69" t="str">
        <f>IF(ISBLANK($B249),"",IFERROR(VLOOKUP($B249,ESTOQUE!$B$2:$M$997973,3,FALSE),"Produto não cadastrado"))</f>
        <v xml:space="preserve">LUVA DE VAQUETA MISTA </v>
      </c>
      <c r="E249" s="89" t="str">
        <f>_xlfn.XLOOKUP(B249,ESTOQUE!B:B,ESTOQUE!G:G)</f>
        <v>UND</v>
      </c>
      <c r="F249" s="88">
        <v>10</v>
      </c>
      <c r="G249" s="90"/>
      <c r="H249" s="91">
        <f t="shared" si="3"/>
        <v>0</v>
      </c>
      <c r="I249" s="71"/>
      <c r="J249" s="24"/>
      <c r="K249" s="104"/>
    </row>
    <row r="250" spans="1:11" x14ac:dyDescent="0.25">
      <c r="A250" s="22">
        <v>45968</v>
      </c>
      <c r="B250" s="23">
        <v>10</v>
      </c>
      <c r="C250" s="49" t="str">
        <f>IF(ISBLANK($B250),"",IFERROR(VLOOKUP($B250,ESTOQUE!$B$2:$D$97168,2,FALSE),"Produto não cadastrado"))</f>
        <v>CONSUMO</v>
      </c>
      <c r="D250" s="69" t="str">
        <f>IF(ISBLANK($B250),"",IFERROR(VLOOKUP($B250,ESTOQUE!$B$2:$M$997973,3,FALSE),"Produto não cadastrado"))</f>
        <v>BOTA PVC CANO LONGO Nº 42</v>
      </c>
      <c r="E250" s="89" t="str">
        <f>_xlfn.XLOOKUP(B250,ESTOQUE!B:B,ESTOQUE!G:G)</f>
        <v>PAR</v>
      </c>
      <c r="F250" s="88">
        <v>8</v>
      </c>
      <c r="G250" s="90"/>
      <c r="H250" s="91">
        <f t="shared" si="3"/>
        <v>0</v>
      </c>
      <c r="I250" s="71"/>
      <c r="J250" s="24"/>
      <c r="K250" s="104"/>
    </row>
    <row r="251" spans="1:11" x14ac:dyDescent="0.25">
      <c r="A251" s="22">
        <v>45968</v>
      </c>
      <c r="B251" s="23">
        <v>11</v>
      </c>
      <c r="C251" s="49" t="str">
        <f>IF(ISBLANK($B251),"",IFERROR(VLOOKUP($B251,ESTOQUE!$B$2:$D$97168,2,FALSE),"Produto não cadastrado"))</f>
        <v>CONSUMO</v>
      </c>
      <c r="D251" s="69" t="str">
        <f>IF(ISBLANK($B251),"",IFERROR(VLOOKUP($B251,ESTOQUE!$B$2:$M$997973,3,FALSE),"Produto não cadastrado"))</f>
        <v>BOTA PVC CANO LONGO Nº 43</v>
      </c>
      <c r="E251" s="89" t="str">
        <f>_xlfn.XLOOKUP(B251,ESTOQUE!B:B,ESTOQUE!G:G)</f>
        <v>PAR</v>
      </c>
      <c r="F251" s="88">
        <v>8</v>
      </c>
      <c r="G251" s="90"/>
      <c r="H251" s="91">
        <f t="shared" si="3"/>
        <v>0</v>
      </c>
      <c r="I251" s="71"/>
      <c r="J251" s="24"/>
      <c r="K251" s="104"/>
    </row>
    <row r="252" spans="1:11" x14ac:dyDescent="0.25">
      <c r="A252" s="22">
        <v>45968</v>
      </c>
      <c r="B252" s="23">
        <v>12</v>
      </c>
      <c r="C252" s="49" t="str">
        <f>IF(ISBLANK($B252),"",IFERROR(VLOOKUP($B252,ESTOQUE!$B$2:$D$97168,2,FALSE),"Produto não cadastrado"))</f>
        <v>CONSUMO</v>
      </c>
      <c r="D252" s="69" t="str">
        <f>IF(ISBLANK($B252),"",IFERROR(VLOOKUP($B252,ESTOQUE!$B$2:$M$997973,3,FALSE),"Produto não cadastrado"))</f>
        <v>BOTA PVC CANO LONGO Nº 44</v>
      </c>
      <c r="E252" s="89" t="str">
        <f>_xlfn.XLOOKUP(B252,ESTOQUE!B:B,ESTOQUE!G:G)</f>
        <v>PAR</v>
      </c>
      <c r="F252" s="88">
        <v>8</v>
      </c>
      <c r="G252" s="92"/>
      <c r="H252" s="91">
        <f t="shared" si="3"/>
        <v>0</v>
      </c>
      <c r="I252" s="71"/>
      <c r="J252" s="24"/>
      <c r="K252" s="104"/>
    </row>
    <row r="253" spans="1:11" x14ac:dyDescent="0.25">
      <c r="A253" s="22">
        <v>45968</v>
      </c>
      <c r="B253" s="23">
        <v>6</v>
      </c>
      <c r="C253" s="49" t="str">
        <f>IF(ISBLANK($B253),"",IFERROR(VLOOKUP($B253,ESTOQUE!$B$2:$D$97168,2,FALSE),"Produto não cadastrado"))</f>
        <v>CONSUMO</v>
      </c>
      <c r="D253" s="69" t="str">
        <f>IF(ISBLANK($B253),"",IFERROR(VLOOKUP($B253,ESTOQUE!$B$2:$M$997973,3,FALSE),"Produto não cadastrado"))</f>
        <v>BOTA PVC CANO LONGO Nº 38</v>
      </c>
      <c r="E253" s="89" t="str">
        <f>_xlfn.XLOOKUP(B253,ESTOQUE!B:B,ESTOQUE!G:G)</f>
        <v>PAR</v>
      </c>
      <c r="F253" s="88">
        <v>8</v>
      </c>
      <c r="G253" s="92"/>
      <c r="H253" s="91">
        <f t="shared" si="3"/>
        <v>0</v>
      </c>
      <c r="I253" s="71"/>
      <c r="J253" s="24"/>
      <c r="K253" s="104"/>
    </row>
    <row r="254" spans="1:11" x14ac:dyDescent="0.25">
      <c r="A254" s="22">
        <v>45968</v>
      </c>
      <c r="B254" s="23">
        <v>8</v>
      </c>
      <c r="C254" s="49" t="str">
        <f>IF(ISBLANK($B254),"",IFERROR(VLOOKUP($B254,ESTOQUE!$B$2:$D$97168,2,FALSE),"Produto não cadastrado"))</f>
        <v>CONSUMO</v>
      </c>
      <c r="D254" s="69" t="str">
        <f>IF(ISBLANK($B254),"",IFERROR(VLOOKUP($B254,ESTOQUE!$B$2:$M$997973,3,FALSE),"Produto não cadastrado"))</f>
        <v>BOTA PVC CANO LONGO Nº 40</v>
      </c>
      <c r="E254" s="89" t="str">
        <f>_xlfn.XLOOKUP(B254,ESTOQUE!B:B,ESTOQUE!G:G)</f>
        <v>PAR</v>
      </c>
      <c r="F254" s="88">
        <v>8</v>
      </c>
      <c r="G254" s="92"/>
      <c r="H254" s="91">
        <f t="shared" si="3"/>
        <v>0</v>
      </c>
      <c r="I254" s="71"/>
      <c r="J254" s="24"/>
      <c r="K254" s="104"/>
    </row>
    <row r="255" spans="1:11" x14ac:dyDescent="0.25">
      <c r="A255" s="22">
        <v>45968</v>
      </c>
      <c r="B255" s="23">
        <v>13</v>
      </c>
      <c r="C255" s="49" t="str">
        <f>IF(ISBLANK($B255),"",IFERROR(VLOOKUP($B255,ESTOQUE!$B$2:$D$97168,2,FALSE),"Produto não cadastrado"))</f>
        <v>CONSUMO</v>
      </c>
      <c r="D255" s="69" t="str">
        <f>IF(ISBLANK($B255),"",IFERROR(VLOOKUP($B255,ESTOQUE!$B$2:$M$997973,3,FALSE),"Produto não cadastrado"))</f>
        <v>BOTA PVC CANO LONGO Nº 45</v>
      </c>
      <c r="E255" s="89" t="str">
        <f>_xlfn.XLOOKUP(B255,ESTOQUE!B:B,ESTOQUE!G:G)</f>
        <v>PAR</v>
      </c>
      <c r="F255" s="88">
        <v>5</v>
      </c>
      <c r="G255" s="90"/>
      <c r="H255" s="91">
        <f t="shared" si="3"/>
        <v>0</v>
      </c>
      <c r="I255" s="71"/>
      <c r="J255" s="24"/>
      <c r="K255" s="104"/>
    </row>
    <row r="256" spans="1:11" x14ac:dyDescent="0.25">
      <c r="A256" s="22">
        <v>45968</v>
      </c>
      <c r="B256" s="23">
        <v>14</v>
      </c>
      <c r="C256" s="49" t="str">
        <f>IF(ISBLANK($B256),"",IFERROR(VLOOKUP($B256,ESTOQUE!$B$2:$D$97168,2,FALSE),"Produto não cadastrado"))</f>
        <v>CONSUMO</v>
      </c>
      <c r="D256" s="69" t="str">
        <f>IF(ISBLANK($B256),"",IFERROR(VLOOKUP($B256,ESTOQUE!$B$2:$M$997973,3,FALSE),"Produto não cadastrado"))</f>
        <v>BOTA PVC CANO LONGO Nº 46</v>
      </c>
      <c r="E256" s="89" t="str">
        <f>_xlfn.XLOOKUP(B256,ESTOQUE!B:B,ESTOQUE!G:G)</f>
        <v>PAR</v>
      </c>
      <c r="F256" s="88">
        <v>4</v>
      </c>
      <c r="G256" s="90"/>
      <c r="H256" s="91">
        <f t="shared" si="3"/>
        <v>0</v>
      </c>
      <c r="I256" s="71"/>
      <c r="J256" s="24"/>
      <c r="K256" s="104"/>
    </row>
    <row r="257" spans="1:11" x14ac:dyDescent="0.25">
      <c r="A257" s="22">
        <v>45968</v>
      </c>
      <c r="B257" s="23">
        <v>38</v>
      </c>
      <c r="C257" s="49" t="str">
        <f>IF(ISBLANK($B257),"",IFERROR(VLOOKUP($B257,ESTOQUE!$B$2:$D$97168,2,FALSE),"Produto não cadastrado"))</f>
        <v>CONSUMO</v>
      </c>
      <c r="D257" s="69" t="str">
        <f>IF(ISBLANK($B257),"",IFERROR(VLOOKUP($B257,ESTOQUE!$B$2:$M$997973,3,FALSE),"Produto não cadastrado"))</f>
        <v>BOTINA OP. BICO PVC Nº 40</v>
      </c>
      <c r="E257" s="89" t="str">
        <f>_xlfn.XLOOKUP(B257,ESTOQUE!B:B,ESTOQUE!G:G)</f>
        <v>PAR</v>
      </c>
      <c r="F257" s="88">
        <v>10</v>
      </c>
      <c r="G257" s="90"/>
      <c r="H257" s="91">
        <f t="shared" si="3"/>
        <v>0</v>
      </c>
      <c r="I257" s="71"/>
      <c r="J257" s="24"/>
      <c r="K257" s="104"/>
    </row>
    <row r="258" spans="1:11" x14ac:dyDescent="0.25">
      <c r="A258" s="22">
        <v>45968</v>
      </c>
      <c r="B258" s="23">
        <v>37</v>
      </c>
      <c r="C258" s="49" t="str">
        <f>IF(ISBLANK($B258),"",IFERROR(VLOOKUP($B258,ESTOQUE!$B$2:$D$97168,2,FALSE),"Produto não cadastrado"))</f>
        <v>CONSUMO</v>
      </c>
      <c r="D258" s="69" t="str">
        <f>IF(ISBLANK($B258),"",IFERROR(VLOOKUP($B258,ESTOQUE!$B$2:$M$997973,3,FALSE),"Produto não cadastrado"))</f>
        <v>BOTINA OP. BICO PVC Nº 39</v>
      </c>
      <c r="E258" s="89" t="str">
        <f>_xlfn.XLOOKUP(B258,ESTOQUE!B:B,ESTOQUE!G:G)</f>
        <v>PAR</v>
      </c>
      <c r="F258" s="88">
        <v>20</v>
      </c>
      <c r="G258" s="90"/>
      <c r="H258" s="91">
        <f t="shared" si="3"/>
        <v>0</v>
      </c>
      <c r="I258" s="71"/>
      <c r="J258" s="24"/>
      <c r="K258" s="104"/>
    </row>
    <row r="259" spans="1:11" x14ac:dyDescent="0.25">
      <c r="A259" s="22">
        <v>45968</v>
      </c>
      <c r="B259" s="23">
        <v>42</v>
      </c>
      <c r="C259" s="49" t="str">
        <f>IF(ISBLANK($B259),"",IFERROR(VLOOKUP($B259,ESTOQUE!$B$2:$D$97168,2,FALSE),"Produto não cadastrado"))</f>
        <v>CONSUMO</v>
      </c>
      <c r="D259" s="69" t="str">
        <f>IF(ISBLANK($B259),"",IFERROR(VLOOKUP($B259,ESTOQUE!$B$2:$M$997973,3,FALSE),"Produto não cadastrado"))</f>
        <v>BOTINA OP. BICO PVC Nº 44</v>
      </c>
      <c r="E259" s="89" t="str">
        <f>_xlfn.XLOOKUP(B259,ESTOQUE!B:B,ESTOQUE!G:G)</f>
        <v>PAR</v>
      </c>
      <c r="F259" s="88">
        <v>20</v>
      </c>
      <c r="G259" s="90"/>
      <c r="H259" s="91">
        <f t="shared" ref="H259:H306" si="4">F259*G259</f>
        <v>0</v>
      </c>
      <c r="I259" s="71"/>
      <c r="J259" s="24"/>
      <c r="K259" s="104"/>
    </row>
    <row r="260" spans="1:11" x14ac:dyDescent="0.25">
      <c r="A260" s="22">
        <v>45968</v>
      </c>
      <c r="B260" s="23">
        <v>43</v>
      </c>
      <c r="C260" s="49" t="str">
        <f>IF(ISBLANK($B260),"",IFERROR(VLOOKUP($B260,ESTOQUE!$B$2:$D$97168,2,FALSE),"Produto não cadastrado"))</f>
        <v>CONSUMO</v>
      </c>
      <c r="D260" s="69" t="str">
        <f>IF(ISBLANK($B260),"",IFERROR(VLOOKUP($B260,ESTOQUE!$B$2:$M$997973,3,FALSE),"Produto não cadastrado"))</f>
        <v>BOTINA OP. BICO PVC Nº 45</v>
      </c>
      <c r="E260" s="89" t="str">
        <f>_xlfn.XLOOKUP(B260,ESTOQUE!B:B,ESTOQUE!G:G)</f>
        <v>PAR</v>
      </c>
      <c r="F260" s="88">
        <v>4</v>
      </c>
      <c r="G260" s="90"/>
      <c r="H260" s="91">
        <f t="shared" si="4"/>
        <v>0</v>
      </c>
      <c r="I260" s="71"/>
      <c r="J260" s="24"/>
      <c r="K260" s="104"/>
    </row>
    <row r="261" spans="1:11" x14ac:dyDescent="0.25">
      <c r="A261" s="22">
        <v>45968</v>
      </c>
      <c r="B261" s="23">
        <v>44</v>
      </c>
      <c r="C261" s="49" t="str">
        <f>IF(ISBLANK($B261),"",IFERROR(VLOOKUP($B261,ESTOQUE!$B$2:$D$97168,2,FALSE),"Produto não cadastrado"))</f>
        <v>CONSUMO</v>
      </c>
      <c r="D261" s="69" t="str">
        <f>IF(ISBLANK($B261),"",IFERROR(VLOOKUP($B261,ESTOQUE!$B$2:$M$997973,3,FALSE),"Produto não cadastrado"))</f>
        <v>BOTINA OP. BICO PVC Nº 46</v>
      </c>
      <c r="E261" s="89" t="str">
        <f>_xlfn.XLOOKUP(B261,ESTOQUE!B:B,ESTOQUE!G:G)</f>
        <v>PAR</v>
      </c>
      <c r="F261" s="88">
        <v>4</v>
      </c>
      <c r="G261" s="90"/>
      <c r="H261" s="91">
        <f t="shared" si="4"/>
        <v>0</v>
      </c>
      <c r="I261" s="71"/>
      <c r="J261" s="24"/>
      <c r="K261" s="104"/>
    </row>
    <row r="262" spans="1:11" x14ac:dyDescent="0.25">
      <c r="A262" s="22">
        <v>45968</v>
      </c>
      <c r="B262" s="23">
        <v>35</v>
      </c>
      <c r="C262" s="49" t="str">
        <f>IF(ISBLANK($B262),"",IFERROR(VLOOKUP($B262,ESTOQUE!$B$2:$D$97168,2,FALSE),"Produto não cadastrado"))</f>
        <v>CONSUMO</v>
      </c>
      <c r="D262" s="69" t="str">
        <f>IF(ISBLANK($B262),"",IFERROR(VLOOKUP($B262,ESTOQUE!$B$2:$M$997973,3,FALSE),"Produto não cadastrado"))</f>
        <v>BOTINA OP. BICO PVC Nº 37</v>
      </c>
      <c r="E262" s="89" t="str">
        <f>_xlfn.XLOOKUP(B262,ESTOQUE!B:B,ESTOQUE!G:G)</f>
        <v>PAR</v>
      </c>
      <c r="F262" s="88">
        <v>3</v>
      </c>
      <c r="G262" s="90"/>
      <c r="H262" s="91">
        <f t="shared" si="4"/>
        <v>0</v>
      </c>
      <c r="I262" s="71"/>
      <c r="J262" s="24"/>
      <c r="K262" s="104"/>
    </row>
    <row r="263" spans="1:11" x14ac:dyDescent="0.25">
      <c r="A263" s="22">
        <v>45968</v>
      </c>
      <c r="B263" s="23">
        <v>110</v>
      </c>
      <c r="C263" s="49" t="str">
        <f>IF(ISBLANK($B263),"",IFERROR(VLOOKUP($B263,ESTOQUE!$B$2:$D$97168,2,FALSE),"Produto não cadastrado"))</f>
        <v>CONSUMO</v>
      </c>
      <c r="D263" s="69" t="str">
        <f>IF(ISBLANK($B263),"",IFERROR(VLOOKUP($B263,ESTOQUE!$B$2:$M$997973,3,FALSE),"Produto não cadastrado"))</f>
        <v>LUVA DE RASPA CANO LONGO</v>
      </c>
      <c r="E263" s="89" t="str">
        <f>_xlfn.XLOOKUP(B263,ESTOQUE!B:B,ESTOQUE!G:G)</f>
        <v>PAR</v>
      </c>
      <c r="F263" s="88">
        <v>40</v>
      </c>
      <c r="G263" s="92"/>
      <c r="H263" s="91">
        <f t="shared" si="4"/>
        <v>0</v>
      </c>
      <c r="I263" s="71"/>
      <c r="J263" s="24"/>
      <c r="K263" s="104"/>
    </row>
    <row r="264" spans="1:11" x14ac:dyDescent="0.25">
      <c r="A264" s="22">
        <v>45968</v>
      </c>
      <c r="B264" s="23">
        <v>126</v>
      </c>
      <c r="C264" s="49" t="str">
        <f>IF(ISBLANK($B264),"",IFERROR(VLOOKUP($B264,ESTOQUE!$B$2:$D$97168,2,FALSE),"Produto não cadastrado"))</f>
        <v>CONSUMO</v>
      </c>
      <c r="D264" s="69" t="str">
        <f>IF(ISBLANK($B264),"",IFERROR(VLOOKUP($B264,ESTOQUE!$B$2:$M$997973,3,FALSE),"Produto não cadastrado"))</f>
        <v>OCULOS DE PROTEÇÃO ESCURO</v>
      </c>
      <c r="E264" s="89" t="str">
        <f>_xlfn.XLOOKUP(B264,ESTOQUE!B:B,ESTOQUE!G:G)</f>
        <v>UND</v>
      </c>
      <c r="F264" s="88">
        <v>120</v>
      </c>
      <c r="G264" s="92"/>
      <c r="H264" s="91">
        <f t="shared" si="4"/>
        <v>0</v>
      </c>
      <c r="I264" s="71"/>
      <c r="J264" s="24"/>
      <c r="K264" s="104"/>
    </row>
    <row r="265" spans="1:11" x14ac:dyDescent="0.25">
      <c r="A265" s="22">
        <v>45968</v>
      </c>
      <c r="B265" s="23">
        <v>144</v>
      </c>
      <c r="C265" s="49" t="str">
        <f>IF(ISBLANK($B265),"",IFERROR(VLOOKUP($B265,ESTOQUE!$B$2:$D$97168,2,FALSE),"Produto não cadastrado"))</f>
        <v>CONSUMO</v>
      </c>
      <c r="D265" s="69" t="str">
        <f>IF(ISBLANK($B265),"",IFERROR(VLOOKUP($B265,ESTOQUE!$B$2:$M$997973,3,FALSE),"Produto não cadastrado"))</f>
        <v>MASCARA PFF2-S C/ FILTRO</v>
      </c>
      <c r="E265" s="89" t="str">
        <f>_xlfn.XLOOKUP(B265,ESTOQUE!B:B,ESTOQUE!G:G)</f>
        <v>UND</v>
      </c>
      <c r="F265" s="88">
        <v>400</v>
      </c>
      <c r="G265" s="90"/>
      <c r="H265" s="91">
        <f t="shared" si="4"/>
        <v>0</v>
      </c>
      <c r="I265" s="71"/>
      <c r="J265" s="24"/>
      <c r="K265" s="104"/>
    </row>
    <row r="266" spans="1:11" x14ac:dyDescent="0.25">
      <c r="A266" s="22">
        <v>45968</v>
      </c>
      <c r="B266" s="23">
        <v>97</v>
      </c>
      <c r="C266" s="49" t="str">
        <f>IF(ISBLANK($B266),"",IFERROR(VLOOKUP($B266,ESTOQUE!$B$2:$D$97168,2,FALSE),"Produto não cadastrado"))</f>
        <v>CONSUMO</v>
      </c>
      <c r="D266" s="69" t="str">
        <f>IF(ISBLANK($B266),"",IFERROR(VLOOKUP($B266,ESTOQUE!$B$2:$M$997973,3,FALSE),"Produto não cadastrado"))</f>
        <v>COLETE REFLETIVO LARANJA M</v>
      </c>
      <c r="E266" s="89" t="str">
        <f>_xlfn.XLOOKUP(B266,ESTOQUE!B:B,ESTOQUE!G:G)</f>
        <v>UND</v>
      </c>
      <c r="F266" s="88">
        <v>50</v>
      </c>
      <c r="G266" s="92"/>
      <c r="H266" s="91">
        <f t="shared" si="4"/>
        <v>0</v>
      </c>
      <c r="I266" s="71"/>
      <c r="J266" s="24"/>
      <c r="K266" s="104"/>
    </row>
    <row r="267" spans="1:11" x14ac:dyDescent="0.25">
      <c r="A267" s="22">
        <v>45968</v>
      </c>
      <c r="B267" s="23">
        <v>124</v>
      </c>
      <c r="C267" s="49" t="str">
        <f>IF(ISBLANK($B267),"",IFERROR(VLOOKUP($B267,ESTOQUE!$B$2:$D$97168,2,FALSE),"Produto não cadastrado"))</f>
        <v>CONSUMO</v>
      </c>
      <c r="D267" s="69" t="str">
        <f>IF(ISBLANK($B267),"",IFERROR(VLOOKUP($B267,ESTOQUE!$B$2:$M$997973,3,FALSE),"Produto não cadastrado"))</f>
        <v xml:space="preserve">OCULOS DE PROTEÇÃO INCOLOR </v>
      </c>
      <c r="E267" s="89" t="str">
        <f>_xlfn.XLOOKUP(B267,ESTOQUE!B:B,ESTOQUE!G:G)</f>
        <v>UND</v>
      </c>
      <c r="F267" s="88">
        <v>20</v>
      </c>
      <c r="G267" s="90"/>
      <c r="H267" s="91">
        <f t="shared" si="4"/>
        <v>0</v>
      </c>
      <c r="I267" s="71"/>
      <c r="J267" s="24"/>
      <c r="K267" s="104"/>
    </row>
    <row r="268" spans="1:11" x14ac:dyDescent="0.25">
      <c r="A268" s="22">
        <v>45968</v>
      </c>
      <c r="B268" s="23">
        <v>106</v>
      </c>
      <c r="C268" s="49" t="str">
        <f>IF(ISBLANK($B268),"",IFERROR(VLOOKUP($B268,ESTOQUE!$B$2:$D$97168,2,FALSE),"Produto não cadastrado"))</f>
        <v>CONSUMO</v>
      </c>
      <c r="D268" s="69" t="str">
        <f>IF(ISBLANK($B268),"",IFERROR(VLOOKUP($B268,ESTOQUE!$B$2:$M$997973,3,FALSE),"Produto não cadastrado"))</f>
        <v>JARDINEIRA AMARELA BOTA Nº 44</v>
      </c>
      <c r="E268" s="89" t="str">
        <f>_xlfn.XLOOKUP(B268,ESTOQUE!B:B,ESTOQUE!G:G)</f>
        <v>UND</v>
      </c>
      <c r="F268" s="88">
        <v>10</v>
      </c>
      <c r="G268" s="90"/>
      <c r="H268" s="91">
        <f t="shared" si="4"/>
        <v>0</v>
      </c>
      <c r="I268" s="71"/>
      <c r="J268" s="24"/>
      <c r="K268" s="104"/>
    </row>
    <row r="269" spans="1:11" x14ac:dyDescent="0.25">
      <c r="A269" s="22">
        <v>45968</v>
      </c>
      <c r="B269" s="23">
        <v>104</v>
      </c>
      <c r="C269" s="49" t="str">
        <f>IF(ISBLANK($B269),"",IFERROR(VLOOKUP($B269,ESTOQUE!$B$2:$D$97168,2,FALSE),"Produto não cadastrado"))</f>
        <v>CONSUMO</v>
      </c>
      <c r="D269" s="69" t="str">
        <f>IF(ISBLANK($B269),"",IFERROR(VLOOKUP($B269,ESTOQUE!$B$2:$M$997973,3,FALSE),"Produto não cadastrado"))</f>
        <v>JARDINEIRA AMARELA BOTA Nº 42</v>
      </c>
      <c r="E269" s="89" t="str">
        <f>_xlfn.XLOOKUP(B269,ESTOQUE!B:B,ESTOQUE!G:G)</f>
        <v>UND</v>
      </c>
      <c r="F269" s="88">
        <v>8</v>
      </c>
      <c r="G269" s="90"/>
      <c r="H269" s="91">
        <f t="shared" si="4"/>
        <v>0</v>
      </c>
      <c r="I269" s="71"/>
      <c r="J269" s="24"/>
      <c r="K269" s="104"/>
    </row>
    <row r="270" spans="1:11" x14ac:dyDescent="0.25">
      <c r="A270" s="22">
        <v>45970</v>
      </c>
      <c r="B270" s="23">
        <v>58</v>
      </c>
      <c r="C270" s="49" t="str">
        <f>IF(ISBLANK($B270),"",IFERROR(VLOOKUP($B270,ESTOQUE!$B$2:$D$97168,2,FALSE),"Produto não cadastrado"))</f>
        <v>CONSUMO</v>
      </c>
      <c r="D270" s="69" t="str">
        <f>IF(ISBLANK($B270),"",IFERROR(VLOOKUP($B270,ESTOQUE!$B$2:$M$997973,3,FALSE),"Produto não cadastrado"))</f>
        <v>CAMISA ADM FEMININA TAM: M</v>
      </c>
      <c r="E270" s="89" t="str">
        <f>_xlfn.XLOOKUP(B270,ESTOQUE!B:B,ESTOQUE!G:G)</f>
        <v>UND</v>
      </c>
      <c r="F270" s="88">
        <v>2</v>
      </c>
      <c r="G270" s="92"/>
      <c r="H270" s="91">
        <f t="shared" si="4"/>
        <v>0</v>
      </c>
      <c r="I270" s="71"/>
      <c r="J270" s="24"/>
      <c r="K270" s="104"/>
    </row>
    <row r="271" spans="1:11" x14ac:dyDescent="0.25">
      <c r="A271" s="22">
        <v>45973</v>
      </c>
      <c r="B271" s="23">
        <v>173</v>
      </c>
      <c r="C271" s="49" t="str">
        <f>IF(ISBLANK($B271),"",IFERROR(VLOOKUP($B271,ESTOQUE!$B$2:$D$97168,2,FALSE),"Produto não cadastrado"))</f>
        <v>CONSUMO</v>
      </c>
      <c r="D271" s="69" t="str">
        <f>IF(ISBLANK($B271),"",IFERROR(VLOOKUP($B271,ESTOQUE!$B$2:$M$997973,3,FALSE),"Produto não cadastrado"))</f>
        <v>BOTA PVC CANO CURTO Nº 42</v>
      </c>
      <c r="E271" s="89" t="str">
        <f>_xlfn.XLOOKUP(B271,ESTOQUE!B:B,ESTOQUE!G:G)</f>
        <v>PAR</v>
      </c>
      <c r="F271" s="88">
        <v>10</v>
      </c>
      <c r="G271" s="90"/>
      <c r="H271" s="91">
        <f t="shared" si="4"/>
        <v>0</v>
      </c>
      <c r="I271" s="71"/>
      <c r="J271" s="24"/>
      <c r="K271" s="104"/>
    </row>
    <row r="272" spans="1:11" x14ac:dyDescent="0.25">
      <c r="A272" s="22">
        <v>45973</v>
      </c>
      <c r="B272" s="23">
        <v>14</v>
      </c>
      <c r="C272" s="49" t="str">
        <f>IF(ISBLANK($B272),"",IFERROR(VLOOKUP($B272,ESTOQUE!$B$2:$D$97168,2,FALSE),"Produto não cadastrado"))</f>
        <v>CONSUMO</v>
      </c>
      <c r="D272" s="69" t="str">
        <f>IF(ISBLANK($B272),"",IFERROR(VLOOKUP($B272,ESTOQUE!$B$2:$M$997973,3,FALSE),"Produto não cadastrado"))</f>
        <v>BOTA PVC CANO LONGO Nº 46</v>
      </c>
      <c r="E272" s="89" t="str">
        <f>_xlfn.XLOOKUP(B272,ESTOQUE!B:B,ESTOQUE!G:G)</f>
        <v>PAR</v>
      </c>
      <c r="F272" s="88">
        <v>2</v>
      </c>
      <c r="G272" s="90"/>
      <c r="H272" s="91">
        <f t="shared" si="4"/>
        <v>0</v>
      </c>
      <c r="I272" s="71"/>
      <c r="J272" s="24"/>
      <c r="K272" s="104"/>
    </row>
    <row r="273" spans="1:11" x14ac:dyDescent="0.25">
      <c r="A273" s="22">
        <v>45973</v>
      </c>
      <c r="B273" s="23">
        <v>213</v>
      </c>
      <c r="C273" s="49" t="str">
        <f>IF(ISBLANK($B273),"",IFERROR(VLOOKUP($B273,ESTOQUE!$B$2:$D$97168,2,FALSE),"Produto não cadastrado"))</f>
        <v>CONSUMO</v>
      </c>
      <c r="D273" s="69" t="str">
        <f>IF(ISBLANK($B273),"",IFERROR(VLOOKUP($B273,ESTOQUE!$B$2:$M$997973,3,FALSE),"Produto não cadastrado"))</f>
        <v>BOTINA SEGURANÇA MATATARSO 36</v>
      </c>
      <c r="E273" s="89" t="str">
        <f>_xlfn.XLOOKUP(B273,ESTOQUE!B:B,ESTOQUE!G:G)</f>
        <v>PAR</v>
      </c>
      <c r="F273" s="88">
        <v>6</v>
      </c>
      <c r="G273" s="92"/>
      <c r="H273" s="91">
        <f t="shared" si="4"/>
        <v>0</v>
      </c>
      <c r="I273" s="71"/>
      <c r="J273" s="24"/>
      <c r="K273" s="104"/>
    </row>
    <row r="274" spans="1:11" x14ac:dyDescent="0.25">
      <c r="A274" s="22">
        <v>45973</v>
      </c>
      <c r="B274" s="23">
        <v>216</v>
      </c>
      <c r="C274" s="49" t="str">
        <f>IF(ISBLANK($B274),"",IFERROR(VLOOKUP($B274,ESTOQUE!$B$2:$D$97168,2,FALSE),"Produto não cadastrado"))</f>
        <v>CONSUMO</v>
      </c>
      <c r="D274" s="69" t="str">
        <f>IF(ISBLANK($B274),"",IFERROR(VLOOKUP($B274,ESTOQUE!$B$2:$M$997973,3,FALSE),"Produto não cadastrado"))</f>
        <v>BOTINA SEGURANÇA METATARSO  39</v>
      </c>
      <c r="E274" s="89" t="str">
        <f>_xlfn.XLOOKUP(B274,ESTOQUE!B:B,ESTOQUE!G:G)</f>
        <v>PAR</v>
      </c>
      <c r="F274" s="88">
        <v>1</v>
      </c>
      <c r="G274" s="90"/>
      <c r="H274" s="91">
        <f t="shared" si="4"/>
        <v>0</v>
      </c>
      <c r="I274" s="71"/>
      <c r="J274" s="24"/>
      <c r="K274" s="104"/>
    </row>
    <row r="275" spans="1:11" x14ac:dyDescent="0.25">
      <c r="A275" s="22">
        <v>45973</v>
      </c>
      <c r="B275" s="23">
        <v>218</v>
      </c>
      <c r="C275" s="49" t="str">
        <f>IF(ISBLANK($B275),"",IFERROR(VLOOKUP($B275,ESTOQUE!$B$2:$D$97168,2,FALSE),"Produto não cadastrado"))</f>
        <v>CONSUMO</v>
      </c>
      <c r="D275" s="69" t="str">
        <f>IF(ISBLANK($B275),"",IFERROR(VLOOKUP($B275,ESTOQUE!$B$2:$M$997973,3,FALSE),"Produto não cadastrado"))</f>
        <v>BOTINA SEGURANÇA METATARSO  41</v>
      </c>
      <c r="E275" s="89" t="str">
        <f>_xlfn.XLOOKUP(B275,ESTOQUE!B:B,ESTOQUE!G:G)</f>
        <v>PAR</v>
      </c>
      <c r="F275" s="88">
        <v>2</v>
      </c>
      <c r="G275" s="90"/>
      <c r="H275" s="91">
        <f t="shared" si="4"/>
        <v>0</v>
      </c>
      <c r="I275" s="71"/>
      <c r="J275" s="24"/>
      <c r="K275" s="104"/>
    </row>
    <row r="276" spans="1:11" x14ac:dyDescent="0.25">
      <c r="A276" s="22">
        <v>45973</v>
      </c>
      <c r="B276" s="23">
        <v>47</v>
      </c>
      <c r="C276" s="49" t="str">
        <f>IF(ISBLANK($B276),"",IFERROR(VLOOKUP($B276,ESTOQUE!$B$2:$D$97168,2,FALSE),"Produto não cadastrado"))</f>
        <v>CONSUMO</v>
      </c>
      <c r="D276" s="69" t="str">
        <f>IF(ISBLANK($B276),"",IFERROR(VLOOKUP($B276,ESTOQUE!$B$2:$M$997973,3,FALSE),"Produto não cadastrado"))</f>
        <v>CALÇA CINZA OP. C/ FAIXA REFLETIVA TAM: GG</v>
      </c>
      <c r="E276" s="89" t="str">
        <f>_xlfn.XLOOKUP(B276,ESTOQUE!B:B,ESTOQUE!G:G)</f>
        <v>UND</v>
      </c>
      <c r="F276" s="88">
        <v>45</v>
      </c>
      <c r="G276" s="92"/>
      <c r="H276" s="91">
        <f t="shared" si="4"/>
        <v>0</v>
      </c>
      <c r="I276" s="71"/>
      <c r="J276" s="24"/>
      <c r="K276" s="104"/>
    </row>
    <row r="277" spans="1:11" x14ac:dyDescent="0.25">
      <c r="A277" s="22">
        <v>45973</v>
      </c>
      <c r="B277" s="23">
        <v>71</v>
      </c>
      <c r="C277" s="49" t="str">
        <f>IF(ISBLANK($B277),"",IFERROR(VLOOKUP($B277,ESTOQUE!$B$2:$D$97168,2,FALSE),"Produto não cadastrado"))</f>
        <v>CONSUMO</v>
      </c>
      <c r="D277" s="69" t="str">
        <f>IF(ISBLANK($B277),"",IFERROR(VLOOKUP($B277,ESTOQUE!$B$2:$M$997973,3,FALSE),"Produto não cadastrado"))</f>
        <v>CAMISA LARANJA OP. C/ FAIXA REFLETIVA TAM: XG</v>
      </c>
      <c r="E277" s="89" t="str">
        <f>_xlfn.XLOOKUP(B277,ESTOQUE!B:B,ESTOQUE!G:G)</f>
        <v>UND</v>
      </c>
      <c r="F277" s="88">
        <v>23</v>
      </c>
      <c r="G277" s="90"/>
      <c r="H277" s="91">
        <f t="shared" si="4"/>
        <v>0</v>
      </c>
      <c r="I277" s="71"/>
      <c r="J277" s="24"/>
      <c r="K277" s="104"/>
    </row>
    <row r="278" spans="1:11" x14ac:dyDescent="0.25">
      <c r="A278" s="22">
        <v>45973</v>
      </c>
      <c r="B278" s="23">
        <v>78</v>
      </c>
      <c r="C278" s="49" t="str">
        <f>IF(ISBLANK($B278),"",IFERROR(VLOOKUP($B278,ESTOQUE!$B$2:$D$97168,2,FALSE),"Produto não cadastrado"))</f>
        <v>CONSUMO</v>
      </c>
      <c r="D278" s="69" t="str">
        <f>IF(ISBLANK($B278),"",IFERROR(VLOOKUP($B278,ESTOQUE!$B$2:$M$997973,3,FALSE),"Produto não cadastrado"))</f>
        <v>CAPACETE CAMPER MARROM</v>
      </c>
      <c r="E278" s="89" t="str">
        <f>_xlfn.XLOOKUP(B278,ESTOQUE!B:B,ESTOQUE!G:G)</f>
        <v>UND</v>
      </c>
      <c r="F278" s="88">
        <v>10</v>
      </c>
      <c r="G278" s="92"/>
      <c r="H278" s="91">
        <f t="shared" si="4"/>
        <v>0</v>
      </c>
      <c r="I278" s="71"/>
      <c r="J278" s="24"/>
      <c r="K278" s="104"/>
    </row>
    <row r="279" spans="1:11" x14ac:dyDescent="0.25">
      <c r="A279" s="22">
        <v>45973</v>
      </c>
      <c r="B279" s="23">
        <v>181</v>
      </c>
      <c r="C279" s="49" t="str">
        <f>IF(ISBLANK($B279),"",IFERROR(VLOOKUP($B279,ESTOQUE!$B$2:$D$97168,2,FALSE),"Produto não cadastrado"))</f>
        <v>CONSUMO</v>
      </c>
      <c r="D279" s="69" t="str">
        <f>IF(ISBLANK($B279),"",IFERROR(VLOOKUP($B279,ESTOQUE!$B$2:$M$997973,3,FALSE),"Produto não cadastrado"))</f>
        <v>CAPACETE GENISIS VERDE</v>
      </c>
      <c r="E279" s="89" t="str">
        <f>_xlfn.XLOOKUP(B279,ESTOQUE!B:B,ESTOQUE!G:G)</f>
        <v>UND</v>
      </c>
      <c r="F279" s="88">
        <v>2</v>
      </c>
      <c r="G279" s="92"/>
      <c r="H279" s="91">
        <f t="shared" si="4"/>
        <v>0</v>
      </c>
      <c r="I279" s="71"/>
      <c r="J279" s="24"/>
      <c r="K279" s="104"/>
    </row>
    <row r="280" spans="1:11" x14ac:dyDescent="0.25">
      <c r="A280" s="22">
        <v>45973</v>
      </c>
      <c r="B280" s="23">
        <v>106</v>
      </c>
      <c r="C280" s="49" t="str">
        <f>IF(ISBLANK($B280),"",IFERROR(VLOOKUP($B280,ESTOQUE!$B$2:$D$97168,2,FALSE),"Produto não cadastrado"))</f>
        <v>CONSUMO</v>
      </c>
      <c r="D280" s="69" t="str">
        <f>IF(ISBLANK($B280),"",IFERROR(VLOOKUP($B280,ESTOQUE!$B$2:$M$997973,3,FALSE),"Produto não cadastrado"))</f>
        <v>JARDINEIRA AMARELA BOTA Nº 44</v>
      </c>
      <c r="E280" s="89" t="str">
        <f>_xlfn.XLOOKUP(B280,ESTOQUE!B:B,ESTOQUE!G:G)</f>
        <v>UND</v>
      </c>
      <c r="F280" s="88">
        <v>14</v>
      </c>
      <c r="G280" s="92"/>
      <c r="H280" s="91">
        <f t="shared" si="4"/>
        <v>0</v>
      </c>
      <c r="I280" s="71"/>
      <c r="J280" s="24"/>
      <c r="K280" s="104"/>
    </row>
    <row r="281" spans="1:11" x14ac:dyDescent="0.25">
      <c r="A281" s="22">
        <v>45973</v>
      </c>
      <c r="B281" s="23">
        <v>126</v>
      </c>
      <c r="C281" s="49" t="str">
        <f>IF(ISBLANK($B281),"",IFERROR(VLOOKUP($B281,ESTOQUE!$B$2:$D$97168,2,FALSE),"Produto não cadastrado"))</f>
        <v>CONSUMO</v>
      </c>
      <c r="D281" s="69" t="str">
        <f>IF(ISBLANK($B281),"",IFERROR(VLOOKUP($B281,ESTOQUE!$B$2:$M$997973,3,FALSE),"Produto não cadastrado"))</f>
        <v>OCULOS DE PROTEÇÃO ESCURO</v>
      </c>
      <c r="E281" s="89" t="str">
        <f>_xlfn.XLOOKUP(B281,ESTOQUE!B:B,ESTOQUE!G:G)</f>
        <v>UND</v>
      </c>
      <c r="F281" s="88">
        <v>49</v>
      </c>
      <c r="G281" s="92"/>
      <c r="H281" s="91">
        <f t="shared" si="4"/>
        <v>0</v>
      </c>
      <c r="I281" s="71"/>
      <c r="J281" s="24"/>
      <c r="K281" s="104"/>
    </row>
    <row r="282" spans="1:11" x14ac:dyDescent="0.25">
      <c r="A282" s="22">
        <v>45973</v>
      </c>
      <c r="B282" s="23">
        <v>124</v>
      </c>
      <c r="C282" s="49" t="str">
        <f>IF(ISBLANK($B282),"",IFERROR(VLOOKUP($B282,ESTOQUE!$B$2:$D$97168,2,FALSE),"Produto não cadastrado"))</f>
        <v>CONSUMO</v>
      </c>
      <c r="D282" s="69" t="str">
        <f>IF(ISBLANK($B282),"",IFERROR(VLOOKUP($B282,ESTOQUE!$B$2:$M$997973,3,FALSE),"Produto não cadastrado"))</f>
        <v xml:space="preserve">OCULOS DE PROTEÇÃO INCOLOR </v>
      </c>
      <c r="E282" s="89" t="str">
        <f>_xlfn.XLOOKUP(B282,ESTOQUE!B:B,ESTOQUE!G:G)</f>
        <v>UND</v>
      </c>
      <c r="F282" s="88">
        <v>49</v>
      </c>
      <c r="G282" s="92"/>
      <c r="H282" s="91">
        <f t="shared" si="4"/>
        <v>0</v>
      </c>
      <c r="I282" s="71"/>
      <c r="J282" s="24"/>
      <c r="K282" s="104"/>
    </row>
    <row r="283" spans="1:11" x14ac:dyDescent="0.25">
      <c r="A283" s="22">
        <v>45973</v>
      </c>
      <c r="B283" s="23">
        <v>135</v>
      </c>
      <c r="C283" s="49" t="str">
        <f>IF(ISBLANK($B283),"",IFERROR(VLOOKUP($B283,ESTOQUE!$B$2:$D$97168,2,FALSE),"Produto não cadastrado"))</f>
        <v>CONSUMO</v>
      </c>
      <c r="D283" s="69" t="str">
        <f>IF(ISBLANK($B283),"",IFERROR(VLOOKUP($B283,ESTOQUE!$B$2:$M$997973,3,FALSE),"Produto não cadastrado"))</f>
        <v>TALABARTE DUPLO TIPO Y</v>
      </c>
      <c r="E283" s="89" t="str">
        <f>_xlfn.XLOOKUP(B283,ESTOQUE!B:B,ESTOQUE!G:G)</f>
        <v>UND</v>
      </c>
      <c r="F283" s="88">
        <v>28</v>
      </c>
      <c r="G283" s="92"/>
      <c r="H283" s="91">
        <f t="shared" si="4"/>
        <v>0</v>
      </c>
      <c r="I283" s="71"/>
      <c r="J283" s="24"/>
      <c r="K283" s="104"/>
    </row>
    <row r="284" spans="1:11" x14ac:dyDescent="0.25">
      <c r="A284" s="22">
        <v>45974</v>
      </c>
      <c r="B284" s="23">
        <v>67</v>
      </c>
      <c r="C284" s="49" t="str">
        <f>IF(ISBLANK($B284),"",IFERROR(VLOOKUP($B284,ESTOQUE!$B$2:$D$97168,2,FALSE),"Produto não cadastrado"))</f>
        <v>CONSUMO</v>
      </c>
      <c r="D284" s="69" t="str">
        <f>IF(ISBLANK($B284),"",IFERROR(VLOOKUP($B284,ESTOQUE!$B$2:$M$997973,3,FALSE),"Produto não cadastrado"))</f>
        <v>CAMISA LARANJA OP. C/ FAIXA REFLETIVA TAM: G</v>
      </c>
      <c r="E284" s="89" t="str">
        <f>_xlfn.XLOOKUP(B284,ESTOQUE!B:B,ESTOQUE!G:G)</f>
        <v>UND</v>
      </c>
      <c r="F284" s="88">
        <v>40</v>
      </c>
      <c r="G284" s="92"/>
      <c r="H284" s="91">
        <f t="shared" si="4"/>
        <v>0</v>
      </c>
      <c r="I284" s="71"/>
      <c r="J284" s="24"/>
      <c r="K284" s="104"/>
    </row>
    <row r="285" spans="1:11" x14ac:dyDescent="0.25">
      <c r="A285" s="22">
        <v>45974</v>
      </c>
      <c r="B285" s="23">
        <v>68</v>
      </c>
      <c r="C285" s="49" t="str">
        <f>IF(ISBLANK($B285),"",IFERROR(VLOOKUP($B285,ESTOQUE!$B$2:$D$97168,2,FALSE),"Produto não cadastrado"))</f>
        <v>CONSUMO</v>
      </c>
      <c r="D285" s="69" t="str">
        <f>IF(ISBLANK($B285),"",IFERROR(VLOOKUP($B285,ESTOQUE!$B$2:$M$997973,3,FALSE),"Produto não cadastrado"))</f>
        <v>CAMISA LARANJA OP. C/ FAIXA REFLETIVA TAM: GG</v>
      </c>
      <c r="E285" s="89" t="str">
        <f>_xlfn.XLOOKUP(B285,ESTOQUE!B:B,ESTOQUE!G:G)</f>
        <v>UND</v>
      </c>
      <c r="F285" s="88">
        <v>40</v>
      </c>
      <c r="G285" s="92"/>
      <c r="H285" s="91">
        <f t="shared" si="4"/>
        <v>0</v>
      </c>
      <c r="I285" s="71"/>
      <c r="J285" s="24"/>
      <c r="K285" s="104"/>
    </row>
    <row r="286" spans="1:11" x14ac:dyDescent="0.25">
      <c r="A286" s="22">
        <v>45974</v>
      </c>
      <c r="B286" s="23">
        <v>69</v>
      </c>
      <c r="C286" s="49" t="str">
        <f>IF(ISBLANK($B286),"",IFERROR(VLOOKUP($B286,ESTOQUE!$B$2:$D$97168,2,FALSE),"Produto não cadastrado"))</f>
        <v>CONSUMO</v>
      </c>
      <c r="D286" s="69" t="str">
        <f>IF(ISBLANK($B286),"",IFERROR(VLOOKUP($B286,ESTOQUE!$B$2:$M$997973,3,FALSE),"Produto não cadastrado"))</f>
        <v>CAMISA LARANJA OP. C/ FAIXA REFLETIVA TAM: M</v>
      </c>
      <c r="E286" s="89" t="str">
        <f>_xlfn.XLOOKUP(B286,ESTOQUE!B:B,ESTOQUE!G:G)</f>
        <v>UND</v>
      </c>
      <c r="F286" s="88">
        <v>30</v>
      </c>
      <c r="G286" s="90"/>
      <c r="H286" s="91">
        <f t="shared" si="4"/>
        <v>0</v>
      </c>
      <c r="I286" s="71"/>
      <c r="J286" s="24"/>
      <c r="K286" s="104"/>
    </row>
    <row r="287" spans="1:11" x14ac:dyDescent="0.25">
      <c r="A287" s="22">
        <v>45974</v>
      </c>
      <c r="B287" s="23">
        <v>97</v>
      </c>
      <c r="C287" s="49" t="str">
        <f>IF(ISBLANK($B287),"",IFERROR(VLOOKUP($B287,ESTOQUE!$B$2:$D$97168,2,FALSE),"Produto não cadastrado"))</f>
        <v>CONSUMO</v>
      </c>
      <c r="D287" s="69" t="str">
        <f>IF(ISBLANK($B287),"",IFERROR(VLOOKUP($B287,ESTOQUE!$B$2:$M$997973,3,FALSE),"Produto não cadastrado"))</f>
        <v>COLETE REFLETIVO LARANJA M</v>
      </c>
      <c r="E287" s="89" t="str">
        <f>_xlfn.XLOOKUP(B287,ESTOQUE!B:B,ESTOQUE!G:G)</f>
        <v>UND</v>
      </c>
      <c r="F287" s="88">
        <v>20</v>
      </c>
      <c r="G287" s="90"/>
      <c r="H287" s="91">
        <f t="shared" si="4"/>
        <v>0</v>
      </c>
      <c r="I287" s="71"/>
      <c r="J287" s="24"/>
      <c r="K287" s="104"/>
    </row>
    <row r="288" spans="1:11" x14ac:dyDescent="0.25">
      <c r="A288" s="22">
        <v>45974</v>
      </c>
      <c r="B288" s="23">
        <v>210</v>
      </c>
      <c r="C288" s="49" t="str">
        <f>IF(ISBLANK($B288),"",IFERROR(VLOOKUP($B288,ESTOQUE!$B$2:$D$97168,2,FALSE),"Produto não cadastrado"))</f>
        <v>CONSUMO</v>
      </c>
      <c r="D288" s="69" t="str">
        <f>IF(ISBLANK($B288),"",IFERROR(VLOOKUP($B288,ESTOQUE!$B$2:$M$997973,3,FALSE),"Produto não cadastrado"))</f>
        <v>COLETE REFLETIVO LARANJA G</v>
      </c>
      <c r="E288" s="89" t="str">
        <f>_xlfn.XLOOKUP(B288,ESTOQUE!B:B,ESTOQUE!G:G)</f>
        <v>UND</v>
      </c>
      <c r="F288" s="88">
        <v>30</v>
      </c>
      <c r="G288" s="92"/>
      <c r="H288" s="91">
        <f t="shared" si="4"/>
        <v>0</v>
      </c>
      <c r="I288" s="71"/>
      <c r="J288" s="24"/>
      <c r="K288" s="104"/>
    </row>
    <row r="289" spans="1:11" x14ac:dyDescent="0.25">
      <c r="A289" s="22">
        <v>45974</v>
      </c>
      <c r="B289" s="23">
        <v>52</v>
      </c>
      <c r="C289" s="49" t="str">
        <f>IF(ISBLANK($B289),"",IFERROR(VLOOKUP($B289,ESTOQUE!$B$2:$D$97168,2,FALSE),"Produto não cadastrado"))</f>
        <v>CONSUMO</v>
      </c>
      <c r="D289" s="69" t="str">
        <f>IF(ISBLANK($B289),"",IFERROR(VLOOKUP($B289,ESTOQUE!$B$2:$M$997973,3,FALSE),"Produto não cadastrado"))</f>
        <v>CALÇA DE ELETRICISTA NR.10 TAM: GG</v>
      </c>
      <c r="E289" s="89" t="str">
        <f>_xlfn.XLOOKUP(B289,ESTOQUE!B:B,ESTOQUE!G:G)</f>
        <v>UND</v>
      </c>
      <c r="F289" s="88">
        <v>2</v>
      </c>
      <c r="G289" s="92"/>
      <c r="H289" s="91">
        <f t="shared" si="4"/>
        <v>0</v>
      </c>
      <c r="I289" s="71"/>
      <c r="J289" s="24"/>
      <c r="K289" s="104"/>
    </row>
    <row r="290" spans="1:11" x14ac:dyDescent="0.25">
      <c r="A290" s="22">
        <v>45974</v>
      </c>
      <c r="B290" s="23">
        <v>54</v>
      </c>
      <c r="C290" s="49" t="str">
        <f>IF(ISBLANK($B290),"",IFERROR(VLOOKUP($B290,ESTOQUE!$B$2:$D$97168,2,FALSE),"Produto não cadastrado"))</f>
        <v>CONSUMO</v>
      </c>
      <c r="D290" s="69" t="str">
        <f>IF(ISBLANK($B290),"",IFERROR(VLOOKUP($B290,ESTOQUE!$B$2:$M$997973,3,FALSE),"Produto não cadastrado"))</f>
        <v>CALÇA DE ELETRICISTA NR.10 TAM: G</v>
      </c>
      <c r="E290" s="89" t="str">
        <f>_xlfn.XLOOKUP(B290,ESTOQUE!B:B,ESTOQUE!G:G)</f>
        <v>UND</v>
      </c>
      <c r="F290" s="88">
        <v>2</v>
      </c>
      <c r="G290" s="92"/>
      <c r="H290" s="91">
        <f t="shared" si="4"/>
        <v>0</v>
      </c>
      <c r="I290" s="71"/>
      <c r="J290" s="24"/>
      <c r="K290" s="104"/>
    </row>
    <row r="291" spans="1:11" x14ac:dyDescent="0.25">
      <c r="A291" s="22">
        <v>45974</v>
      </c>
      <c r="B291" s="23">
        <v>53</v>
      </c>
      <c r="C291" s="49" t="str">
        <f>IF(ISBLANK($B291),"",IFERROR(VLOOKUP($B291,ESTOQUE!$B$2:$D$97168,2,FALSE),"Produto não cadastrado"))</f>
        <v>CONSUMO</v>
      </c>
      <c r="D291" s="69" t="str">
        <f>IF(ISBLANK($B291),"",IFERROR(VLOOKUP($B291,ESTOQUE!$B$2:$M$997973,3,FALSE),"Produto não cadastrado"))</f>
        <v>CALÇA DE ELETRICISTA NR.10 TAM: P</v>
      </c>
      <c r="E291" s="89" t="str">
        <f>_xlfn.XLOOKUP(B291,ESTOQUE!B:B,ESTOQUE!G:G)</f>
        <v>UND</v>
      </c>
      <c r="F291" s="88">
        <v>2</v>
      </c>
      <c r="G291" s="92"/>
      <c r="H291" s="91">
        <f t="shared" si="4"/>
        <v>0</v>
      </c>
      <c r="I291" s="71"/>
      <c r="J291" s="24"/>
      <c r="K291" s="104"/>
    </row>
    <row r="292" spans="1:11" x14ac:dyDescent="0.25">
      <c r="A292" s="22">
        <v>45974</v>
      </c>
      <c r="B292" s="23">
        <v>185</v>
      </c>
      <c r="C292" s="49" t="str">
        <f>IF(ISBLANK($B292),"",IFERROR(VLOOKUP($B292,ESTOQUE!$B$2:$D$97168,2,FALSE),"Produto não cadastrado"))</f>
        <v>CONSUMO</v>
      </c>
      <c r="D292" s="69" t="str">
        <f>IF(ISBLANK($B292),"",IFERROR(VLOOKUP($B292,ESTOQUE!$B$2:$M$997973,3,FALSE),"Produto não cadastrado"))</f>
        <v>CAMISA DE ELETRICISTA NR.10 TAM: G</v>
      </c>
      <c r="E292" s="89" t="str">
        <f>_xlfn.XLOOKUP(B292,ESTOQUE!B:B,ESTOQUE!G:G)</f>
        <v>UND</v>
      </c>
      <c r="F292" s="88">
        <v>2</v>
      </c>
      <c r="G292" s="90"/>
      <c r="H292" s="91">
        <f t="shared" si="4"/>
        <v>0</v>
      </c>
      <c r="I292" s="71"/>
      <c r="J292" s="24"/>
      <c r="K292" s="106"/>
    </row>
    <row r="293" spans="1:11" x14ac:dyDescent="0.25">
      <c r="A293" s="22">
        <v>45974</v>
      </c>
      <c r="B293" s="23">
        <v>64</v>
      </c>
      <c r="C293" s="49" t="str">
        <f>IF(ISBLANK($B293),"",IFERROR(VLOOKUP($B293,ESTOQUE!$B$2:$D$97168,2,FALSE),"Produto não cadastrado"))</f>
        <v>CONSUMO</v>
      </c>
      <c r="D293" s="69" t="str">
        <f>IF(ISBLANK($B293),"",IFERROR(VLOOKUP($B293,ESTOQUE!$B$2:$M$997973,3,FALSE),"Produto não cadastrado"))</f>
        <v>CAMISA DE ELETRICISTA NR.10 TAM: GG</v>
      </c>
      <c r="E293" s="89" t="str">
        <f>_xlfn.XLOOKUP(B293,ESTOQUE!B:B,ESTOQUE!G:G)</f>
        <v>UND</v>
      </c>
      <c r="F293" s="88">
        <v>2</v>
      </c>
      <c r="G293" s="92"/>
      <c r="H293" s="91">
        <f t="shared" si="4"/>
        <v>0</v>
      </c>
      <c r="I293" s="71"/>
      <c r="J293" s="24"/>
      <c r="K293" s="104"/>
    </row>
    <row r="294" spans="1:11" x14ac:dyDescent="0.25">
      <c r="A294" s="22">
        <v>45974</v>
      </c>
      <c r="B294" s="23">
        <v>65</v>
      </c>
      <c r="C294" s="49" t="str">
        <f>IF(ISBLANK($B294),"",IFERROR(VLOOKUP($B294,ESTOQUE!$B$2:$D$97168,2,FALSE),"Produto não cadastrado"))</f>
        <v>CONSUMO</v>
      </c>
      <c r="D294" s="69" t="str">
        <f>IF(ISBLANK($B294),"",IFERROR(VLOOKUP($B294,ESTOQUE!$B$2:$M$997973,3,FALSE),"Produto não cadastrado"))</f>
        <v>CAMISA DE ELETRICISTA NR.10 TAM: P</v>
      </c>
      <c r="E294" s="89" t="str">
        <f>_xlfn.XLOOKUP(B294,ESTOQUE!B:B,ESTOQUE!G:G)</f>
        <v>UND</v>
      </c>
      <c r="F294" s="88">
        <v>2</v>
      </c>
      <c r="G294" s="90"/>
      <c r="H294" s="91">
        <f t="shared" si="4"/>
        <v>0</v>
      </c>
      <c r="I294" s="71"/>
      <c r="J294" s="24"/>
      <c r="K294" s="104"/>
    </row>
    <row r="295" spans="1:11" x14ac:dyDescent="0.25">
      <c r="A295" s="22">
        <v>45974</v>
      </c>
      <c r="B295" s="23">
        <v>72</v>
      </c>
      <c r="C295" s="49" t="str">
        <f>IF(ISBLANK($B295),"",IFERROR(VLOOKUP($B295,ESTOQUE!$B$2:$D$97168,2,FALSE),"Produto não cadastrado"))</f>
        <v>CONSUMO</v>
      </c>
      <c r="D295" s="69" t="str">
        <f>IF(ISBLANK($B295),"",IFERROR(VLOOKUP($B295,ESTOQUE!$B$2:$M$997973,3,FALSE),"Produto não cadastrado"))</f>
        <v>CAPA DE CHUVA G</v>
      </c>
      <c r="E295" s="89" t="str">
        <f>_xlfn.XLOOKUP(B295,ESTOQUE!B:B,ESTOQUE!G:G)</f>
        <v>UND</v>
      </c>
      <c r="F295" s="88">
        <v>60</v>
      </c>
      <c r="G295" s="90"/>
      <c r="H295" s="91">
        <f t="shared" si="4"/>
        <v>0</v>
      </c>
      <c r="I295" s="71"/>
      <c r="J295" s="24"/>
      <c r="K295" s="104"/>
    </row>
    <row r="296" spans="1:11" x14ac:dyDescent="0.25">
      <c r="A296" s="22">
        <v>45974</v>
      </c>
      <c r="B296" s="23">
        <v>118</v>
      </c>
      <c r="C296" s="49" t="str">
        <f>IF(ISBLANK($B296),"",IFERROR(VLOOKUP($B296,ESTOQUE!$B$2:$D$97168,2,FALSE),"Produto não cadastrado"))</f>
        <v>CONSUMO</v>
      </c>
      <c r="D296" s="69" t="str">
        <f>IF(ISBLANK($B296),"",IFERROR(VLOOKUP($B296,ESTOQUE!$B$2:$M$997973,3,FALSE),"Produto não cadastrado"))</f>
        <v>MACACÃO DE PROTEÇÃO TYVEK</v>
      </c>
      <c r="E296" s="89" t="str">
        <f>_xlfn.XLOOKUP(B296,ESTOQUE!B:B,ESTOQUE!G:G)</f>
        <v>UND</v>
      </c>
      <c r="F296" s="88">
        <v>100</v>
      </c>
      <c r="G296" s="92"/>
      <c r="H296" s="91">
        <f t="shared" si="4"/>
        <v>0</v>
      </c>
      <c r="I296" s="71"/>
      <c r="J296" s="24"/>
      <c r="K296" s="104"/>
    </row>
    <row r="297" spans="1:11" x14ac:dyDescent="0.25">
      <c r="A297" s="22">
        <v>45974</v>
      </c>
      <c r="B297" s="23">
        <v>114</v>
      </c>
      <c r="C297" s="49" t="str">
        <f>IF(ISBLANK($B297),"",IFERROR(VLOOKUP($B297,ESTOQUE!$B$2:$D$97168,2,FALSE),"Produto não cadastrado"))</f>
        <v>CONSUMO</v>
      </c>
      <c r="D297" s="69" t="str">
        <f>IF(ISBLANK($B297),"",IFERROR(VLOOKUP($B297,ESTOQUE!$B$2:$M$997973,3,FALSE),"Produto não cadastrado"))</f>
        <v xml:space="preserve">LUVA LATEX NITRILICA </v>
      </c>
      <c r="E297" s="89" t="str">
        <f>_xlfn.XLOOKUP(B297,ESTOQUE!B:B,ESTOQUE!G:G)</f>
        <v>PAR</v>
      </c>
      <c r="F297" s="88">
        <v>140</v>
      </c>
      <c r="G297" s="90"/>
      <c r="H297" s="91">
        <f t="shared" si="4"/>
        <v>0</v>
      </c>
      <c r="I297" s="71"/>
      <c r="J297" s="24"/>
      <c r="K297" s="104"/>
    </row>
    <row r="298" spans="1:11" x14ac:dyDescent="0.25">
      <c r="A298" s="22">
        <v>45974</v>
      </c>
      <c r="B298" s="23">
        <v>111</v>
      </c>
      <c r="C298" s="49" t="str">
        <f>IF(ISBLANK($B298),"",IFERROR(VLOOKUP($B298,ESTOQUE!$B$2:$D$97168,2,FALSE),"Produto não cadastrado"))</f>
        <v>CONSUMO</v>
      </c>
      <c r="D298" s="69" t="str">
        <f>IF(ISBLANK($B298),"",IFERROR(VLOOKUP($B298,ESTOQUE!$B$2:$M$997973,3,FALSE),"Produto não cadastrado"))</f>
        <v>LUVA DE VAQUETA MARROM</v>
      </c>
      <c r="E298" s="89" t="str">
        <f>_xlfn.XLOOKUP(B298,ESTOQUE!B:B,ESTOQUE!G:G)</f>
        <v>PAR</v>
      </c>
      <c r="F298" s="88">
        <v>95</v>
      </c>
      <c r="G298" s="90"/>
      <c r="H298" s="91">
        <f t="shared" si="4"/>
        <v>0</v>
      </c>
      <c r="I298" s="71"/>
      <c r="J298" s="24"/>
      <c r="K298" s="104"/>
    </row>
    <row r="299" spans="1:11" x14ac:dyDescent="0.25">
      <c r="A299" s="22">
        <v>45974</v>
      </c>
      <c r="B299" s="23">
        <v>141</v>
      </c>
      <c r="C299" s="49" t="str">
        <f>IF(ISBLANK($B299),"",IFERROR(VLOOKUP($B299,ESTOQUE!$B$2:$D$97168,2,FALSE),"Produto não cadastrado"))</f>
        <v>CONSUMO</v>
      </c>
      <c r="D299" s="69" t="str">
        <f>IF(ISBLANK($B299),"",IFERROR(VLOOKUP($B299,ESTOQUE!$B$2:$M$997973,3,FALSE),"Produto não cadastrado"))</f>
        <v xml:space="preserve">LUVA DE VAQUETA </v>
      </c>
      <c r="E299" s="89" t="str">
        <f>_xlfn.XLOOKUP(B299,ESTOQUE!B:B,ESTOQUE!G:G)</f>
        <v>PAR</v>
      </c>
      <c r="F299" s="88">
        <v>25</v>
      </c>
      <c r="G299" s="90"/>
      <c r="H299" s="91">
        <f t="shared" si="4"/>
        <v>0</v>
      </c>
      <c r="I299" s="71"/>
      <c r="J299" s="24"/>
      <c r="K299" s="104"/>
    </row>
    <row r="300" spans="1:11" x14ac:dyDescent="0.25">
      <c r="A300" s="22">
        <v>45974</v>
      </c>
      <c r="B300" s="23">
        <v>215</v>
      </c>
      <c r="C300" s="49" t="str">
        <f>IF(ISBLANK($B300),"",IFERROR(VLOOKUP($B300,ESTOQUE!$B$2:$D$97168,2,FALSE),"Produto não cadastrado"))</f>
        <v>CONSUMO</v>
      </c>
      <c r="D300" s="69" t="str">
        <f>IF(ISBLANK($B300),"",IFERROR(VLOOKUP($B300,ESTOQUE!$B$2:$M$997973,3,FALSE),"Produto não cadastrado"))</f>
        <v>BOTINA SEGURANÇA METATARSO  38</v>
      </c>
      <c r="E300" s="89" t="str">
        <f>_xlfn.XLOOKUP(B300,ESTOQUE!B:B,ESTOQUE!G:G)</f>
        <v>PAR</v>
      </c>
      <c r="F300" s="88">
        <v>1</v>
      </c>
      <c r="G300" s="90"/>
      <c r="H300" s="91">
        <f t="shared" si="4"/>
        <v>0</v>
      </c>
      <c r="I300" s="71"/>
      <c r="J300" s="24"/>
      <c r="K300" s="104"/>
    </row>
    <row r="301" spans="1:11" x14ac:dyDescent="0.25">
      <c r="A301" s="22">
        <v>45974</v>
      </c>
      <c r="B301" s="23">
        <v>111</v>
      </c>
      <c r="C301" s="49" t="str">
        <f>IF(ISBLANK($B301),"",IFERROR(VLOOKUP($B301,ESTOQUE!$B$2:$D$97168,2,FALSE),"Produto não cadastrado"))</f>
        <v>CONSUMO</v>
      </c>
      <c r="D301" s="69" t="str">
        <f>IF(ISBLANK($B301),"",IFERROR(VLOOKUP($B301,ESTOQUE!$B$2:$M$997973,3,FALSE),"Produto não cadastrado"))</f>
        <v>LUVA DE VAQUETA MARROM</v>
      </c>
      <c r="E301" s="89" t="str">
        <f>_xlfn.XLOOKUP(B301,ESTOQUE!B:B,ESTOQUE!G:G)</f>
        <v>PAR</v>
      </c>
      <c r="F301" s="88">
        <v>120</v>
      </c>
      <c r="G301" s="90"/>
      <c r="H301" s="91">
        <f t="shared" si="4"/>
        <v>0</v>
      </c>
      <c r="I301" s="71"/>
      <c r="J301" s="24"/>
      <c r="K301" s="104"/>
    </row>
    <row r="302" spans="1:11" x14ac:dyDescent="0.25">
      <c r="A302" s="22">
        <v>45993</v>
      </c>
      <c r="B302" s="23">
        <v>110</v>
      </c>
      <c r="C302" s="49" t="str">
        <f>IF(ISBLANK($B302),"",IFERROR(VLOOKUP($B302,ESTOQUE!$B$2:$D$97168,2,FALSE),"Produto não cadastrado"))</f>
        <v>CONSUMO</v>
      </c>
      <c r="D302" s="69" t="str">
        <f>IF(ISBLANK($B302),"",IFERROR(VLOOKUP($B302,ESTOQUE!$B$2:$M$997973,3,FALSE),"Produto não cadastrado"))</f>
        <v>LUVA DE RASPA CANO LONGO</v>
      </c>
      <c r="E302" s="89" t="str">
        <f>_xlfn.XLOOKUP(B302,ESTOQUE!B:B,ESTOQUE!G:G)</f>
        <v>PAR</v>
      </c>
      <c r="F302" s="88">
        <v>160</v>
      </c>
      <c r="G302" s="90"/>
      <c r="H302" s="91">
        <f t="shared" si="4"/>
        <v>0</v>
      </c>
      <c r="I302" s="71"/>
      <c r="J302" s="24"/>
      <c r="K302" s="104"/>
    </row>
    <row r="303" spans="1:11" x14ac:dyDescent="0.25">
      <c r="A303" s="22">
        <v>45993</v>
      </c>
      <c r="B303" s="23">
        <v>111</v>
      </c>
      <c r="C303" s="49" t="str">
        <f>IF(ISBLANK($B303),"",IFERROR(VLOOKUP($B303,ESTOQUE!$B$2:$D$97168,2,FALSE),"Produto não cadastrado"))</f>
        <v>CONSUMO</v>
      </c>
      <c r="D303" s="69" t="str">
        <f>IF(ISBLANK($B303),"",IFERROR(VLOOKUP($B303,ESTOQUE!$B$2:$M$997973,3,FALSE),"Produto não cadastrado"))</f>
        <v>LUVA DE VAQUETA MARROM</v>
      </c>
      <c r="E303" s="89" t="str">
        <f>_xlfn.XLOOKUP(B303,ESTOQUE!B:B,ESTOQUE!G:G)</f>
        <v>PAR</v>
      </c>
      <c r="F303" s="88">
        <v>480</v>
      </c>
      <c r="G303" s="90"/>
      <c r="H303" s="91">
        <f t="shared" si="4"/>
        <v>0</v>
      </c>
      <c r="I303" s="71"/>
      <c r="J303" s="24"/>
      <c r="K303" s="104"/>
    </row>
    <row r="304" spans="1:11" x14ac:dyDescent="0.25">
      <c r="A304" s="22">
        <v>45993</v>
      </c>
      <c r="B304" s="23">
        <v>263</v>
      </c>
      <c r="C304" s="49" t="str">
        <f>IF(ISBLANK($B304),"",IFERROR(VLOOKUP($B304,ESTOQUE!$B$2:$D$97168,2,FALSE),"Produto não cadastrado"))</f>
        <v>CONSUMO</v>
      </c>
      <c r="D304" s="69" t="str">
        <f>IF(ISBLANK($B304),"",IFERROR(VLOOKUP($B304,ESTOQUE!$B$2:$M$997973,3,FALSE),"Produto não cadastrado"))</f>
        <v>LUVA DE VAUQETA CINZA</v>
      </c>
      <c r="E304" s="89" t="str">
        <f>_xlfn.XLOOKUP(B304,ESTOQUE!B:B,ESTOQUE!G:G)</f>
        <v>UND</v>
      </c>
      <c r="F304" s="88">
        <v>360</v>
      </c>
      <c r="G304" s="90"/>
      <c r="H304" s="91">
        <f t="shared" si="4"/>
        <v>0</v>
      </c>
      <c r="I304" s="71"/>
      <c r="J304" s="24"/>
      <c r="K304" s="104"/>
    </row>
    <row r="305" spans="1:11" x14ac:dyDescent="0.25">
      <c r="A305" s="22">
        <v>45993</v>
      </c>
      <c r="B305" s="23">
        <v>207</v>
      </c>
      <c r="C305" s="49" t="str">
        <f>IF(ISBLANK($B305),"",IFERROR(VLOOKUP($B305,ESTOQUE!$B$2:$D$97168,2,FALSE),"Produto não cadastrado"))</f>
        <v>CONSUMO</v>
      </c>
      <c r="D305" s="69" t="str">
        <f>IF(ISBLANK($B305),"",IFERROR(VLOOKUP($B305,ESTOQUE!$B$2:$M$997973,3,FALSE),"Produto não cadastrado"))</f>
        <v>LUVA POLIESTER ANTICORTE BANHADA PU TAM 9</v>
      </c>
      <c r="E305" s="89" t="str">
        <f>_xlfn.XLOOKUP(B305,ESTOQUE!B:B,ESTOQUE!G:G)</f>
        <v>PAR</v>
      </c>
      <c r="F305" s="88">
        <v>144</v>
      </c>
      <c r="G305" s="90"/>
      <c r="H305" s="91">
        <f t="shared" si="4"/>
        <v>0</v>
      </c>
      <c r="I305" s="71"/>
      <c r="J305" s="24"/>
      <c r="K305" s="104"/>
    </row>
    <row r="306" spans="1:11" x14ac:dyDescent="0.25">
      <c r="A306" s="22">
        <v>45993</v>
      </c>
      <c r="B306" s="23">
        <v>117</v>
      </c>
      <c r="C306" s="49" t="str">
        <f>IF(ISBLANK($B306),"",IFERROR(VLOOKUP($B306,ESTOQUE!$B$2:$D$97168,2,FALSE),"Produto não cadastrado"))</f>
        <v>CONSUMO</v>
      </c>
      <c r="D306" s="69" t="str">
        <f>IF(ISBLANK($B306),"",IFERROR(VLOOKUP($B306,ESTOQUE!$B$2:$M$997973,3,FALSE),"Produto não cadastrado"))</f>
        <v>LUVA PIGMENTADA</v>
      </c>
      <c r="E306" s="89" t="str">
        <f>_xlfn.XLOOKUP(B306,ESTOQUE!B:B,ESTOQUE!G:G)</f>
        <v>PAR</v>
      </c>
      <c r="F306" s="88">
        <v>576</v>
      </c>
      <c r="G306" s="151"/>
      <c r="H306" s="91">
        <f t="shared" si="4"/>
        <v>0</v>
      </c>
      <c r="I306" s="71"/>
      <c r="J306" s="24"/>
      <c r="K306" s="104"/>
    </row>
    <row r="307" spans="1:11" x14ac:dyDescent="0.25">
      <c r="A307" s="22">
        <v>45993</v>
      </c>
      <c r="B307" s="23">
        <v>125</v>
      </c>
      <c r="C307" s="49" t="str">
        <f>IF(ISBLANK($B307),"",IFERROR(VLOOKUP($B307,ESTOQUE!$B$2:$D$97168,2,FALSE),"Produto não cadastrado"))</f>
        <v>CONSUMO</v>
      </c>
      <c r="D307" s="69" t="str">
        <f>IF(ISBLANK($B307),"",IFERROR(VLOOKUP($B307,ESTOQUE!$B$2:$M$997973,3,FALSE),"Produto não cadastrado"))</f>
        <v xml:space="preserve">MASCARA DE SOLDA AUTOMATICA </v>
      </c>
      <c r="E307" s="89" t="str">
        <f>_xlfn.XLOOKUP(B307,ESTOQUE!B:B,ESTOQUE!G:G)</f>
        <v>UND</v>
      </c>
      <c r="F307" s="88">
        <v>8</v>
      </c>
      <c r="G307" s="150"/>
      <c r="H307" s="91">
        <f>F307*G308</f>
        <v>0</v>
      </c>
      <c r="I307" s="71"/>
      <c r="J307" s="24"/>
      <c r="K307" s="104"/>
    </row>
    <row r="308" spans="1:11" x14ac:dyDescent="0.25">
      <c r="A308" s="22">
        <v>45993</v>
      </c>
      <c r="B308" s="23">
        <v>124</v>
      </c>
      <c r="C308" s="49" t="str">
        <f>IF(ISBLANK($B308),"",IFERROR(VLOOKUP($B308,ESTOQUE!$B$2:$D$97168,2,FALSE),"Produto não cadastrado"))</f>
        <v>CONSUMO</v>
      </c>
      <c r="D308" s="69" t="str">
        <f>IF(ISBLANK($B308),"",IFERROR(VLOOKUP($B308,ESTOQUE!$B$2:$M$997973,3,FALSE),"Produto não cadastrado"))</f>
        <v xml:space="preserve">OCULOS DE PROTEÇÃO INCOLOR </v>
      </c>
      <c r="E308" s="89" t="str">
        <f>_xlfn.XLOOKUP(B308,ESTOQUE!B:B,ESTOQUE!G:G)</f>
        <v>UND</v>
      </c>
      <c r="F308" s="88">
        <v>840</v>
      </c>
      <c r="G308" s="90"/>
      <c r="H308" s="91">
        <f>F308*G309</f>
        <v>0</v>
      </c>
      <c r="I308" s="71"/>
      <c r="J308" s="24"/>
      <c r="K308" s="104"/>
    </row>
    <row r="309" spans="1:11" x14ac:dyDescent="0.25">
      <c r="A309" s="22">
        <v>45993</v>
      </c>
      <c r="B309" s="23">
        <v>126</v>
      </c>
      <c r="C309" s="49" t="str">
        <f>IF(ISBLANK($B309),"",IFERROR(VLOOKUP($B309,ESTOQUE!$B$2:$D$97168,2,FALSE),"Produto não cadastrado"))</f>
        <v>CONSUMO</v>
      </c>
      <c r="D309" s="69" t="str">
        <f>IF(ISBLANK($B309),"",IFERROR(VLOOKUP($B309,ESTOQUE!$B$2:$M$997973,3,FALSE),"Produto não cadastrado"))</f>
        <v>OCULOS DE PROTEÇÃO ESCURO</v>
      </c>
      <c r="E309" s="89" t="str">
        <f>_xlfn.XLOOKUP(B309,ESTOQUE!B:B,ESTOQUE!G:G)</f>
        <v>UND</v>
      </c>
      <c r="F309" s="88">
        <v>360</v>
      </c>
      <c r="G309" s="90"/>
      <c r="H309" s="91">
        <f t="shared" ref="H309:H372" si="5">F309*G309</f>
        <v>0</v>
      </c>
      <c r="I309" s="71"/>
      <c r="J309" s="24"/>
      <c r="K309" s="104"/>
    </row>
    <row r="310" spans="1:11" x14ac:dyDescent="0.25">
      <c r="A310" s="22">
        <v>45993</v>
      </c>
      <c r="B310" s="23">
        <v>144</v>
      </c>
      <c r="C310" s="49" t="str">
        <f>IF(ISBLANK($B310),"",IFERROR(VLOOKUP($B310,ESTOQUE!$B$2:$D$97168,2,FALSE),"Produto não cadastrado"))</f>
        <v>CONSUMO</v>
      </c>
      <c r="D310" s="69" t="str">
        <f>IF(ISBLANK($B310),"",IFERROR(VLOOKUP($B310,ESTOQUE!$B$2:$M$997973,3,FALSE),"Produto não cadastrado"))</f>
        <v>MASCARA PFF2-S C/ FILTRO</v>
      </c>
      <c r="E310" s="89" t="str">
        <f>_xlfn.XLOOKUP(B310,ESTOQUE!B:B,ESTOQUE!G:G)</f>
        <v>UND</v>
      </c>
      <c r="F310" s="88">
        <v>1800</v>
      </c>
      <c r="G310" s="90"/>
      <c r="H310" s="91">
        <f t="shared" si="5"/>
        <v>0</v>
      </c>
      <c r="I310" s="71"/>
      <c r="J310" s="24"/>
      <c r="K310" s="104"/>
    </row>
    <row r="311" spans="1:11" x14ac:dyDescent="0.25">
      <c r="A311" s="22">
        <v>45993</v>
      </c>
      <c r="B311" s="23">
        <v>225</v>
      </c>
      <c r="C311" s="49" t="str">
        <f>IF(ISBLANK($B311),"",IFERROR(VLOOKUP($B311,ESTOQUE!$B$2:$D$97168,2,FALSE),"Produto não cadastrado"))</f>
        <v>CONSUMO</v>
      </c>
      <c r="D311" s="69" t="str">
        <f>IF(ISBLANK($B311),"",IFERROR(VLOOKUP($B311,ESTOQUE!$B$2:$M$997973,3,FALSE),"Produto não cadastrado"))</f>
        <v>OCULOS OPERACIONAL SOBRE POR INCOLOR</v>
      </c>
      <c r="E311" s="89" t="str">
        <f>_xlfn.XLOOKUP(B311,ESTOQUE!B:B,ESTOQUE!G:G)</f>
        <v>UND</v>
      </c>
      <c r="F311" s="88">
        <v>15</v>
      </c>
      <c r="G311" s="90"/>
      <c r="H311" s="91">
        <f t="shared" si="5"/>
        <v>0</v>
      </c>
      <c r="I311" s="71"/>
      <c r="J311" s="24"/>
      <c r="K311" s="104"/>
    </row>
    <row r="312" spans="1:11" x14ac:dyDescent="0.25">
      <c r="A312" s="22">
        <v>45993</v>
      </c>
      <c r="B312" s="23">
        <v>46</v>
      </c>
      <c r="C312" s="49" t="str">
        <f>IF(ISBLANK($B312),"",IFERROR(VLOOKUP($B312,ESTOQUE!$B$2:$D$97168,2,FALSE),"Produto não cadastrado"))</f>
        <v>CONSUMO</v>
      </c>
      <c r="D312" s="69" t="str">
        <f>IF(ISBLANK($B312),"",IFERROR(VLOOKUP($B312,ESTOQUE!$B$2:$M$997973,3,FALSE),"Produto não cadastrado"))</f>
        <v>CALÇA CINZA OP. C/ FAIXA REFLETIVA TAM: G</v>
      </c>
      <c r="E312" s="89" t="str">
        <f>_xlfn.XLOOKUP(B312,ESTOQUE!B:B,ESTOQUE!G:G)</f>
        <v>UND</v>
      </c>
      <c r="F312" s="88">
        <v>60</v>
      </c>
      <c r="G312" s="90"/>
      <c r="H312" s="91">
        <f t="shared" si="5"/>
        <v>0</v>
      </c>
      <c r="I312" s="71"/>
      <c r="J312" s="24"/>
      <c r="K312" s="104"/>
    </row>
    <row r="313" spans="1:11" x14ac:dyDescent="0.25">
      <c r="A313" s="22">
        <v>45993</v>
      </c>
      <c r="B313" s="23">
        <v>118</v>
      </c>
      <c r="C313" s="49" t="str">
        <f>IF(ISBLANK($B313),"",IFERROR(VLOOKUP($B313,ESTOQUE!$B$2:$D$97168,2,FALSE),"Produto não cadastrado"))</f>
        <v>CONSUMO</v>
      </c>
      <c r="D313" s="69" t="str">
        <f>IF(ISBLANK($B313),"",IFERROR(VLOOKUP($B313,ESTOQUE!$B$2:$M$997973,3,FALSE),"Produto não cadastrado"))</f>
        <v>MACACÃO DE PROTEÇÃO TYVEK</v>
      </c>
      <c r="E313" s="89" t="str">
        <f>_xlfn.XLOOKUP(B313,ESTOQUE!B:B,ESTOQUE!G:G)</f>
        <v>UND</v>
      </c>
      <c r="F313" s="88">
        <v>1205</v>
      </c>
      <c r="G313" s="90"/>
      <c r="H313" s="91">
        <f t="shared" si="5"/>
        <v>0</v>
      </c>
      <c r="I313" s="71"/>
      <c r="J313" s="24"/>
      <c r="K313" s="104"/>
    </row>
    <row r="314" spans="1:11" x14ac:dyDescent="0.25">
      <c r="A314" s="22">
        <v>45993</v>
      </c>
      <c r="B314" s="23">
        <v>47</v>
      </c>
      <c r="C314" s="49" t="str">
        <f>IF(ISBLANK($B314),"",IFERROR(VLOOKUP($B314,ESTOQUE!$B$2:$D$97168,2,FALSE),"Produto não cadastrado"))</f>
        <v>CONSUMO</v>
      </c>
      <c r="D314" s="69" t="str">
        <f>IF(ISBLANK($B314),"",IFERROR(VLOOKUP($B314,ESTOQUE!$B$2:$M$997973,3,FALSE),"Produto não cadastrado"))</f>
        <v>CALÇA CINZA OP. C/ FAIXA REFLETIVA TAM: GG</v>
      </c>
      <c r="E314" s="89" t="str">
        <f>_xlfn.XLOOKUP(B314,ESTOQUE!B:B,ESTOQUE!G:G)</f>
        <v>UND</v>
      </c>
      <c r="F314" s="88">
        <v>120</v>
      </c>
      <c r="G314" s="90"/>
      <c r="H314" s="91">
        <f t="shared" si="5"/>
        <v>0</v>
      </c>
      <c r="I314" s="71"/>
      <c r="J314" s="24"/>
      <c r="K314" s="104"/>
    </row>
    <row r="315" spans="1:11" x14ac:dyDescent="0.25">
      <c r="A315" s="22">
        <v>45993</v>
      </c>
      <c r="B315" s="23">
        <v>46</v>
      </c>
      <c r="C315" s="49" t="str">
        <f>IF(ISBLANK($B315),"",IFERROR(VLOOKUP($B315,ESTOQUE!$B$2:$D$97168,2,FALSE),"Produto não cadastrado"))</f>
        <v>CONSUMO</v>
      </c>
      <c r="D315" s="69" t="str">
        <f>IF(ISBLANK($B315),"",IFERROR(VLOOKUP($B315,ESTOQUE!$B$2:$M$997973,3,FALSE),"Produto não cadastrado"))</f>
        <v>CALÇA CINZA OP. C/ FAIXA REFLETIVA TAM: G</v>
      </c>
      <c r="E315" s="89" t="str">
        <f>_xlfn.XLOOKUP(B315,ESTOQUE!B:B,ESTOQUE!G:G)</f>
        <v>UND</v>
      </c>
      <c r="F315" s="88">
        <v>160</v>
      </c>
      <c r="G315" s="90"/>
      <c r="H315" s="91">
        <f t="shared" si="5"/>
        <v>0</v>
      </c>
      <c r="I315" s="71"/>
      <c r="J315" s="24"/>
      <c r="K315" s="104"/>
    </row>
    <row r="316" spans="1:11" x14ac:dyDescent="0.25">
      <c r="A316" s="22">
        <v>45993</v>
      </c>
      <c r="B316" s="23">
        <v>69</v>
      </c>
      <c r="C316" s="49" t="str">
        <f>IF(ISBLANK($B316),"",IFERROR(VLOOKUP($B316,ESTOQUE!$B$2:$D$97168,2,FALSE),"Produto não cadastrado"))</f>
        <v>CONSUMO</v>
      </c>
      <c r="D316" s="69" t="str">
        <f>IF(ISBLANK($B316),"",IFERROR(VLOOKUP($B316,ESTOQUE!$B$2:$M$997973,3,FALSE),"Produto não cadastrado"))</f>
        <v>CAMISA LARANJA OP. C/ FAIXA REFLETIVA TAM: M</v>
      </c>
      <c r="E316" s="89" t="str">
        <f>_xlfn.XLOOKUP(B316,ESTOQUE!B:B,ESTOQUE!G:G)</f>
        <v>UND</v>
      </c>
      <c r="F316" s="88">
        <v>80</v>
      </c>
      <c r="G316" s="90"/>
      <c r="H316" s="91">
        <f t="shared" si="5"/>
        <v>0</v>
      </c>
      <c r="I316" s="71"/>
      <c r="J316" s="24"/>
      <c r="K316" s="104"/>
    </row>
    <row r="317" spans="1:11" x14ac:dyDescent="0.25">
      <c r="A317" s="22">
        <v>45993</v>
      </c>
      <c r="B317" s="23">
        <v>68</v>
      </c>
      <c r="C317" s="49" t="str">
        <f>IF(ISBLANK($B317),"",IFERROR(VLOOKUP($B317,ESTOQUE!$B$2:$D$97168,2,FALSE),"Produto não cadastrado"))</f>
        <v>CONSUMO</v>
      </c>
      <c r="D317" s="69" t="str">
        <f>IF(ISBLANK($B317),"",IFERROR(VLOOKUP($B317,ESTOQUE!$B$2:$M$997973,3,FALSE),"Produto não cadastrado"))</f>
        <v>CAMISA LARANJA OP. C/ FAIXA REFLETIVA TAM: GG</v>
      </c>
      <c r="E317" s="89" t="str">
        <f>_xlfn.XLOOKUP(B317,ESTOQUE!B:B,ESTOQUE!G:G)</f>
        <v>UND</v>
      </c>
      <c r="F317" s="88">
        <v>160</v>
      </c>
      <c r="G317" s="90"/>
      <c r="H317" s="91">
        <f t="shared" si="5"/>
        <v>0</v>
      </c>
      <c r="I317" s="71"/>
      <c r="J317" s="24"/>
      <c r="K317" s="104"/>
    </row>
    <row r="318" spans="1:11" x14ac:dyDescent="0.25">
      <c r="A318" s="22">
        <v>45993</v>
      </c>
      <c r="B318" s="23">
        <v>54</v>
      </c>
      <c r="C318" s="49" t="str">
        <f>IF(ISBLANK($B318),"",IFERROR(VLOOKUP($B318,ESTOQUE!$B$2:$D$97168,2,FALSE),"Produto não cadastrado"))</f>
        <v>CONSUMO</v>
      </c>
      <c r="D318" s="69" t="str">
        <f>IF(ISBLANK($B318),"",IFERROR(VLOOKUP($B318,ESTOQUE!$B$2:$M$997973,3,FALSE),"Produto não cadastrado"))</f>
        <v>CALÇA DE ELETRICISTA NR.10 TAM: G</v>
      </c>
      <c r="E318" s="89" t="str">
        <f>_xlfn.XLOOKUP(B318,ESTOQUE!B:B,ESTOQUE!G:G)</f>
        <v>UND</v>
      </c>
      <c r="F318" s="88">
        <v>15</v>
      </c>
      <c r="G318" s="90"/>
      <c r="H318" s="91">
        <f t="shared" si="5"/>
        <v>0</v>
      </c>
      <c r="I318" s="71"/>
      <c r="J318" s="24"/>
      <c r="K318" s="104"/>
    </row>
    <row r="319" spans="1:11" x14ac:dyDescent="0.25">
      <c r="A319" s="22">
        <v>45993</v>
      </c>
      <c r="B319" s="23">
        <v>53</v>
      </c>
      <c r="C319" s="49" t="str">
        <f>IF(ISBLANK($B319),"",IFERROR(VLOOKUP($B319,ESTOQUE!$B$2:$D$97168,2,FALSE),"Produto não cadastrado"))</f>
        <v>CONSUMO</v>
      </c>
      <c r="D319" s="69" t="str">
        <f>IF(ISBLANK($B319),"",IFERROR(VLOOKUP($B319,ESTOQUE!$B$2:$M$997973,3,FALSE),"Produto não cadastrado"))</f>
        <v>CALÇA DE ELETRICISTA NR.10 TAM: P</v>
      </c>
      <c r="E319" s="89" t="str">
        <f>_xlfn.XLOOKUP(B319,ESTOQUE!B:B,ESTOQUE!G:G)</f>
        <v>UND</v>
      </c>
      <c r="F319" s="88">
        <v>15</v>
      </c>
      <c r="G319" s="90"/>
      <c r="H319" s="91">
        <f t="shared" si="5"/>
        <v>0</v>
      </c>
      <c r="I319" s="71"/>
      <c r="J319" s="24"/>
      <c r="K319" s="104"/>
    </row>
    <row r="320" spans="1:11" x14ac:dyDescent="0.25">
      <c r="A320" s="22">
        <v>45993</v>
      </c>
      <c r="B320" s="23">
        <v>65</v>
      </c>
      <c r="C320" s="49" t="str">
        <f>IF(ISBLANK($B320),"",IFERROR(VLOOKUP($B320,ESTOQUE!$B$2:$D$97168,2,FALSE),"Produto não cadastrado"))</f>
        <v>CONSUMO</v>
      </c>
      <c r="D320" s="69" t="str">
        <f>IF(ISBLANK($B320),"",IFERROR(VLOOKUP($B320,ESTOQUE!$B$2:$M$997973,3,FALSE),"Produto não cadastrado"))</f>
        <v>CAMISA DE ELETRICISTA NR.10 TAM: P</v>
      </c>
      <c r="E320" s="89" t="str">
        <f>_xlfn.XLOOKUP(B320,ESTOQUE!B:B,ESTOQUE!G:G)</f>
        <v>UND</v>
      </c>
      <c r="F320" s="88">
        <v>15</v>
      </c>
      <c r="G320" s="90"/>
      <c r="H320" s="91">
        <f t="shared" si="5"/>
        <v>0</v>
      </c>
      <c r="I320" s="71"/>
      <c r="J320" s="24"/>
      <c r="K320" s="104"/>
    </row>
    <row r="321" spans="1:11" x14ac:dyDescent="0.25">
      <c r="A321" s="22">
        <v>45993</v>
      </c>
      <c r="B321" s="23">
        <v>64</v>
      </c>
      <c r="C321" s="49" t="str">
        <f>IF(ISBLANK($B321),"",IFERROR(VLOOKUP($B321,ESTOQUE!$B$2:$D$97168,2,FALSE),"Produto não cadastrado"))</f>
        <v>CONSUMO</v>
      </c>
      <c r="D321" s="69" t="str">
        <f>IF(ISBLANK($B321),"",IFERROR(VLOOKUP($B321,ESTOQUE!$B$2:$M$997973,3,FALSE),"Produto não cadastrado"))</f>
        <v>CAMISA DE ELETRICISTA NR.10 TAM: GG</v>
      </c>
      <c r="E321" s="89" t="str">
        <f>_xlfn.XLOOKUP(B321,ESTOQUE!B:B,ESTOQUE!G:G)</f>
        <v>UND</v>
      </c>
      <c r="F321" s="88">
        <v>5</v>
      </c>
      <c r="G321" s="90"/>
      <c r="H321" s="91">
        <f t="shared" si="5"/>
        <v>0</v>
      </c>
      <c r="I321" s="71"/>
      <c r="J321" s="24"/>
      <c r="K321" s="104"/>
    </row>
    <row r="322" spans="1:11" x14ac:dyDescent="0.25">
      <c r="A322" s="22">
        <v>45993</v>
      </c>
      <c r="B322" s="23">
        <v>184</v>
      </c>
      <c r="C322" s="49" t="str">
        <f>IF(ISBLANK($B322),"",IFERROR(VLOOKUP($B322,ESTOQUE!$B$2:$D$97168,2,FALSE),"Produto não cadastrado"))</f>
        <v>CONSUMO</v>
      </c>
      <c r="D322" s="69" t="str">
        <f>IF(ISBLANK($B322),"",IFERROR(VLOOKUP($B322,ESTOQUE!$B$2:$M$997973,3,FALSE),"Produto não cadastrado"))</f>
        <v>CAMISA DE ELETRICISTA NR.10 TAM: M</v>
      </c>
      <c r="E322" s="89" t="str">
        <f>_xlfn.XLOOKUP(B322,ESTOQUE!B:B,ESTOQUE!G:G)</f>
        <v>UND</v>
      </c>
      <c r="F322" s="88">
        <v>20</v>
      </c>
      <c r="G322" s="90"/>
      <c r="H322" s="91">
        <f t="shared" si="5"/>
        <v>0</v>
      </c>
      <c r="I322" s="71"/>
      <c r="J322" s="24"/>
      <c r="K322" s="104"/>
    </row>
    <row r="323" spans="1:11" x14ac:dyDescent="0.25">
      <c r="A323" s="22">
        <v>45993</v>
      </c>
      <c r="B323" s="23">
        <v>66</v>
      </c>
      <c r="C323" s="49" t="str">
        <f>IF(ISBLANK($B323),"",IFERROR(VLOOKUP($B323,ESTOQUE!$B$2:$D$97168,2,FALSE),"Produto não cadastrado"))</f>
        <v>CONSUMO</v>
      </c>
      <c r="D323" s="69" t="str">
        <f>IF(ISBLANK($B323),"",IFERROR(VLOOKUP($B323,ESTOQUE!$B$2:$M$997973,3,FALSE),"Produto não cadastrado"))</f>
        <v>CAMISA DE ELETRICISTA NR.10 TAM: XG</v>
      </c>
      <c r="E323" s="89" t="str">
        <f>_xlfn.XLOOKUP(B323,ESTOQUE!B:B,ESTOQUE!G:G)</f>
        <v>UND</v>
      </c>
      <c r="F323" s="88">
        <v>5</v>
      </c>
      <c r="G323" s="90"/>
      <c r="H323" s="91">
        <f t="shared" si="5"/>
        <v>0</v>
      </c>
      <c r="I323" s="71"/>
      <c r="J323" s="24"/>
      <c r="K323" s="104"/>
    </row>
    <row r="324" spans="1:11" ht="18" customHeight="1" x14ac:dyDescent="0.25">
      <c r="A324" s="22">
        <v>45993</v>
      </c>
      <c r="B324" s="23">
        <v>36</v>
      </c>
      <c r="C324" s="49" t="str">
        <f>IF(ISBLANK($B324),"",IFERROR(VLOOKUP($B324,ESTOQUE!$B$2:$D$97168,2,FALSE),"Produto não cadastrado"))</f>
        <v>CONSUMO</v>
      </c>
      <c r="D324" s="69" t="str">
        <f>IF(ISBLANK($B324),"",IFERROR(VLOOKUP($B324,ESTOQUE!$B$2:$M$997973,3,FALSE),"Produto não cadastrado"))</f>
        <v>BOTINA OP. BICO PVC Nº 38</v>
      </c>
      <c r="E324" s="89" t="str">
        <f>_xlfn.XLOOKUP(B324,ESTOQUE!B:B,ESTOQUE!G:G)</f>
        <v>PAR</v>
      </c>
      <c r="F324" s="88">
        <v>10</v>
      </c>
      <c r="G324" s="90"/>
      <c r="H324" s="91">
        <f t="shared" si="5"/>
        <v>0</v>
      </c>
      <c r="I324" s="71"/>
      <c r="J324" s="24"/>
      <c r="K324" s="104"/>
    </row>
    <row r="325" spans="1:11" x14ac:dyDescent="0.25">
      <c r="A325" s="22">
        <v>45993</v>
      </c>
      <c r="B325" s="23">
        <v>37</v>
      </c>
      <c r="C325" s="49" t="str">
        <f>IF(ISBLANK($B325),"",IFERROR(VLOOKUP($B325,ESTOQUE!$B$2:$D$97168,2,FALSE),"Produto não cadastrado"))</f>
        <v>CONSUMO</v>
      </c>
      <c r="D325" s="69" t="str">
        <f>IF(ISBLANK($B325),"",IFERROR(VLOOKUP($B325,ESTOQUE!$B$2:$M$997973,3,FALSE),"Produto não cadastrado"))</f>
        <v>BOTINA OP. BICO PVC Nº 39</v>
      </c>
      <c r="E325" s="89" t="str">
        <f>_xlfn.XLOOKUP(B325,ESTOQUE!B:B,ESTOQUE!G:G)</f>
        <v>PAR</v>
      </c>
      <c r="F325" s="88">
        <v>10</v>
      </c>
      <c r="G325" s="90"/>
      <c r="H325" s="91">
        <f t="shared" si="5"/>
        <v>0</v>
      </c>
      <c r="I325" s="71"/>
      <c r="J325" s="24"/>
      <c r="K325" s="104"/>
    </row>
    <row r="326" spans="1:11" x14ac:dyDescent="0.25">
      <c r="A326" s="22">
        <v>45993</v>
      </c>
      <c r="B326" s="23">
        <v>39</v>
      </c>
      <c r="C326" s="49" t="str">
        <f>IF(ISBLANK($B326),"",IFERROR(VLOOKUP($B326,ESTOQUE!$B$2:$D$97168,2,FALSE),"Produto não cadastrado"))</f>
        <v>CONSUMO</v>
      </c>
      <c r="D326" s="69" t="str">
        <f>IF(ISBLANK($B326),"",IFERROR(VLOOKUP($B326,ESTOQUE!$B$2:$M$997973,3,FALSE),"Produto não cadastrado"))</f>
        <v>BOTINA OP. BICO PVC Nº 41</v>
      </c>
      <c r="E326" s="89" t="str">
        <f>_xlfn.XLOOKUP(B326,ESTOQUE!B:B,ESTOQUE!G:G)</f>
        <v>PAR</v>
      </c>
      <c r="F326" s="88">
        <v>10</v>
      </c>
      <c r="G326" s="90"/>
      <c r="H326" s="91">
        <f t="shared" si="5"/>
        <v>0</v>
      </c>
      <c r="I326" s="71"/>
      <c r="J326" s="24"/>
      <c r="K326" s="104"/>
    </row>
    <row r="327" spans="1:11" ht="15" customHeight="1" x14ac:dyDescent="0.25">
      <c r="A327" s="22">
        <v>45993</v>
      </c>
      <c r="B327" s="23">
        <v>40</v>
      </c>
      <c r="C327" s="49" t="str">
        <f>IF(ISBLANK($B327),"",IFERROR(VLOOKUP($B327,ESTOQUE!$B$2:$D$97168,2,FALSE),"Produto não cadastrado"))</f>
        <v>CONSUMO</v>
      </c>
      <c r="D327" s="69" t="str">
        <f>IF(ISBLANK($B327),"",IFERROR(VLOOKUP($B327,ESTOQUE!$B$2:$M$997973,3,FALSE),"Produto não cadastrado"))</f>
        <v>BOTINA OP. BICO PVC Nº 42</v>
      </c>
      <c r="E327" s="89" t="str">
        <f>_xlfn.XLOOKUP(B327,ESTOQUE!B:B,ESTOQUE!G:G)</f>
        <v>PAR</v>
      </c>
      <c r="F327" s="88">
        <v>10</v>
      </c>
      <c r="G327" s="90"/>
      <c r="H327" s="91">
        <f t="shared" si="5"/>
        <v>0</v>
      </c>
      <c r="I327" s="71"/>
      <c r="J327" s="24"/>
      <c r="K327" s="104"/>
    </row>
    <row r="328" spans="1:11" ht="15" customHeight="1" x14ac:dyDescent="0.25">
      <c r="A328" s="22">
        <v>45993</v>
      </c>
      <c r="B328" s="23">
        <v>41</v>
      </c>
      <c r="C328" s="49" t="str">
        <f>IF(ISBLANK($B328),"",IFERROR(VLOOKUP($B328,ESTOQUE!$B$2:$D$97168,2,FALSE),"Produto não cadastrado"))</f>
        <v>CONSUMO</v>
      </c>
      <c r="D328" s="69" t="str">
        <f>IF(ISBLANK($B328),"",IFERROR(VLOOKUP($B328,ESTOQUE!$B$2:$M$997973,3,FALSE),"Produto não cadastrado"))</f>
        <v>BOTINA OP. BICO PVC Nº 43</v>
      </c>
      <c r="E328" s="89" t="str">
        <f>_xlfn.XLOOKUP(B328,ESTOQUE!B:B,ESTOQUE!G:G)</f>
        <v>PAR</v>
      </c>
      <c r="F328" s="88">
        <v>10</v>
      </c>
      <c r="G328" s="90"/>
      <c r="H328" s="91">
        <f t="shared" si="5"/>
        <v>0</v>
      </c>
      <c r="I328" s="71"/>
      <c r="J328" s="24"/>
      <c r="K328" s="104"/>
    </row>
    <row r="329" spans="1:11" ht="15" customHeight="1" x14ac:dyDescent="0.25">
      <c r="A329" s="22">
        <v>45993</v>
      </c>
      <c r="B329" s="23">
        <v>42</v>
      </c>
      <c r="C329" s="49" t="str">
        <f>IF(ISBLANK($B329),"",IFERROR(VLOOKUP($B329,ESTOQUE!$B$2:$D$97168,2,FALSE),"Produto não cadastrado"))</f>
        <v>CONSUMO</v>
      </c>
      <c r="D329" s="69" t="str">
        <f>IF(ISBLANK($B329),"",IFERROR(VLOOKUP($B329,ESTOQUE!$B$2:$M$997973,3,FALSE),"Produto não cadastrado"))</f>
        <v>BOTINA OP. BICO PVC Nº 44</v>
      </c>
      <c r="E329" s="89" t="str">
        <f>_xlfn.XLOOKUP(B329,ESTOQUE!B:B,ESTOQUE!G:G)</f>
        <v>PAR</v>
      </c>
      <c r="F329" s="88">
        <v>8</v>
      </c>
      <c r="G329" s="90"/>
      <c r="H329" s="91">
        <f t="shared" si="5"/>
        <v>0</v>
      </c>
      <c r="I329" s="71"/>
      <c r="J329" s="24"/>
      <c r="K329" s="104"/>
    </row>
    <row r="330" spans="1:11" ht="15" customHeight="1" x14ac:dyDescent="0.25">
      <c r="A330" s="22">
        <v>45993</v>
      </c>
      <c r="B330" s="23">
        <v>73</v>
      </c>
      <c r="C330" s="49" t="str">
        <f>IF(ISBLANK($B330),"",IFERROR(VLOOKUP($B330,ESTOQUE!$B$2:$D$97168,2,FALSE),"Produto não cadastrado"))</f>
        <v>CONSUMO</v>
      </c>
      <c r="D330" s="69" t="str">
        <f>IF(ISBLANK($B330),"",IFERROR(VLOOKUP($B330,ESTOQUE!$B$2:$M$997973,3,FALSE),"Produto não cadastrado"))</f>
        <v>CAPA DE CHUVA GG</v>
      </c>
      <c r="E330" s="89" t="str">
        <f>_xlfn.XLOOKUP(B330,ESTOQUE!B:B,ESTOQUE!G:G)</f>
        <v>UND</v>
      </c>
      <c r="F330" s="88">
        <v>600</v>
      </c>
      <c r="G330" s="90"/>
      <c r="H330" s="91">
        <f t="shared" si="5"/>
        <v>0</v>
      </c>
      <c r="I330" s="71"/>
      <c r="J330" s="24"/>
      <c r="K330" s="104"/>
    </row>
    <row r="331" spans="1:11" ht="15" customHeight="1" x14ac:dyDescent="0.25">
      <c r="A331" s="22">
        <v>45993</v>
      </c>
      <c r="B331" s="23">
        <v>135</v>
      </c>
      <c r="C331" s="49" t="str">
        <f>IF(ISBLANK($B331),"",IFERROR(VLOOKUP($B331,ESTOQUE!$B$2:$D$97168,2,FALSE),"Produto não cadastrado"))</f>
        <v>CONSUMO</v>
      </c>
      <c r="D331" s="69" t="str">
        <f>IF(ISBLANK($B331),"",IFERROR(VLOOKUP($B331,ESTOQUE!$B$2:$M$997973,3,FALSE),"Produto não cadastrado"))</f>
        <v>TALABARTE DUPLO TIPO Y</v>
      </c>
      <c r="E331" s="89" t="str">
        <f>_xlfn.XLOOKUP(B331,ESTOQUE!B:B,ESTOQUE!G:G)</f>
        <v>UND</v>
      </c>
      <c r="F331" s="88">
        <v>100</v>
      </c>
      <c r="G331" s="90"/>
      <c r="H331" s="91">
        <f t="shared" si="5"/>
        <v>0</v>
      </c>
      <c r="I331" s="71"/>
      <c r="J331" s="24"/>
      <c r="K331" s="104"/>
    </row>
    <row r="332" spans="1:11" ht="15" customHeight="1" x14ac:dyDescent="0.25">
      <c r="A332" s="22">
        <v>45993</v>
      </c>
      <c r="B332" s="23">
        <v>96</v>
      </c>
      <c r="C332" s="49" t="str">
        <f>IF(ISBLANK($B332),"",IFERROR(VLOOKUP($B332,ESTOQUE!$B$2:$D$97168,2,FALSE),"Produto não cadastrado"))</f>
        <v>CONSUMO</v>
      </c>
      <c r="D332" s="69" t="str">
        <f>IF(ISBLANK($B332),"",IFERROR(VLOOKUP($B332,ESTOQUE!$B$2:$M$997973,3,FALSE),"Produto não cadastrado"))</f>
        <v xml:space="preserve">CINTO DE SEGURANÇA MODELO:C70 </v>
      </c>
      <c r="E332" s="89" t="str">
        <f>_xlfn.XLOOKUP(B332,ESTOQUE!B:B,ESTOQUE!G:G)</f>
        <v>UND</v>
      </c>
      <c r="F332" s="88">
        <v>100</v>
      </c>
      <c r="G332" s="90"/>
      <c r="H332" s="91">
        <f t="shared" si="5"/>
        <v>0</v>
      </c>
      <c r="I332" s="71"/>
      <c r="J332" s="24"/>
      <c r="K332" s="104"/>
    </row>
    <row r="333" spans="1:11" ht="15" customHeight="1" x14ac:dyDescent="0.25">
      <c r="A333" s="22">
        <v>45993</v>
      </c>
      <c r="B333" s="23">
        <v>67</v>
      </c>
      <c r="C333" s="49" t="str">
        <f>IF(ISBLANK($B333),"",IFERROR(VLOOKUP($B333,ESTOQUE!$B$2:$D$97168,2,FALSE),"Produto não cadastrado"))</f>
        <v>CONSUMO</v>
      </c>
      <c r="D333" s="69" t="str">
        <f>IF(ISBLANK($B333),"",IFERROR(VLOOKUP($B333,ESTOQUE!$B$2:$M$997973,3,FALSE),"Produto não cadastrado"))</f>
        <v>CAMISA LARANJA OP. C/ FAIXA REFLETIVA TAM: G</v>
      </c>
      <c r="E333" s="89" t="str">
        <f>_xlfn.XLOOKUP(B333,ESTOQUE!B:B,ESTOQUE!G:G)</f>
        <v>UND</v>
      </c>
      <c r="F333" s="88">
        <v>8</v>
      </c>
      <c r="G333" s="90"/>
      <c r="H333" s="91">
        <f t="shared" si="5"/>
        <v>0</v>
      </c>
      <c r="I333" s="71"/>
      <c r="J333" s="24"/>
      <c r="K333" s="104"/>
    </row>
    <row r="334" spans="1:11" ht="15" customHeight="1" x14ac:dyDescent="0.25">
      <c r="A334" s="22">
        <v>45993</v>
      </c>
      <c r="B334" s="23">
        <v>69</v>
      </c>
      <c r="C334" s="49" t="str">
        <f>IF(ISBLANK($B334),"",IFERROR(VLOOKUP($B334,ESTOQUE!$B$2:$D$97168,2,FALSE),"Produto não cadastrado"))</f>
        <v>CONSUMO</v>
      </c>
      <c r="D334" s="69" t="str">
        <f>IF(ISBLANK($B334),"",IFERROR(VLOOKUP($B334,ESTOQUE!$B$2:$M$997973,3,FALSE),"Produto não cadastrado"))</f>
        <v>CAMISA LARANJA OP. C/ FAIXA REFLETIVA TAM: M</v>
      </c>
      <c r="E334" s="89" t="str">
        <f>_xlfn.XLOOKUP(B334,ESTOQUE!B:B,ESTOQUE!G:G)</f>
        <v>UND</v>
      </c>
      <c r="F334" s="88">
        <v>1</v>
      </c>
      <c r="G334" s="90"/>
      <c r="H334" s="91">
        <f t="shared" si="5"/>
        <v>0</v>
      </c>
      <c r="I334" s="71"/>
      <c r="J334" s="24"/>
      <c r="K334" s="104"/>
    </row>
    <row r="335" spans="1:11" ht="15" customHeight="1" x14ac:dyDescent="0.25">
      <c r="A335" s="22">
        <v>45995</v>
      </c>
      <c r="B335" s="23">
        <v>137</v>
      </c>
      <c r="C335" s="49" t="str">
        <f>IF(ISBLANK($B335),"",IFERROR(VLOOKUP($B335,ESTOQUE!$B$2:$D$97168,2,FALSE),"Produto não cadastrado"))</f>
        <v>CONSUMO</v>
      </c>
      <c r="D335" s="69" t="str">
        <f>IF(ISBLANK($B335),"",IFERROR(VLOOKUP($B335,ESTOQUE!$B$2:$M$997973,3,FALSE),"Produto não cadastrado"))</f>
        <v xml:space="preserve">TOUCA ARABE </v>
      </c>
      <c r="E335" s="89" t="str">
        <f>_xlfn.XLOOKUP(B335,ESTOQUE!B:B,ESTOQUE!G:G)</f>
        <v>UND</v>
      </c>
      <c r="F335" s="88">
        <v>36</v>
      </c>
      <c r="G335" s="90"/>
      <c r="H335" s="91">
        <f t="shared" si="5"/>
        <v>0</v>
      </c>
      <c r="I335" s="71"/>
      <c r="J335" s="24"/>
      <c r="K335" s="104"/>
    </row>
    <row r="336" spans="1:11" ht="15" customHeight="1" x14ac:dyDescent="0.25">
      <c r="A336" s="22">
        <v>45995</v>
      </c>
      <c r="B336" s="23">
        <v>207</v>
      </c>
      <c r="C336" s="49" t="str">
        <f>IF(ISBLANK($B336),"",IFERROR(VLOOKUP($B336,ESTOQUE!$B$2:$D$97168,2,FALSE),"Produto não cadastrado"))</f>
        <v>CONSUMO</v>
      </c>
      <c r="D336" s="69" t="str">
        <f>IF(ISBLANK($B336),"",IFERROR(VLOOKUP($B336,ESTOQUE!$B$2:$M$997973,3,FALSE),"Produto não cadastrado"))</f>
        <v>LUVA POLIESTER ANTICORTE BANHADA PU TAM 9</v>
      </c>
      <c r="E336" s="89" t="str">
        <f>_xlfn.XLOOKUP(B336,ESTOQUE!B:B,ESTOQUE!G:G)</f>
        <v>PAR</v>
      </c>
      <c r="F336" s="88">
        <v>50</v>
      </c>
      <c r="G336" s="90"/>
      <c r="H336" s="91">
        <f t="shared" si="5"/>
        <v>0</v>
      </c>
      <c r="I336" s="71"/>
      <c r="J336" s="24"/>
      <c r="K336" s="104"/>
    </row>
    <row r="337" spans="1:11" ht="15" customHeight="1" x14ac:dyDescent="0.25">
      <c r="A337" s="22">
        <v>45995</v>
      </c>
      <c r="B337" s="23">
        <v>46</v>
      </c>
      <c r="C337" s="49" t="str">
        <f>IF(ISBLANK($B337),"",IFERROR(VLOOKUP($B337,ESTOQUE!$B$2:$D$97168,2,FALSE),"Produto não cadastrado"))</f>
        <v>CONSUMO</v>
      </c>
      <c r="D337" s="69" t="str">
        <f>IF(ISBLANK($B337),"",IFERROR(VLOOKUP($B337,ESTOQUE!$B$2:$M$997973,3,FALSE),"Produto não cadastrado"))</f>
        <v>CALÇA CINZA OP. C/ FAIXA REFLETIVA TAM: G</v>
      </c>
      <c r="E337" s="89" t="str">
        <f>_xlfn.XLOOKUP(B337,ESTOQUE!B:B,ESTOQUE!G:G)</f>
        <v>UND</v>
      </c>
      <c r="F337" s="88">
        <v>60</v>
      </c>
      <c r="G337" s="90"/>
      <c r="H337" s="91">
        <f t="shared" si="5"/>
        <v>0</v>
      </c>
      <c r="I337" s="71"/>
      <c r="J337" s="24"/>
      <c r="K337" s="104"/>
    </row>
    <row r="338" spans="1:11" ht="15" customHeight="1" x14ac:dyDescent="0.25">
      <c r="A338" s="22">
        <v>45995</v>
      </c>
      <c r="B338" s="23">
        <v>224</v>
      </c>
      <c r="C338" s="49" t="str">
        <f>IF(ISBLANK($B338),"",IFERROR(VLOOKUP($B338,ESTOQUE!$B$2:$D$97168,2,FALSE),"Produto não cadastrado"))</f>
        <v>CONSUMO</v>
      </c>
      <c r="D338" s="69" t="str">
        <f>IF(ISBLANK($B338),"",IFERROR(VLOOKUP($B338,ESTOQUE!$B$2:$M$997973,3,FALSE),"Produto não cadastrado"))</f>
        <v>OCULOS OPERACIONAL SOBRE POR ESCURO</v>
      </c>
      <c r="E338" s="89" t="str">
        <f>_xlfn.XLOOKUP(B338,ESTOQUE!B:B,ESTOQUE!G:G)</f>
        <v>UND</v>
      </c>
      <c r="F338" s="88">
        <v>20</v>
      </c>
      <c r="G338" s="90"/>
      <c r="H338" s="91">
        <f t="shared" si="5"/>
        <v>0</v>
      </c>
      <c r="I338" s="71"/>
      <c r="J338" s="24"/>
      <c r="K338" s="104"/>
    </row>
    <row r="339" spans="1:11" ht="15" customHeight="1" x14ac:dyDescent="0.25">
      <c r="A339" s="22">
        <v>46000</v>
      </c>
      <c r="B339" s="23">
        <v>67</v>
      </c>
      <c r="C339" s="49" t="str">
        <f>IF(ISBLANK($B339),"",IFERROR(VLOOKUP($B339,ESTOQUE!$B$2:$D$97168,2,FALSE),"Produto não cadastrado"))</f>
        <v>CONSUMO</v>
      </c>
      <c r="D339" s="69" t="str">
        <f>IF(ISBLANK($B339),"",IFERROR(VLOOKUP($B339,ESTOQUE!$B$2:$M$997973,3,FALSE),"Produto não cadastrado"))</f>
        <v>CAMISA LARANJA OP. C/ FAIXA REFLETIVA TAM: G</v>
      </c>
      <c r="E339" s="89" t="str">
        <f>_xlfn.XLOOKUP(B339,ESTOQUE!B:B,ESTOQUE!G:G)</f>
        <v>UND</v>
      </c>
      <c r="F339" s="88">
        <v>200</v>
      </c>
      <c r="G339" s="90"/>
      <c r="H339" s="91">
        <f t="shared" si="5"/>
        <v>0</v>
      </c>
      <c r="I339" s="71"/>
      <c r="J339" s="24"/>
      <c r="K339" s="104"/>
    </row>
    <row r="340" spans="1:11" ht="15" customHeight="1" x14ac:dyDescent="0.25">
      <c r="A340" s="22">
        <v>46000</v>
      </c>
      <c r="B340" s="23">
        <v>69</v>
      </c>
      <c r="C340" s="49" t="str">
        <f>IF(ISBLANK($B340),"",IFERROR(VLOOKUP($B340,ESTOQUE!$B$2:$D$97168,2,FALSE),"Produto não cadastrado"))</f>
        <v>CONSUMO</v>
      </c>
      <c r="D340" s="69" t="str">
        <f>IF(ISBLANK($B340),"",IFERROR(VLOOKUP($B340,ESTOQUE!$B$2:$M$997973,3,FALSE),"Produto não cadastrado"))</f>
        <v>CAMISA LARANJA OP. C/ FAIXA REFLETIVA TAM: M</v>
      </c>
      <c r="E340" s="89" t="str">
        <f>_xlfn.XLOOKUP(B340,ESTOQUE!B:B,ESTOQUE!G:G)</f>
        <v>UND</v>
      </c>
      <c r="F340" s="88">
        <v>80</v>
      </c>
      <c r="G340" s="90"/>
      <c r="H340" s="91">
        <f t="shared" si="5"/>
        <v>0</v>
      </c>
      <c r="I340" s="71"/>
      <c r="J340" s="24"/>
      <c r="K340" s="104"/>
    </row>
    <row r="341" spans="1:11" x14ac:dyDescent="0.25">
      <c r="A341" s="22">
        <v>46000</v>
      </c>
      <c r="B341" s="23">
        <v>71</v>
      </c>
      <c r="C341" s="49" t="str">
        <f>IF(ISBLANK($B341),"",IFERROR(VLOOKUP($B341,ESTOQUE!$B$2:$D$97168,2,FALSE),"Produto não cadastrado"))</f>
        <v>CONSUMO</v>
      </c>
      <c r="D341" s="69" t="str">
        <f>IF(ISBLANK($B341),"",IFERROR(VLOOKUP($B341,ESTOQUE!$B$2:$M$997973,3,FALSE),"Produto não cadastrado"))</f>
        <v>CAMISA LARANJA OP. C/ FAIXA REFLETIVA TAM: XG</v>
      </c>
      <c r="E341" s="89" t="str">
        <f>_xlfn.XLOOKUP(B341,ESTOQUE!B:B,ESTOQUE!G:G)</f>
        <v>UND</v>
      </c>
      <c r="F341" s="88">
        <v>10</v>
      </c>
      <c r="G341" s="90"/>
      <c r="H341" s="91">
        <f t="shared" si="5"/>
        <v>0</v>
      </c>
      <c r="I341" s="71"/>
      <c r="J341" s="24"/>
      <c r="K341" s="107"/>
    </row>
    <row r="342" spans="1:11" x14ac:dyDescent="0.25">
      <c r="A342" s="22">
        <v>46000</v>
      </c>
      <c r="B342" s="23">
        <v>47</v>
      </c>
      <c r="C342" s="49" t="str">
        <f>IF(ISBLANK($B342),"",IFERROR(VLOOKUP($B342,ESTOQUE!$B$2:$D$97168,2,FALSE),"Produto não cadastrado"))</f>
        <v>CONSUMO</v>
      </c>
      <c r="D342" s="69" t="str">
        <f>IF(ISBLANK($B342),"",IFERROR(VLOOKUP($B342,ESTOQUE!$B$2:$M$997973,3,FALSE),"Produto não cadastrado"))</f>
        <v>CALÇA CINZA OP. C/ FAIXA REFLETIVA TAM: GG</v>
      </c>
      <c r="E342" s="89" t="str">
        <f>_xlfn.XLOOKUP(B342,ESTOQUE!B:B,ESTOQUE!G:G)</f>
        <v>UND</v>
      </c>
      <c r="F342" s="88">
        <v>60</v>
      </c>
      <c r="G342" s="90"/>
      <c r="H342" s="91">
        <f t="shared" si="5"/>
        <v>0</v>
      </c>
      <c r="I342" s="71"/>
      <c r="J342" s="24"/>
      <c r="K342" s="107"/>
    </row>
    <row r="343" spans="1:11" x14ac:dyDescent="0.25">
      <c r="A343" s="22">
        <v>46000</v>
      </c>
      <c r="B343" s="23">
        <v>68</v>
      </c>
      <c r="C343" s="49" t="str">
        <f>IF(ISBLANK($B343),"",IFERROR(VLOOKUP($B343,ESTOQUE!$B$2:$D$97168,2,FALSE),"Produto não cadastrado"))</f>
        <v>CONSUMO</v>
      </c>
      <c r="D343" s="69" t="str">
        <f>IF(ISBLANK($B343),"",IFERROR(VLOOKUP($B343,ESTOQUE!$B$2:$M$997973,3,FALSE),"Produto não cadastrado"))</f>
        <v>CAMISA LARANJA OP. C/ FAIXA REFLETIVA TAM: GG</v>
      </c>
      <c r="E343" s="89" t="str">
        <f>_xlfn.XLOOKUP(B343,ESTOQUE!B:B,ESTOQUE!G:G)</f>
        <v>UND</v>
      </c>
      <c r="F343" s="88">
        <v>80</v>
      </c>
      <c r="G343" s="90"/>
      <c r="H343" s="91">
        <f t="shared" si="5"/>
        <v>0</v>
      </c>
      <c r="I343" s="71"/>
      <c r="J343" s="24"/>
      <c r="K343" s="107"/>
    </row>
    <row r="344" spans="1:11" x14ac:dyDescent="0.25">
      <c r="A344" s="22">
        <v>46000</v>
      </c>
      <c r="B344" s="23">
        <v>49</v>
      </c>
      <c r="C344" s="49" t="str">
        <f>IF(ISBLANK($B344),"",IFERROR(VLOOKUP($B344,ESTOQUE!$B$2:$D$97168,2,FALSE),"Produto não cadastrado"))</f>
        <v>CONSUMO</v>
      </c>
      <c r="D344" s="69" t="str">
        <f>IF(ISBLANK($B344),"",IFERROR(VLOOKUP($B344,ESTOQUE!$B$2:$M$997973,3,FALSE),"Produto não cadastrado"))</f>
        <v>CALÇA CINZA OP. C/ FAIXA REFLETIVA TAM: P</v>
      </c>
      <c r="E344" s="89" t="str">
        <f>_xlfn.XLOOKUP(B344,ESTOQUE!B:B,ESTOQUE!G:G)</f>
        <v>UND</v>
      </c>
      <c r="F344" s="88">
        <v>60</v>
      </c>
      <c r="G344" s="90"/>
      <c r="H344" s="91">
        <f t="shared" si="5"/>
        <v>0</v>
      </c>
      <c r="I344" s="71"/>
      <c r="J344" s="24"/>
      <c r="K344" s="107"/>
    </row>
    <row r="345" spans="1:11" x14ac:dyDescent="0.25">
      <c r="A345" s="22">
        <v>46000</v>
      </c>
      <c r="B345" s="23">
        <v>110</v>
      </c>
      <c r="C345" s="49" t="str">
        <f>IF(ISBLANK($B345),"",IFERROR(VLOOKUP($B345,ESTOQUE!$B$2:$D$97168,2,FALSE),"Produto não cadastrado"))</f>
        <v>CONSUMO</v>
      </c>
      <c r="D345" s="69" t="str">
        <f>IF(ISBLANK($B345),"",IFERROR(VLOOKUP($B345,ESTOQUE!$B$2:$M$997973,3,FALSE),"Produto não cadastrado"))</f>
        <v>LUVA DE RASPA CANO LONGO</v>
      </c>
      <c r="E345" s="89" t="str">
        <f>_xlfn.XLOOKUP(B345,ESTOQUE!B:B,ESTOQUE!G:G)</f>
        <v>PAR</v>
      </c>
      <c r="F345" s="88">
        <v>30</v>
      </c>
      <c r="G345" s="90"/>
      <c r="H345" s="91">
        <f t="shared" si="5"/>
        <v>0</v>
      </c>
      <c r="I345" s="71"/>
      <c r="J345" s="24"/>
      <c r="K345" s="107"/>
    </row>
    <row r="346" spans="1:11" x14ac:dyDescent="0.25">
      <c r="A346" s="22">
        <v>46000</v>
      </c>
      <c r="B346" s="23">
        <v>73</v>
      </c>
      <c r="C346" s="49" t="str">
        <f>IF(ISBLANK($B346),"",IFERROR(VLOOKUP($B346,ESTOQUE!$B$2:$D$97168,2,FALSE),"Produto não cadastrado"))</f>
        <v>CONSUMO</v>
      </c>
      <c r="D346" s="69" t="str">
        <f>IF(ISBLANK($B346),"",IFERROR(VLOOKUP($B346,ESTOQUE!$B$2:$M$997973,3,FALSE),"Produto não cadastrado"))</f>
        <v>CAPA DE CHUVA GG</v>
      </c>
      <c r="E346" s="89" t="str">
        <f>_xlfn.XLOOKUP(B346,ESTOQUE!B:B,ESTOQUE!G:G)</f>
        <v>UND</v>
      </c>
      <c r="F346" s="88">
        <v>360</v>
      </c>
      <c r="G346" s="90"/>
      <c r="H346" s="91">
        <f t="shared" si="5"/>
        <v>0</v>
      </c>
      <c r="I346" s="71"/>
      <c r="J346" s="24"/>
      <c r="K346" s="107"/>
    </row>
    <row r="347" spans="1:11" x14ac:dyDescent="0.25">
      <c r="A347" s="22">
        <v>46000</v>
      </c>
      <c r="B347" s="23">
        <v>190</v>
      </c>
      <c r="C347" s="49" t="str">
        <f>IF(ISBLANK($B347),"",IFERROR(VLOOKUP($B347,ESTOQUE!$B$2:$D$97168,2,FALSE),"Produto não cadastrado"))</f>
        <v>CONSUMO</v>
      </c>
      <c r="D347" s="69" t="str">
        <f>IF(ISBLANK($B347),"",IFERROR(VLOOKUP($B347,ESTOQUE!$B$2:$M$997973,3,FALSE),"Produto não cadastrado"))</f>
        <v>AVENTAL DE RASPA TAM 120X60</v>
      </c>
      <c r="E347" s="89" t="str">
        <f>_xlfn.XLOOKUP(B347,ESTOQUE!B:B,ESTOQUE!G:G)</f>
        <v>UND</v>
      </c>
      <c r="F347" s="88">
        <v>215</v>
      </c>
      <c r="G347" s="90"/>
      <c r="H347" s="91">
        <f t="shared" si="5"/>
        <v>0</v>
      </c>
      <c r="I347" s="71"/>
      <c r="J347" s="24"/>
      <c r="K347" s="107"/>
    </row>
    <row r="348" spans="1:11" x14ac:dyDescent="0.25">
      <c r="A348" s="22">
        <v>46000</v>
      </c>
      <c r="B348" s="23">
        <v>48</v>
      </c>
      <c r="C348" s="49" t="str">
        <f>IF(ISBLANK($B348),"",IFERROR(VLOOKUP($B348,ESTOQUE!$B$2:$D$97168,2,FALSE),"Produto não cadastrado"))</f>
        <v>CONSUMO</v>
      </c>
      <c r="D348" s="69" t="str">
        <f>IF(ISBLANK($B348),"",IFERROR(VLOOKUP($B348,ESTOQUE!$B$2:$M$997973,3,FALSE),"Produto não cadastrado"))</f>
        <v>CALÇA CINZA OP. C/ FAIXA REFLETIVA TAM: M</v>
      </c>
      <c r="E348" s="89" t="str">
        <f>_xlfn.XLOOKUP(B348,ESTOQUE!B:B,ESTOQUE!G:G)</f>
        <v>UND</v>
      </c>
      <c r="F348" s="88">
        <v>80</v>
      </c>
      <c r="G348" s="90"/>
      <c r="H348" s="91">
        <f t="shared" si="5"/>
        <v>0</v>
      </c>
      <c r="I348" s="71"/>
      <c r="J348" s="24"/>
      <c r="K348" s="107"/>
    </row>
    <row r="349" spans="1:11" x14ac:dyDescent="0.25">
      <c r="A349" s="22">
        <v>46000</v>
      </c>
      <c r="B349" s="23">
        <v>70</v>
      </c>
      <c r="C349" s="49" t="str">
        <f>IF(ISBLANK($B349),"",IFERROR(VLOOKUP($B349,ESTOQUE!$B$2:$D$97168,2,FALSE),"Produto não cadastrado"))</f>
        <v>CONSUMO</v>
      </c>
      <c r="D349" s="69" t="str">
        <f>IF(ISBLANK($B349),"",IFERROR(VLOOKUP($B349,ESTOQUE!$B$2:$M$997973,3,FALSE),"Produto não cadastrado"))</f>
        <v>CAMISA LARANJA OP. C/ FAIXA REFLETIVA TAM: P</v>
      </c>
      <c r="E349" s="89" t="str">
        <f>_xlfn.XLOOKUP(B349,ESTOQUE!B:B,ESTOQUE!G:G)</f>
        <v>UND</v>
      </c>
      <c r="F349" s="88">
        <v>80</v>
      </c>
      <c r="G349" s="90"/>
      <c r="H349" s="91">
        <f t="shared" si="5"/>
        <v>0</v>
      </c>
      <c r="I349" s="71"/>
      <c r="J349" s="24"/>
      <c r="K349" s="107"/>
    </row>
    <row r="350" spans="1:11" x14ac:dyDescent="0.25">
      <c r="A350" s="22">
        <v>46000</v>
      </c>
      <c r="B350" s="23">
        <v>39</v>
      </c>
      <c r="C350" s="49" t="str">
        <f>IF(ISBLANK($B350),"",IFERROR(VLOOKUP($B350,ESTOQUE!$B$2:$D$97168,2,FALSE),"Produto não cadastrado"))</f>
        <v>CONSUMO</v>
      </c>
      <c r="D350" s="69" t="str">
        <f>IF(ISBLANK($B350),"",IFERROR(VLOOKUP($B350,ESTOQUE!$B$2:$M$997973,3,FALSE),"Produto não cadastrado"))</f>
        <v>BOTINA OP. BICO PVC Nº 41</v>
      </c>
      <c r="E350" s="89" t="str">
        <f>_xlfn.XLOOKUP(B350,ESTOQUE!B:B,ESTOQUE!G:G)</f>
        <v>PAR</v>
      </c>
      <c r="F350" s="88">
        <v>6</v>
      </c>
      <c r="G350" s="90"/>
      <c r="H350" s="91">
        <f t="shared" si="5"/>
        <v>0</v>
      </c>
      <c r="I350" s="71"/>
      <c r="J350" s="24"/>
      <c r="K350" s="107"/>
    </row>
    <row r="351" spans="1:11" x14ac:dyDescent="0.25">
      <c r="A351" s="22">
        <v>46000</v>
      </c>
      <c r="B351" s="23">
        <v>41</v>
      </c>
      <c r="C351" s="49" t="str">
        <f>IF(ISBLANK($B351),"",IFERROR(VLOOKUP($B351,ESTOQUE!$B$2:$D$97168,2,FALSE),"Produto não cadastrado"))</f>
        <v>CONSUMO</v>
      </c>
      <c r="D351" s="69" t="str">
        <f>IF(ISBLANK($B351),"",IFERROR(VLOOKUP($B351,ESTOQUE!$B$2:$M$997973,3,FALSE),"Produto não cadastrado"))</f>
        <v>BOTINA OP. BICO PVC Nº 43</v>
      </c>
      <c r="E351" s="89" t="str">
        <f>_xlfn.XLOOKUP(B351,ESTOQUE!B:B,ESTOQUE!G:G)</f>
        <v>PAR</v>
      </c>
      <c r="F351" s="88">
        <v>6</v>
      </c>
      <c r="G351" s="90"/>
      <c r="H351" s="91">
        <f t="shared" si="5"/>
        <v>0</v>
      </c>
      <c r="I351" s="71"/>
      <c r="J351" s="24"/>
      <c r="K351" s="107"/>
    </row>
    <row r="352" spans="1:11" x14ac:dyDescent="0.25">
      <c r="A352" s="22">
        <v>46000</v>
      </c>
      <c r="B352" s="23">
        <v>194</v>
      </c>
      <c r="C352" s="49" t="str">
        <f>IF(ISBLANK($B352),"",IFERROR(VLOOKUP($B352,ESTOQUE!$B$2:$D$97168,2,FALSE),"Produto não cadastrado"))</f>
        <v>CONSUMO</v>
      </c>
      <c r="D352" s="69" t="str">
        <f>IF(ISBLANK($B352),"",IFERROR(VLOOKUP($B352,ESTOQUE!$B$2:$M$997973,3,FALSE),"Produto não cadastrado"))</f>
        <v>VISEIRA ACOPLADA</v>
      </c>
      <c r="E352" s="89" t="str">
        <f>_xlfn.XLOOKUP(B352,ESTOQUE!B:B,ESTOQUE!G:G)</f>
        <v>UND</v>
      </c>
      <c r="F352" s="88">
        <v>11</v>
      </c>
      <c r="G352" s="90"/>
      <c r="H352" s="91">
        <f t="shared" si="5"/>
        <v>0</v>
      </c>
      <c r="I352" s="71"/>
      <c r="J352" s="24"/>
      <c r="K352" s="107"/>
    </row>
    <row r="353" spans="1:11" x14ac:dyDescent="0.25">
      <c r="A353" s="22">
        <v>46000</v>
      </c>
      <c r="B353" s="23">
        <v>119</v>
      </c>
      <c r="C353" s="49" t="str">
        <f>IF(ISBLANK($B353),"",IFERROR(VLOOKUP($B353,ESTOQUE!$B$2:$D$97168,2,FALSE),"Produto não cadastrado"))</f>
        <v>CONSUMO</v>
      </c>
      <c r="D353" s="69" t="str">
        <f>IF(ISBLANK($B353),"",IFERROR(VLOOKUP($B353,ESTOQUE!$B$2:$M$997973,3,FALSE),"Produto não cadastrado"))</f>
        <v>SUPORTE P/ ACOPLAR PROTETOR FACIAL PRETO</v>
      </c>
      <c r="E353" s="89" t="str">
        <f>_xlfn.XLOOKUP(B353,ESTOQUE!B:B,ESTOQUE!G:G)</f>
        <v>UND</v>
      </c>
      <c r="F353" s="88">
        <v>10</v>
      </c>
      <c r="G353" s="90"/>
      <c r="H353" s="91">
        <f t="shared" si="5"/>
        <v>0</v>
      </c>
      <c r="I353" s="71"/>
      <c r="J353" s="24"/>
      <c r="K353" s="107"/>
    </row>
    <row r="354" spans="1:11" x14ac:dyDescent="0.25">
      <c r="A354" s="22">
        <v>46000</v>
      </c>
      <c r="B354" s="23">
        <v>125</v>
      </c>
      <c r="C354" s="49" t="str">
        <f>IF(ISBLANK($B354),"",IFERROR(VLOOKUP($B354,ESTOQUE!$B$2:$D$97168,2,FALSE),"Produto não cadastrado"))</f>
        <v>CONSUMO</v>
      </c>
      <c r="D354" s="69" t="str">
        <f>IF(ISBLANK($B354),"",IFERROR(VLOOKUP($B354,ESTOQUE!$B$2:$M$997973,3,FALSE),"Produto não cadastrado"))</f>
        <v xml:space="preserve">MASCARA DE SOLDA AUTOMATICA </v>
      </c>
      <c r="E354" s="89" t="str">
        <f>_xlfn.XLOOKUP(B354,ESTOQUE!B:B,ESTOQUE!G:G)</f>
        <v>UND</v>
      </c>
      <c r="F354" s="88">
        <v>4</v>
      </c>
      <c r="G354" s="90"/>
      <c r="H354" s="91">
        <f t="shared" si="5"/>
        <v>0</v>
      </c>
      <c r="I354" s="71"/>
      <c r="J354" s="24"/>
      <c r="K354" s="107"/>
    </row>
    <row r="355" spans="1:11" x14ac:dyDescent="0.25">
      <c r="A355" s="22">
        <v>46000</v>
      </c>
      <c r="B355" s="23">
        <v>98</v>
      </c>
      <c r="C355" s="49" t="str">
        <f>IF(ISBLANK($B355),"",IFERROR(VLOOKUP($B355,ESTOQUE!$B$2:$D$97168,2,FALSE),"Produto não cadastrado"))</f>
        <v>CONSUMO</v>
      </c>
      <c r="D355" s="69" t="str">
        <f>IF(ISBLANK($B355),"",IFERROR(VLOOKUP($B355,ESTOQUE!$B$2:$M$997973,3,FALSE),"Produto não cadastrado"))</f>
        <v>COLETE REFLETIVO LARANJA XGG</v>
      </c>
      <c r="E355" s="89" t="str">
        <f>_xlfn.XLOOKUP(B355,ESTOQUE!B:B,ESTOQUE!G:G)</f>
        <v>UND</v>
      </c>
      <c r="F355" s="88">
        <v>1</v>
      </c>
      <c r="G355" s="90"/>
      <c r="H355" s="91">
        <f t="shared" si="5"/>
        <v>0</v>
      </c>
      <c r="I355" s="71"/>
      <c r="J355" s="24"/>
      <c r="K355" s="107"/>
    </row>
    <row r="356" spans="1:11" x14ac:dyDescent="0.25">
      <c r="A356" s="22">
        <v>46001</v>
      </c>
      <c r="B356" s="23">
        <v>46</v>
      </c>
      <c r="C356" s="49" t="str">
        <f>IF(ISBLANK($B356),"",IFERROR(VLOOKUP($B356,ESTOQUE!$B$2:$D$97168,2,FALSE),"Produto não cadastrado"))</f>
        <v>CONSUMO</v>
      </c>
      <c r="D356" s="69" t="str">
        <f>IF(ISBLANK($B356),"",IFERROR(VLOOKUP($B356,ESTOQUE!$B$2:$M$997973,3,FALSE),"Produto não cadastrado"))</f>
        <v>CALÇA CINZA OP. C/ FAIXA REFLETIVA TAM: G</v>
      </c>
      <c r="E356" s="89" t="str">
        <f>_xlfn.XLOOKUP(B356,ESTOQUE!B:B,ESTOQUE!G:G)</f>
        <v>UND</v>
      </c>
      <c r="F356" s="88">
        <v>3</v>
      </c>
      <c r="G356" s="90"/>
      <c r="H356" s="91">
        <f t="shared" si="5"/>
        <v>0</v>
      </c>
      <c r="I356" s="71"/>
      <c r="J356" s="24"/>
      <c r="K356" s="107"/>
    </row>
    <row r="357" spans="1:11" x14ac:dyDescent="0.25">
      <c r="A357" s="22">
        <v>46001</v>
      </c>
      <c r="B357" s="23">
        <v>47</v>
      </c>
      <c r="C357" s="49" t="str">
        <f>IF(ISBLANK($B357),"",IFERROR(VLOOKUP($B357,ESTOQUE!$B$2:$D$97168,2,FALSE),"Produto não cadastrado"))</f>
        <v>CONSUMO</v>
      </c>
      <c r="D357" s="69" t="str">
        <f>IF(ISBLANK($B357),"",IFERROR(VLOOKUP($B357,ESTOQUE!$B$2:$M$997973,3,FALSE),"Produto não cadastrado"))</f>
        <v>CALÇA CINZA OP. C/ FAIXA REFLETIVA TAM: GG</v>
      </c>
      <c r="E357" s="89" t="str">
        <f>_xlfn.XLOOKUP(B357,ESTOQUE!B:B,ESTOQUE!G:G)</f>
        <v>UND</v>
      </c>
      <c r="F357" s="88">
        <v>2</v>
      </c>
      <c r="G357" s="90"/>
      <c r="H357" s="91">
        <f t="shared" si="5"/>
        <v>0</v>
      </c>
      <c r="I357" s="71"/>
      <c r="J357" s="24"/>
      <c r="K357" s="107"/>
    </row>
    <row r="358" spans="1:11" x14ac:dyDescent="0.25">
      <c r="A358" s="22">
        <v>46001</v>
      </c>
      <c r="B358" s="23">
        <v>52</v>
      </c>
      <c r="C358" s="49" t="str">
        <f>IF(ISBLANK($B358),"",IFERROR(VLOOKUP($B358,ESTOQUE!$B$2:$D$97168,2,FALSE),"Produto não cadastrado"))</f>
        <v>CONSUMO</v>
      </c>
      <c r="D358" s="69" t="str">
        <f>IF(ISBLANK($B358),"",IFERROR(VLOOKUP($B358,ESTOQUE!$B$2:$M$997973,3,FALSE),"Produto não cadastrado"))</f>
        <v>CALÇA DE ELETRICISTA NR.10 TAM: GG</v>
      </c>
      <c r="E358" s="89" t="str">
        <f>_xlfn.XLOOKUP(B358,ESTOQUE!B:B,ESTOQUE!G:G)</f>
        <v>UND</v>
      </c>
      <c r="F358" s="88">
        <v>8</v>
      </c>
      <c r="G358" s="92"/>
      <c r="H358" s="91">
        <f t="shared" si="5"/>
        <v>0</v>
      </c>
      <c r="I358" s="71"/>
      <c r="J358" s="24"/>
      <c r="K358" s="107"/>
    </row>
    <row r="359" spans="1:11" x14ac:dyDescent="0.25">
      <c r="A359" s="22">
        <v>46001</v>
      </c>
      <c r="B359" s="23">
        <v>202</v>
      </c>
      <c r="C359" s="49" t="str">
        <f>IF(ISBLANK($B359),"",IFERROR(VLOOKUP($B359,ESTOQUE!$B$2:$D$97168,2,FALSE),"Produto não cadastrado"))</f>
        <v>CONSUMO</v>
      </c>
      <c r="D359" s="69" t="str">
        <f>IF(ISBLANK($B359),"",IFERROR(VLOOKUP($B359,ESTOQUE!$B$2:$M$997973,3,FALSE),"Produto não cadastrado"))</f>
        <v>CALÇA DE ELETRICISTA NR.10 TAM: M</v>
      </c>
      <c r="E359" s="89" t="str">
        <f>_xlfn.XLOOKUP(B359,ESTOQUE!B:B,ESTOQUE!G:G)</f>
        <v>UND</v>
      </c>
      <c r="F359" s="88">
        <v>10</v>
      </c>
      <c r="G359" s="92"/>
      <c r="H359" s="91">
        <f t="shared" si="5"/>
        <v>0</v>
      </c>
      <c r="I359" s="71"/>
      <c r="J359" s="24"/>
      <c r="K359" s="107"/>
    </row>
    <row r="360" spans="1:11" x14ac:dyDescent="0.25">
      <c r="A360" s="22">
        <v>46001</v>
      </c>
      <c r="B360" s="23">
        <v>53</v>
      </c>
      <c r="C360" s="49" t="str">
        <f>IF(ISBLANK($B360),"",IFERROR(VLOOKUP($B360,ESTOQUE!$B$2:$D$97168,2,FALSE),"Produto não cadastrado"))</f>
        <v>CONSUMO</v>
      </c>
      <c r="D360" s="69" t="str">
        <f>IF(ISBLANK($B360),"",IFERROR(VLOOKUP($B360,ESTOQUE!$B$2:$M$997973,3,FALSE),"Produto não cadastrado"))</f>
        <v>CALÇA DE ELETRICISTA NR.10 TAM: P</v>
      </c>
      <c r="E360" s="89" t="str">
        <f>_xlfn.XLOOKUP(B360,ESTOQUE!B:B,ESTOQUE!G:G)</f>
        <v>UND</v>
      </c>
      <c r="F360" s="88">
        <v>2</v>
      </c>
      <c r="G360" s="92"/>
      <c r="H360" s="91">
        <f t="shared" si="5"/>
        <v>0</v>
      </c>
      <c r="I360" s="71"/>
      <c r="J360" s="24"/>
      <c r="K360" s="107"/>
    </row>
    <row r="361" spans="1:11" x14ac:dyDescent="0.25">
      <c r="A361" s="22">
        <v>46001</v>
      </c>
      <c r="B361" s="23">
        <v>55</v>
      </c>
      <c r="C361" s="49" t="str">
        <f>IF(ISBLANK($B361),"",IFERROR(VLOOKUP($B361,ESTOQUE!$B$2:$D$97168,2,FALSE),"Produto não cadastrado"))</f>
        <v>CONSUMO</v>
      </c>
      <c r="D361" s="69" t="str">
        <f>IF(ISBLANK($B361),"",IFERROR(VLOOKUP($B361,ESTOQUE!$B$2:$M$997973,3,FALSE),"Produto não cadastrado"))</f>
        <v>CALÇA DE ELETRICISTA NR.10 TAM: XGG</v>
      </c>
      <c r="E361" s="89" t="str">
        <f>_xlfn.XLOOKUP(B361,ESTOQUE!B:B,ESTOQUE!G:G)</f>
        <v>UND</v>
      </c>
      <c r="F361" s="88">
        <v>5</v>
      </c>
      <c r="G361" s="90"/>
      <c r="H361" s="91">
        <f t="shared" si="5"/>
        <v>0</v>
      </c>
      <c r="I361" s="71"/>
      <c r="J361" s="24"/>
      <c r="K361" s="107"/>
    </row>
    <row r="362" spans="1:11" x14ac:dyDescent="0.25">
      <c r="A362" s="22">
        <v>46001</v>
      </c>
      <c r="B362" s="23">
        <v>58</v>
      </c>
      <c r="C362" s="49" t="str">
        <f>IF(ISBLANK($B362),"",IFERROR(VLOOKUP($B362,ESTOQUE!$B$2:$D$97168,2,FALSE),"Produto não cadastrado"))</f>
        <v>CONSUMO</v>
      </c>
      <c r="D362" s="69" t="str">
        <f>IF(ISBLANK($B362),"",IFERROR(VLOOKUP($B362,ESTOQUE!$B$2:$M$997973,3,FALSE),"Produto não cadastrado"))</f>
        <v>CAMISA ADM FEMININA TAM: M</v>
      </c>
      <c r="E362" s="89" t="str">
        <f>_xlfn.XLOOKUP(B362,ESTOQUE!B:B,ESTOQUE!G:G)</f>
        <v>UND</v>
      </c>
      <c r="F362" s="88">
        <v>18</v>
      </c>
      <c r="G362" s="92"/>
      <c r="H362" s="91">
        <f t="shared" si="5"/>
        <v>0</v>
      </c>
      <c r="I362" s="71"/>
      <c r="J362" s="24"/>
      <c r="K362" s="107"/>
    </row>
    <row r="363" spans="1:11" x14ac:dyDescent="0.25">
      <c r="A363" s="22">
        <v>46001</v>
      </c>
      <c r="B363" s="23">
        <v>59</v>
      </c>
      <c r="C363" s="49" t="str">
        <f>IF(ISBLANK($B363),"",IFERROR(VLOOKUP($B363,ESTOQUE!$B$2:$D$97168,2,FALSE),"Produto não cadastrado"))</f>
        <v>CONSUMO</v>
      </c>
      <c r="D363" s="69" t="str">
        <f>IF(ISBLANK($B363),"",IFERROR(VLOOKUP($B363,ESTOQUE!$B$2:$M$997973,3,FALSE),"Produto não cadastrado"))</f>
        <v>CAMISA ADM FEMININA TAM: P</v>
      </c>
      <c r="E363" s="89" t="str">
        <f>_xlfn.XLOOKUP(B363,ESTOQUE!B:B,ESTOQUE!G:G)</f>
        <v>UND</v>
      </c>
      <c r="F363" s="88">
        <v>10</v>
      </c>
      <c r="G363" s="92"/>
      <c r="H363" s="91">
        <f t="shared" si="5"/>
        <v>0</v>
      </c>
      <c r="I363" s="71"/>
      <c r="J363" s="24"/>
      <c r="K363" s="107"/>
    </row>
    <row r="364" spans="1:11" x14ac:dyDescent="0.25">
      <c r="A364" s="22">
        <v>46001</v>
      </c>
      <c r="B364" s="23">
        <v>185</v>
      </c>
      <c r="C364" s="49" t="str">
        <f>IF(ISBLANK($B364),"",IFERROR(VLOOKUP($B364,ESTOQUE!$B$2:$D$97168,2,FALSE),"Produto não cadastrado"))</f>
        <v>CONSUMO</v>
      </c>
      <c r="D364" s="69" t="str">
        <f>IF(ISBLANK($B364),"",IFERROR(VLOOKUP($B364,ESTOQUE!$B$2:$M$997973,3,FALSE),"Produto não cadastrado"))</f>
        <v>CAMISA DE ELETRICISTA NR.10 TAM: G</v>
      </c>
      <c r="E364" s="89" t="str">
        <f>_xlfn.XLOOKUP(B364,ESTOQUE!B:B,ESTOQUE!G:G)</f>
        <v>UND</v>
      </c>
      <c r="F364" s="88">
        <v>8</v>
      </c>
      <c r="G364" s="90"/>
      <c r="H364" s="91">
        <f t="shared" si="5"/>
        <v>0</v>
      </c>
      <c r="I364" s="71"/>
      <c r="J364" s="24"/>
      <c r="K364" s="107"/>
    </row>
    <row r="365" spans="1:11" x14ac:dyDescent="0.25">
      <c r="A365" s="22">
        <v>46001</v>
      </c>
      <c r="B365" s="23">
        <v>64</v>
      </c>
      <c r="C365" s="49" t="str">
        <f>IF(ISBLANK($B365),"",IFERROR(VLOOKUP($B365,ESTOQUE!$B$2:$D$97168,2,FALSE),"Produto não cadastrado"))</f>
        <v>CONSUMO</v>
      </c>
      <c r="D365" s="69" t="str">
        <f>IF(ISBLANK($B365),"",IFERROR(VLOOKUP($B365,ESTOQUE!$B$2:$M$997973,3,FALSE),"Produto não cadastrado"))</f>
        <v>CAMISA DE ELETRICISTA NR.10 TAM: GG</v>
      </c>
      <c r="E365" s="89" t="str">
        <f>_xlfn.XLOOKUP(B365,ESTOQUE!B:B,ESTOQUE!G:G)</f>
        <v>UND</v>
      </c>
      <c r="F365" s="88">
        <v>3</v>
      </c>
      <c r="G365" s="92"/>
      <c r="H365" s="91">
        <f t="shared" si="5"/>
        <v>0</v>
      </c>
      <c r="I365" s="71"/>
      <c r="J365" s="24"/>
      <c r="K365" s="107"/>
    </row>
    <row r="366" spans="1:11" x14ac:dyDescent="0.25">
      <c r="A366" s="22">
        <v>46001</v>
      </c>
      <c r="B366" s="23">
        <v>66</v>
      </c>
      <c r="C366" s="49" t="str">
        <f>IF(ISBLANK($B366),"",IFERROR(VLOOKUP($B366,ESTOQUE!$B$2:$D$97168,2,FALSE),"Produto não cadastrado"))</f>
        <v>CONSUMO</v>
      </c>
      <c r="D366" s="69" t="str">
        <f>IF(ISBLANK($B366),"",IFERROR(VLOOKUP($B366,ESTOQUE!$B$2:$M$997973,3,FALSE),"Produto não cadastrado"))</f>
        <v>CAMISA DE ELETRICISTA NR.10 TAM: XG</v>
      </c>
      <c r="E366" s="89" t="str">
        <f>_xlfn.XLOOKUP(B366,ESTOQUE!B:B,ESTOQUE!G:G)</f>
        <v>UND</v>
      </c>
      <c r="F366" s="88">
        <v>5</v>
      </c>
      <c r="G366" s="92"/>
      <c r="H366" s="91">
        <f t="shared" si="5"/>
        <v>0</v>
      </c>
      <c r="I366" s="71"/>
      <c r="J366" s="24"/>
      <c r="K366" s="107"/>
    </row>
    <row r="367" spans="1:11" x14ac:dyDescent="0.25">
      <c r="A367" s="22">
        <v>46001</v>
      </c>
      <c r="B367" s="23">
        <v>199</v>
      </c>
      <c r="C367" s="49" t="str">
        <f>IF(ISBLANK($B367),"",IFERROR(VLOOKUP($B367,ESTOQUE!$B$2:$D$97168,2,FALSE),"Produto não cadastrado"))</f>
        <v>CONSUMO</v>
      </c>
      <c r="D367" s="69" t="str">
        <f>IF(ISBLANK($B367),"",IFERROR(VLOOKUP($B367,ESTOQUE!$B$2:$M$997973,3,FALSE),"Produto não cadastrado"))</f>
        <v>CAMISA LARANJA OP. C/ FAIXA REFLETIVA TAM: EXG</v>
      </c>
      <c r="E367" s="89" t="str">
        <f>_xlfn.XLOOKUP(B367,ESTOQUE!B:B,ESTOQUE!G:G)</f>
        <v>UND</v>
      </c>
      <c r="F367" s="88">
        <v>7</v>
      </c>
      <c r="G367" s="92"/>
      <c r="H367" s="91">
        <f t="shared" si="5"/>
        <v>0</v>
      </c>
      <c r="I367" s="71"/>
      <c r="J367" s="24"/>
      <c r="K367" s="107"/>
    </row>
    <row r="368" spans="1:11" x14ac:dyDescent="0.25">
      <c r="A368" s="22">
        <v>46001</v>
      </c>
      <c r="B368" s="23">
        <v>74</v>
      </c>
      <c r="C368" s="49" t="str">
        <f>IF(ISBLANK($B368),"",IFERROR(VLOOKUP($B368,ESTOQUE!$B$2:$D$97168,2,FALSE),"Produto não cadastrado"))</f>
        <v>CONSUMO</v>
      </c>
      <c r="D368" s="69" t="str">
        <f>IF(ISBLANK($B368),"",IFERROR(VLOOKUP($B368,ESTOQUE!$B$2:$M$997973,3,FALSE),"Produto não cadastrado"))</f>
        <v>CAPACETE CAMPER AMARELO</v>
      </c>
      <c r="E368" s="89" t="str">
        <f>_xlfn.XLOOKUP(B368,ESTOQUE!B:B,ESTOQUE!G:G)</f>
        <v>UND</v>
      </c>
      <c r="F368" s="88">
        <v>17</v>
      </c>
      <c r="G368" s="92"/>
      <c r="H368" s="91">
        <f t="shared" si="5"/>
        <v>0</v>
      </c>
      <c r="I368" s="71"/>
      <c r="J368" s="24"/>
      <c r="K368" s="107"/>
    </row>
    <row r="369" spans="1:11" x14ac:dyDescent="0.25">
      <c r="A369" s="22">
        <v>46001</v>
      </c>
      <c r="B369" s="23">
        <v>79</v>
      </c>
      <c r="C369" s="49" t="str">
        <f>IF(ISBLANK($B369),"",IFERROR(VLOOKUP($B369,ESTOQUE!$B$2:$D$97168,2,FALSE),"Produto não cadastrado"))</f>
        <v>CONSUMO</v>
      </c>
      <c r="D369" s="69" t="str">
        <f>IF(ISBLANK($B369),"",IFERROR(VLOOKUP($B369,ESTOQUE!$B$2:$M$997973,3,FALSE),"Produto não cadastrado"))</f>
        <v>CAPACETE LIBUS AMARELO</v>
      </c>
      <c r="E369" s="89" t="str">
        <f>_xlfn.XLOOKUP(B369,ESTOQUE!B:B,ESTOQUE!G:G)</f>
        <v>UND</v>
      </c>
      <c r="F369" s="88">
        <v>21</v>
      </c>
      <c r="G369" s="92"/>
      <c r="H369" s="91">
        <f t="shared" si="5"/>
        <v>0</v>
      </c>
      <c r="I369" s="71"/>
      <c r="J369" s="24"/>
      <c r="K369" s="107"/>
    </row>
    <row r="370" spans="1:11" x14ac:dyDescent="0.25">
      <c r="A370" s="22">
        <v>46001</v>
      </c>
      <c r="B370" s="23">
        <v>80</v>
      </c>
      <c r="C370" s="49" t="str">
        <f>IF(ISBLANK($B370),"",IFERROR(VLOOKUP($B370,ESTOQUE!$B$2:$D$97168,2,FALSE),"Produto não cadastrado"))</f>
        <v>CONSUMO</v>
      </c>
      <c r="D370" s="69" t="str">
        <f>IF(ISBLANK($B370),"",IFERROR(VLOOKUP($B370,ESTOQUE!$B$2:$M$997973,3,FALSE),"Produto não cadastrado"))</f>
        <v>CAPACETE LIBUS AZUL CLARO</v>
      </c>
      <c r="E370" s="89" t="str">
        <f>_xlfn.XLOOKUP(B370,ESTOQUE!B:B,ESTOQUE!G:G)</f>
        <v>UND</v>
      </c>
      <c r="F370" s="88">
        <v>12</v>
      </c>
      <c r="G370" s="90"/>
      <c r="H370" s="91">
        <f t="shared" si="5"/>
        <v>0</v>
      </c>
      <c r="I370" s="71"/>
      <c r="J370" s="24"/>
      <c r="K370" s="107"/>
    </row>
    <row r="371" spans="1:11" x14ac:dyDescent="0.25">
      <c r="A371" s="22">
        <v>46001</v>
      </c>
      <c r="B371" s="23">
        <v>82</v>
      </c>
      <c r="C371" s="49" t="str">
        <f>IF(ISBLANK($B371),"",IFERROR(VLOOKUP($B371,ESTOQUE!$B$2:$D$97168,2,FALSE),"Produto não cadastrado"))</f>
        <v>CONSUMO</v>
      </c>
      <c r="D371" s="69" t="str">
        <f>IF(ISBLANK($B371),"",IFERROR(VLOOKUP($B371,ESTOQUE!$B$2:$M$997973,3,FALSE),"Produto não cadastrado"))</f>
        <v>CAPACETE LIBUS CINZA</v>
      </c>
      <c r="E371" s="89" t="str">
        <f>_xlfn.XLOOKUP(B371,ESTOQUE!B:B,ESTOQUE!G:G)</f>
        <v>UND</v>
      </c>
      <c r="F371" s="88">
        <v>8</v>
      </c>
      <c r="G371" s="90"/>
      <c r="H371" s="91">
        <f t="shared" si="5"/>
        <v>0</v>
      </c>
      <c r="I371" s="71"/>
      <c r="J371" s="24"/>
      <c r="K371" s="107"/>
    </row>
    <row r="372" spans="1:11" x14ac:dyDescent="0.25">
      <c r="A372" s="22">
        <v>46001</v>
      </c>
      <c r="B372" s="23">
        <v>83</v>
      </c>
      <c r="C372" s="49" t="str">
        <f>IF(ISBLANK($B372),"",IFERROR(VLOOKUP($B372,ESTOQUE!$B$2:$D$97168,2,FALSE),"Produto não cadastrado"))</f>
        <v>CONSUMO</v>
      </c>
      <c r="D372" s="69" t="str">
        <f>IF(ISBLANK($B372),"",IFERROR(VLOOKUP($B372,ESTOQUE!$B$2:$M$997973,3,FALSE),"Produto não cadastrado"))</f>
        <v>CAPACETE LIBUS LARANJA</v>
      </c>
      <c r="E372" s="89" t="str">
        <f>_xlfn.XLOOKUP(B372,ESTOQUE!B:B,ESTOQUE!G:G)</f>
        <v>UND</v>
      </c>
      <c r="F372" s="88">
        <v>19</v>
      </c>
      <c r="G372" s="90"/>
      <c r="H372" s="91">
        <f t="shared" si="5"/>
        <v>0</v>
      </c>
      <c r="I372" s="71"/>
      <c r="J372" s="24"/>
      <c r="K372" s="107"/>
    </row>
    <row r="373" spans="1:11" x14ac:dyDescent="0.25">
      <c r="A373" s="22">
        <v>46001</v>
      </c>
      <c r="B373" s="23">
        <v>84</v>
      </c>
      <c r="C373" s="49" t="str">
        <f>IF(ISBLANK($B373),"",IFERROR(VLOOKUP($B373,ESTOQUE!$B$2:$D$97168,2,FALSE),"Produto não cadastrado"))</f>
        <v>CONSUMO</v>
      </c>
      <c r="D373" s="69" t="str">
        <f>IF(ISBLANK($B373),"",IFERROR(VLOOKUP($B373,ESTOQUE!$B$2:$M$997973,3,FALSE),"Produto não cadastrado"))</f>
        <v>CAPACETE LIBUS MARROM</v>
      </c>
      <c r="E373" s="89" t="str">
        <f>_xlfn.XLOOKUP(B373,ESTOQUE!B:B,ESTOQUE!G:G)</f>
        <v>UND</v>
      </c>
      <c r="F373" s="88">
        <v>5</v>
      </c>
      <c r="G373" s="90"/>
      <c r="H373" s="91">
        <f t="shared" ref="H373:H436" si="6">F373*G373</f>
        <v>0</v>
      </c>
      <c r="I373" s="71"/>
      <c r="J373" s="24"/>
      <c r="K373" s="107"/>
    </row>
    <row r="374" spans="1:11" x14ac:dyDescent="0.25">
      <c r="A374" s="22">
        <v>46001</v>
      </c>
      <c r="B374" s="23">
        <v>86</v>
      </c>
      <c r="C374" s="49" t="str">
        <f>IF(ISBLANK($B374),"",IFERROR(VLOOKUP($B374,ESTOQUE!$B$2:$D$97168,2,FALSE),"Produto não cadastrado"))</f>
        <v>CONSUMO</v>
      </c>
      <c r="D374" s="69" t="str">
        <f>IF(ISBLANK($B374),"",IFERROR(VLOOKUP($B374,ESTOQUE!$B$2:$M$997973,3,FALSE),"Produto não cadastrado"))</f>
        <v>CAPACETE LIBUS VERDE</v>
      </c>
      <c r="E374" s="89" t="str">
        <f>_xlfn.XLOOKUP(B374,ESTOQUE!B:B,ESTOQUE!G:G)</f>
        <v>UND</v>
      </c>
      <c r="F374" s="88">
        <v>19</v>
      </c>
      <c r="G374" s="90"/>
      <c r="H374" s="91">
        <f t="shared" si="6"/>
        <v>0</v>
      </c>
      <c r="I374" s="71"/>
      <c r="J374" s="24"/>
      <c r="K374" s="107"/>
    </row>
    <row r="375" spans="1:11" x14ac:dyDescent="0.25">
      <c r="A375" s="22">
        <v>46001</v>
      </c>
      <c r="B375" s="23">
        <v>140</v>
      </c>
      <c r="C375" s="49" t="str">
        <f>IF(ISBLANK($B375),"",IFERROR(VLOOKUP($B375,ESTOQUE!$B$2:$D$97168,2,FALSE),"Produto não cadastrado"))</f>
        <v>CONSUMO</v>
      </c>
      <c r="D375" s="69" t="str">
        <f>IF(ISBLANK($B375),"",IFERROR(VLOOKUP($B375,ESTOQUE!$B$2:$M$997973,3,FALSE),"Produto não cadastrado"))</f>
        <v>CAPACETE LIBUS VERMELHO</v>
      </c>
      <c r="E375" s="89" t="str">
        <f>_xlfn.XLOOKUP(B375,ESTOQUE!B:B,ESTOQUE!G:G)</f>
        <v>UND</v>
      </c>
      <c r="F375" s="88">
        <v>5</v>
      </c>
      <c r="G375" s="92"/>
      <c r="H375" s="91">
        <f t="shared" si="6"/>
        <v>0</v>
      </c>
      <c r="I375" s="71"/>
      <c r="J375" s="24"/>
      <c r="K375" s="107"/>
    </row>
    <row r="376" spans="1:11" x14ac:dyDescent="0.25">
      <c r="A376" s="22">
        <v>46001</v>
      </c>
      <c r="B376" s="23">
        <v>210</v>
      </c>
      <c r="C376" s="49" t="str">
        <f>IF(ISBLANK($B376),"",IFERROR(VLOOKUP($B376,ESTOQUE!$B$2:$D$97168,2,FALSE),"Produto não cadastrado"))</f>
        <v>CONSUMO</v>
      </c>
      <c r="D376" s="69" t="str">
        <f>IF(ISBLANK($B376),"",IFERROR(VLOOKUP($B376,ESTOQUE!$B$2:$M$997973,3,FALSE),"Produto não cadastrado"))</f>
        <v>COLETE REFLETIVO LARANJA G</v>
      </c>
      <c r="E376" s="89" t="str">
        <f>_xlfn.XLOOKUP(B376,ESTOQUE!B:B,ESTOQUE!G:G)</f>
        <v>UND</v>
      </c>
      <c r="F376" s="88">
        <v>2</v>
      </c>
      <c r="G376" s="90"/>
      <c r="H376" s="91">
        <f t="shared" si="6"/>
        <v>0</v>
      </c>
      <c r="I376" s="71"/>
      <c r="J376" s="24"/>
      <c r="K376" s="107"/>
    </row>
    <row r="377" spans="1:11" x14ac:dyDescent="0.25">
      <c r="A377" s="22">
        <v>46001</v>
      </c>
      <c r="B377" s="23">
        <v>161</v>
      </c>
      <c r="C377" s="49" t="str">
        <f>IF(ISBLANK($B377),"",IFERROR(VLOOKUP($B377,ESTOQUE!$B$2:$D$97168,2,FALSE),"Produto não cadastrado"))</f>
        <v>CONSUMO</v>
      </c>
      <c r="D377" s="69" t="str">
        <f>IF(ISBLANK($B377),"",IFERROR(VLOOKUP($B377,ESTOQUE!$B$2:$M$997973,3,FALSE),"Produto não cadastrado"))</f>
        <v>JUGULAR</v>
      </c>
      <c r="E377" s="89" t="str">
        <f>_xlfn.XLOOKUP(B377,ESTOQUE!B:B,ESTOQUE!G:G)</f>
        <v>UND</v>
      </c>
      <c r="F377" s="88">
        <v>8</v>
      </c>
      <c r="G377" s="90"/>
      <c r="H377" s="91">
        <f t="shared" si="6"/>
        <v>0</v>
      </c>
      <c r="I377" s="71"/>
      <c r="J377" s="24"/>
      <c r="K377" s="107"/>
    </row>
    <row r="378" spans="1:11" x14ac:dyDescent="0.25">
      <c r="A378" s="22">
        <v>46001</v>
      </c>
      <c r="B378" s="23">
        <v>134</v>
      </c>
      <c r="C378" s="49" t="str">
        <f>IF(ISBLANK($B378),"",IFERROR(VLOOKUP($B378,ESTOQUE!$B$2:$D$97168,2,FALSE),"Produto não cadastrado"))</f>
        <v>CONSUMO</v>
      </c>
      <c r="D378" s="69" t="str">
        <f>IF(ISBLANK($B378),"",IFERROR(VLOOKUP($B378,ESTOQUE!$B$2:$M$997973,3,FALSE),"Produto não cadastrado"))</f>
        <v>PROTETOR SOLAR FACIAL ALGSUN 2L</v>
      </c>
      <c r="E378" s="89" t="str">
        <f>_xlfn.XLOOKUP(B378,ESTOQUE!B:B,ESTOQUE!G:G)</f>
        <v>UND</v>
      </c>
      <c r="F378" s="88">
        <v>2</v>
      </c>
      <c r="G378" s="90"/>
      <c r="H378" s="91">
        <f t="shared" si="6"/>
        <v>0</v>
      </c>
      <c r="I378" s="71"/>
      <c r="J378" s="24"/>
      <c r="K378" s="107"/>
    </row>
    <row r="379" spans="1:11" x14ac:dyDescent="0.25">
      <c r="A379" s="22">
        <v>46001</v>
      </c>
      <c r="B379" s="23">
        <v>136</v>
      </c>
      <c r="C379" s="49" t="str">
        <f>IF(ISBLANK($B379),"",IFERROR(VLOOKUP($B379,ESTOQUE!$B$2:$D$97168,2,FALSE),"Produto não cadastrado"))</f>
        <v>CONSUMO</v>
      </c>
      <c r="D379" s="69" t="str">
        <f>IF(ISBLANK($B379),"",IFERROR(VLOOKUP($B379,ESTOQUE!$B$2:$M$997973,3,FALSE),"Produto não cadastrado"))</f>
        <v>TAYCO CARTUCHO P/ GASES TGV-500 - MASCARA</v>
      </c>
      <c r="E379" s="89" t="str">
        <f>_xlfn.XLOOKUP(B379,ESTOQUE!B:B,ESTOQUE!G:G)</f>
        <v>UND</v>
      </c>
      <c r="F379" s="88">
        <v>17</v>
      </c>
      <c r="G379" s="92"/>
      <c r="H379" s="91">
        <f t="shared" si="6"/>
        <v>0</v>
      </c>
      <c r="I379" s="71"/>
      <c r="J379" s="24"/>
      <c r="K379" s="107"/>
    </row>
    <row r="380" spans="1:11" x14ac:dyDescent="0.25">
      <c r="A380" s="22">
        <v>46001</v>
      </c>
      <c r="B380" s="23">
        <v>189</v>
      </c>
      <c r="C380" s="49" t="str">
        <f>IF(ISBLANK($B380),"",IFERROR(VLOOKUP($B380,ESTOQUE!$B$2:$D$97168,2,FALSE),"Produto não cadastrado"))</f>
        <v>CONSUMO</v>
      </c>
      <c r="D380" s="69" t="str">
        <f>IF(ISBLANK($B380),"",IFERROR(VLOOKUP($B380,ESTOQUE!$B$2:$M$997973,3,FALSE),"Produto não cadastrado"))</f>
        <v xml:space="preserve">LUVA DE VAQUETA MISTA </v>
      </c>
      <c r="E380" s="89" t="str">
        <f>_xlfn.XLOOKUP(B380,ESTOQUE!B:B,ESTOQUE!G:G)</f>
        <v>UND</v>
      </c>
      <c r="F380" s="88">
        <v>113</v>
      </c>
      <c r="G380" s="90"/>
      <c r="H380" s="91">
        <f t="shared" si="6"/>
        <v>0</v>
      </c>
      <c r="I380" s="71"/>
      <c r="J380" s="24"/>
      <c r="K380" s="107"/>
    </row>
    <row r="381" spans="1:11" x14ac:dyDescent="0.25">
      <c r="A381" s="22">
        <v>46001</v>
      </c>
      <c r="B381" s="23">
        <v>261</v>
      </c>
      <c r="C381" s="49" t="str">
        <f>IF(ISBLANK($B381),"",IFERROR(VLOOKUP($B381,ESTOQUE!$B$2:$D$97168,2,FALSE),"Produto não cadastrado"))</f>
        <v>CONSUMO</v>
      </c>
      <c r="D381" s="69" t="str">
        <f>IF(ISBLANK($B381),"",IFERROR(VLOOKUP($B381,ESTOQUE!$B$2:$M$997973,3,FALSE),"Produto não cadastrado"))</f>
        <v xml:space="preserve">LUVA DE VAQUETA VERDE </v>
      </c>
      <c r="E381" s="89" t="str">
        <f>_xlfn.XLOOKUP(B381,ESTOQUE!B:B,ESTOQUE!G:G)</f>
        <v>PAR</v>
      </c>
      <c r="F381" s="88">
        <v>128</v>
      </c>
      <c r="G381" s="92"/>
      <c r="H381" s="91">
        <f t="shared" si="6"/>
        <v>0</v>
      </c>
      <c r="I381" s="71"/>
      <c r="J381" s="24"/>
      <c r="K381" s="107"/>
    </row>
    <row r="382" spans="1:11" x14ac:dyDescent="0.25">
      <c r="A382" s="22">
        <v>46001</v>
      </c>
      <c r="B382" s="23">
        <v>81</v>
      </c>
      <c r="C382" s="49" t="str">
        <f>IF(ISBLANK($B382),"",IFERROR(VLOOKUP($B382,ESTOQUE!$B$2:$D$97168,2,FALSE),"Produto não cadastrado"))</f>
        <v>CONSUMO</v>
      </c>
      <c r="D382" s="69" t="str">
        <f>IF(ISBLANK($B382),"",IFERROR(VLOOKUP($B382,ESTOQUE!$B$2:$M$997973,3,FALSE),"Produto não cadastrado"))</f>
        <v>CAPACETE LIBUS BRANCO</v>
      </c>
      <c r="E382" s="89" t="str">
        <f>_xlfn.XLOOKUP(B382,ESTOQUE!B:B,ESTOQUE!G:G)</f>
        <v>UND</v>
      </c>
      <c r="F382" s="88">
        <v>2</v>
      </c>
      <c r="G382" s="90"/>
      <c r="H382" s="91">
        <f t="shared" si="6"/>
        <v>0</v>
      </c>
      <c r="I382" s="71"/>
      <c r="J382" s="24"/>
      <c r="K382" s="107"/>
    </row>
    <row r="383" spans="1:11" x14ac:dyDescent="0.25">
      <c r="A383" s="22">
        <v>46006</v>
      </c>
      <c r="B383" s="23">
        <v>114</v>
      </c>
      <c r="C383" s="49" t="str">
        <f>IF(ISBLANK($B383),"",IFERROR(VLOOKUP($B383,ESTOQUE!$B$2:$D$97168,2,FALSE),"Produto não cadastrado"))</f>
        <v>CONSUMO</v>
      </c>
      <c r="D383" s="69" t="str">
        <f>IF(ISBLANK($B383),"",IFERROR(VLOOKUP($B383,ESTOQUE!$B$2:$M$997973,3,FALSE),"Produto não cadastrado"))</f>
        <v xml:space="preserve">LUVA LATEX NITRILICA </v>
      </c>
      <c r="E383" s="89" t="str">
        <f>_xlfn.XLOOKUP(B383,ESTOQUE!B:B,ESTOQUE!G:G)</f>
        <v>PAR</v>
      </c>
      <c r="F383" s="88">
        <v>144</v>
      </c>
      <c r="G383" s="90"/>
      <c r="H383" s="91">
        <f t="shared" si="6"/>
        <v>0</v>
      </c>
      <c r="I383" s="71"/>
      <c r="J383" s="24"/>
      <c r="K383" s="107"/>
    </row>
    <row r="384" spans="1:11" x14ac:dyDescent="0.25">
      <c r="A384" s="22">
        <v>46006</v>
      </c>
      <c r="B384" s="23">
        <v>139</v>
      </c>
      <c r="C384" s="49" t="str">
        <f>IF(ISBLANK($B384),"",IFERROR(VLOOKUP($B384,ESTOQUE!$B$2:$D$97168,2,FALSE),"Produto não cadastrado"))</f>
        <v>CONSUMO</v>
      </c>
      <c r="D384" s="69" t="str">
        <f>IF(ISBLANK($B384),"",IFERROR(VLOOKUP($B384,ESTOQUE!$B$2:$M$997973,3,FALSE),"Produto não cadastrado"))</f>
        <v>PROTETOR AURICULAR TIPO PLUG</v>
      </c>
      <c r="E384" s="89" t="str">
        <f>_xlfn.XLOOKUP(B384,ESTOQUE!B:B,ESTOQUE!G:G)</f>
        <v>UND</v>
      </c>
      <c r="F384" s="88">
        <v>200</v>
      </c>
      <c r="G384" s="90"/>
      <c r="H384" s="91">
        <f t="shared" si="6"/>
        <v>0</v>
      </c>
      <c r="I384" s="71"/>
      <c r="J384" s="24"/>
      <c r="K384" s="107"/>
    </row>
    <row r="385" spans="1:11" x14ac:dyDescent="0.25">
      <c r="A385" s="22">
        <v>46006</v>
      </c>
      <c r="B385" s="23">
        <v>161</v>
      </c>
      <c r="C385" s="49" t="str">
        <f>IF(ISBLANK($B385),"",IFERROR(VLOOKUP($B385,ESTOQUE!$B$2:$D$97168,2,FALSE),"Produto não cadastrado"))</f>
        <v>CONSUMO</v>
      </c>
      <c r="D385" s="69" t="str">
        <f>IF(ISBLANK($B385),"",IFERROR(VLOOKUP($B385,ESTOQUE!$B$2:$M$997973,3,FALSE),"Produto não cadastrado"))</f>
        <v>JUGULAR</v>
      </c>
      <c r="E385" s="89" t="str">
        <f>_xlfn.XLOOKUP(B385,ESTOQUE!B:B,ESTOQUE!G:G)</f>
        <v>UND</v>
      </c>
      <c r="F385" s="88">
        <v>200</v>
      </c>
      <c r="G385" s="90"/>
      <c r="H385" s="91">
        <f t="shared" si="6"/>
        <v>0</v>
      </c>
      <c r="I385" s="71"/>
      <c r="J385" s="24"/>
      <c r="K385" s="107"/>
    </row>
    <row r="386" spans="1:11" x14ac:dyDescent="0.25">
      <c r="A386" s="22">
        <v>46006</v>
      </c>
      <c r="B386" s="23">
        <v>116</v>
      </c>
      <c r="C386" s="49" t="str">
        <f>IF(ISBLANK($B386),"",IFERROR(VLOOKUP($B386,ESTOQUE!$B$2:$D$97168,2,FALSE),"Produto não cadastrado"))</f>
        <v>CONSUMO</v>
      </c>
      <c r="D386" s="69" t="str">
        <f>IF(ISBLANK($B386),"",IFERROR(VLOOKUP($B386,ESTOQUE!$B$2:$M$997973,3,FALSE),"Produto não cadastrado"))</f>
        <v>LUVA PVC LINEA - CANO LONGO</v>
      </c>
      <c r="E386" s="89" t="str">
        <f>_xlfn.XLOOKUP(B386,ESTOQUE!B:B,ESTOQUE!G:G)</f>
        <v>PAR</v>
      </c>
      <c r="F386" s="88">
        <v>48</v>
      </c>
      <c r="G386" s="90"/>
      <c r="H386" s="91">
        <f t="shared" si="6"/>
        <v>0</v>
      </c>
      <c r="I386" s="71"/>
      <c r="J386" s="24"/>
      <c r="K386" s="107"/>
    </row>
    <row r="387" spans="1:11" x14ac:dyDescent="0.25">
      <c r="A387" s="22">
        <v>46006</v>
      </c>
      <c r="B387" s="23">
        <v>8</v>
      </c>
      <c r="C387" s="49" t="str">
        <f>IF(ISBLANK($B387),"",IFERROR(VLOOKUP($B387,ESTOQUE!$B$2:$D$97168,2,FALSE),"Produto não cadastrado"))</f>
        <v>CONSUMO</v>
      </c>
      <c r="D387" s="69" t="str">
        <f>IF(ISBLANK($B387),"",IFERROR(VLOOKUP($B387,ESTOQUE!$B$2:$M$997973,3,FALSE),"Produto não cadastrado"))</f>
        <v>BOTA PVC CANO LONGO Nº 40</v>
      </c>
      <c r="E387" s="89" t="str">
        <f>_xlfn.XLOOKUP(B387,ESTOQUE!B:B,ESTOQUE!G:G)</f>
        <v>PAR</v>
      </c>
      <c r="F387" s="88">
        <v>7</v>
      </c>
      <c r="G387" s="90"/>
      <c r="H387" s="91">
        <f t="shared" si="6"/>
        <v>0</v>
      </c>
      <c r="I387" s="71"/>
      <c r="J387" s="24"/>
      <c r="K387" s="104"/>
    </row>
    <row r="388" spans="1:11" x14ac:dyDescent="0.25">
      <c r="A388" s="22">
        <v>46006</v>
      </c>
      <c r="B388" s="23">
        <v>7</v>
      </c>
      <c r="C388" s="49" t="str">
        <f>IF(ISBLANK($B388),"",IFERROR(VLOOKUP($B388,ESTOQUE!$B$2:$D$97168,2,FALSE),"Produto não cadastrado"))</f>
        <v>CONSUMO</v>
      </c>
      <c r="D388" s="69" t="str">
        <f>IF(ISBLANK($B388),"",IFERROR(VLOOKUP($B388,ESTOQUE!$B$2:$M$997973,3,FALSE),"Produto não cadastrado"))</f>
        <v>BOTA PVC CANO LONGO Nº 39</v>
      </c>
      <c r="E388" s="89" t="str">
        <f>_xlfn.XLOOKUP(B388,ESTOQUE!B:B,ESTOQUE!G:G)</f>
        <v>PAR</v>
      </c>
      <c r="F388" s="88">
        <v>7</v>
      </c>
      <c r="G388" s="90"/>
      <c r="H388" s="91">
        <f t="shared" si="6"/>
        <v>0</v>
      </c>
      <c r="I388" s="71"/>
      <c r="J388" s="24"/>
      <c r="K388" s="104"/>
    </row>
    <row r="389" spans="1:11" x14ac:dyDescent="0.25">
      <c r="A389" s="22">
        <v>46006</v>
      </c>
      <c r="B389" s="23">
        <v>11</v>
      </c>
      <c r="C389" s="49" t="str">
        <f>IF(ISBLANK($B389),"",IFERROR(VLOOKUP($B389,ESTOQUE!$B$2:$D$97168,2,FALSE),"Produto não cadastrado"))</f>
        <v>CONSUMO</v>
      </c>
      <c r="D389" s="69" t="str">
        <f>IF(ISBLANK($B389),"",IFERROR(VLOOKUP($B389,ESTOQUE!$B$2:$M$997973,3,FALSE),"Produto não cadastrado"))</f>
        <v>BOTA PVC CANO LONGO Nº 43</v>
      </c>
      <c r="E389" s="89" t="str">
        <f>_xlfn.XLOOKUP(B389,ESTOQUE!B:B,ESTOQUE!G:G)</f>
        <v>PAR</v>
      </c>
      <c r="F389" s="88">
        <v>7</v>
      </c>
      <c r="G389" s="90"/>
      <c r="H389" s="91">
        <f t="shared" si="6"/>
        <v>0</v>
      </c>
      <c r="I389" s="71"/>
      <c r="J389" s="24"/>
      <c r="K389" s="104"/>
    </row>
    <row r="390" spans="1:11" x14ac:dyDescent="0.25">
      <c r="A390" s="22">
        <v>46006</v>
      </c>
      <c r="B390" s="23">
        <v>10</v>
      </c>
      <c r="C390" s="49" t="str">
        <f>IF(ISBLANK($B390),"",IFERROR(VLOOKUP($B390,ESTOQUE!$B$2:$D$97168,2,FALSE),"Produto não cadastrado"))</f>
        <v>CONSUMO</v>
      </c>
      <c r="D390" s="69" t="str">
        <f>IF(ISBLANK($B390),"",IFERROR(VLOOKUP($B390,ESTOQUE!$B$2:$M$997973,3,FALSE),"Produto não cadastrado"))</f>
        <v>BOTA PVC CANO LONGO Nº 42</v>
      </c>
      <c r="E390" s="89" t="str">
        <f>_xlfn.XLOOKUP(B390,ESTOQUE!B:B,ESTOQUE!G:G)</f>
        <v>PAR</v>
      </c>
      <c r="F390" s="88">
        <v>7</v>
      </c>
      <c r="G390" s="90"/>
      <c r="H390" s="91">
        <f t="shared" si="6"/>
        <v>0</v>
      </c>
      <c r="I390" s="71"/>
      <c r="J390" s="24"/>
      <c r="K390" s="104"/>
    </row>
    <row r="391" spans="1:11" x14ac:dyDescent="0.25">
      <c r="A391" s="22">
        <v>46006</v>
      </c>
      <c r="B391" s="23">
        <v>12</v>
      </c>
      <c r="C391" s="49" t="str">
        <f>IF(ISBLANK($B391),"",IFERROR(VLOOKUP($B391,ESTOQUE!$B$2:$D$97168,2,FALSE),"Produto não cadastrado"))</f>
        <v>CONSUMO</v>
      </c>
      <c r="D391" s="69" t="str">
        <f>IF(ISBLANK($B391),"",IFERROR(VLOOKUP($B391,ESTOQUE!$B$2:$M$997973,3,FALSE),"Produto não cadastrado"))</f>
        <v>BOTA PVC CANO LONGO Nº 44</v>
      </c>
      <c r="E391" s="89" t="str">
        <f>_xlfn.XLOOKUP(B391,ESTOQUE!B:B,ESTOQUE!G:G)</f>
        <v>PAR</v>
      </c>
      <c r="F391" s="88">
        <v>7</v>
      </c>
      <c r="G391" s="90"/>
      <c r="H391" s="91">
        <f t="shared" si="6"/>
        <v>0</v>
      </c>
      <c r="I391" s="71"/>
      <c r="J391" s="24"/>
      <c r="K391" s="104"/>
    </row>
    <row r="392" spans="1:11" x14ac:dyDescent="0.25">
      <c r="A392" s="22">
        <v>46010</v>
      </c>
      <c r="B392" s="23">
        <v>144</v>
      </c>
      <c r="C392" s="49" t="str">
        <f>IF(ISBLANK($B392),"",IFERROR(VLOOKUP($B392,ESTOQUE!$B$2:$D$97168,2,FALSE),"Produto não cadastrado"))</f>
        <v>CONSUMO</v>
      </c>
      <c r="D392" s="69" t="str">
        <f>IF(ISBLANK($B392),"",IFERROR(VLOOKUP($B392,ESTOQUE!$B$2:$M$997973,3,FALSE),"Produto não cadastrado"))</f>
        <v>MASCARA PFF2-S C/ FILTRO</v>
      </c>
      <c r="E392" s="89" t="str">
        <f>_xlfn.XLOOKUP(B392,ESTOQUE!B:B,ESTOQUE!G:G)</f>
        <v>UND</v>
      </c>
      <c r="F392" s="88">
        <v>37</v>
      </c>
      <c r="G392" s="90"/>
      <c r="H392" s="91">
        <f t="shared" si="6"/>
        <v>0</v>
      </c>
      <c r="I392" s="71"/>
      <c r="J392" s="24"/>
      <c r="K392" s="104"/>
    </row>
    <row r="393" spans="1:11" x14ac:dyDescent="0.25">
      <c r="A393" s="22">
        <v>46010</v>
      </c>
      <c r="B393" s="23">
        <v>124</v>
      </c>
      <c r="C393" s="49" t="str">
        <f>IF(ISBLANK($B393),"",IFERROR(VLOOKUP($B393,ESTOQUE!$B$2:$D$97168,2,FALSE),"Produto não cadastrado"))</f>
        <v>CONSUMO</v>
      </c>
      <c r="D393" s="69" t="str">
        <f>IF(ISBLANK($B393),"",IFERROR(VLOOKUP($B393,ESTOQUE!$B$2:$M$997973,3,FALSE),"Produto não cadastrado"))</f>
        <v xml:space="preserve">OCULOS DE PROTEÇÃO INCOLOR </v>
      </c>
      <c r="E393" s="89" t="str">
        <f>_xlfn.XLOOKUP(B393,ESTOQUE!B:B,ESTOQUE!G:G)</f>
        <v>UND</v>
      </c>
      <c r="F393" s="88">
        <v>18</v>
      </c>
      <c r="G393" s="90"/>
      <c r="H393" s="91">
        <f t="shared" si="6"/>
        <v>0</v>
      </c>
      <c r="I393" s="71"/>
      <c r="J393" s="24"/>
      <c r="K393" s="104"/>
    </row>
    <row r="394" spans="1:11" x14ac:dyDescent="0.25">
      <c r="A394" s="22">
        <v>46010</v>
      </c>
      <c r="B394" s="23">
        <v>126</v>
      </c>
      <c r="C394" s="49" t="str">
        <f>IF(ISBLANK($B394),"",IFERROR(VLOOKUP($B394,ESTOQUE!$B$2:$D$97168,2,FALSE),"Produto não cadastrado"))</f>
        <v>CONSUMO</v>
      </c>
      <c r="D394" s="69" t="str">
        <f>IF(ISBLANK($B394),"",IFERROR(VLOOKUP($B394,ESTOQUE!$B$2:$M$997973,3,FALSE),"Produto não cadastrado"))</f>
        <v>OCULOS DE PROTEÇÃO ESCURO</v>
      </c>
      <c r="E394" s="89" t="str">
        <f>_xlfn.XLOOKUP(B394,ESTOQUE!B:B,ESTOQUE!G:G)</f>
        <v>UND</v>
      </c>
      <c r="F394" s="88">
        <v>11</v>
      </c>
      <c r="G394" s="90"/>
      <c r="H394" s="91">
        <f t="shared" si="6"/>
        <v>0</v>
      </c>
      <c r="I394" s="71"/>
      <c r="J394" s="24"/>
      <c r="K394" s="104"/>
    </row>
    <row r="395" spans="1:11" x14ac:dyDescent="0.25">
      <c r="A395" s="22">
        <v>46010</v>
      </c>
      <c r="B395" s="23">
        <v>73</v>
      </c>
      <c r="C395" s="49" t="str">
        <f>IF(ISBLANK($B395),"",IFERROR(VLOOKUP($B395,ESTOQUE!$B$2:$D$97168,2,FALSE),"Produto não cadastrado"))</f>
        <v>CONSUMO</v>
      </c>
      <c r="D395" s="69" t="str">
        <f>IF(ISBLANK($B395),"",IFERROR(VLOOKUP($B395,ESTOQUE!$B$2:$M$997973,3,FALSE),"Produto não cadastrado"))</f>
        <v>CAPA DE CHUVA GG</v>
      </c>
      <c r="E395" s="89" t="str">
        <f>_xlfn.XLOOKUP(B395,ESTOQUE!B:B,ESTOQUE!G:G)</f>
        <v>UND</v>
      </c>
      <c r="F395" s="88">
        <v>45</v>
      </c>
      <c r="G395" s="90"/>
      <c r="H395" s="91">
        <f t="shared" si="6"/>
        <v>0</v>
      </c>
      <c r="I395" s="71"/>
      <c r="J395" s="24"/>
      <c r="K395" s="104"/>
    </row>
    <row r="396" spans="1:11" x14ac:dyDescent="0.25">
      <c r="A396" s="22">
        <v>46010</v>
      </c>
      <c r="B396" s="23">
        <v>159</v>
      </c>
      <c r="C396" s="49" t="str">
        <f>IF(ISBLANK($B396),"",IFERROR(VLOOKUP($B396,ESTOQUE!$B$2:$D$97168,2,FALSE),"Produto não cadastrado"))</f>
        <v>CONSUMO</v>
      </c>
      <c r="D396" s="69" t="str">
        <f>IF(ISBLANK($B396),"",IFERROR(VLOOKUP($B396,ESTOQUE!$B$2:$M$997973,3,FALSE),"Produto não cadastrado"))</f>
        <v>LUVA VOLK ANTIVIBRAÇÃO GORILA TAM 9</v>
      </c>
      <c r="E396" s="89" t="str">
        <f>_xlfn.XLOOKUP(B396,ESTOQUE!B:B,ESTOQUE!G:G)</f>
        <v>PAR</v>
      </c>
      <c r="F396" s="88">
        <v>6</v>
      </c>
      <c r="G396" s="90"/>
      <c r="H396" s="91">
        <f t="shared" si="6"/>
        <v>0</v>
      </c>
      <c r="I396" s="71"/>
      <c r="J396" s="24"/>
      <c r="K396" s="104"/>
    </row>
    <row r="397" spans="1:11" x14ac:dyDescent="0.25">
      <c r="A397" s="22">
        <v>46010</v>
      </c>
      <c r="B397" s="23">
        <v>114</v>
      </c>
      <c r="C397" s="49" t="str">
        <f>IF(ISBLANK($B397),"",IFERROR(VLOOKUP($B397,ESTOQUE!$B$2:$D$97168,2,FALSE),"Produto não cadastrado"))</f>
        <v>CONSUMO</v>
      </c>
      <c r="D397" s="69" t="str">
        <f>IF(ISBLANK($B397),"",IFERROR(VLOOKUP($B397,ESTOQUE!$B$2:$M$997973,3,FALSE),"Produto não cadastrado"))</f>
        <v xml:space="preserve">LUVA LATEX NITRILICA </v>
      </c>
      <c r="E397" s="89" t="str">
        <f>_xlfn.XLOOKUP(B397,ESTOQUE!B:B,ESTOQUE!G:G)</f>
        <v>PAR</v>
      </c>
      <c r="F397" s="88">
        <v>34</v>
      </c>
      <c r="G397" s="90"/>
      <c r="H397" s="91">
        <f t="shared" si="6"/>
        <v>0</v>
      </c>
      <c r="I397" s="71"/>
      <c r="J397" s="24"/>
      <c r="K397" s="104"/>
    </row>
    <row r="398" spans="1:11" x14ac:dyDescent="0.25">
      <c r="A398" s="22">
        <v>46010</v>
      </c>
      <c r="B398" s="23">
        <v>141</v>
      </c>
      <c r="C398" s="49" t="str">
        <f>IF(ISBLANK($B398),"",IFERROR(VLOOKUP($B398,ESTOQUE!$B$2:$D$97168,2,FALSE),"Produto não cadastrado"))</f>
        <v>CONSUMO</v>
      </c>
      <c r="D398" s="69" t="str">
        <f>IF(ISBLANK($B398),"",IFERROR(VLOOKUP($B398,ESTOQUE!$B$2:$M$997973,3,FALSE),"Produto não cadastrado"))</f>
        <v xml:space="preserve">LUVA DE VAQUETA </v>
      </c>
      <c r="E398" s="89" t="str">
        <f>_xlfn.XLOOKUP(B398,ESTOQUE!B:B,ESTOQUE!G:G)</f>
        <v>PAR</v>
      </c>
      <c r="F398" s="88">
        <v>40</v>
      </c>
      <c r="G398" s="90"/>
      <c r="H398" s="91">
        <f t="shared" si="6"/>
        <v>0</v>
      </c>
      <c r="I398" s="71"/>
      <c r="J398" s="24"/>
      <c r="K398" s="104"/>
    </row>
    <row r="399" spans="1:11" x14ac:dyDescent="0.25">
      <c r="A399" s="22">
        <v>46010</v>
      </c>
      <c r="B399" s="23">
        <v>110</v>
      </c>
      <c r="C399" s="49" t="str">
        <f>IF(ISBLANK($B399),"",IFERROR(VLOOKUP($B399,ESTOQUE!$B$2:$D$97168,2,FALSE),"Produto não cadastrado"))</f>
        <v>CONSUMO</v>
      </c>
      <c r="D399" s="69" t="str">
        <f>IF(ISBLANK($B399),"",IFERROR(VLOOKUP($B399,ESTOQUE!$B$2:$M$997973,3,FALSE),"Produto não cadastrado"))</f>
        <v>LUVA DE RASPA CANO LONGO</v>
      </c>
      <c r="E399" s="89" t="str">
        <f>_xlfn.XLOOKUP(B399,ESTOQUE!B:B,ESTOQUE!G:G)</f>
        <v>PAR</v>
      </c>
      <c r="F399" s="88">
        <v>8</v>
      </c>
      <c r="G399" s="90"/>
      <c r="H399" s="91">
        <f t="shared" si="6"/>
        <v>0</v>
      </c>
      <c r="I399" s="71"/>
      <c r="J399" s="24"/>
      <c r="K399" s="104"/>
    </row>
    <row r="400" spans="1:11" x14ac:dyDescent="0.25">
      <c r="A400" s="22">
        <v>46010</v>
      </c>
      <c r="B400" s="23">
        <v>118</v>
      </c>
      <c r="C400" s="49" t="str">
        <f>IF(ISBLANK($B400),"",IFERROR(VLOOKUP($B400,ESTOQUE!$B$2:$D$97168,2,FALSE),"Produto não cadastrado"))</f>
        <v>CONSUMO</v>
      </c>
      <c r="D400" s="69" t="str">
        <f>IF(ISBLANK($B400),"",IFERROR(VLOOKUP($B400,ESTOQUE!$B$2:$M$997973,3,FALSE),"Produto não cadastrado"))</f>
        <v>MACACÃO DE PROTEÇÃO TYVEK</v>
      </c>
      <c r="E400" s="89" t="str">
        <f>_xlfn.XLOOKUP(B400,ESTOQUE!B:B,ESTOQUE!G:G)</f>
        <v>UND</v>
      </c>
      <c r="F400" s="88">
        <v>31</v>
      </c>
      <c r="G400" s="90"/>
      <c r="H400" s="91">
        <f t="shared" si="6"/>
        <v>0</v>
      </c>
      <c r="I400" s="71"/>
      <c r="J400" s="24"/>
      <c r="K400" s="104"/>
    </row>
    <row r="401" spans="1:11" x14ac:dyDescent="0.25">
      <c r="A401" s="22">
        <v>46010</v>
      </c>
      <c r="B401" s="23">
        <v>139</v>
      </c>
      <c r="C401" s="49" t="str">
        <f>IF(ISBLANK($B401),"",IFERROR(VLOOKUP($B401,ESTOQUE!$B$2:$D$97168,2,FALSE),"Produto não cadastrado"))</f>
        <v>CONSUMO</v>
      </c>
      <c r="D401" s="69" t="str">
        <f>IF(ISBLANK($B401),"",IFERROR(VLOOKUP($B401,ESTOQUE!$B$2:$M$997973,3,FALSE),"Produto não cadastrado"))</f>
        <v>PROTETOR AURICULAR TIPO PLUG</v>
      </c>
      <c r="E401" s="89" t="str">
        <f>_xlfn.XLOOKUP(B401,ESTOQUE!B:B,ESTOQUE!G:G)</f>
        <v>UND</v>
      </c>
      <c r="F401" s="88">
        <v>7</v>
      </c>
      <c r="G401" s="90"/>
      <c r="H401" s="91">
        <f t="shared" si="6"/>
        <v>0</v>
      </c>
      <c r="I401" s="71"/>
      <c r="J401" s="24"/>
      <c r="K401" s="104"/>
    </row>
    <row r="402" spans="1:11" x14ac:dyDescent="0.25">
      <c r="A402" s="22">
        <v>46027</v>
      </c>
      <c r="B402" s="23">
        <v>207</v>
      </c>
      <c r="C402" s="49" t="str">
        <f>IF(ISBLANK($B402),"",IFERROR(VLOOKUP($B402,ESTOQUE!$B$2:$D$97168,2,FALSE),"Produto não cadastrado"))</f>
        <v>CONSUMO</v>
      </c>
      <c r="D402" s="69" t="str">
        <f>IF(ISBLANK($B402),"",IFERROR(VLOOKUP($B402,ESTOQUE!$B$2:$M$997973,3,FALSE),"Produto não cadastrado"))</f>
        <v>LUVA POLIESTER ANTICORTE BANHADA PU TAM 9</v>
      </c>
      <c r="E402" s="89" t="str">
        <f>_xlfn.XLOOKUP(B402,ESTOQUE!B:B,ESTOQUE!G:G)</f>
        <v>PAR</v>
      </c>
      <c r="F402" s="88">
        <v>216</v>
      </c>
      <c r="G402" s="90"/>
      <c r="H402" s="91">
        <f t="shared" si="6"/>
        <v>0</v>
      </c>
      <c r="I402" s="71"/>
      <c r="J402" s="24"/>
      <c r="K402" s="127"/>
    </row>
    <row r="403" spans="1:11" x14ac:dyDescent="0.25">
      <c r="A403" s="22">
        <v>46027</v>
      </c>
      <c r="B403" s="23">
        <v>231</v>
      </c>
      <c r="C403" s="49" t="str">
        <f>IF(ISBLANK($B403),"",IFERROR(VLOOKUP($B403,ESTOQUE!$B$2:$D$97168,2,FALSE),"Produto não cadastrado"))</f>
        <v>CONSUMO</v>
      </c>
      <c r="D403" s="69" t="str">
        <f>IF(ISBLANK($B403),"",IFERROR(VLOOKUP($B403,ESTOQUE!$B$2:$M$997973,3,FALSE),"Produto não cadastrado"))</f>
        <v xml:space="preserve">PROTETOR DE VERGALHÃO </v>
      </c>
      <c r="E403" s="89" t="str">
        <f>_xlfn.XLOOKUP(B403,ESTOQUE!B:B,ESTOQUE!G:G)</f>
        <v>UND</v>
      </c>
      <c r="F403" s="88">
        <v>2500</v>
      </c>
      <c r="G403" s="90"/>
      <c r="H403" s="91">
        <f t="shared" si="6"/>
        <v>0</v>
      </c>
      <c r="I403" s="71"/>
      <c r="J403" s="24"/>
      <c r="K403" s="104"/>
    </row>
    <row r="404" spans="1:11" x14ac:dyDescent="0.25">
      <c r="A404" s="22">
        <v>46028</v>
      </c>
      <c r="B404" s="23">
        <v>70</v>
      </c>
      <c r="C404" s="49" t="str">
        <f>IF(ISBLANK($B404),"",IFERROR(VLOOKUP($B404,ESTOQUE!$B$2:$D$97168,2,FALSE),"Produto não cadastrado"))</f>
        <v>CONSUMO</v>
      </c>
      <c r="D404" s="69" t="str">
        <f>IF(ISBLANK($B404),"",IFERROR(VLOOKUP($B404,ESTOQUE!$B$2:$M$997973,3,FALSE),"Produto não cadastrado"))</f>
        <v>CAMISA LARANJA OP. C/ FAIXA REFLETIVA TAM: P</v>
      </c>
      <c r="E404" s="89" t="str">
        <f>_xlfn.XLOOKUP(B404,ESTOQUE!B:B,ESTOQUE!G:G)</f>
        <v>UND</v>
      </c>
      <c r="F404" s="88">
        <v>120</v>
      </c>
      <c r="G404" s="90"/>
      <c r="H404" s="91">
        <f t="shared" si="6"/>
        <v>0</v>
      </c>
      <c r="I404" s="71"/>
      <c r="J404" s="24"/>
      <c r="K404" s="127"/>
    </row>
    <row r="405" spans="1:11" x14ac:dyDescent="0.25">
      <c r="A405" s="22">
        <v>46028</v>
      </c>
      <c r="B405" s="23">
        <v>69</v>
      </c>
      <c r="C405" s="49" t="str">
        <f>IF(ISBLANK($B405),"",IFERROR(VLOOKUP($B405,ESTOQUE!$B$2:$D$97168,2,FALSE),"Produto não cadastrado"))</f>
        <v>CONSUMO</v>
      </c>
      <c r="D405" s="69" t="str">
        <f>IF(ISBLANK($B405),"",IFERROR(VLOOKUP($B405,ESTOQUE!$B$2:$M$997973,3,FALSE),"Produto não cadastrado"))</f>
        <v>CAMISA LARANJA OP. C/ FAIXA REFLETIVA TAM: M</v>
      </c>
      <c r="E405" s="89" t="str">
        <f>_xlfn.XLOOKUP(B405,ESTOQUE!B:B,ESTOQUE!G:G)</f>
        <v>UND</v>
      </c>
      <c r="F405" s="88">
        <v>60</v>
      </c>
      <c r="G405" s="90"/>
      <c r="H405" s="91">
        <f t="shared" si="6"/>
        <v>0</v>
      </c>
      <c r="I405" s="71"/>
      <c r="J405" s="24"/>
      <c r="K405" s="104"/>
    </row>
    <row r="406" spans="1:11" x14ac:dyDescent="0.25">
      <c r="A406" s="22">
        <v>46028</v>
      </c>
      <c r="B406" s="23">
        <v>48</v>
      </c>
      <c r="C406" s="49" t="str">
        <f>IF(ISBLANK($B406),"",IFERROR(VLOOKUP($B406,ESTOQUE!$B$2:$D$97168,2,FALSE),"Produto não cadastrado"))</f>
        <v>CONSUMO</v>
      </c>
      <c r="D406" s="69" t="str">
        <f>IF(ISBLANK($B406),"",IFERROR(VLOOKUP($B406,ESTOQUE!$B$2:$M$997973,3,FALSE),"Produto não cadastrado"))</f>
        <v>CALÇA CINZA OP. C/ FAIXA REFLETIVA TAM: M</v>
      </c>
      <c r="E406" s="89" t="str">
        <f>_xlfn.XLOOKUP(B406,ESTOQUE!B:B,ESTOQUE!G:G)</f>
        <v>UND</v>
      </c>
      <c r="F406" s="88">
        <v>240</v>
      </c>
      <c r="G406" s="90"/>
      <c r="H406" s="91">
        <f t="shared" si="6"/>
        <v>0</v>
      </c>
      <c r="I406" s="71"/>
      <c r="J406" s="24"/>
      <c r="K406" s="127"/>
    </row>
    <row r="407" spans="1:11" x14ac:dyDescent="0.25">
      <c r="A407" s="22">
        <v>46028</v>
      </c>
      <c r="B407" s="23">
        <v>46</v>
      </c>
      <c r="C407" s="49" t="str">
        <f>IF(ISBLANK($B407),"",IFERROR(VLOOKUP($B407,ESTOQUE!$B$2:$D$97168,2,FALSE),"Produto não cadastrado"))</f>
        <v>CONSUMO</v>
      </c>
      <c r="D407" s="69" t="str">
        <f>IF(ISBLANK($B407),"",IFERROR(VLOOKUP($B407,ESTOQUE!$B$2:$M$997973,3,FALSE),"Produto não cadastrado"))</f>
        <v>CALÇA CINZA OP. C/ FAIXA REFLETIVA TAM: G</v>
      </c>
      <c r="E407" s="89" t="str">
        <f>_xlfn.XLOOKUP(B407,ESTOQUE!B:B,ESTOQUE!G:G)</f>
        <v>UND</v>
      </c>
      <c r="F407" s="88">
        <v>300</v>
      </c>
      <c r="G407" s="90"/>
      <c r="H407" s="91">
        <f t="shared" si="6"/>
        <v>0</v>
      </c>
      <c r="I407" s="71"/>
      <c r="J407" s="24"/>
      <c r="K407" s="104"/>
    </row>
    <row r="408" spans="1:11" x14ac:dyDescent="0.25">
      <c r="A408" s="22">
        <v>46028</v>
      </c>
      <c r="B408" s="23">
        <v>49</v>
      </c>
      <c r="C408" s="49" t="str">
        <f>IF(ISBLANK($B408),"",IFERROR(VLOOKUP($B408,ESTOQUE!$B$2:$D$97168,2,FALSE),"Produto não cadastrado"))</f>
        <v>CONSUMO</v>
      </c>
      <c r="D408" s="69" t="str">
        <f>IF(ISBLANK($B408),"",IFERROR(VLOOKUP($B408,ESTOQUE!$B$2:$M$997973,3,FALSE),"Produto não cadastrado"))</f>
        <v>CALÇA CINZA OP. C/ FAIXA REFLETIVA TAM: P</v>
      </c>
      <c r="E408" s="89" t="str">
        <f>_xlfn.XLOOKUP(B408,ESTOQUE!B:B,ESTOQUE!G:G)</f>
        <v>UND</v>
      </c>
      <c r="F408" s="88">
        <v>60</v>
      </c>
      <c r="G408" s="90"/>
      <c r="H408" s="91">
        <f t="shared" si="6"/>
        <v>0</v>
      </c>
      <c r="I408" s="71"/>
      <c r="J408" s="24"/>
      <c r="K408" s="127"/>
    </row>
    <row r="409" spans="1:11" x14ac:dyDescent="0.25">
      <c r="A409" s="22">
        <v>46029</v>
      </c>
      <c r="B409" s="23">
        <v>126</v>
      </c>
      <c r="C409" s="49" t="str">
        <f>IF(ISBLANK($B409),"",IFERROR(VLOOKUP($B409,ESTOQUE!$B$2:$D$97168,2,FALSE),"Produto não cadastrado"))</f>
        <v>CONSUMO</v>
      </c>
      <c r="D409" s="69" t="str">
        <f>IF(ISBLANK($B409),"",IFERROR(VLOOKUP($B409,ESTOQUE!$B$2:$M$997973,3,FALSE),"Produto não cadastrado"))</f>
        <v>OCULOS DE PROTEÇÃO ESCURO</v>
      </c>
      <c r="E409" s="89" t="str">
        <f>_xlfn.XLOOKUP(B409,ESTOQUE!B:B,ESTOQUE!G:G)</f>
        <v>UND</v>
      </c>
      <c r="F409" s="88">
        <v>180</v>
      </c>
      <c r="G409" s="90"/>
      <c r="H409" s="91">
        <f t="shared" si="6"/>
        <v>0</v>
      </c>
      <c r="I409" s="71"/>
      <c r="J409" s="24"/>
      <c r="K409" s="104"/>
    </row>
    <row r="410" spans="1:11" x14ac:dyDescent="0.25">
      <c r="A410" s="22">
        <v>46029</v>
      </c>
      <c r="B410" s="23">
        <v>225</v>
      </c>
      <c r="C410" s="49" t="str">
        <f>IF(ISBLANK($B410),"",IFERROR(VLOOKUP($B410,ESTOQUE!$B$2:$D$97168,2,FALSE),"Produto não cadastrado"))</f>
        <v>CONSUMO</v>
      </c>
      <c r="D410" s="69" t="str">
        <f>IF(ISBLANK($B410),"",IFERROR(VLOOKUP($B410,ESTOQUE!$B$2:$M$997973,3,FALSE),"Produto não cadastrado"))</f>
        <v>OCULOS OPERACIONAL SOBRE POR INCOLOR</v>
      </c>
      <c r="E410" s="89" t="str">
        <f>_xlfn.XLOOKUP(B410,ESTOQUE!B:B,ESTOQUE!G:G)</f>
        <v>UND</v>
      </c>
      <c r="F410" s="88">
        <v>10</v>
      </c>
      <c r="G410" s="90"/>
      <c r="H410" s="91">
        <f t="shared" si="6"/>
        <v>0</v>
      </c>
      <c r="I410" s="71"/>
      <c r="J410" s="24"/>
      <c r="K410" s="127"/>
    </row>
    <row r="411" spans="1:11" x14ac:dyDescent="0.25">
      <c r="A411" s="22">
        <v>46029</v>
      </c>
      <c r="B411" s="23">
        <v>175</v>
      </c>
      <c r="C411" s="49" t="str">
        <f>IF(ISBLANK($B411),"",IFERROR(VLOOKUP($B411,ESTOQUE!$B$2:$D$97168,2,FALSE),"Produto não cadastrado"))</f>
        <v>CONSUMO</v>
      </c>
      <c r="D411" s="69" t="str">
        <f>IF(ISBLANK($B411),"",IFERROR(VLOOKUP($B411,ESTOQUE!$B$2:$M$997973,3,FALSE),"Produto não cadastrado"))</f>
        <v>CAPACETE GENISIS BRANCO</v>
      </c>
      <c r="E411" s="89" t="str">
        <f>_xlfn.XLOOKUP(B411,ESTOQUE!B:B,ESTOQUE!G:G)</f>
        <v>UND</v>
      </c>
      <c r="F411" s="88">
        <v>2</v>
      </c>
      <c r="G411" s="90"/>
      <c r="H411" s="91">
        <f t="shared" si="6"/>
        <v>0</v>
      </c>
      <c r="I411" s="71"/>
      <c r="J411" s="24"/>
      <c r="K411" s="104"/>
    </row>
    <row r="412" spans="1:11" x14ac:dyDescent="0.25">
      <c r="A412" s="22">
        <v>46029</v>
      </c>
      <c r="B412" s="23">
        <v>93</v>
      </c>
      <c r="C412" s="49" t="str">
        <f>IF(ISBLANK($B412),"",IFERROR(VLOOKUP($B412,ESTOQUE!$B$2:$D$97168,2,FALSE),"Produto não cadastrado"))</f>
        <v>CONSUMO</v>
      </c>
      <c r="D412" s="69" t="str">
        <f>IF(ISBLANK($B412),"",IFERROR(VLOOKUP($B412,ESTOQUE!$B$2:$M$997973,3,FALSE),"Produto não cadastrado"))</f>
        <v>CARNEIRA P/ CAPACETE C/ CATRACA GENESIS</v>
      </c>
      <c r="E412" s="89" t="str">
        <f>_xlfn.XLOOKUP(B412,ESTOQUE!B:B,ESTOQUE!G:G)</f>
        <v>UND</v>
      </c>
      <c r="F412" s="88">
        <v>19</v>
      </c>
      <c r="G412" s="90"/>
      <c r="H412" s="91">
        <f t="shared" si="6"/>
        <v>0</v>
      </c>
      <c r="I412" s="71"/>
      <c r="J412" s="24"/>
      <c r="K412" s="127"/>
    </row>
    <row r="413" spans="1:11" x14ac:dyDescent="0.25">
      <c r="A413" s="22">
        <v>46032</v>
      </c>
      <c r="B413" s="23">
        <v>70</v>
      </c>
      <c r="C413" s="49" t="str">
        <f>IF(ISBLANK($B413),"",IFERROR(VLOOKUP($B413,ESTOQUE!$B$2:$D$97168,2,FALSE),"Produto não cadastrado"))</f>
        <v>CONSUMO</v>
      </c>
      <c r="D413" s="69" t="str">
        <f>IF(ISBLANK($B413),"",IFERROR(VLOOKUP($B413,ESTOQUE!$B$2:$M$997973,3,FALSE),"Produto não cadastrado"))</f>
        <v>CAMISA LARANJA OP. C/ FAIXA REFLETIVA TAM: P</v>
      </c>
      <c r="E413" s="89" t="str">
        <f>_xlfn.XLOOKUP(B413,ESTOQUE!B:B,ESTOQUE!G:G)</f>
        <v>UND</v>
      </c>
      <c r="F413" s="88">
        <v>150</v>
      </c>
      <c r="G413" s="90"/>
      <c r="H413" s="91">
        <f t="shared" si="6"/>
        <v>0</v>
      </c>
      <c r="I413" s="71"/>
      <c r="J413" s="24"/>
      <c r="K413" s="104"/>
    </row>
    <row r="414" spans="1:11" x14ac:dyDescent="0.25">
      <c r="A414" s="22">
        <v>46032</v>
      </c>
      <c r="B414" s="23">
        <v>68</v>
      </c>
      <c r="C414" s="49" t="str">
        <f>IF(ISBLANK($B414),"",IFERROR(VLOOKUP($B414,ESTOQUE!$B$2:$D$97168,2,FALSE),"Produto não cadastrado"))</f>
        <v>CONSUMO</v>
      </c>
      <c r="D414" s="69" t="str">
        <f>IF(ISBLANK($B414),"",IFERROR(VLOOKUP($B414,ESTOQUE!$B$2:$M$997973,3,FALSE),"Produto não cadastrado"))</f>
        <v>CAMISA LARANJA OP. C/ FAIXA REFLETIVA TAM: GG</v>
      </c>
      <c r="E414" s="89" t="str">
        <f>_xlfn.XLOOKUP(B414,ESTOQUE!B:B,ESTOQUE!G:G)</f>
        <v>UND</v>
      </c>
      <c r="F414" s="88">
        <v>140</v>
      </c>
      <c r="G414" s="90"/>
      <c r="H414" s="91">
        <f t="shared" si="6"/>
        <v>0</v>
      </c>
      <c r="I414" s="71"/>
      <c r="J414" s="24"/>
      <c r="K414" s="127"/>
    </row>
    <row r="415" spans="1:11" x14ac:dyDescent="0.25">
      <c r="A415" s="22">
        <v>46032</v>
      </c>
      <c r="B415" s="23">
        <v>69</v>
      </c>
      <c r="C415" s="49" t="str">
        <f>IF(ISBLANK($B415),"",IFERROR(VLOOKUP($B415,ESTOQUE!$B$2:$D$97168,2,FALSE),"Produto não cadastrado"))</f>
        <v>CONSUMO</v>
      </c>
      <c r="D415" s="69" t="str">
        <f>IF(ISBLANK($B415),"",IFERROR(VLOOKUP($B415,ESTOQUE!$B$2:$M$997973,3,FALSE),"Produto não cadastrado"))</f>
        <v>CAMISA LARANJA OP. C/ FAIXA REFLETIVA TAM: M</v>
      </c>
      <c r="E415" s="89" t="str">
        <f>_xlfn.XLOOKUP(B415,ESTOQUE!B:B,ESTOQUE!G:G)</f>
        <v>UND</v>
      </c>
      <c r="F415" s="88">
        <v>320</v>
      </c>
      <c r="G415" s="90"/>
      <c r="H415" s="91">
        <f t="shared" si="6"/>
        <v>0</v>
      </c>
      <c r="I415" s="71"/>
      <c r="J415" s="24"/>
      <c r="K415" s="127"/>
    </row>
    <row r="416" spans="1:11" x14ac:dyDescent="0.25">
      <c r="A416" s="22">
        <v>46032</v>
      </c>
      <c r="B416" s="23">
        <v>67</v>
      </c>
      <c r="C416" s="49" t="str">
        <f>IF(ISBLANK($B416),"",IFERROR(VLOOKUP($B416,ESTOQUE!$B$2:$D$97168,2,FALSE),"Produto não cadastrado"))</f>
        <v>CONSUMO</v>
      </c>
      <c r="D416" s="69" t="str">
        <f>IF(ISBLANK($B416),"",IFERROR(VLOOKUP($B416,ESTOQUE!$B$2:$M$997973,3,FALSE),"Produto não cadastrado"))</f>
        <v>CAMISA LARANJA OP. C/ FAIXA REFLETIVA TAM: G</v>
      </c>
      <c r="E416" s="89" t="str">
        <f>_xlfn.XLOOKUP(B416,ESTOQUE!B:B,ESTOQUE!G:G)</f>
        <v>UND</v>
      </c>
      <c r="F416" s="88">
        <v>240</v>
      </c>
      <c r="G416" s="90"/>
      <c r="H416" s="91">
        <f t="shared" si="6"/>
        <v>0</v>
      </c>
      <c r="I416" s="71"/>
      <c r="J416" s="24"/>
      <c r="K416" s="127"/>
    </row>
    <row r="417" spans="1:11" x14ac:dyDescent="0.25">
      <c r="A417" s="22">
        <v>46032</v>
      </c>
      <c r="B417" s="23">
        <v>47</v>
      </c>
      <c r="C417" s="49" t="str">
        <f>IF(ISBLANK($B417),"",IFERROR(VLOOKUP($B417,ESTOQUE!$B$2:$D$97168,2,FALSE),"Produto não cadastrado"))</f>
        <v>CONSUMO</v>
      </c>
      <c r="D417" s="69" t="str">
        <f>IF(ISBLANK($B417),"",IFERROR(VLOOKUP($B417,ESTOQUE!$B$2:$M$997973,3,FALSE),"Produto não cadastrado"))</f>
        <v>CALÇA CINZA OP. C/ FAIXA REFLETIVA TAM: GG</v>
      </c>
      <c r="E417" s="89" t="str">
        <f>_xlfn.XLOOKUP(B417,ESTOQUE!B:B,ESTOQUE!G:G)</f>
        <v>UND</v>
      </c>
      <c r="F417" s="88">
        <v>130</v>
      </c>
      <c r="G417" s="90"/>
      <c r="H417" s="91">
        <f t="shared" si="6"/>
        <v>0</v>
      </c>
      <c r="I417" s="71"/>
      <c r="J417" s="24"/>
      <c r="K417" s="127"/>
    </row>
    <row r="418" spans="1:11" x14ac:dyDescent="0.25">
      <c r="A418" s="22">
        <v>46032</v>
      </c>
      <c r="B418" s="23">
        <v>46</v>
      </c>
      <c r="C418" s="49" t="str">
        <f>IF(ISBLANK($B418),"",IFERROR(VLOOKUP($B418,ESTOQUE!$B$2:$D$97168,2,FALSE),"Produto não cadastrado"))</f>
        <v>CONSUMO</v>
      </c>
      <c r="D418" s="69" t="str">
        <f>IF(ISBLANK($B418),"",IFERROR(VLOOKUP($B418,ESTOQUE!$B$2:$M$997973,3,FALSE),"Produto não cadastrado"))</f>
        <v>CALÇA CINZA OP. C/ FAIXA REFLETIVA TAM: G</v>
      </c>
      <c r="E418" s="89" t="str">
        <f>_xlfn.XLOOKUP(B418,ESTOQUE!B:B,ESTOQUE!G:G)</f>
        <v>UND</v>
      </c>
      <c r="F418" s="88">
        <v>60</v>
      </c>
      <c r="G418" s="90"/>
      <c r="H418" s="91">
        <f t="shared" si="6"/>
        <v>0</v>
      </c>
      <c r="I418" s="71"/>
      <c r="J418" s="24"/>
      <c r="K418" s="127"/>
    </row>
    <row r="419" spans="1:11" x14ac:dyDescent="0.25">
      <c r="A419" s="22">
        <v>46032</v>
      </c>
      <c r="B419" s="23">
        <v>50</v>
      </c>
      <c r="C419" s="49" t="str">
        <f>IF(ISBLANK($B419),"",IFERROR(VLOOKUP($B419,ESTOQUE!$B$2:$D$97168,2,FALSE),"Produto não cadastrado"))</f>
        <v>CONSUMO</v>
      </c>
      <c r="D419" s="69" t="str">
        <f>IF(ISBLANK($B419),"",IFERROR(VLOOKUP($B419,ESTOQUE!$B$2:$M$997973,3,FALSE),"Produto não cadastrado"))</f>
        <v>CALÇA CINZA OP. C/ FAIXA REFLETIVA TAM: XG</v>
      </c>
      <c r="E419" s="89" t="str">
        <f>_xlfn.XLOOKUP(B419,ESTOQUE!B:B,ESTOQUE!G:G)</f>
        <v>UND</v>
      </c>
      <c r="F419" s="88">
        <v>80</v>
      </c>
      <c r="G419" s="90"/>
      <c r="H419" s="91">
        <f t="shared" si="6"/>
        <v>0</v>
      </c>
      <c r="I419" s="71"/>
      <c r="J419" s="24"/>
      <c r="K419" s="127"/>
    </row>
    <row r="420" spans="1:11" x14ac:dyDescent="0.25">
      <c r="A420" s="22">
        <v>46032</v>
      </c>
      <c r="B420" s="23">
        <v>28</v>
      </c>
      <c r="C420" s="49" t="str">
        <f>IF(ISBLANK($B420),"",IFERROR(VLOOKUP($B420,ESTOQUE!$B$2:$D$97168,2,FALSE),"Produto não cadastrado"))</f>
        <v>CONSUMO</v>
      </c>
      <c r="D420" s="69" t="str">
        <f>IF(ISBLANK($B420),"",IFERROR(VLOOKUP($B420,ESTOQUE!$B$2:$M$997973,3,FALSE),"Produto não cadastrado"))</f>
        <v>BOTINA DE ELETRICISTA Nº 38</v>
      </c>
      <c r="E420" s="89" t="str">
        <f>_xlfn.XLOOKUP(B420,ESTOQUE!B:B,ESTOQUE!G:G)</f>
        <v>PAR</v>
      </c>
      <c r="F420" s="88">
        <v>20</v>
      </c>
      <c r="G420" s="90"/>
      <c r="H420" s="91">
        <f t="shared" si="6"/>
        <v>0</v>
      </c>
      <c r="I420" s="71"/>
      <c r="J420" s="24"/>
      <c r="K420" s="127"/>
    </row>
    <row r="421" spans="1:11" x14ac:dyDescent="0.25">
      <c r="A421" s="22">
        <v>46032</v>
      </c>
      <c r="B421" s="23">
        <v>29</v>
      </c>
      <c r="C421" s="49" t="str">
        <f>IF(ISBLANK($B421),"",IFERROR(VLOOKUP($B421,ESTOQUE!$B$2:$D$97168,2,FALSE),"Produto não cadastrado"))</f>
        <v>CONSUMO</v>
      </c>
      <c r="D421" s="69" t="str">
        <f>IF(ISBLANK($B421),"",IFERROR(VLOOKUP($B421,ESTOQUE!$B$2:$M$997973,3,FALSE),"Produto não cadastrado"))</f>
        <v>BOTINA DE ELETRICISTA Nº 39</v>
      </c>
      <c r="E421" s="89" t="str">
        <f>_xlfn.XLOOKUP(B421,ESTOQUE!B:B,ESTOQUE!G:G)</f>
        <v>PAR</v>
      </c>
      <c r="F421" s="88">
        <v>21</v>
      </c>
      <c r="G421" s="90"/>
      <c r="H421" s="91">
        <f t="shared" si="6"/>
        <v>0</v>
      </c>
      <c r="I421" s="71"/>
      <c r="J421" s="24"/>
      <c r="K421" s="127"/>
    </row>
    <row r="422" spans="1:11" x14ac:dyDescent="0.25">
      <c r="A422" s="22">
        <v>46032</v>
      </c>
      <c r="B422" s="23">
        <v>30</v>
      </c>
      <c r="C422" s="49" t="str">
        <f>IF(ISBLANK($B422),"",IFERROR(VLOOKUP($B422,ESTOQUE!$B$2:$D$97168,2,FALSE),"Produto não cadastrado"))</f>
        <v>CONSUMO</v>
      </c>
      <c r="D422" s="69" t="str">
        <f>IF(ISBLANK($B422),"",IFERROR(VLOOKUP($B422,ESTOQUE!$B$2:$M$997973,3,FALSE),"Produto não cadastrado"))</f>
        <v>BOTINA DE ELETRICISTA Nº 40</v>
      </c>
      <c r="E422" s="89" t="str">
        <f>_xlfn.XLOOKUP(B422,ESTOQUE!B:B,ESTOQUE!G:G)</f>
        <v>PAR</v>
      </c>
      <c r="F422" s="88">
        <v>20</v>
      </c>
      <c r="G422" s="90"/>
      <c r="H422" s="91">
        <f t="shared" si="6"/>
        <v>0</v>
      </c>
      <c r="I422" s="71"/>
      <c r="J422" s="24"/>
      <c r="K422" s="127"/>
    </row>
    <row r="423" spans="1:11" x14ac:dyDescent="0.25">
      <c r="A423" s="22">
        <v>46032</v>
      </c>
      <c r="B423" s="23">
        <v>31</v>
      </c>
      <c r="C423" s="49" t="str">
        <f>IF(ISBLANK($B423),"",IFERROR(VLOOKUP($B423,ESTOQUE!$B$2:$D$97168,2,FALSE),"Produto não cadastrado"))</f>
        <v>CONSUMO</v>
      </c>
      <c r="D423" s="69" t="str">
        <f>IF(ISBLANK($B423),"",IFERROR(VLOOKUP($B423,ESTOQUE!$B$2:$M$997973,3,FALSE),"Produto não cadastrado"))</f>
        <v>BOTINA DE ELETRICISTA Nº 41</v>
      </c>
      <c r="E423" s="89" t="str">
        <f>_xlfn.XLOOKUP(B423,ESTOQUE!B:B,ESTOQUE!G:G)</f>
        <v>PAR</v>
      </c>
      <c r="F423" s="88">
        <v>20</v>
      </c>
      <c r="G423" s="90"/>
      <c r="H423" s="91">
        <f t="shared" si="6"/>
        <v>0</v>
      </c>
      <c r="I423" s="71"/>
      <c r="J423" s="24"/>
      <c r="K423" s="127"/>
    </row>
    <row r="424" spans="1:11" x14ac:dyDescent="0.25">
      <c r="A424" s="22">
        <v>46032</v>
      </c>
      <c r="B424" s="23">
        <v>162</v>
      </c>
      <c r="C424" s="49" t="str">
        <f>IF(ISBLANK($B424),"",IFERROR(VLOOKUP($B424,ESTOQUE!$B$2:$D$97168,2,FALSE),"Produto não cadastrado"))</f>
        <v>CONSUMO</v>
      </c>
      <c r="D424" s="69" t="str">
        <f>IF(ISBLANK($B424),"",IFERROR(VLOOKUP($B424,ESTOQUE!$B$2:$M$997973,3,FALSE),"Produto não cadastrado"))</f>
        <v>BOTINA DE ELETRICISTA Nº 42</v>
      </c>
      <c r="E424" s="89" t="str">
        <f>_xlfn.XLOOKUP(B424,ESTOQUE!B:B,ESTOQUE!G:G)</f>
        <v>PAR</v>
      </c>
      <c r="F424" s="88">
        <v>21</v>
      </c>
      <c r="G424" s="90"/>
      <c r="H424" s="91">
        <f t="shared" si="6"/>
        <v>0</v>
      </c>
      <c r="I424" s="71"/>
      <c r="J424" s="24"/>
      <c r="K424" s="127"/>
    </row>
    <row r="425" spans="1:11" x14ac:dyDescent="0.25">
      <c r="A425" s="22">
        <v>46032</v>
      </c>
      <c r="B425" s="23">
        <v>26</v>
      </c>
      <c r="C425" s="49" t="str">
        <f>IF(ISBLANK($B425),"",IFERROR(VLOOKUP($B425,ESTOQUE!$B$2:$D$97168,2,FALSE),"Produto não cadastrado"))</f>
        <v>CONSUMO</v>
      </c>
      <c r="D425" s="69" t="str">
        <f>IF(ISBLANK($B425),"",IFERROR(VLOOKUP($B425,ESTOQUE!$B$2:$M$997973,3,FALSE),"Produto não cadastrado"))</f>
        <v>BOTINA DE ELETRICISTA Nº 36</v>
      </c>
      <c r="E425" s="89" t="str">
        <f>_xlfn.XLOOKUP(B425,ESTOQUE!B:B,ESTOQUE!G:G)</f>
        <v>PAR</v>
      </c>
      <c r="F425" s="88">
        <v>10</v>
      </c>
      <c r="G425" s="90"/>
      <c r="H425" s="91">
        <f t="shared" si="6"/>
        <v>0</v>
      </c>
      <c r="I425" s="71"/>
      <c r="J425" s="24"/>
      <c r="K425" s="127"/>
    </row>
    <row r="426" spans="1:11" x14ac:dyDescent="0.25">
      <c r="A426" s="22">
        <v>46032</v>
      </c>
      <c r="B426" s="23">
        <v>27</v>
      </c>
      <c r="C426" s="49" t="str">
        <f>IF(ISBLANK($B426),"",IFERROR(VLOOKUP($B426,ESTOQUE!$B$2:$D$97168,2,FALSE),"Produto não cadastrado"))</f>
        <v>CONSUMO</v>
      </c>
      <c r="D426" s="69" t="str">
        <f>IF(ISBLANK($B426),"",IFERROR(VLOOKUP($B426,ESTOQUE!$B$2:$M$997973,3,FALSE),"Produto não cadastrado"))</f>
        <v>BOTINA DE ELETRICISTA Nº 37</v>
      </c>
      <c r="E426" s="89" t="str">
        <f>_xlfn.XLOOKUP(B426,ESTOQUE!B:B,ESTOQUE!G:G)</f>
        <v>PAR</v>
      </c>
      <c r="F426" s="88">
        <v>11</v>
      </c>
      <c r="G426" s="90"/>
      <c r="H426" s="91">
        <f t="shared" si="6"/>
        <v>0</v>
      </c>
      <c r="I426" s="71"/>
      <c r="J426" s="24"/>
      <c r="K426" s="127"/>
    </row>
    <row r="427" spans="1:11" x14ac:dyDescent="0.25">
      <c r="A427" s="22">
        <v>46032</v>
      </c>
      <c r="B427" s="23">
        <v>217</v>
      </c>
      <c r="C427" s="49" t="str">
        <f>IF(ISBLANK($B427),"",IFERROR(VLOOKUP($B427,ESTOQUE!$B$2:$D$97168,2,FALSE),"Produto não cadastrado"))</f>
        <v>CONSUMO</v>
      </c>
      <c r="D427" s="69" t="str">
        <f>IF(ISBLANK($B427),"",IFERROR(VLOOKUP($B427,ESTOQUE!$B$2:$M$997973,3,FALSE),"Produto não cadastrado"))</f>
        <v>BOTINA SEGURANÇA METATARSO  40</v>
      </c>
      <c r="E427" s="89" t="str">
        <f>_xlfn.XLOOKUP(B427,ESTOQUE!B:B,ESTOQUE!G:G)</f>
        <v>PAR</v>
      </c>
      <c r="F427" s="88">
        <v>2</v>
      </c>
      <c r="G427" s="90"/>
      <c r="H427" s="91">
        <f t="shared" si="6"/>
        <v>0</v>
      </c>
      <c r="I427" s="71"/>
      <c r="J427" s="24"/>
      <c r="K427" s="127"/>
    </row>
    <row r="428" spans="1:11" x14ac:dyDescent="0.25">
      <c r="A428" s="22">
        <v>46032</v>
      </c>
      <c r="B428" s="23">
        <v>218</v>
      </c>
      <c r="C428" s="49" t="str">
        <f>IF(ISBLANK($B428),"",IFERROR(VLOOKUP($B428,ESTOQUE!$B$2:$D$97168,2,FALSE),"Produto não cadastrado"))</f>
        <v>CONSUMO</v>
      </c>
      <c r="D428" s="69" t="str">
        <f>IF(ISBLANK($B428),"",IFERROR(VLOOKUP($B428,ESTOQUE!$B$2:$M$997973,3,FALSE),"Produto não cadastrado"))</f>
        <v>BOTINA SEGURANÇA METATARSO  41</v>
      </c>
      <c r="E428" s="89" t="str">
        <f>_xlfn.XLOOKUP(B428,ESTOQUE!B:B,ESTOQUE!G:G)</f>
        <v>PAR</v>
      </c>
      <c r="F428" s="88">
        <v>1</v>
      </c>
      <c r="G428" s="90"/>
      <c r="H428" s="91">
        <f t="shared" si="6"/>
        <v>0</v>
      </c>
      <c r="I428" s="71"/>
      <c r="J428" s="24"/>
      <c r="K428" s="127"/>
    </row>
    <row r="429" spans="1:11" x14ac:dyDescent="0.25">
      <c r="A429" s="22">
        <v>46032</v>
      </c>
      <c r="B429" s="23">
        <v>44</v>
      </c>
      <c r="C429" s="49" t="str">
        <f>IF(ISBLANK($B429),"",IFERROR(VLOOKUP($B429,ESTOQUE!$B$2:$D$97168,2,FALSE),"Produto não cadastrado"))</f>
        <v>CONSUMO</v>
      </c>
      <c r="D429" s="69" t="str">
        <f>IF(ISBLANK($B429),"",IFERROR(VLOOKUP($B429,ESTOQUE!$B$2:$M$997973,3,FALSE),"Produto não cadastrado"))</f>
        <v>BOTINA OP. BICO PVC Nº 46</v>
      </c>
      <c r="E429" s="89" t="str">
        <f>_xlfn.XLOOKUP(B429,ESTOQUE!B:B,ESTOQUE!G:G)</f>
        <v>PAR</v>
      </c>
      <c r="F429" s="88">
        <v>2</v>
      </c>
      <c r="G429" s="90"/>
      <c r="H429" s="91">
        <f t="shared" si="6"/>
        <v>0</v>
      </c>
      <c r="I429" s="71"/>
      <c r="J429" s="24"/>
      <c r="K429" s="127"/>
    </row>
    <row r="430" spans="1:11" x14ac:dyDescent="0.25">
      <c r="A430" s="22">
        <v>46032</v>
      </c>
      <c r="B430" s="23">
        <v>216</v>
      </c>
      <c r="C430" s="49" t="str">
        <f>IF(ISBLANK($B430),"",IFERROR(VLOOKUP($B430,ESTOQUE!$B$2:$D$97168,2,FALSE),"Produto não cadastrado"))</f>
        <v>CONSUMO</v>
      </c>
      <c r="D430" s="69" t="str">
        <f>IF(ISBLANK($B430),"",IFERROR(VLOOKUP($B430,ESTOQUE!$B$2:$M$997973,3,FALSE),"Produto não cadastrado"))</f>
        <v>BOTINA SEGURANÇA METATARSO  39</v>
      </c>
      <c r="E430" s="89" t="str">
        <f>_xlfn.XLOOKUP(B430,ESTOQUE!B:B,ESTOQUE!G:G)</f>
        <v>PAR</v>
      </c>
      <c r="F430" s="88">
        <v>3</v>
      </c>
      <c r="G430" s="90"/>
      <c r="H430" s="91">
        <f t="shared" si="6"/>
        <v>0</v>
      </c>
      <c r="I430" s="71"/>
      <c r="J430" s="24"/>
      <c r="K430" s="127"/>
    </row>
    <row r="431" spans="1:11" x14ac:dyDescent="0.25">
      <c r="A431" s="22">
        <v>46035</v>
      </c>
      <c r="B431" s="23">
        <v>139</v>
      </c>
      <c r="C431" s="49" t="str">
        <f>IF(ISBLANK($B431),"",IFERROR(VLOOKUP($B431,ESTOQUE!$B$2:$D$97168,2,FALSE),"Produto não cadastrado"))</f>
        <v>CONSUMO</v>
      </c>
      <c r="D431" s="69" t="str">
        <f>IF(ISBLANK($B431),"",IFERROR(VLOOKUP($B431,ESTOQUE!$B$2:$M$997973,3,FALSE),"Produto não cadastrado"))</f>
        <v>PROTETOR AURICULAR TIPO PLUG</v>
      </c>
      <c r="E431" s="89" t="str">
        <f>_xlfn.XLOOKUP(B431,ESTOQUE!B:B,ESTOQUE!G:G)</f>
        <v>UND</v>
      </c>
      <c r="F431" s="88">
        <v>200</v>
      </c>
      <c r="G431" s="90"/>
      <c r="H431" s="91">
        <f t="shared" si="6"/>
        <v>0</v>
      </c>
      <c r="I431" s="71"/>
      <c r="J431" s="24"/>
      <c r="K431" s="127"/>
    </row>
    <row r="432" spans="1:11" x14ac:dyDescent="0.25">
      <c r="A432" s="22">
        <v>46035</v>
      </c>
      <c r="B432" s="23">
        <v>117</v>
      </c>
      <c r="C432" s="49" t="str">
        <f>IF(ISBLANK($B432),"",IFERROR(VLOOKUP($B432,ESTOQUE!$B$2:$D$97168,2,FALSE),"Produto não cadastrado"))</f>
        <v>CONSUMO</v>
      </c>
      <c r="D432" s="69" t="str">
        <f>IF(ISBLANK($B432),"",IFERROR(VLOOKUP($B432,ESTOQUE!$B$2:$M$997973,3,FALSE),"Produto não cadastrado"))</f>
        <v>LUVA PIGMENTADA</v>
      </c>
      <c r="E432" s="89" t="str">
        <f>_xlfn.XLOOKUP(B432,ESTOQUE!B:B,ESTOQUE!G:G)</f>
        <v>PAR</v>
      </c>
      <c r="F432" s="88">
        <v>480</v>
      </c>
      <c r="G432" s="90"/>
      <c r="H432" s="91">
        <f t="shared" si="6"/>
        <v>0</v>
      </c>
      <c r="I432" s="71"/>
      <c r="J432" s="24"/>
      <c r="K432" s="127"/>
    </row>
    <row r="433" spans="1:11" x14ac:dyDescent="0.25">
      <c r="A433" s="22">
        <v>46035</v>
      </c>
      <c r="B433" s="23">
        <v>10</v>
      </c>
      <c r="C433" s="49" t="str">
        <f>IF(ISBLANK($B433),"",IFERROR(VLOOKUP($B433,ESTOQUE!$B$2:$D$97168,2,FALSE),"Produto não cadastrado"))</f>
        <v>CONSUMO</v>
      </c>
      <c r="D433" s="69" t="str">
        <f>IF(ISBLANK($B433),"",IFERROR(VLOOKUP($B433,ESTOQUE!$B$2:$M$997973,3,FALSE),"Produto não cadastrado"))</f>
        <v>BOTA PVC CANO LONGO Nº 42</v>
      </c>
      <c r="E433" s="89" t="str">
        <f>_xlfn.XLOOKUP(B433,ESTOQUE!B:B,ESTOQUE!G:G)</f>
        <v>PAR</v>
      </c>
      <c r="F433" s="88">
        <v>10</v>
      </c>
      <c r="G433" s="90"/>
      <c r="H433" s="91">
        <f t="shared" si="6"/>
        <v>0</v>
      </c>
      <c r="I433" s="71"/>
      <c r="J433" s="24"/>
      <c r="K433" s="127"/>
    </row>
    <row r="434" spans="1:11" x14ac:dyDescent="0.25">
      <c r="A434" s="22">
        <v>46035</v>
      </c>
      <c r="B434" s="23">
        <v>224</v>
      </c>
      <c r="C434" s="49" t="str">
        <f>IF(ISBLANK($B434),"",IFERROR(VLOOKUP($B434,ESTOQUE!$B$2:$D$97168,2,FALSE),"Produto não cadastrado"))</f>
        <v>CONSUMO</v>
      </c>
      <c r="D434" s="69" t="str">
        <f>IF(ISBLANK($B434),"",IFERROR(VLOOKUP($B434,ESTOQUE!$B$2:$M$997973,3,FALSE),"Produto não cadastrado"))</f>
        <v>OCULOS OPERACIONAL SOBRE POR ESCURO</v>
      </c>
      <c r="E434" s="89" t="str">
        <f>_xlfn.XLOOKUP(B434,ESTOQUE!B:B,ESTOQUE!G:G)</f>
        <v>UND</v>
      </c>
      <c r="F434" s="88">
        <v>10</v>
      </c>
      <c r="G434" s="92"/>
      <c r="H434" s="91">
        <f t="shared" si="6"/>
        <v>0</v>
      </c>
      <c r="I434" s="71"/>
      <c r="J434" s="24"/>
      <c r="K434" s="127"/>
    </row>
    <row r="435" spans="1:11" x14ac:dyDescent="0.25">
      <c r="A435" s="22">
        <v>46035</v>
      </c>
      <c r="B435" s="23">
        <v>129</v>
      </c>
      <c r="C435" s="49" t="str">
        <f>IF(ISBLANK($B435),"",IFERROR(VLOOKUP($B435,ESTOQUE!$B$2:$D$97168,2,FALSE),"Produto não cadastrado"))</f>
        <v>CONSUMO</v>
      </c>
      <c r="D435" s="69" t="str">
        <f>IF(ISBLANK($B435),"",IFERROR(VLOOKUP($B435,ESTOQUE!$B$2:$M$997973,3,FALSE),"Produto não cadastrado"))</f>
        <v>PERNEIRA DE RASPA</v>
      </c>
      <c r="E435" s="89" t="str">
        <f>_xlfn.XLOOKUP(B435,ESTOQUE!B:B,ESTOQUE!G:G)</f>
        <v>PAR</v>
      </c>
      <c r="F435" s="88">
        <v>10</v>
      </c>
      <c r="G435" s="90"/>
      <c r="H435" s="91">
        <f t="shared" si="6"/>
        <v>0</v>
      </c>
      <c r="I435" s="71"/>
      <c r="J435" s="24"/>
      <c r="K435" s="127"/>
    </row>
    <row r="436" spans="1:11" x14ac:dyDescent="0.25">
      <c r="A436" s="22">
        <v>46035</v>
      </c>
      <c r="B436" s="23">
        <v>104</v>
      </c>
      <c r="C436" s="49" t="str">
        <f>IF(ISBLANK($B436),"",IFERROR(VLOOKUP($B436,ESTOQUE!$B$2:$D$97168,2,FALSE),"Produto não cadastrado"))</f>
        <v>CONSUMO</v>
      </c>
      <c r="D436" s="69" t="str">
        <f>IF(ISBLANK($B436),"",IFERROR(VLOOKUP($B436,ESTOQUE!$B$2:$M$997973,3,FALSE),"Produto não cadastrado"))</f>
        <v>JARDINEIRA AMARELA BOTA Nº 42</v>
      </c>
      <c r="E436" s="89" t="str">
        <f>_xlfn.XLOOKUP(B436,ESTOQUE!B:B,ESTOQUE!G:G)</f>
        <v>UND</v>
      </c>
      <c r="F436" s="88">
        <v>10</v>
      </c>
      <c r="G436" s="90"/>
      <c r="H436" s="91">
        <f t="shared" si="6"/>
        <v>0</v>
      </c>
      <c r="I436" s="71"/>
      <c r="J436" s="24"/>
      <c r="K436" s="127"/>
    </row>
    <row r="437" spans="1:11" x14ac:dyDescent="0.25">
      <c r="A437" s="22">
        <v>46035</v>
      </c>
      <c r="B437" s="23">
        <v>107</v>
      </c>
      <c r="C437" s="49" t="str">
        <f>IF(ISBLANK($B437),"",IFERROR(VLOOKUP($B437,ESTOQUE!$B$2:$D$97168,2,FALSE),"Produto não cadastrado"))</f>
        <v>CONSUMO</v>
      </c>
      <c r="D437" s="69" t="str">
        <f>IF(ISBLANK($B437),"",IFERROR(VLOOKUP($B437,ESTOQUE!$B$2:$M$997973,3,FALSE),"Produto não cadastrado"))</f>
        <v>JARDINEIRA AMARELA BOTA Nº 45</v>
      </c>
      <c r="E437" s="89" t="str">
        <f>_xlfn.XLOOKUP(B437,ESTOQUE!B:B,ESTOQUE!G:G)</f>
        <v>UND</v>
      </c>
      <c r="F437" s="88">
        <v>9</v>
      </c>
      <c r="G437" s="90"/>
      <c r="H437" s="91">
        <f t="shared" ref="H437:H500" si="7">F437*G437</f>
        <v>0</v>
      </c>
      <c r="I437" s="71"/>
      <c r="J437" s="24"/>
      <c r="K437" s="127"/>
    </row>
    <row r="438" spans="1:11" x14ac:dyDescent="0.25">
      <c r="A438" s="22">
        <v>46035</v>
      </c>
      <c r="B438" s="23">
        <v>97</v>
      </c>
      <c r="C438" s="49" t="str">
        <f>IF(ISBLANK($B438),"",IFERROR(VLOOKUP($B438,ESTOQUE!$B$2:$D$97168,2,FALSE),"Produto não cadastrado"))</f>
        <v>CONSUMO</v>
      </c>
      <c r="D438" s="69" t="str">
        <f>IF(ISBLANK($B438),"",IFERROR(VLOOKUP($B438,ESTOQUE!$B$2:$M$997973,3,FALSE),"Produto não cadastrado"))</f>
        <v>COLETE REFLETIVO LARANJA M</v>
      </c>
      <c r="E438" s="89" t="str">
        <f>_xlfn.XLOOKUP(B438,ESTOQUE!B:B,ESTOQUE!G:G)</f>
        <v>UND</v>
      </c>
      <c r="F438" s="88">
        <v>40</v>
      </c>
      <c r="G438" s="90"/>
      <c r="H438" s="91">
        <f t="shared" si="7"/>
        <v>0</v>
      </c>
      <c r="I438" s="71"/>
      <c r="J438" s="24"/>
      <c r="K438" s="127"/>
    </row>
    <row r="439" spans="1:11" x14ac:dyDescent="0.25">
      <c r="A439" s="22">
        <v>46037</v>
      </c>
      <c r="B439" s="23">
        <v>50</v>
      </c>
      <c r="C439" s="49" t="str">
        <f>IF(ISBLANK($B439),"",IFERROR(VLOOKUP($B439,ESTOQUE!$B$2:$D$97168,2,FALSE),"Produto não cadastrado"))</f>
        <v>CONSUMO</v>
      </c>
      <c r="D439" s="69" t="str">
        <f>IF(ISBLANK($B439),"",IFERROR(VLOOKUP($B439,ESTOQUE!$B$2:$M$997973,3,FALSE),"Produto não cadastrado"))</f>
        <v>CALÇA CINZA OP. C/ FAIXA REFLETIVA TAM: XG</v>
      </c>
      <c r="E439" s="89" t="str">
        <f>_xlfn.XLOOKUP(B439,ESTOQUE!B:B,ESTOQUE!G:G)</f>
        <v>UND</v>
      </c>
      <c r="F439" s="35">
        <v>60</v>
      </c>
      <c r="G439" s="90"/>
      <c r="H439" s="91">
        <f t="shared" si="7"/>
        <v>0</v>
      </c>
      <c r="I439" s="71"/>
      <c r="J439" s="24"/>
      <c r="K439" s="127"/>
    </row>
    <row r="440" spans="1:11" x14ac:dyDescent="0.25">
      <c r="A440" s="22">
        <v>46037</v>
      </c>
      <c r="B440" s="23">
        <v>81</v>
      </c>
      <c r="C440" s="49" t="str">
        <f>IF(ISBLANK($B440),"",IFERROR(VLOOKUP($B440,ESTOQUE!$B$2:$D$97168,2,FALSE),"Produto não cadastrado"))</f>
        <v>CONSUMO</v>
      </c>
      <c r="D440" s="69" t="str">
        <f>IF(ISBLANK($B440),"",IFERROR(VLOOKUP($B440,ESTOQUE!$B$2:$M$997973,3,FALSE),"Produto não cadastrado"))</f>
        <v>CAPACETE LIBUS BRANCO</v>
      </c>
      <c r="E440" s="89" t="str">
        <f>_xlfn.XLOOKUP(B440,ESTOQUE!B:B,ESTOQUE!G:G)</f>
        <v>UND</v>
      </c>
      <c r="F440" s="35">
        <v>5</v>
      </c>
      <c r="G440" s="92"/>
      <c r="H440" s="91">
        <f t="shared" si="7"/>
        <v>0</v>
      </c>
      <c r="I440" s="71"/>
      <c r="J440" s="24"/>
      <c r="K440" s="127"/>
    </row>
    <row r="441" spans="1:11" x14ac:dyDescent="0.25">
      <c r="A441" s="22">
        <v>46037</v>
      </c>
      <c r="B441" s="23">
        <v>114</v>
      </c>
      <c r="C441" s="49" t="str">
        <f>IF(ISBLANK($B441),"",IFERROR(VLOOKUP($B441,ESTOQUE!$B$2:$D$97168,2,FALSE),"Produto não cadastrado"))</f>
        <v>CONSUMO</v>
      </c>
      <c r="D441" s="69" t="str">
        <f>IF(ISBLANK($B441),"",IFERROR(VLOOKUP($B441,ESTOQUE!$B$2:$M$997973,3,FALSE),"Produto não cadastrado"))</f>
        <v xml:space="preserve">LUVA LATEX NITRILICA </v>
      </c>
      <c r="E441" s="89" t="str">
        <f>_xlfn.XLOOKUP(B441,ESTOQUE!B:B,ESTOQUE!G:G)</f>
        <v>PAR</v>
      </c>
      <c r="F441" s="35">
        <v>144</v>
      </c>
      <c r="G441" s="92"/>
      <c r="H441" s="91">
        <f t="shared" si="7"/>
        <v>0</v>
      </c>
      <c r="I441" s="71"/>
      <c r="J441" s="24"/>
      <c r="K441" s="127"/>
    </row>
    <row r="442" spans="1:11" x14ac:dyDescent="0.25">
      <c r="A442" s="22">
        <v>46039</v>
      </c>
      <c r="B442" s="23">
        <v>144</v>
      </c>
      <c r="C442" s="49" t="str">
        <f>IF(ISBLANK($B442),"",IFERROR(VLOOKUP($B442,ESTOQUE!$B$2:$D$97168,2,FALSE),"Produto não cadastrado"))</f>
        <v>CONSUMO</v>
      </c>
      <c r="D442" s="69" t="str">
        <f>IF(ISBLANK($B442),"",IFERROR(VLOOKUP($B442,ESTOQUE!$B$2:$M$997973,3,FALSE),"Produto não cadastrado"))</f>
        <v>MASCARA PFF2-S C/ FILTRO</v>
      </c>
      <c r="E442" s="89" t="str">
        <f>_xlfn.XLOOKUP(B442,ESTOQUE!B:B,ESTOQUE!G:G)</f>
        <v>UND</v>
      </c>
      <c r="F442" s="35">
        <v>600</v>
      </c>
      <c r="G442" s="92"/>
      <c r="H442" s="91">
        <f t="shared" si="7"/>
        <v>0</v>
      </c>
      <c r="I442" s="71"/>
      <c r="J442" s="24"/>
      <c r="K442" s="127"/>
    </row>
    <row r="443" spans="1:11" x14ac:dyDescent="0.25">
      <c r="A443" s="22">
        <v>46042</v>
      </c>
      <c r="B443" s="23">
        <v>207</v>
      </c>
      <c r="C443" s="49" t="str">
        <f>IF(ISBLANK($B443),"",IFERROR(VLOOKUP($B443,ESTOQUE!$B$2:$D$97168,2,FALSE),"Produto não cadastrado"))</f>
        <v>CONSUMO</v>
      </c>
      <c r="D443" s="69" t="str">
        <f>IF(ISBLANK($B443),"",IFERROR(VLOOKUP($B443,ESTOQUE!$B$2:$M$997973,3,FALSE),"Produto não cadastrado"))</f>
        <v>LUVA POLIESTER ANTICORTE BANHADA PU TAM 9</v>
      </c>
      <c r="E443" s="89" t="str">
        <f>_xlfn.XLOOKUP(B443,ESTOQUE!B:B,ESTOQUE!G:G)</f>
        <v>PAR</v>
      </c>
      <c r="F443" s="35">
        <v>144</v>
      </c>
      <c r="G443" s="90"/>
      <c r="H443" s="91">
        <f t="shared" si="7"/>
        <v>0</v>
      </c>
      <c r="I443" s="71"/>
      <c r="J443" s="24"/>
      <c r="K443" s="127"/>
    </row>
    <row r="444" spans="1:11" x14ac:dyDescent="0.25">
      <c r="A444" s="22">
        <v>46042</v>
      </c>
      <c r="B444" s="23">
        <v>141</v>
      </c>
      <c r="C444" s="49" t="str">
        <f>IF(ISBLANK($B444),"",IFERROR(VLOOKUP($B444,ESTOQUE!$B$2:$D$97168,2,FALSE),"Produto não cadastrado"))</f>
        <v>CONSUMO</v>
      </c>
      <c r="D444" s="69" t="str">
        <f>IF(ISBLANK($B444),"",IFERROR(VLOOKUP($B444,ESTOQUE!$B$2:$M$997973,3,FALSE),"Produto não cadastrado"))</f>
        <v xml:space="preserve">LUVA DE VAQUETA </v>
      </c>
      <c r="E444" s="89" t="str">
        <f>_xlfn.XLOOKUP(B444,ESTOQUE!B:B,ESTOQUE!G:G)</f>
        <v>PAR</v>
      </c>
      <c r="F444" s="35">
        <v>100</v>
      </c>
      <c r="G444" s="90"/>
      <c r="H444" s="91">
        <f t="shared" si="7"/>
        <v>0</v>
      </c>
      <c r="I444" s="71"/>
      <c r="J444" s="24"/>
      <c r="K444" s="127"/>
    </row>
    <row r="445" spans="1:11" x14ac:dyDescent="0.25">
      <c r="A445" s="22">
        <v>46043</v>
      </c>
      <c r="B445" s="23">
        <v>264</v>
      </c>
      <c r="C445" s="49" t="str">
        <f>IF(ISBLANK($B445),"",IFERROR(VLOOKUP($B445,ESTOQUE!$B$2:$D$97168,2,FALSE),"Produto não cadastrado"))</f>
        <v>CONSUMO</v>
      </c>
      <c r="D445" s="69" t="str">
        <f>IF(ISBLANK($B445),"",IFERROR(VLOOKUP($B445,ESTOQUE!$B$2:$M$997973,3,FALSE),"Produto não cadastrado"))</f>
        <v xml:space="preserve">CINTO DE SEGURANÇA ARAMIDA </v>
      </c>
      <c r="E445" s="89" t="str">
        <f>_xlfn.XLOOKUP(B445,ESTOQUE!B:B,ESTOQUE!G:G)</f>
        <v>UND</v>
      </c>
      <c r="F445" s="35">
        <v>7</v>
      </c>
      <c r="G445" s="90"/>
      <c r="H445" s="91">
        <f t="shared" si="7"/>
        <v>0</v>
      </c>
      <c r="I445" s="71"/>
      <c r="J445" s="24"/>
      <c r="K445" s="127"/>
    </row>
    <row r="446" spans="1:11" x14ac:dyDescent="0.25">
      <c r="A446" s="22">
        <v>46043</v>
      </c>
      <c r="B446" s="23">
        <v>1</v>
      </c>
      <c r="C446" s="49" t="s">
        <v>19</v>
      </c>
      <c r="D446" s="69" t="str">
        <f>IF(ISBLANK($B446),"",IFERROR(VLOOKUP($B446,ESTOQUE!$B$2:$M$997973,3,FALSE),"Produto não cadastrado"))</f>
        <v>ABAFADOR DE RUIDOS TIPO CONCHA</v>
      </c>
      <c r="E446" s="89" t="str">
        <f>_xlfn.XLOOKUP(B446,ESTOQUE!B:B,ESTOQUE!G:G)</f>
        <v>UND</v>
      </c>
      <c r="F446" s="35">
        <v>32</v>
      </c>
      <c r="G446" s="90"/>
      <c r="H446" s="91">
        <f t="shared" si="7"/>
        <v>0</v>
      </c>
      <c r="I446" s="71"/>
      <c r="J446" s="24"/>
      <c r="K446" s="127"/>
    </row>
    <row r="447" spans="1:11" x14ac:dyDescent="0.25">
      <c r="A447" s="22">
        <v>46043</v>
      </c>
      <c r="B447" s="23">
        <v>4</v>
      </c>
      <c r="C447" s="49" t="s">
        <v>19</v>
      </c>
      <c r="D447" s="69" t="str">
        <f>IF(ISBLANK($B447),"",IFERROR(VLOOKUP($B447,ESTOQUE!$B$2:$M$997973,3,FALSE),"Produto não cadastrado"))</f>
        <v>BLUSÃO DE RASPA MANGA LONGA</v>
      </c>
      <c r="E447" s="89" t="str">
        <f>_xlfn.XLOOKUP(B447,ESTOQUE!B:B,ESTOQUE!G:G)</f>
        <v>UND</v>
      </c>
      <c r="F447" s="35">
        <v>25</v>
      </c>
      <c r="G447" s="90"/>
      <c r="H447" s="91">
        <f t="shared" si="7"/>
        <v>0</v>
      </c>
      <c r="I447" s="71"/>
      <c r="J447" s="24"/>
      <c r="K447" s="127"/>
    </row>
    <row r="448" spans="1:11" x14ac:dyDescent="0.25">
      <c r="A448" s="22">
        <v>46043</v>
      </c>
      <c r="B448" s="23">
        <v>14</v>
      </c>
      <c r="C448" s="49" t="s">
        <v>19</v>
      </c>
      <c r="D448" s="69" t="str">
        <f>IF(ISBLANK($B448),"",IFERROR(VLOOKUP($B448,ESTOQUE!$B$2:$M$997973,3,FALSE),"Produto não cadastrado"))</f>
        <v>BOTA PVC CANO LONGO Nº 46</v>
      </c>
      <c r="E448" s="89" t="str">
        <f>_xlfn.XLOOKUP(B448,ESTOQUE!B:B,ESTOQUE!G:G)</f>
        <v>PAR</v>
      </c>
      <c r="F448" s="35">
        <v>4</v>
      </c>
      <c r="G448" s="90"/>
      <c r="H448" s="91">
        <f t="shared" si="7"/>
        <v>0</v>
      </c>
      <c r="I448" s="71"/>
      <c r="J448" s="24"/>
      <c r="K448" s="127"/>
    </row>
    <row r="449" spans="1:11" x14ac:dyDescent="0.25">
      <c r="A449" s="22">
        <v>46043</v>
      </c>
      <c r="B449" s="23">
        <v>36</v>
      </c>
      <c r="C449" s="49" t="s">
        <v>19</v>
      </c>
      <c r="D449" s="69" t="str">
        <f>IF(ISBLANK($B449),"",IFERROR(VLOOKUP($B449,ESTOQUE!$B$2:$M$997973,3,FALSE),"Produto não cadastrado"))</f>
        <v>BOTINA OP. BICO PVC Nº 38</v>
      </c>
      <c r="E449" s="89" t="str">
        <f>_xlfn.XLOOKUP(B449,ESTOQUE!B:B,ESTOQUE!G:G)</f>
        <v>PAR</v>
      </c>
      <c r="F449" s="35">
        <v>13</v>
      </c>
      <c r="G449" s="90"/>
      <c r="H449" s="91">
        <f t="shared" si="7"/>
        <v>0</v>
      </c>
      <c r="I449" s="71"/>
      <c r="J449" s="24"/>
      <c r="K449" s="127"/>
    </row>
    <row r="450" spans="1:11" x14ac:dyDescent="0.25">
      <c r="A450" s="22">
        <v>46043</v>
      </c>
      <c r="B450" s="23">
        <v>76</v>
      </c>
      <c r="C450" s="49" t="s">
        <v>19</v>
      </c>
      <c r="D450" s="69" t="str">
        <f>IF(ISBLANK($B450),"",IFERROR(VLOOKUP($B450,ESTOQUE!$B$2:$M$997973,3,FALSE),"Produto não cadastrado"))</f>
        <v>CAPACETE CAMPER BRANCO</v>
      </c>
      <c r="E450" s="89" t="str">
        <f>_xlfn.XLOOKUP(B450,ESTOQUE!B:B,ESTOQUE!G:G)</f>
        <v>UND</v>
      </c>
      <c r="F450" s="35">
        <v>5</v>
      </c>
      <c r="G450" s="90"/>
      <c r="H450" s="91">
        <f t="shared" si="7"/>
        <v>0</v>
      </c>
      <c r="I450" s="71"/>
      <c r="J450" s="24"/>
      <c r="K450" s="127"/>
    </row>
    <row r="451" spans="1:11" x14ac:dyDescent="0.25">
      <c r="A451" s="22">
        <v>46043</v>
      </c>
      <c r="B451" s="23">
        <v>180</v>
      </c>
      <c r="C451" s="49" t="s">
        <v>19</v>
      </c>
      <c r="D451" s="69" t="str">
        <f>IF(ISBLANK($B451),"",IFERROR(VLOOKUP($B451,ESTOQUE!$B$2:$M$997973,3,FALSE),"Produto não cadastrado"))</f>
        <v>CAPACETE GENISIS MARRON</v>
      </c>
      <c r="E451" s="89" t="str">
        <f>_xlfn.XLOOKUP(B451,ESTOQUE!B:B,ESTOQUE!G:G)</f>
        <v>UND</v>
      </c>
      <c r="F451" s="35">
        <v>2</v>
      </c>
      <c r="G451" s="90"/>
      <c r="H451" s="91">
        <f t="shared" si="7"/>
        <v>0</v>
      </c>
      <c r="I451" s="71"/>
      <c r="J451" s="24"/>
      <c r="K451" s="127"/>
    </row>
    <row r="452" spans="1:11" x14ac:dyDescent="0.25">
      <c r="A452" s="22">
        <v>46043</v>
      </c>
      <c r="B452" s="23">
        <v>178</v>
      </c>
      <c r="C452" s="49" t="s">
        <v>19</v>
      </c>
      <c r="D452" s="69" t="str">
        <f>IF(ISBLANK($B452),"",IFERROR(VLOOKUP($B452,ESTOQUE!$B$2:$M$997973,3,FALSE),"Produto não cadastrado"))</f>
        <v>CAPACETE GENISIS VERMELHO</v>
      </c>
      <c r="E452" s="89" t="str">
        <f>_xlfn.XLOOKUP(B452,ESTOQUE!B:B,ESTOQUE!G:G)</f>
        <v>UND</v>
      </c>
      <c r="F452" s="35">
        <v>17</v>
      </c>
      <c r="G452" s="90"/>
      <c r="H452" s="91">
        <f t="shared" si="7"/>
        <v>0</v>
      </c>
      <c r="I452" s="71"/>
      <c r="J452" s="24"/>
      <c r="K452" s="127"/>
    </row>
    <row r="453" spans="1:11" x14ac:dyDescent="0.25">
      <c r="A453" s="22">
        <v>46043</v>
      </c>
      <c r="B453" s="23">
        <v>86</v>
      </c>
      <c r="C453" s="49" t="s">
        <v>19</v>
      </c>
      <c r="D453" s="69" t="str">
        <f>IF(ISBLANK($B453),"",IFERROR(VLOOKUP($B453,ESTOQUE!$B$2:$M$997973,3,FALSE),"Produto não cadastrado"))</f>
        <v>CAPACETE LIBUS VERDE</v>
      </c>
      <c r="E453" s="89" t="str">
        <f>_xlfn.XLOOKUP(B453,ESTOQUE!B:B,ESTOQUE!G:G)</f>
        <v>UND</v>
      </c>
      <c r="F453" s="35">
        <v>1</v>
      </c>
      <c r="G453" s="90"/>
      <c r="H453" s="91">
        <f t="shared" si="7"/>
        <v>0</v>
      </c>
      <c r="I453" s="71"/>
      <c r="J453" s="24"/>
      <c r="K453" s="127"/>
    </row>
    <row r="454" spans="1:11" x14ac:dyDescent="0.25">
      <c r="A454" s="22">
        <v>46043</v>
      </c>
      <c r="B454" s="23">
        <v>159</v>
      </c>
      <c r="C454" s="49" t="s">
        <v>19</v>
      </c>
      <c r="D454" s="69" t="str">
        <f>IF(ISBLANK($B454),"",IFERROR(VLOOKUP($B454,ESTOQUE!$B$2:$M$997973,3,FALSE),"Produto não cadastrado"))</f>
        <v>LUVA VOLK ANTIVIBRAÇÃO GORILA TAM 9</v>
      </c>
      <c r="E454" s="89" t="str">
        <f>_xlfn.XLOOKUP(B454,ESTOQUE!B:B,ESTOQUE!G:G)</f>
        <v>PAR</v>
      </c>
      <c r="F454" s="35">
        <v>13</v>
      </c>
      <c r="G454" s="90"/>
      <c r="H454" s="91">
        <f t="shared" si="7"/>
        <v>0</v>
      </c>
      <c r="I454" s="71"/>
      <c r="J454" s="24"/>
      <c r="K454" s="127"/>
    </row>
    <row r="455" spans="1:11" x14ac:dyDescent="0.25">
      <c r="A455" s="22">
        <v>46043</v>
      </c>
      <c r="B455" s="23">
        <v>125</v>
      </c>
      <c r="C455" s="49" t="s">
        <v>19</v>
      </c>
      <c r="D455" s="69" t="str">
        <f>IF(ISBLANK($B455),"",IFERROR(VLOOKUP($B455,ESTOQUE!$B$2:$M$997973,3,FALSE),"Produto não cadastrado"))</f>
        <v xml:space="preserve">MASCARA DE SOLDA AUTOMATICA </v>
      </c>
      <c r="E455" s="89" t="str">
        <f>_xlfn.XLOOKUP(B455,ESTOQUE!B:B,ESTOQUE!G:G)</f>
        <v>UND</v>
      </c>
      <c r="F455" s="35">
        <v>1</v>
      </c>
      <c r="G455" s="90"/>
      <c r="H455" s="91">
        <f t="shared" si="7"/>
        <v>0</v>
      </c>
      <c r="I455" s="71"/>
      <c r="J455" s="24"/>
      <c r="K455" s="127"/>
    </row>
    <row r="456" spans="1:11" x14ac:dyDescent="0.25">
      <c r="A456" s="22">
        <v>46043</v>
      </c>
      <c r="B456" s="23">
        <v>225</v>
      </c>
      <c r="C456" s="49" t="s">
        <v>19</v>
      </c>
      <c r="D456" s="69" t="str">
        <f>IF(ISBLANK($B456),"",IFERROR(VLOOKUP($B456,ESTOQUE!$B$2:$M$997973,3,FALSE),"Produto não cadastrado"))</f>
        <v>OCULOS OPERACIONAL SOBRE POR INCOLOR</v>
      </c>
      <c r="E456" s="89" t="str">
        <f>_xlfn.XLOOKUP(B456,ESTOQUE!B:B,ESTOQUE!G:G)</f>
        <v>UND</v>
      </c>
      <c r="F456" s="35">
        <v>15</v>
      </c>
      <c r="G456" s="90"/>
      <c r="H456" s="91">
        <f t="shared" si="7"/>
        <v>0</v>
      </c>
      <c r="I456" s="71"/>
      <c r="J456" s="24"/>
      <c r="K456" s="127"/>
    </row>
    <row r="457" spans="1:11" x14ac:dyDescent="0.25">
      <c r="A457" s="22">
        <v>46043</v>
      </c>
      <c r="B457" s="23">
        <v>144</v>
      </c>
      <c r="C457" s="49" t="s">
        <v>19</v>
      </c>
      <c r="D457" s="69" t="str">
        <f>IF(ISBLANK($B457),"",IFERROR(VLOOKUP($B457,ESTOQUE!$B$2:$M$997973,3,FALSE),"Produto não cadastrado"))</f>
        <v>MASCARA PFF2-S C/ FILTRO</v>
      </c>
      <c r="E457" s="89" t="str">
        <f>_xlfn.XLOOKUP(B457,ESTOQUE!B:B,ESTOQUE!G:G)</f>
        <v>UND</v>
      </c>
      <c r="F457" s="35">
        <v>378</v>
      </c>
      <c r="G457" s="90"/>
      <c r="H457" s="91">
        <f t="shared" si="7"/>
        <v>0</v>
      </c>
      <c r="I457" s="71"/>
      <c r="J457" s="24"/>
      <c r="K457" s="127"/>
    </row>
    <row r="458" spans="1:11" x14ac:dyDescent="0.25">
      <c r="A458" s="22">
        <v>46043</v>
      </c>
      <c r="B458" s="23">
        <v>13</v>
      </c>
      <c r="C458" s="49" t="s">
        <v>19</v>
      </c>
      <c r="D458" s="69" t="str">
        <f>IF(ISBLANK($B458),"",IFERROR(VLOOKUP($B458,ESTOQUE!$B$2:$M$997973,3,FALSE),"Produto não cadastrado"))</f>
        <v>BOTA PVC CANO LONGO Nº 45</v>
      </c>
      <c r="E458" s="89" t="str">
        <f>_xlfn.XLOOKUP(B458,ESTOQUE!B:B,ESTOQUE!G:G)</f>
        <v>PAR</v>
      </c>
      <c r="F458" s="35">
        <v>4</v>
      </c>
      <c r="G458" s="90"/>
      <c r="H458" s="91">
        <f t="shared" si="7"/>
        <v>0</v>
      </c>
      <c r="I458" s="71"/>
      <c r="J458" s="24"/>
      <c r="K458" s="127"/>
    </row>
    <row r="459" spans="1:11" x14ac:dyDescent="0.25">
      <c r="A459" s="22">
        <v>46043</v>
      </c>
      <c r="B459" s="23">
        <v>265</v>
      </c>
      <c r="C459" s="49" t="str">
        <f>IF(ISBLANK($B459),"",IFERROR(VLOOKUP($B459,ESTOQUE!$B$2:$D$97168,2,FALSE),"Produto não cadastrado"))</f>
        <v>CONSUMO</v>
      </c>
      <c r="D459" s="69" t="str">
        <f>IF(ISBLANK($B459),"",IFERROR(VLOOKUP($B459,ESTOQUE!$B$2:$M$997973,3,FALSE),"Produto não cadastrado"))</f>
        <v xml:space="preserve">TALABARTE  DUPLO ARAMIDA </v>
      </c>
      <c r="E459" s="89" t="str">
        <f>_xlfn.XLOOKUP(B459,ESTOQUE!B:B,ESTOQUE!G:G)</f>
        <v>UND</v>
      </c>
      <c r="F459" s="35">
        <v>7</v>
      </c>
      <c r="G459" s="90"/>
      <c r="H459" s="91">
        <f t="shared" si="7"/>
        <v>0</v>
      </c>
      <c r="I459" s="71"/>
      <c r="J459" s="24"/>
      <c r="K459" s="127"/>
    </row>
    <row r="460" spans="1:11" x14ac:dyDescent="0.25">
      <c r="A460" s="22">
        <v>46043</v>
      </c>
      <c r="B460" s="23">
        <v>266</v>
      </c>
      <c r="C460" s="49" t="str">
        <f>IF(ISBLANK($B460),"",IFERROR(VLOOKUP($B460,ESTOQUE!$B$2:$D$97168,2,FALSE),"Produto não cadastrado"))</f>
        <v>CONSUMO</v>
      </c>
      <c r="D460" s="69" t="str">
        <f>IF(ISBLANK($B460),"",IFERROR(VLOOKUP($B460,ESTOQUE!$B$2:$M$997973,3,FALSE),"Produto não cadastrado"))</f>
        <v>CINTO DE SEGURANÇA ATHENAS TAM:2</v>
      </c>
      <c r="E460" s="89" t="str">
        <f>_xlfn.XLOOKUP(B460,ESTOQUE!B:B,ESTOQUE!G:G)</f>
        <v>UND</v>
      </c>
      <c r="F460" s="35">
        <v>17</v>
      </c>
      <c r="G460" s="90"/>
      <c r="H460" s="91">
        <f t="shared" si="7"/>
        <v>0</v>
      </c>
      <c r="I460" s="71"/>
      <c r="J460" s="24"/>
      <c r="K460" s="127"/>
    </row>
    <row r="461" spans="1:11" x14ac:dyDescent="0.25">
      <c r="A461" s="22">
        <v>46043</v>
      </c>
      <c r="B461" s="23">
        <v>232</v>
      </c>
      <c r="C461" s="49" t="str">
        <f>IF(ISBLANK($B461),"",IFERROR(VLOOKUP($B461,ESTOQUE!$B$2:$D$97168,2,FALSE),"Produto não cadastrado"))</f>
        <v>CONSUMO</v>
      </c>
      <c r="D461" s="69" t="str">
        <f>IF(ISBLANK($B461),"",IFERROR(VLOOKUP($B461,ESTOQUE!$B$2:$M$997973,3,FALSE),"Produto não cadastrado"))</f>
        <v>TALABARTE DE POSICIONAMENTO</v>
      </c>
      <c r="E461" s="89" t="str">
        <f>_xlfn.XLOOKUP(B461,ESTOQUE!B:B,ESTOQUE!G:G)</f>
        <v>UND</v>
      </c>
      <c r="F461" s="35">
        <v>27</v>
      </c>
      <c r="G461" s="90"/>
      <c r="H461" s="91">
        <f t="shared" si="7"/>
        <v>0</v>
      </c>
      <c r="I461" s="71"/>
      <c r="J461" s="24"/>
      <c r="K461" s="127"/>
    </row>
    <row r="462" spans="1:11" x14ac:dyDescent="0.25">
      <c r="A462" s="22">
        <v>46044</v>
      </c>
      <c r="B462" s="23">
        <v>172</v>
      </c>
      <c r="C462" s="49" t="str">
        <f>IF(ISBLANK($B462),"",IFERROR(VLOOKUP($B462,ESTOQUE!$B$2:$D$97168,2,FALSE),"Produto não cadastrado"))</f>
        <v>CONSUMO</v>
      </c>
      <c r="D462" s="69" t="str">
        <f>IF(ISBLANK($B462),"",IFERROR(VLOOKUP($B462,ESTOQUE!$B$2:$M$997973,3,FALSE),"Produto não cadastrado"))</f>
        <v>BOTA PVC CANO CURTO Nº 41</v>
      </c>
      <c r="E462" s="89" t="str">
        <f>_xlfn.XLOOKUP(B462,ESTOQUE!B:B,ESTOQUE!G:G)</f>
        <v>PAR</v>
      </c>
      <c r="F462" s="35">
        <v>1</v>
      </c>
      <c r="G462" s="90"/>
      <c r="H462" s="91">
        <f t="shared" si="7"/>
        <v>0</v>
      </c>
      <c r="I462" s="71"/>
      <c r="J462" s="24"/>
      <c r="K462" s="127"/>
    </row>
    <row r="463" spans="1:11" x14ac:dyDescent="0.25">
      <c r="A463" s="22">
        <v>46044</v>
      </c>
      <c r="B463" s="23">
        <v>40</v>
      </c>
      <c r="C463" s="49" t="str">
        <f>IF(ISBLANK($B463),"",IFERROR(VLOOKUP($B463,ESTOQUE!$B$2:$D$97168,2,FALSE),"Produto não cadastrado"))</f>
        <v>CONSUMO</v>
      </c>
      <c r="D463" s="69" t="str">
        <f>IF(ISBLANK($B463),"",IFERROR(VLOOKUP($B463,ESTOQUE!$B$2:$M$997973,3,FALSE),"Produto não cadastrado"))</f>
        <v>BOTINA OP. BICO PVC Nº 42</v>
      </c>
      <c r="E463" s="89" t="str">
        <f>_xlfn.XLOOKUP(B463,ESTOQUE!B:B,ESTOQUE!G:G)</f>
        <v>PAR</v>
      </c>
      <c r="F463" s="35">
        <v>1</v>
      </c>
      <c r="G463" s="90"/>
      <c r="H463" s="91">
        <f t="shared" si="7"/>
        <v>0</v>
      </c>
      <c r="I463" s="71"/>
      <c r="J463" s="24"/>
      <c r="K463" s="127"/>
    </row>
    <row r="464" spans="1:11" x14ac:dyDescent="0.25">
      <c r="A464" s="22">
        <v>46044</v>
      </c>
      <c r="B464" s="23">
        <v>125</v>
      </c>
      <c r="C464" s="49" t="str">
        <f>IF(ISBLANK($B464),"",IFERROR(VLOOKUP($B464,ESTOQUE!$B$2:$D$97168,2,FALSE),"Produto não cadastrado"))</f>
        <v>CONSUMO</v>
      </c>
      <c r="D464" s="69" t="str">
        <f>IF(ISBLANK($B464),"",IFERROR(VLOOKUP($B464,ESTOQUE!$B$2:$M$997973,3,FALSE),"Produto não cadastrado"))</f>
        <v xml:space="preserve">MASCARA DE SOLDA AUTOMATICA </v>
      </c>
      <c r="E464" s="89" t="str">
        <f>_xlfn.XLOOKUP(B464,ESTOQUE!B:B,ESTOQUE!G:G)</f>
        <v>UND</v>
      </c>
      <c r="F464" s="35">
        <v>5</v>
      </c>
      <c r="G464" s="90"/>
      <c r="H464" s="91">
        <f t="shared" si="7"/>
        <v>0</v>
      </c>
      <c r="I464" s="71"/>
      <c r="J464" s="24"/>
      <c r="K464" s="127"/>
    </row>
    <row r="465" spans="1:11" x14ac:dyDescent="0.25">
      <c r="A465" s="22">
        <v>46044</v>
      </c>
      <c r="B465" s="23">
        <v>126</v>
      </c>
      <c r="C465" s="49" t="str">
        <f>IF(ISBLANK($B465),"",IFERROR(VLOOKUP($B465,ESTOQUE!$B$2:$D$97168,2,FALSE),"Produto não cadastrado"))</f>
        <v>CONSUMO</v>
      </c>
      <c r="D465" s="69" t="str">
        <f>IF(ISBLANK($B465),"",IFERROR(VLOOKUP($B465,ESTOQUE!$B$2:$M$997973,3,FALSE),"Produto não cadastrado"))</f>
        <v>OCULOS DE PROTEÇÃO ESCURO</v>
      </c>
      <c r="E465" s="89" t="str">
        <f>_xlfn.XLOOKUP(B465,ESTOQUE!B:B,ESTOQUE!G:G)</f>
        <v>UND</v>
      </c>
      <c r="F465" s="35">
        <v>446</v>
      </c>
      <c r="G465" s="90"/>
      <c r="H465" s="91">
        <f t="shared" si="7"/>
        <v>0</v>
      </c>
      <c r="I465" s="71"/>
      <c r="J465" s="24"/>
      <c r="K465" s="127"/>
    </row>
    <row r="466" spans="1:11" x14ac:dyDescent="0.25">
      <c r="A466" s="22">
        <v>46056</v>
      </c>
      <c r="B466" s="23">
        <v>192</v>
      </c>
      <c r="C466" s="49" t="str">
        <f>IF(ISBLANK($B466),"",IFERROR(VLOOKUP($B466,ESTOQUE!$B$2:$D$97168,2,FALSE),"Produto não cadastrado"))</f>
        <v>CONSUMO</v>
      </c>
      <c r="D466" s="69" t="str">
        <f>IF(ISBLANK($B466),"",IFERROR(VLOOKUP($B466,ESTOQUE!$B$2:$M$997973,3,FALSE),"Produto não cadastrado"))</f>
        <v>LUVA QUIMICA ( 2 OU 3)</v>
      </c>
      <c r="E466" s="89" t="str">
        <f>_xlfn.XLOOKUP(B466,ESTOQUE!B:B,ESTOQUE!G:G)</f>
        <v>UND</v>
      </c>
      <c r="F466" s="35">
        <v>4</v>
      </c>
      <c r="G466" s="90"/>
      <c r="H466" s="91">
        <f t="shared" si="7"/>
        <v>0</v>
      </c>
      <c r="I466" s="71"/>
      <c r="J466" s="24"/>
      <c r="K466" s="127"/>
    </row>
    <row r="467" spans="1:11" x14ac:dyDescent="0.25">
      <c r="A467" s="22">
        <v>46051</v>
      </c>
      <c r="B467" s="23">
        <v>168</v>
      </c>
      <c r="C467" s="49" t="str">
        <f>IF(ISBLANK($B467),"",IFERROR(VLOOKUP($B467,ESTOQUE!$B$2:$D$97168,2,FALSE),"Produto não cadastrado"))</f>
        <v>CONSUMO</v>
      </c>
      <c r="D467" s="69" t="str">
        <f>IF(ISBLANK($B467),"",IFERROR(VLOOKUP($B467,ESTOQUE!$B$2:$M$997973,3,FALSE),"Produto não cadastrado"))</f>
        <v>BOTA PVC CANO MEDIO Nº 36</v>
      </c>
      <c r="E467" s="89" t="str">
        <f>_xlfn.XLOOKUP(B467,ESTOQUE!B:B,ESTOQUE!G:G)</f>
        <v>PAR</v>
      </c>
      <c r="F467" s="35">
        <v>6</v>
      </c>
      <c r="G467" s="90"/>
      <c r="H467" s="91">
        <f t="shared" si="7"/>
        <v>0</v>
      </c>
      <c r="I467" s="71"/>
      <c r="J467" s="24"/>
      <c r="K467" s="127"/>
    </row>
    <row r="468" spans="1:11" x14ac:dyDescent="0.25">
      <c r="A468" s="22">
        <v>46051</v>
      </c>
      <c r="B468" s="23">
        <v>10</v>
      </c>
      <c r="C468" s="49" t="str">
        <f>IF(ISBLANK($B468),"",IFERROR(VLOOKUP($B468,ESTOQUE!$B$2:$D$97168,2,FALSE),"Produto não cadastrado"))</f>
        <v>CONSUMO</v>
      </c>
      <c r="D468" s="69" t="str">
        <f>IF(ISBLANK($B468),"",IFERROR(VLOOKUP($B468,ESTOQUE!$B$2:$M$997973,3,FALSE),"Produto não cadastrado"))</f>
        <v>BOTA PVC CANO LONGO Nº 42</v>
      </c>
      <c r="E468" s="89" t="str">
        <f>_xlfn.XLOOKUP(B468,ESTOQUE!B:B,ESTOQUE!G:G)</f>
        <v>PAR</v>
      </c>
      <c r="F468" s="35">
        <v>6</v>
      </c>
      <c r="G468" s="90"/>
      <c r="H468" s="91">
        <f t="shared" si="7"/>
        <v>0</v>
      </c>
      <c r="I468" s="71"/>
      <c r="J468" s="24"/>
      <c r="K468" s="127"/>
    </row>
    <row r="469" spans="1:11" x14ac:dyDescent="0.25">
      <c r="A469" s="22">
        <v>46051</v>
      </c>
      <c r="B469" s="23">
        <v>11</v>
      </c>
      <c r="C469" s="49" t="str">
        <f>IF(ISBLANK($B469),"",IFERROR(VLOOKUP($B469,ESTOQUE!$B$2:$D$97168,2,FALSE),"Produto não cadastrado"))</f>
        <v>CONSUMO</v>
      </c>
      <c r="D469" s="69" t="str">
        <f>IF(ISBLANK($B469),"",IFERROR(VLOOKUP($B469,ESTOQUE!$B$2:$M$997973,3,FALSE),"Produto não cadastrado"))</f>
        <v>BOTA PVC CANO LONGO Nº 43</v>
      </c>
      <c r="E469" s="89" t="str">
        <f>_xlfn.XLOOKUP(B469,ESTOQUE!B:B,ESTOQUE!G:G)</f>
        <v>PAR</v>
      </c>
      <c r="F469" s="35">
        <v>6</v>
      </c>
      <c r="G469" s="90"/>
      <c r="H469" s="91">
        <f t="shared" si="7"/>
        <v>0</v>
      </c>
      <c r="I469" s="71"/>
      <c r="J469" s="24"/>
      <c r="K469" s="127"/>
    </row>
    <row r="470" spans="1:11" x14ac:dyDescent="0.25">
      <c r="A470" s="22">
        <v>46051</v>
      </c>
      <c r="B470" s="23">
        <v>171</v>
      </c>
      <c r="C470" s="49" t="str">
        <f>IF(ISBLANK($B470),"",IFERROR(VLOOKUP($B470,ESTOQUE!$B$2:$D$97168,2,FALSE),"Produto não cadastrado"))</f>
        <v>CONSUMO</v>
      </c>
      <c r="D470" s="69" t="str">
        <f>IF(ISBLANK($B470),"",IFERROR(VLOOKUP($B470,ESTOQUE!$B$2:$M$997973,3,FALSE),"Produto não cadastrado"))</f>
        <v>BOTA PVC CANO CURTO Nº 40</v>
      </c>
      <c r="E470" s="89" t="str">
        <f>_xlfn.XLOOKUP(B470,ESTOQUE!B:B,ESTOQUE!G:G)</f>
        <v>PAR</v>
      </c>
      <c r="F470" s="35">
        <v>6</v>
      </c>
      <c r="G470" s="90"/>
      <c r="H470" s="91">
        <f t="shared" si="7"/>
        <v>0</v>
      </c>
      <c r="I470" s="71"/>
      <c r="J470" s="24"/>
      <c r="K470" s="127"/>
    </row>
    <row r="471" spans="1:11" x14ac:dyDescent="0.25">
      <c r="A471" s="22">
        <v>46051</v>
      </c>
      <c r="B471" s="23">
        <v>172</v>
      </c>
      <c r="C471" s="49" t="str">
        <f>IF(ISBLANK($B471),"",IFERROR(VLOOKUP($B471,ESTOQUE!$B$2:$D$97168,2,FALSE),"Produto não cadastrado"))</f>
        <v>CONSUMO</v>
      </c>
      <c r="D471" s="69" t="str">
        <f>IF(ISBLANK($B471),"",IFERROR(VLOOKUP($B471,ESTOQUE!$B$2:$M$997973,3,FALSE),"Produto não cadastrado"))</f>
        <v>BOTA PVC CANO CURTO Nº 41</v>
      </c>
      <c r="E471" s="89" t="str">
        <f>_xlfn.XLOOKUP(B471,ESTOQUE!B:B,ESTOQUE!G:G)</f>
        <v>PAR</v>
      </c>
      <c r="F471" s="35">
        <v>6</v>
      </c>
      <c r="G471" s="90"/>
      <c r="H471" s="91">
        <f t="shared" si="7"/>
        <v>0</v>
      </c>
      <c r="I471" s="71"/>
      <c r="J471" s="24"/>
      <c r="K471" s="127"/>
    </row>
    <row r="472" spans="1:11" x14ac:dyDescent="0.25">
      <c r="A472" s="22">
        <v>46051</v>
      </c>
      <c r="B472" s="23">
        <v>114</v>
      </c>
      <c r="C472" s="49" t="str">
        <f>IF(ISBLANK($B472),"",IFERROR(VLOOKUP($B472,ESTOQUE!$B$2:$D$97168,2,FALSE),"Produto não cadastrado"))</f>
        <v>CONSUMO</v>
      </c>
      <c r="D472" s="69" t="str">
        <f>IF(ISBLANK($B472),"",IFERROR(VLOOKUP($B472,ESTOQUE!$B$2:$M$997973,3,FALSE),"Produto não cadastrado"))</f>
        <v xml:space="preserve">LUVA LATEX NITRILICA </v>
      </c>
      <c r="E472" s="89" t="str">
        <f>_xlfn.XLOOKUP(B472,ESTOQUE!B:B,ESTOQUE!G:G)</f>
        <v>PAR</v>
      </c>
      <c r="F472" s="35">
        <v>144</v>
      </c>
      <c r="G472" s="90"/>
      <c r="H472" s="91">
        <f t="shared" si="7"/>
        <v>0</v>
      </c>
      <c r="I472" s="71"/>
      <c r="J472" s="24"/>
      <c r="K472" s="127"/>
    </row>
    <row r="473" spans="1:11" x14ac:dyDescent="0.25">
      <c r="A473" s="22">
        <v>46057</v>
      </c>
      <c r="B473" s="23">
        <v>264</v>
      </c>
      <c r="C473" s="49" t="str">
        <f>IF(ISBLANK($B473),"",IFERROR(VLOOKUP($B473,ESTOQUE!$B$2:$D$97168,2,FALSE),"Produto não cadastrado"))</f>
        <v>CONSUMO</v>
      </c>
      <c r="D473" s="69" t="str">
        <f>IF(ISBLANK($B473),"",IFERROR(VLOOKUP($B473,ESTOQUE!$B$2:$M$997973,3,FALSE),"Produto não cadastrado"))</f>
        <v xml:space="preserve">CINTO DE SEGURANÇA ARAMIDA </v>
      </c>
      <c r="E473" s="89" t="str">
        <f>_xlfn.XLOOKUP(B473,ESTOQUE!B:B,ESTOQUE!G:G)</f>
        <v>UND</v>
      </c>
      <c r="F473" s="35">
        <v>5</v>
      </c>
      <c r="G473" s="90"/>
      <c r="H473" s="91">
        <f t="shared" si="7"/>
        <v>0</v>
      </c>
      <c r="I473" s="71"/>
      <c r="J473" s="24"/>
      <c r="K473" s="127"/>
    </row>
    <row r="474" spans="1:11" x14ac:dyDescent="0.25">
      <c r="A474" s="22">
        <v>46057</v>
      </c>
      <c r="B474" s="23">
        <v>265</v>
      </c>
      <c r="C474" s="49" t="str">
        <f>IF(ISBLANK($B474),"",IFERROR(VLOOKUP($B474,ESTOQUE!$B$2:$D$97168,2,FALSE),"Produto não cadastrado"))</f>
        <v>CONSUMO</v>
      </c>
      <c r="D474" s="69" t="str">
        <f>IF(ISBLANK($B474),"",IFERROR(VLOOKUP($B474,ESTOQUE!$B$2:$M$997973,3,FALSE),"Produto não cadastrado"))</f>
        <v xml:space="preserve">TALABARTE  DUPLO ARAMIDA </v>
      </c>
      <c r="E474" s="89" t="str">
        <f>_xlfn.XLOOKUP(B474,ESTOQUE!B:B,ESTOQUE!G:G)</f>
        <v>UND</v>
      </c>
      <c r="F474" s="88">
        <v>5</v>
      </c>
      <c r="G474" s="90"/>
      <c r="H474" s="91">
        <f t="shared" si="7"/>
        <v>0</v>
      </c>
      <c r="I474" s="71"/>
      <c r="J474" s="24"/>
      <c r="K474" s="127"/>
    </row>
    <row r="475" spans="1:11" x14ac:dyDescent="0.25">
      <c r="A475" s="22">
        <v>46064</v>
      </c>
      <c r="B475" s="23">
        <v>217</v>
      </c>
      <c r="C475" s="49" t="str">
        <f>IF(ISBLANK($B475),"",IFERROR(VLOOKUP($B475,ESTOQUE!$B$2:$D$97168,2,FALSE),"Produto não cadastrado"))</f>
        <v>CONSUMO</v>
      </c>
      <c r="D475" s="69" t="str">
        <f>IF(ISBLANK($B475),"",IFERROR(VLOOKUP($B475,ESTOQUE!$B$2:$M$997973,3,FALSE),"Produto não cadastrado"))</f>
        <v>BOTINA SEGURANÇA METATARSO  40</v>
      </c>
      <c r="E475" s="89" t="str">
        <f>_xlfn.XLOOKUP(B475,ESTOQUE!B:B,ESTOQUE!G:G)</f>
        <v>PAR</v>
      </c>
      <c r="F475" s="88">
        <v>10</v>
      </c>
      <c r="G475" s="90"/>
      <c r="H475" s="91">
        <f t="shared" si="7"/>
        <v>0</v>
      </c>
      <c r="I475" s="71"/>
      <c r="J475" s="24"/>
      <c r="K475" s="127"/>
    </row>
    <row r="476" spans="1:11" x14ac:dyDescent="0.25">
      <c r="A476" s="22">
        <v>46064</v>
      </c>
      <c r="B476" s="23">
        <v>218</v>
      </c>
      <c r="C476" s="49" t="str">
        <f>IF(ISBLANK($B476),"",IFERROR(VLOOKUP($B476,ESTOQUE!$B$2:$D$97168,2,FALSE),"Produto não cadastrado"))</f>
        <v>CONSUMO</v>
      </c>
      <c r="D476" s="69" t="str">
        <f>IF(ISBLANK($B476),"",IFERROR(VLOOKUP($B476,ESTOQUE!$B$2:$M$997973,3,FALSE),"Produto não cadastrado"))</f>
        <v>BOTINA SEGURANÇA METATARSO  41</v>
      </c>
      <c r="E476" s="89" t="str">
        <f>_xlfn.XLOOKUP(B476,ESTOQUE!B:B,ESTOQUE!G:G)</f>
        <v>PAR</v>
      </c>
      <c r="F476" s="88">
        <v>10</v>
      </c>
      <c r="G476" s="90"/>
      <c r="H476" s="91">
        <f t="shared" si="7"/>
        <v>0</v>
      </c>
      <c r="I476" s="71"/>
      <c r="J476" s="24"/>
      <c r="K476" s="127"/>
    </row>
    <row r="477" spans="1:11" x14ac:dyDescent="0.25">
      <c r="A477" s="22">
        <v>46064</v>
      </c>
      <c r="B477" s="23">
        <v>219</v>
      </c>
      <c r="C477" s="49" t="str">
        <f>IF(ISBLANK($B477),"",IFERROR(VLOOKUP($B477,ESTOQUE!$B$2:$D$97168,2,FALSE),"Produto não cadastrado"))</f>
        <v>CONSUMO</v>
      </c>
      <c r="D477" s="69" t="str">
        <f>IF(ISBLANK($B477),"",IFERROR(VLOOKUP($B477,ESTOQUE!$B$2:$M$997973,3,FALSE),"Produto não cadastrado"))</f>
        <v>BOTINA SEGURANÇA METATARSO  42</v>
      </c>
      <c r="E477" s="89" t="str">
        <f>_xlfn.XLOOKUP(B477,ESTOQUE!B:B,ESTOQUE!G:G)</f>
        <v>PAR</v>
      </c>
      <c r="F477" s="88">
        <v>10</v>
      </c>
      <c r="G477" s="90"/>
      <c r="H477" s="91">
        <f t="shared" si="7"/>
        <v>0</v>
      </c>
      <c r="I477" s="71"/>
      <c r="J477" s="24"/>
      <c r="K477" s="127"/>
    </row>
    <row r="478" spans="1:11" x14ac:dyDescent="0.25">
      <c r="A478" s="22">
        <v>46064</v>
      </c>
      <c r="B478" s="23">
        <v>207</v>
      </c>
      <c r="C478" s="49" t="str">
        <f>IF(ISBLANK($B478),"",IFERROR(VLOOKUP($B478,ESTOQUE!$B$2:$D$97168,2,FALSE),"Produto não cadastrado"))</f>
        <v>CONSUMO</v>
      </c>
      <c r="D478" s="69" t="str">
        <f>IF(ISBLANK($B478),"",IFERROR(VLOOKUP($B478,ESTOQUE!$B$2:$M$997973,3,FALSE),"Produto não cadastrado"))</f>
        <v>LUVA POLIESTER ANTICORTE BANHADA PU TAM 9</v>
      </c>
      <c r="E478" s="89" t="str">
        <f>_xlfn.XLOOKUP(B478,ESTOQUE!B:B,ESTOQUE!G:G)</f>
        <v>PAR</v>
      </c>
      <c r="F478" s="88">
        <v>121</v>
      </c>
      <c r="G478" s="90"/>
      <c r="H478" s="91">
        <f t="shared" si="7"/>
        <v>0</v>
      </c>
      <c r="I478" s="71"/>
      <c r="J478" s="24"/>
      <c r="K478" s="127"/>
    </row>
    <row r="479" spans="1:11" x14ac:dyDescent="0.25">
      <c r="A479" s="22">
        <v>46064</v>
      </c>
      <c r="B479" s="23">
        <v>118</v>
      </c>
      <c r="C479" s="49" t="str">
        <f>IF(ISBLANK($B479),"",IFERROR(VLOOKUP($B479,ESTOQUE!$B$2:$D$97168,2,FALSE),"Produto não cadastrado"))</f>
        <v>CONSUMO</v>
      </c>
      <c r="D479" s="69" t="str">
        <f>IF(ISBLANK($B479),"",IFERROR(VLOOKUP($B479,ESTOQUE!$B$2:$M$997973,3,FALSE),"Produto não cadastrado"))</f>
        <v>MACACÃO DE PROTEÇÃO TYVEK</v>
      </c>
      <c r="E479" s="89" t="str">
        <f>_xlfn.XLOOKUP(B479,ESTOQUE!B:B,ESTOQUE!G:G)</f>
        <v>UND</v>
      </c>
      <c r="F479" s="88">
        <v>90</v>
      </c>
      <c r="G479" s="90"/>
      <c r="H479" s="91">
        <f t="shared" si="7"/>
        <v>0</v>
      </c>
      <c r="I479" s="71"/>
      <c r="J479" s="24"/>
      <c r="K479" s="127"/>
    </row>
    <row r="480" spans="1:11" x14ac:dyDescent="0.25">
      <c r="A480" s="22">
        <v>46065</v>
      </c>
      <c r="B480" s="23">
        <v>118</v>
      </c>
      <c r="C480" s="49" t="str">
        <f>IF(ISBLANK($B480),"",IFERROR(VLOOKUP($B480,ESTOQUE!$B$2:$D$97168,2,FALSE),"Produto não cadastrado"))</f>
        <v>CONSUMO</v>
      </c>
      <c r="D480" s="69" t="str">
        <f>IF(ISBLANK($B480),"",IFERROR(VLOOKUP($B480,ESTOQUE!$B$2:$M$997973,3,FALSE),"Produto não cadastrado"))</f>
        <v>MACACÃO DE PROTEÇÃO TYVEK</v>
      </c>
      <c r="E480" s="89" t="str">
        <f>_xlfn.XLOOKUP(B480,ESTOQUE!B:B,ESTOQUE!G:G)</f>
        <v>UND</v>
      </c>
      <c r="F480" s="88">
        <v>150</v>
      </c>
      <c r="G480" s="90"/>
      <c r="H480" s="91">
        <f t="shared" si="7"/>
        <v>0</v>
      </c>
      <c r="I480" s="71"/>
      <c r="J480" s="24"/>
      <c r="K480" s="127"/>
    </row>
    <row r="481" spans="1:11" x14ac:dyDescent="0.25">
      <c r="A481" s="22">
        <v>46065</v>
      </c>
      <c r="B481" s="23">
        <v>73</v>
      </c>
      <c r="C481" s="49" t="str">
        <f>IF(ISBLANK($B481),"",IFERROR(VLOOKUP($B481,ESTOQUE!$B$2:$D$97168,2,FALSE),"Produto não cadastrado"))</f>
        <v>CONSUMO</v>
      </c>
      <c r="D481" s="69" t="str">
        <f>IF(ISBLANK($B481),"",IFERROR(VLOOKUP($B481,ESTOQUE!$B$2:$M$997973,3,FALSE),"Produto não cadastrado"))</f>
        <v>CAPA DE CHUVA GG</v>
      </c>
      <c r="E481" s="89" t="str">
        <f>_xlfn.XLOOKUP(B481,ESTOQUE!B:B,ESTOQUE!G:G)</f>
        <v>UND</v>
      </c>
      <c r="F481" s="88">
        <v>150</v>
      </c>
      <c r="G481" s="90"/>
      <c r="H481" s="91">
        <f t="shared" si="7"/>
        <v>0</v>
      </c>
      <c r="I481" s="71"/>
      <c r="J481" s="24"/>
      <c r="K481" s="127"/>
    </row>
    <row r="482" spans="1:11" x14ac:dyDescent="0.25">
      <c r="A482" s="22">
        <v>46067</v>
      </c>
      <c r="B482" s="23">
        <v>40</v>
      </c>
      <c r="C482" s="49" t="str">
        <f>IF(ISBLANK($B482),"",IFERROR(VLOOKUP($B482,ESTOQUE!$B$2:$D$97168,2,FALSE),"Produto não cadastrado"))</f>
        <v>CONSUMO</v>
      </c>
      <c r="D482" s="69" t="str">
        <f>IF(ISBLANK($B482),"",IFERROR(VLOOKUP($B482,ESTOQUE!$B$2:$M$997973,3,FALSE),"Produto não cadastrado"))</f>
        <v>BOTINA OP. BICO PVC Nº 42</v>
      </c>
      <c r="E482" s="89" t="str">
        <f>_xlfn.XLOOKUP(B482,ESTOQUE!B:B,ESTOQUE!G:G)</f>
        <v>PAR</v>
      </c>
      <c r="F482" s="88">
        <v>10</v>
      </c>
      <c r="G482" s="90"/>
      <c r="H482" s="91">
        <f t="shared" si="7"/>
        <v>0</v>
      </c>
      <c r="I482" s="71"/>
      <c r="J482" s="24"/>
      <c r="K482" s="127"/>
    </row>
    <row r="483" spans="1:11" x14ac:dyDescent="0.25">
      <c r="A483" s="22">
        <v>46070</v>
      </c>
      <c r="B483" s="23">
        <v>228</v>
      </c>
      <c r="C483" s="49" t="str">
        <f>IF(ISBLANK($B483),"",IFERROR(VLOOKUP($B483,ESTOQUE!$B$2:$D$97168,2,FALSE),"Produto não cadastrado"))</f>
        <v>CONSUMO</v>
      </c>
      <c r="D483" s="69" t="str">
        <f>IF(ISBLANK($B483),"",IFERROR(VLOOKUP($B483,ESTOQUE!$B$2:$M$997973,3,FALSE),"Produto não cadastrado"))</f>
        <v xml:space="preserve">BALACLAVA  </v>
      </c>
      <c r="E483" s="89" t="str">
        <f>_xlfn.XLOOKUP(B483,ESTOQUE!B:B,ESTOQUE!G:G)</f>
        <v>UND</v>
      </c>
      <c r="F483" s="88">
        <v>48</v>
      </c>
      <c r="G483" s="90"/>
      <c r="H483" s="91">
        <f t="shared" si="7"/>
        <v>0</v>
      </c>
      <c r="I483" s="71"/>
      <c r="J483" s="24"/>
      <c r="K483" s="127"/>
    </row>
    <row r="484" spans="1:11" x14ac:dyDescent="0.25">
      <c r="A484" s="22">
        <v>46072</v>
      </c>
      <c r="B484" s="23">
        <v>118</v>
      </c>
      <c r="C484" s="49" t="str">
        <f>IF(ISBLANK($B484),"",IFERROR(VLOOKUP($B484,ESTOQUE!$B$2:$D$97168,2,FALSE),"Produto não cadastrado"))</f>
        <v>CONSUMO</v>
      </c>
      <c r="D484" s="69" t="str">
        <f>IF(ISBLANK($B484),"",IFERROR(VLOOKUP($B484,ESTOQUE!$B$2:$M$997973,3,FALSE),"Produto não cadastrado"))</f>
        <v>MACACÃO DE PROTEÇÃO TYVEK</v>
      </c>
      <c r="E484" s="89" t="str">
        <f>_xlfn.XLOOKUP(B484,ESTOQUE!B:B,ESTOQUE!G:G)</f>
        <v>UND</v>
      </c>
      <c r="F484" s="88">
        <v>192</v>
      </c>
      <c r="G484" s="90"/>
      <c r="H484" s="91">
        <f t="shared" si="7"/>
        <v>0</v>
      </c>
      <c r="I484" s="71"/>
      <c r="J484" s="24"/>
      <c r="K484" s="127"/>
    </row>
    <row r="485" spans="1:11" x14ac:dyDescent="0.25">
      <c r="A485" s="22">
        <v>46072</v>
      </c>
      <c r="B485" s="23">
        <v>38</v>
      </c>
      <c r="C485" s="49" t="str">
        <f>IF(ISBLANK($B485),"",IFERROR(VLOOKUP($B485,ESTOQUE!$B$2:$D$97168,2,FALSE),"Produto não cadastrado"))</f>
        <v>CONSUMO</v>
      </c>
      <c r="D485" s="69" t="str">
        <f>IF(ISBLANK($B485),"",IFERROR(VLOOKUP($B485,ESTOQUE!$B$2:$M$997973,3,FALSE),"Produto não cadastrado"))</f>
        <v>BOTINA OP. BICO PVC Nº 40</v>
      </c>
      <c r="E485" s="89" t="str">
        <f>_xlfn.XLOOKUP(B485,ESTOQUE!B:B,ESTOQUE!G:G)</f>
        <v>PAR</v>
      </c>
      <c r="F485" s="88">
        <v>10</v>
      </c>
      <c r="G485" s="90"/>
      <c r="H485" s="91">
        <f t="shared" si="7"/>
        <v>0</v>
      </c>
      <c r="I485" s="71"/>
      <c r="J485" s="24"/>
      <c r="K485" s="127"/>
    </row>
    <row r="486" spans="1:11" x14ac:dyDescent="0.25">
      <c r="A486" s="22">
        <v>46072</v>
      </c>
      <c r="B486" s="23">
        <v>39</v>
      </c>
      <c r="C486" s="49" t="str">
        <f>IF(ISBLANK($B486),"",IFERROR(VLOOKUP($B486,ESTOQUE!$B$2:$D$97168,2,FALSE),"Produto não cadastrado"))</f>
        <v>CONSUMO</v>
      </c>
      <c r="D486" s="69" t="str">
        <f>IF(ISBLANK($B486),"",IFERROR(VLOOKUP($B486,ESTOQUE!$B$2:$M$997973,3,FALSE),"Produto não cadastrado"))</f>
        <v>BOTINA OP. BICO PVC Nº 41</v>
      </c>
      <c r="E486" s="89" t="str">
        <f>_xlfn.XLOOKUP(B486,ESTOQUE!B:B,ESTOQUE!G:G)</f>
        <v>PAR</v>
      </c>
      <c r="F486" s="88">
        <v>10</v>
      </c>
      <c r="G486" s="90"/>
      <c r="H486" s="91">
        <f t="shared" si="7"/>
        <v>0</v>
      </c>
      <c r="I486" s="71"/>
      <c r="J486" s="24"/>
      <c r="K486" s="127"/>
    </row>
    <row r="487" spans="1:11" x14ac:dyDescent="0.25">
      <c r="A487" s="22">
        <v>46072</v>
      </c>
      <c r="B487" s="23">
        <v>40</v>
      </c>
      <c r="C487" s="49" t="str">
        <f>IF(ISBLANK($B487),"",IFERROR(VLOOKUP($B487,ESTOQUE!$B$2:$D$97168,2,FALSE),"Produto não cadastrado"))</f>
        <v>CONSUMO</v>
      </c>
      <c r="D487" s="69" t="str">
        <f>IF(ISBLANK($B487),"",IFERROR(VLOOKUP($B487,ESTOQUE!$B$2:$M$997973,3,FALSE),"Produto não cadastrado"))</f>
        <v>BOTINA OP. BICO PVC Nº 42</v>
      </c>
      <c r="E487" s="89" t="str">
        <f>_xlfn.XLOOKUP(B487,ESTOQUE!B:B,ESTOQUE!G:G)</f>
        <v>PAR</v>
      </c>
      <c r="F487" s="88">
        <v>10</v>
      </c>
      <c r="G487" s="90"/>
      <c r="H487" s="91">
        <f t="shared" si="7"/>
        <v>0</v>
      </c>
      <c r="I487" s="71"/>
      <c r="J487" s="24"/>
      <c r="K487" s="127"/>
    </row>
    <row r="488" spans="1:11" x14ac:dyDescent="0.25">
      <c r="A488" s="22">
        <v>46072</v>
      </c>
      <c r="B488" s="23">
        <v>41</v>
      </c>
      <c r="C488" s="49" t="str">
        <f>IF(ISBLANK($B488),"",IFERROR(VLOOKUP($B488,ESTOQUE!$B$2:$D$97168,2,FALSE),"Produto não cadastrado"))</f>
        <v>CONSUMO</v>
      </c>
      <c r="D488" s="69" t="str">
        <f>IF(ISBLANK($B488),"",IFERROR(VLOOKUP($B488,ESTOQUE!$B$2:$M$997973,3,FALSE),"Produto não cadastrado"))</f>
        <v>BOTINA OP. BICO PVC Nº 43</v>
      </c>
      <c r="E488" s="89" t="str">
        <f>_xlfn.XLOOKUP(B488,ESTOQUE!B:B,ESTOQUE!G:G)</f>
        <v>PAR</v>
      </c>
      <c r="F488" s="88">
        <v>10</v>
      </c>
      <c r="G488" s="90"/>
      <c r="H488" s="91">
        <f t="shared" si="7"/>
        <v>0</v>
      </c>
      <c r="I488" s="71"/>
      <c r="J488" s="24"/>
      <c r="K488" s="127"/>
    </row>
    <row r="489" spans="1:11" x14ac:dyDescent="0.25">
      <c r="A489" s="22">
        <v>46072</v>
      </c>
      <c r="B489" s="23">
        <v>10</v>
      </c>
      <c r="C489" s="49" t="str">
        <f>IF(ISBLANK($B489),"",IFERROR(VLOOKUP($B489,ESTOQUE!$B$2:$D$97168,2,FALSE),"Produto não cadastrado"))</f>
        <v>CONSUMO</v>
      </c>
      <c r="D489" s="69" t="str">
        <f>IF(ISBLANK($B489),"",IFERROR(VLOOKUP($B489,ESTOQUE!$B$2:$M$997973,3,FALSE),"Produto não cadastrado"))</f>
        <v>BOTA PVC CANO LONGO Nº 42</v>
      </c>
      <c r="E489" s="89" t="str">
        <f>_xlfn.XLOOKUP(B489,ESTOQUE!B:B,ESTOQUE!G:G)</f>
        <v>PAR</v>
      </c>
      <c r="F489" s="88">
        <v>16</v>
      </c>
      <c r="G489" s="90"/>
      <c r="H489" s="91">
        <f t="shared" si="7"/>
        <v>0</v>
      </c>
      <c r="I489" s="71"/>
      <c r="J489" s="24"/>
      <c r="K489" s="127"/>
    </row>
    <row r="490" spans="1:11" x14ac:dyDescent="0.25">
      <c r="A490" s="22">
        <v>46079</v>
      </c>
      <c r="B490" s="23">
        <v>125</v>
      </c>
      <c r="C490" s="49" t="str">
        <f>IF(ISBLANK($B490),"",IFERROR(VLOOKUP($B490,ESTOQUE!$B$2:$D$97168,2,FALSE),"Produto não cadastrado"))</f>
        <v>CONSUMO</v>
      </c>
      <c r="D490" s="69" t="str">
        <f>IF(ISBLANK($B490),"",IFERROR(VLOOKUP($B490,ESTOQUE!$B$2:$M$997973,3,FALSE),"Produto não cadastrado"))</f>
        <v xml:space="preserve">MASCARA DE SOLDA AUTOMATICA </v>
      </c>
      <c r="E490" s="89" t="str">
        <f>_xlfn.XLOOKUP(B490,ESTOQUE!B:B,ESTOQUE!G:G)</f>
        <v>UND</v>
      </c>
      <c r="F490" s="88">
        <v>1</v>
      </c>
      <c r="G490" s="90"/>
      <c r="H490" s="91">
        <f t="shared" si="7"/>
        <v>0</v>
      </c>
      <c r="I490" s="71"/>
      <c r="J490" s="24"/>
      <c r="K490" s="127"/>
    </row>
    <row r="491" spans="1:11" x14ac:dyDescent="0.25">
      <c r="A491" s="22">
        <v>46079</v>
      </c>
      <c r="B491" s="23">
        <v>207</v>
      </c>
      <c r="C491" s="49" t="str">
        <f>IF(ISBLANK($B491),"",IFERROR(VLOOKUP($B491,ESTOQUE!$B$2:$D$97168,2,FALSE),"Produto não cadastrado"))</f>
        <v>CONSUMO</v>
      </c>
      <c r="D491" s="69" t="str">
        <f>IF(ISBLANK($B491),"",IFERROR(VLOOKUP($B491,ESTOQUE!$B$2:$M$997973,3,FALSE),"Produto não cadastrado"))</f>
        <v>LUVA POLIESTER ANTICORTE BANHADA PU TAM 9</v>
      </c>
      <c r="E491" s="89" t="str">
        <f>_xlfn.XLOOKUP(B491,ESTOQUE!B:B,ESTOQUE!G:G)</f>
        <v>PAR</v>
      </c>
      <c r="F491" s="88">
        <v>144</v>
      </c>
      <c r="G491" s="90"/>
      <c r="H491" s="91">
        <f t="shared" si="7"/>
        <v>0</v>
      </c>
      <c r="I491" s="71"/>
      <c r="J491" s="24"/>
      <c r="K491" s="127"/>
    </row>
    <row r="492" spans="1:11" x14ac:dyDescent="0.25">
      <c r="A492" s="22">
        <v>46079</v>
      </c>
      <c r="B492" s="23">
        <v>126</v>
      </c>
      <c r="C492" s="49" t="str">
        <f>IF(ISBLANK($B492),"",IFERROR(VLOOKUP($B492,ESTOQUE!$B$2:$D$97168,2,FALSE),"Produto não cadastrado"))</f>
        <v>CONSUMO</v>
      </c>
      <c r="D492" s="69" t="str">
        <f>IF(ISBLANK($B492),"",IFERROR(VLOOKUP($B492,ESTOQUE!$B$2:$M$997973,3,FALSE),"Produto não cadastrado"))</f>
        <v>OCULOS DE PROTEÇÃO ESCURO</v>
      </c>
      <c r="E492" s="89" t="str">
        <f>_xlfn.XLOOKUP(B492,ESTOQUE!B:B,ESTOQUE!G:G)</f>
        <v>UND</v>
      </c>
      <c r="F492" s="88">
        <v>240</v>
      </c>
      <c r="G492" s="90"/>
      <c r="H492" s="91">
        <f t="shared" si="7"/>
        <v>0</v>
      </c>
      <c r="I492" s="71"/>
      <c r="J492" s="24"/>
      <c r="K492" s="127"/>
    </row>
    <row r="493" spans="1:11" x14ac:dyDescent="0.25">
      <c r="A493" s="22">
        <v>46079</v>
      </c>
      <c r="B493" s="23">
        <v>129</v>
      </c>
      <c r="C493" s="49" t="s">
        <v>19</v>
      </c>
      <c r="D493" s="69" t="str">
        <f>IF(ISBLANK($B493),"",IFERROR(VLOOKUP($B493,ESTOQUE!$B$2:$M$997973,3,FALSE),"Produto não cadastrado"))</f>
        <v>PERNEIRA DE RASPA</v>
      </c>
      <c r="E493" s="89" t="str">
        <f>_xlfn.XLOOKUP(B493,ESTOQUE!B:B,ESTOQUE!G:G)</f>
        <v>PAR</v>
      </c>
      <c r="F493" s="88">
        <v>12</v>
      </c>
      <c r="G493" s="90"/>
      <c r="H493" s="91">
        <f t="shared" si="7"/>
        <v>0</v>
      </c>
      <c r="I493" s="71"/>
      <c r="J493" s="24"/>
      <c r="K493" s="127"/>
    </row>
    <row r="494" spans="1:11" x14ac:dyDescent="0.25">
      <c r="A494" s="22">
        <v>46079</v>
      </c>
      <c r="B494" s="23">
        <v>135</v>
      </c>
      <c r="C494" s="49" t="s">
        <v>19</v>
      </c>
      <c r="D494" s="69" t="str">
        <f>IF(ISBLANK($B494),"",IFERROR(VLOOKUP($B494,ESTOQUE!$B$2:$M$997973,3,FALSE),"Produto não cadastrado"))</f>
        <v>TALABARTE DUPLO TIPO Y</v>
      </c>
      <c r="E494" s="89" t="str">
        <f>_xlfn.XLOOKUP(B494,ESTOQUE!B:B,ESTOQUE!G:G)</f>
        <v>UND</v>
      </c>
      <c r="F494" s="88">
        <v>20</v>
      </c>
      <c r="G494" s="92"/>
      <c r="H494" s="91">
        <f t="shared" si="7"/>
        <v>0</v>
      </c>
      <c r="I494" s="71"/>
      <c r="J494" s="24"/>
      <c r="K494" s="127"/>
    </row>
    <row r="495" spans="1:11" x14ac:dyDescent="0.25">
      <c r="A495" s="22">
        <v>46079</v>
      </c>
      <c r="B495" s="23">
        <v>114</v>
      </c>
      <c r="C495" s="49" t="s">
        <v>19</v>
      </c>
      <c r="D495" s="69" t="str">
        <f>IF(ISBLANK($B495),"",IFERROR(VLOOKUP($B495,ESTOQUE!$B$2:$M$997973,3,FALSE),"Produto não cadastrado"))</f>
        <v xml:space="preserve">LUVA LATEX NITRILICA </v>
      </c>
      <c r="E495" s="89" t="str">
        <f>_xlfn.XLOOKUP(B495,ESTOQUE!B:B,ESTOQUE!G:G)</f>
        <v>PAR</v>
      </c>
      <c r="F495" s="88">
        <v>144</v>
      </c>
      <c r="G495" s="92"/>
      <c r="H495" s="91">
        <f t="shared" si="7"/>
        <v>0</v>
      </c>
      <c r="I495" s="71"/>
      <c r="J495" s="24"/>
      <c r="K495" s="127"/>
    </row>
    <row r="496" spans="1:11" x14ac:dyDescent="0.25">
      <c r="A496" s="22">
        <v>46079</v>
      </c>
      <c r="B496" s="23">
        <v>122</v>
      </c>
      <c r="C496" s="49" t="s">
        <v>19</v>
      </c>
      <c r="D496" s="69" t="str">
        <f>IF(ISBLANK($B496),"",IFERROR(VLOOKUP($B496,ESTOQUE!$B$2:$M$997973,3,FALSE),"Produto não cadastrado"))</f>
        <v xml:space="preserve">SUPORTE PROTETOR FACIAL </v>
      </c>
      <c r="E496" s="89" t="str">
        <f>_xlfn.XLOOKUP(B496,ESTOQUE!B:B,ESTOQUE!G:G)</f>
        <v>UND</v>
      </c>
      <c r="F496" s="88">
        <v>22</v>
      </c>
      <c r="G496" s="90"/>
      <c r="H496" s="91">
        <f t="shared" si="7"/>
        <v>0</v>
      </c>
      <c r="I496" s="71"/>
      <c r="J496" s="24"/>
      <c r="K496" s="127"/>
    </row>
    <row r="497" spans="1:11" x14ac:dyDescent="0.25">
      <c r="A497" s="22">
        <v>46079</v>
      </c>
      <c r="B497" s="23">
        <v>194</v>
      </c>
      <c r="C497" s="49" t="s">
        <v>19</v>
      </c>
      <c r="D497" s="69" t="str">
        <f>IF(ISBLANK($B497),"",IFERROR(VLOOKUP($B497,ESTOQUE!$B$2:$M$997973,3,FALSE),"Produto não cadastrado"))</f>
        <v>VISEIRA ACOPLADA</v>
      </c>
      <c r="E497" s="89" t="str">
        <f>_xlfn.XLOOKUP(B497,ESTOQUE!B:B,ESTOQUE!G:G)</f>
        <v>UND</v>
      </c>
      <c r="F497" s="88">
        <v>25</v>
      </c>
      <c r="G497" s="90"/>
      <c r="H497" s="91">
        <f t="shared" si="7"/>
        <v>0</v>
      </c>
      <c r="I497" s="71"/>
      <c r="J497" s="24"/>
      <c r="K497" s="127"/>
    </row>
    <row r="498" spans="1:11" x14ac:dyDescent="0.25">
      <c r="A498" s="22">
        <v>46081</v>
      </c>
      <c r="B498" s="23">
        <v>125</v>
      </c>
      <c r="C498" s="49" t="s">
        <v>19</v>
      </c>
      <c r="D498" s="69" t="str">
        <f>IF(ISBLANK($B498),"",IFERROR(VLOOKUP($B498,ESTOQUE!$B$2:$M$997973,3,FALSE),"Produto não cadastrado"))</f>
        <v xml:space="preserve">MASCARA DE SOLDA AUTOMATICA </v>
      </c>
      <c r="E498" s="89" t="str">
        <f>_xlfn.XLOOKUP(B498,ESTOQUE!B:B,ESTOQUE!G:G)</f>
        <v>UND</v>
      </c>
      <c r="F498" s="88">
        <v>5</v>
      </c>
      <c r="G498" s="90"/>
      <c r="H498" s="91">
        <f t="shared" si="7"/>
        <v>0</v>
      </c>
      <c r="I498" s="71"/>
      <c r="J498" s="24"/>
      <c r="K498" s="127"/>
    </row>
    <row r="499" spans="1:11" x14ac:dyDescent="0.25">
      <c r="A499" s="22">
        <v>46084</v>
      </c>
      <c r="B499" s="23">
        <v>129</v>
      </c>
      <c r="C499" s="49" t="s">
        <v>19</v>
      </c>
      <c r="D499" s="69" t="str">
        <f>IF(ISBLANK($B499),"",IFERROR(VLOOKUP($B499,ESTOQUE!$B$2:$M$997973,3,FALSE),"Produto não cadastrado"))</f>
        <v>PERNEIRA DE RASPA</v>
      </c>
      <c r="E499" s="89" t="str">
        <f>_xlfn.XLOOKUP(B499,ESTOQUE!B:B,ESTOQUE!G:G)</f>
        <v>PAR</v>
      </c>
      <c r="F499" s="88">
        <v>100</v>
      </c>
      <c r="G499" s="92"/>
      <c r="H499" s="91">
        <f t="shared" si="7"/>
        <v>0</v>
      </c>
      <c r="I499" s="71"/>
      <c r="J499" s="24"/>
      <c r="K499" s="127"/>
    </row>
    <row r="500" spans="1:11" x14ac:dyDescent="0.25">
      <c r="A500" s="22">
        <v>46084</v>
      </c>
      <c r="B500" s="23">
        <v>130</v>
      </c>
      <c r="C500" s="49" t="s">
        <v>19</v>
      </c>
      <c r="D500" s="69" t="str">
        <f>IF(ISBLANK($B500),"",IFERROR(VLOOKUP($B500,ESTOQUE!$B$2:$M$997973,3,FALSE),"Produto não cadastrado"))</f>
        <v>PROTETOR AUDITIVO TIPO CONCHA L-300</v>
      </c>
      <c r="E500" s="89" t="str">
        <f>_xlfn.XLOOKUP(B500,ESTOQUE!B:B,ESTOQUE!G:G)</f>
        <v>UND</v>
      </c>
      <c r="F500" s="88">
        <v>80</v>
      </c>
      <c r="G500" s="90"/>
      <c r="H500" s="91">
        <f t="shared" si="7"/>
        <v>0</v>
      </c>
      <c r="I500" s="71"/>
      <c r="J500" s="24"/>
      <c r="K500" s="127"/>
    </row>
    <row r="501" spans="1:11" x14ac:dyDescent="0.25">
      <c r="A501" s="22">
        <v>46086</v>
      </c>
      <c r="B501" s="23">
        <v>117</v>
      </c>
      <c r="C501" s="49" t="s">
        <v>19</v>
      </c>
      <c r="D501" s="69" t="str">
        <f>IF(ISBLANK($B501),"",IFERROR(VLOOKUP($B501,ESTOQUE!$B$2:$M$997973,3,FALSE),"Produto não cadastrado"))</f>
        <v>LUVA PIGMENTADA</v>
      </c>
      <c r="E501" s="89" t="str">
        <f>_xlfn.XLOOKUP(B501,ESTOQUE!B:B,ESTOQUE!G:G)</f>
        <v>PAR</v>
      </c>
      <c r="F501" s="88">
        <v>720</v>
      </c>
      <c r="G501" s="90"/>
      <c r="H501" s="91">
        <f t="shared" ref="H501:H564" si="8">F501*G501</f>
        <v>0</v>
      </c>
      <c r="I501" s="71"/>
      <c r="J501" s="24"/>
      <c r="K501" s="127"/>
    </row>
    <row r="502" spans="1:11" x14ac:dyDescent="0.25">
      <c r="A502" s="22">
        <v>46087</v>
      </c>
      <c r="B502" s="23">
        <v>114</v>
      </c>
      <c r="C502" s="49" t="s">
        <v>19</v>
      </c>
      <c r="D502" s="69" t="str">
        <f>IF(ISBLANK($B502),"",IFERROR(VLOOKUP($B502,ESTOQUE!$B$2:$M$997973,3,FALSE),"Produto não cadastrado"))</f>
        <v xml:space="preserve">LUVA LATEX NITRILICA </v>
      </c>
      <c r="E502" s="89" t="str">
        <f>_xlfn.XLOOKUP(B502,ESTOQUE!B:B,ESTOQUE!G:G)</f>
        <v>PAR</v>
      </c>
      <c r="F502" s="88">
        <v>432</v>
      </c>
      <c r="G502" s="92"/>
      <c r="H502" s="91">
        <f t="shared" si="8"/>
        <v>0</v>
      </c>
      <c r="I502" s="71"/>
      <c r="J502" s="24"/>
      <c r="K502" s="127"/>
    </row>
    <row r="503" spans="1:11" x14ac:dyDescent="0.25">
      <c r="A503" s="22">
        <v>46087</v>
      </c>
      <c r="B503" s="23">
        <v>117</v>
      </c>
      <c r="C503" s="49" t="s">
        <v>19</v>
      </c>
      <c r="D503" s="69" t="str">
        <f>IF(ISBLANK($B503),"",IFERROR(VLOOKUP($B503,ESTOQUE!$B$2:$M$997973,3,FALSE),"Produto não cadastrado"))</f>
        <v>LUVA PIGMENTADA</v>
      </c>
      <c r="E503" s="89" t="str">
        <f>_xlfn.XLOOKUP(B503,ESTOQUE!B:B,ESTOQUE!G:G)</f>
        <v>PAR</v>
      </c>
      <c r="F503" s="88">
        <v>864</v>
      </c>
      <c r="G503" s="90"/>
      <c r="H503" s="91">
        <f t="shared" si="8"/>
        <v>0</v>
      </c>
      <c r="I503" s="71"/>
      <c r="J503" s="24"/>
      <c r="K503" s="127"/>
    </row>
    <row r="504" spans="1:11" x14ac:dyDescent="0.25">
      <c r="A504" s="22">
        <v>46087</v>
      </c>
      <c r="B504" s="23">
        <v>224</v>
      </c>
      <c r="C504" s="49" t="s">
        <v>19</v>
      </c>
      <c r="D504" s="69" t="str">
        <f>IF(ISBLANK($B504),"",IFERROR(VLOOKUP($B504,ESTOQUE!$B$2:$M$997973,3,FALSE),"Produto não cadastrado"))</f>
        <v>OCULOS OPERACIONAL SOBRE POR ESCURO</v>
      </c>
      <c r="E504" s="89" t="str">
        <f>_xlfn.XLOOKUP(B504,ESTOQUE!B:B,ESTOQUE!G:G)</f>
        <v>UND</v>
      </c>
      <c r="F504" s="88">
        <v>100</v>
      </c>
      <c r="G504" s="90"/>
      <c r="H504" s="91">
        <f t="shared" si="8"/>
        <v>0</v>
      </c>
      <c r="I504" s="71"/>
      <c r="J504" s="24"/>
      <c r="K504" s="127"/>
    </row>
    <row r="505" spans="1:11" x14ac:dyDescent="0.25">
      <c r="A505" s="22">
        <v>46087</v>
      </c>
      <c r="B505" s="23">
        <v>225</v>
      </c>
      <c r="C505" s="49" t="s">
        <v>19</v>
      </c>
      <c r="D505" s="69" t="str">
        <f>IF(ISBLANK($B505),"",IFERROR(VLOOKUP($B505,ESTOQUE!$B$2:$M$997973,3,FALSE),"Produto não cadastrado"))</f>
        <v>OCULOS OPERACIONAL SOBRE POR INCOLOR</v>
      </c>
      <c r="E505" s="89" t="str">
        <f>_xlfn.XLOOKUP(B505,ESTOQUE!B:B,ESTOQUE!G:G)</f>
        <v>UND</v>
      </c>
      <c r="F505" s="88">
        <v>100</v>
      </c>
      <c r="G505" s="90"/>
      <c r="H505" s="91">
        <f t="shared" si="8"/>
        <v>0</v>
      </c>
      <c r="I505" s="71"/>
      <c r="J505" s="24"/>
      <c r="K505" s="127"/>
    </row>
    <row r="506" spans="1:11" x14ac:dyDescent="0.25">
      <c r="A506" s="22">
        <v>46087</v>
      </c>
      <c r="B506" s="23">
        <v>144</v>
      </c>
      <c r="C506" s="49" t="s">
        <v>19</v>
      </c>
      <c r="D506" s="69" t="str">
        <f>IF(ISBLANK($B506),"",IFERROR(VLOOKUP($B506,ESTOQUE!$B$2:$M$997973,3,FALSE),"Produto não cadastrado"))</f>
        <v>MASCARA PFF2-S C/ FILTRO</v>
      </c>
      <c r="E506" s="89" t="str">
        <f>_xlfn.XLOOKUP(B506,ESTOQUE!B:B,ESTOQUE!G:G)</f>
        <v>UND</v>
      </c>
      <c r="F506" s="88">
        <v>600</v>
      </c>
      <c r="G506" s="92"/>
      <c r="H506" s="91">
        <f t="shared" si="8"/>
        <v>0</v>
      </c>
      <c r="I506" s="71"/>
      <c r="J506" s="24"/>
      <c r="K506" s="127"/>
    </row>
    <row r="507" spans="1:11" x14ac:dyDescent="0.25">
      <c r="A507" s="22">
        <v>46087</v>
      </c>
      <c r="B507" s="23">
        <v>118</v>
      </c>
      <c r="C507" s="49" t="s">
        <v>19</v>
      </c>
      <c r="D507" s="69" t="str">
        <f>IF(ISBLANK($B507),"",IFERROR(VLOOKUP($B507,ESTOQUE!$B$2:$M$997973,3,FALSE),"Produto não cadastrado"))</f>
        <v>MACACÃO DE PROTEÇÃO TYVEK</v>
      </c>
      <c r="E507" s="89" t="str">
        <f>_xlfn.XLOOKUP(B507,ESTOQUE!B:B,ESTOQUE!G:G)</f>
        <v>UND</v>
      </c>
      <c r="F507" s="88">
        <v>500</v>
      </c>
      <c r="G507" s="90"/>
      <c r="H507" s="91">
        <f t="shared" si="8"/>
        <v>0</v>
      </c>
      <c r="I507" s="71"/>
      <c r="J507" s="24"/>
      <c r="K507" s="127"/>
    </row>
    <row r="508" spans="1:11" x14ac:dyDescent="0.25">
      <c r="A508" s="22">
        <v>46087</v>
      </c>
      <c r="B508" s="23">
        <v>126</v>
      </c>
      <c r="C508" s="49" t="s">
        <v>19</v>
      </c>
      <c r="D508" s="69" t="str">
        <f>IF(ISBLANK($B508),"",IFERROR(VLOOKUP($B508,ESTOQUE!$B$2:$M$997973,3,FALSE),"Produto não cadastrado"))</f>
        <v>OCULOS DE PROTEÇÃO ESCURO</v>
      </c>
      <c r="E508" s="89" t="str">
        <f>_xlfn.XLOOKUP(B508,ESTOQUE!B:B,ESTOQUE!G:G)</f>
        <v>UND</v>
      </c>
      <c r="F508" s="88">
        <v>480</v>
      </c>
      <c r="G508" s="90"/>
      <c r="H508" s="91">
        <f t="shared" si="8"/>
        <v>0</v>
      </c>
      <c r="I508" s="71"/>
      <c r="J508" s="24"/>
      <c r="K508" s="127"/>
    </row>
    <row r="509" spans="1:11" x14ac:dyDescent="0.25">
      <c r="A509" s="22">
        <v>46087</v>
      </c>
      <c r="B509" s="23">
        <v>124</v>
      </c>
      <c r="C509" s="49" t="s">
        <v>19</v>
      </c>
      <c r="D509" s="69" t="str">
        <f>IF(ISBLANK($B509),"",IFERROR(VLOOKUP($B509,ESTOQUE!$B$2:$M$997973,3,FALSE),"Produto não cadastrado"))</f>
        <v xml:space="preserve">OCULOS DE PROTEÇÃO INCOLOR </v>
      </c>
      <c r="E509" s="89" t="str">
        <f>_xlfn.XLOOKUP(B509,ESTOQUE!B:B,ESTOQUE!G:G)</f>
        <v>UND</v>
      </c>
      <c r="F509" s="88">
        <v>480</v>
      </c>
      <c r="G509" s="90"/>
      <c r="H509" s="91">
        <f t="shared" si="8"/>
        <v>0</v>
      </c>
      <c r="I509" s="71"/>
      <c r="J509" s="24"/>
      <c r="K509" s="127"/>
    </row>
    <row r="510" spans="1:11" x14ac:dyDescent="0.25">
      <c r="A510" s="22">
        <v>46087</v>
      </c>
      <c r="B510" s="23">
        <v>234</v>
      </c>
      <c r="C510" s="49" t="s">
        <v>19</v>
      </c>
      <c r="D510" s="69" t="str">
        <f>IF(ISBLANK($B510),"",IFERROR(VLOOKUP($B510,ESTOQUE!$B$2:$M$997973,3,FALSE),"Produto não cadastrado"))</f>
        <v>CONE PLASTICOR DE SINALIZACAO 75cm</v>
      </c>
      <c r="E510" s="89" t="str">
        <f>_xlfn.XLOOKUP(B510,ESTOQUE!B:B,ESTOQUE!G:G)</f>
        <v>UND</v>
      </c>
      <c r="F510" s="88">
        <v>55</v>
      </c>
      <c r="G510" s="90"/>
      <c r="H510" s="91">
        <f t="shared" si="8"/>
        <v>0</v>
      </c>
      <c r="I510" s="71"/>
      <c r="J510" s="24"/>
      <c r="K510" s="127"/>
    </row>
    <row r="511" spans="1:11" x14ac:dyDescent="0.25">
      <c r="A511" s="22">
        <v>46087</v>
      </c>
      <c r="B511" s="23">
        <v>141</v>
      </c>
      <c r="C511" s="49" t="s">
        <v>19</v>
      </c>
      <c r="D511" s="69" t="str">
        <f>IF(ISBLANK($B511),"",IFERROR(VLOOKUP($B511,ESTOQUE!$B$2:$M$997973,3,FALSE),"Produto não cadastrado"))</f>
        <v xml:space="preserve">LUVA DE VAQUETA </v>
      </c>
      <c r="E511" s="89" t="str">
        <f>_xlfn.XLOOKUP(B511,ESTOQUE!B:B,ESTOQUE!G:G)</f>
        <v>PAR</v>
      </c>
      <c r="F511" s="88">
        <v>420</v>
      </c>
      <c r="G511" s="90"/>
      <c r="H511" s="91">
        <f t="shared" si="8"/>
        <v>0</v>
      </c>
      <c r="I511" s="71"/>
      <c r="J511" s="24"/>
      <c r="K511" s="127"/>
    </row>
    <row r="512" spans="1:11" x14ac:dyDescent="0.25">
      <c r="A512" s="22">
        <v>46092</v>
      </c>
      <c r="B512" s="23">
        <v>267</v>
      </c>
      <c r="C512" s="49" t="str">
        <f>IF(ISBLANK($B512),"",IFERROR(VLOOKUP($B512,ESTOQUE!$B$2:$D$97168,2,FALSE),"Produto não cadastrado"))</f>
        <v>CONSUMO</v>
      </c>
      <c r="D512" s="69" t="str">
        <f>IF(ISBLANK($B512),"",IFERROR(VLOOKUP($B512,ESTOQUE!$B$2:$M$997973,3,FALSE),"Produto não cadastrado"))</f>
        <v>LUVA POLIESTER ANTICORTE CANO LONGO</v>
      </c>
      <c r="E512" s="89" t="str">
        <f>_xlfn.XLOOKUP(B512,ESTOQUE!B:B,ESTOQUE!G:G)</f>
        <v>UND</v>
      </c>
      <c r="F512" s="88">
        <v>144</v>
      </c>
      <c r="G512" s="90"/>
      <c r="H512" s="91">
        <f t="shared" si="8"/>
        <v>0</v>
      </c>
      <c r="I512" s="71"/>
      <c r="J512" s="24"/>
      <c r="K512" s="127"/>
    </row>
    <row r="513" spans="1:11" x14ac:dyDescent="0.25">
      <c r="A513" s="22">
        <v>46092</v>
      </c>
      <c r="B513" s="23">
        <v>267</v>
      </c>
      <c r="C513" s="49" t="str">
        <f>IF(ISBLANK($B513),"",IFERROR(VLOOKUP($B513,ESTOQUE!$B$2:$D$97168,2,FALSE),"Produto não cadastrado"))</f>
        <v>CONSUMO</v>
      </c>
      <c r="D513" s="69" t="str">
        <f>IF(ISBLANK($B513),"",IFERROR(VLOOKUP($B513,ESTOQUE!$B$2:$M$997973,3,FALSE),"Produto não cadastrado"))</f>
        <v>LUVA POLIESTER ANTICORTE CANO LONGO</v>
      </c>
      <c r="E513" s="89" t="str">
        <f>_xlfn.XLOOKUP(B513,ESTOQUE!B:B,ESTOQUE!G:G)</f>
        <v>UND</v>
      </c>
      <c r="F513" s="88">
        <v>144</v>
      </c>
      <c r="G513" s="90"/>
      <c r="H513" s="91">
        <f t="shared" si="8"/>
        <v>0</v>
      </c>
      <c r="I513" s="71"/>
      <c r="J513" s="24"/>
      <c r="K513" s="127"/>
    </row>
    <row r="514" spans="1:11" x14ac:dyDescent="0.25">
      <c r="A514" s="22">
        <v>46101</v>
      </c>
      <c r="B514" s="23">
        <v>171</v>
      </c>
      <c r="C514" s="49" t="str">
        <f>IF(ISBLANK($B514),"",IFERROR(VLOOKUP($B514,ESTOQUE!$B$2:$D$97168,2,FALSE),"Produto não cadastrado"))</f>
        <v>CONSUMO</v>
      </c>
      <c r="D514" s="69" t="str">
        <f>IF(ISBLANK($B514),"",IFERROR(VLOOKUP($B514,ESTOQUE!$B$2:$M$997973,3,FALSE),"Produto não cadastrado"))</f>
        <v>BOTA PVC CANO CURTO Nº 40</v>
      </c>
      <c r="E514" s="89" t="str">
        <f>_xlfn.XLOOKUP(B514,ESTOQUE!B:B,ESTOQUE!G:G)</f>
        <v>PAR</v>
      </c>
      <c r="F514" s="88">
        <v>14</v>
      </c>
      <c r="G514" s="90"/>
      <c r="H514" s="91">
        <f t="shared" si="8"/>
        <v>0</v>
      </c>
      <c r="I514" s="71"/>
      <c r="J514" s="24"/>
      <c r="K514" s="127" t="s">
        <v>297</v>
      </c>
    </row>
    <row r="515" spans="1:11" x14ac:dyDescent="0.25">
      <c r="A515" s="22">
        <v>46101</v>
      </c>
      <c r="B515" s="23">
        <v>7</v>
      </c>
      <c r="C515" s="49" t="str">
        <f>IF(ISBLANK($B515),"",IFERROR(VLOOKUP($B515,ESTOQUE!$B$2:$D$97168,2,FALSE),"Produto não cadastrado"))</f>
        <v>CONSUMO</v>
      </c>
      <c r="D515" s="69" t="str">
        <f>IF(ISBLANK($B515),"",IFERROR(VLOOKUP($B515,ESTOQUE!$B$2:$M$997973,3,FALSE),"Produto não cadastrado"))</f>
        <v>BOTA PVC CANO LONGO Nº 39</v>
      </c>
      <c r="E515" s="89" t="str">
        <f>_xlfn.XLOOKUP(B515,ESTOQUE!B:B,ESTOQUE!G:G)</f>
        <v>PAR</v>
      </c>
      <c r="F515" s="88">
        <v>10</v>
      </c>
      <c r="G515" s="90"/>
      <c r="H515" s="91">
        <f t="shared" si="8"/>
        <v>0</v>
      </c>
      <c r="I515" s="71"/>
      <c r="J515" s="24"/>
      <c r="K515" s="127" t="s">
        <v>297</v>
      </c>
    </row>
    <row r="516" spans="1:11" x14ac:dyDescent="0.25">
      <c r="A516" s="22">
        <v>46101</v>
      </c>
      <c r="B516" s="23">
        <v>9</v>
      </c>
      <c r="C516" s="49" t="str">
        <f>IF(ISBLANK($B516),"",IFERROR(VLOOKUP($B516,ESTOQUE!$B$2:$D$97168,2,FALSE),"Produto não cadastrado"))</f>
        <v>CONSUMO</v>
      </c>
      <c r="D516" s="69" t="str">
        <f>IF(ISBLANK($B516),"",IFERROR(VLOOKUP($B516,ESTOQUE!$B$2:$M$997973,3,FALSE),"Produto não cadastrado"))</f>
        <v>BOTA PVC CANO LONGO Nº 41</v>
      </c>
      <c r="E516" s="89" t="str">
        <f>_xlfn.XLOOKUP(B516,ESTOQUE!B:B,ESTOQUE!G:G)</f>
        <v>PAR</v>
      </c>
      <c r="F516" s="88">
        <v>10</v>
      </c>
      <c r="G516" s="90"/>
      <c r="H516" s="91">
        <f t="shared" si="8"/>
        <v>0</v>
      </c>
      <c r="I516" s="71"/>
      <c r="J516" s="24"/>
      <c r="K516" s="127" t="s">
        <v>297</v>
      </c>
    </row>
    <row r="517" spans="1:11" x14ac:dyDescent="0.25">
      <c r="A517" s="22">
        <v>46101</v>
      </c>
      <c r="B517" s="23">
        <v>10</v>
      </c>
      <c r="C517" s="49" t="str">
        <f>IF(ISBLANK($B517),"",IFERROR(VLOOKUP($B517,ESTOQUE!$B$2:$D$97168,2,FALSE),"Produto não cadastrado"))</f>
        <v>CONSUMO</v>
      </c>
      <c r="D517" s="69" t="str">
        <f>IF(ISBLANK($B517),"",IFERROR(VLOOKUP($B517,ESTOQUE!$B$2:$M$997973,3,FALSE),"Produto não cadastrado"))</f>
        <v>BOTA PVC CANO LONGO Nº 42</v>
      </c>
      <c r="E517" s="89" t="str">
        <f>_xlfn.XLOOKUP(B517,ESTOQUE!B:B,ESTOQUE!G:G)</f>
        <v>PAR</v>
      </c>
      <c r="F517" s="88">
        <v>10</v>
      </c>
      <c r="G517" s="90"/>
      <c r="H517" s="91">
        <f t="shared" si="8"/>
        <v>0</v>
      </c>
      <c r="I517" s="71"/>
      <c r="J517" s="24"/>
      <c r="K517" s="127" t="s">
        <v>297</v>
      </c>
    </row>
    <row r="518" spans="1:11" x14ac:dyDescent="0.25">
      <c r="A518" s="22">
        <v>46101</v>
      </c>
      <c r="B518" s="23">
        <v>216</v>
      </c>
      <c r="C518" s="49" t="str">
        <f>IF(ISBLANK($B518),"",IFERROR(VLOOKUP($B518,ESTOQUE!$B$2:$D$97168,2,FALSE),"Produto não cadastrado"))</f>
        <v>CONSUMO</v>
      </c>
      <c r="D518" s="69" t="str">
        <f>IF(ISBLANK($B518),"",IFERROR(VLOOKUP($B518,ESTOQUE!$B$2:$M$997973,3,FALSE),"Produto não cadastrado"))</f>
        <v>BOTINA SEGURANÇA METATARSO  39</v>
      </c>
      <c r="E518" s="89" t="str">
        <f>_xlfn.XLOOKUP(B518,ESTOQUE!B:B,ESTOQUE!G:G)</f>
        <v>PAR</v>
      </c>
      <c r="F518" s="88">
        <v>5</v>
      </c>
      <c r="G518" s="90"/>
      <c r="H518" s="91">
        <f t="shared" si="8"/>
        <v>0</v>
      </c>
      <c r="I518" s="71"/>
      <c r="J518" s="24"/>
      <c r="K518" s="127" t="s">
        <v>297</v>
      </c>
    </row>
    <row r="519" spans="1:11" x14ac:dyDescent="0.25">
      <c r="A519" s="22">
        <v>46101</v>
      </c>
      <c r="B519" s="23">
        <v>217</v>
      </c>
      <c r="C519" s="49" t="str">
        <f>IF(ISBLANK($B519),"",IFERROR(VLOOKUP($B519,ESTOQUE!$B$2:$D$97168,2,FALSE),"Produto não cadastrado"))</f>
        <v>CONSUMO</v>
      </c>
      <c r="D519" s="69" t="str">
        <f>IF(ISBLANK($B519),"",IFERROR(VLOOKUP($B519,ESTOQUE!$B$2:$M$997973,3,FALSE),"Produto não cadastrado"))</f>
        <v>BOTINA SEGURANÇA METATARSO  40</v>
      </c>
      <c r="E519" s="89" t="str">
        <f>_xlfn.XLOOKUP(B519,ESTOQUE!B:B,ESTOQUE!G:G)</f>
        <v>PAR</v>
      </c>
      <c r="F519" s="88">
        <v>5</v>
      </c>
      <c r="G519" s="90"/>
      <c r="H519" s="91">
        <f t="shared" si="8"/>
        <v>0</v>
      </c>
      <c r="I519" s="71"/>
      <c r="J519" s="24"/>
      <c r="K519" s="127" t="s">
        <v>297</v>
      </c>
    </row>
    <row r="520" spans="1:11" x14ac:dyDescent="0.25">
      <c r="A520" s="22">
        <v>46101</v>
      </c>
      <c r="B520" s="23">
        <v>218</v>
      </c>
      <c r="C520" s="49" t="str">
        <f>IF(ISBLANK($B520),"",IFERROR(VLOOKUP($B520,ESTOQUE!$B$2:$D$97168,2,FALSE),"Produto não cadastrado"))</f>
        <v>CONSUMO</v>
      </c>
      <c r="D520" s="69" t="str">
        <f>IF(ISBLANK($B520),"",IFERROR(VLOOKUP($B520,ESTOQUE!$B$2:$M$997973,3,FALSE),"Produto não cadastrado"))</f>
        <v>BOTINA SEGURANÇA METATARSO  41</v>
      </c>
      <c r="E520" s="89" t="str">
        <f>_xlfn.XLOOKUP(B520,ESTOQUE!B:B,ESTOQUE!G:G)</f>
        <v>PAR</v>
      </c>
      <c r="F520" s="88">
        <v>5</v>
      </c>
      <c r="G520" s="90"/>
      <c r="H520" s="91">
        <f t="shared" si="8"/>
        <v>0</v>
      </c>
      <c r="I520" s="71"/>
      <c r="J520" s="24"/>
      <c r="K520" s="127" t="s">
        <v>297</v>
      </c>
    </row>
    <row r="521" spans="1:11" x14ac:dyDescent="0.25">
      <c r="A521" s="22">
        <v>46104</v>
      </c>
      <c r="B521" s="23">
        <v>110</v>
      </c>
      <c r="C521" s="49" t="str">
        <f>IF(ISBLANK($B521),"",IFERROR(VLOOKUP($B521,ESTOQUE!$B$2:$D$97168,2,FALSE),"Produto não cadastrado"))</f>
        <v>CONSUMO</v>
      </c>
      <c r="D521" s="69" t="str">
        <f>IF(ISBLANK($B521),"",IFERROR(VLOOKUP($B521,ESTOQUE!$B$2:$M$997973,3,FALSE),"Produto não cadastrado"))</f>
        <v>LUVA DE RASPA CANO LONGO</v>
      </c>
      <c r="E521" s="89" t="str">
        <f>_xlfn.XLOOKUP(B521,ESTOQUE!B:B,ESTOQUE!G:G)</f>
        <v>PAR</v>
      </c>
      <c r="F521" s="88">
        <v>40</v>
      </c>
      <c r="G521" s="90"/>
      <c r="H521" s="91">
        <f t="shared" si="8"/>
        <v>0</v>
      </c>
      <c r="I521" s="71"/>
      <c r="J521" s="24"/>
      <c r="K521" s="127"/>
    </row>
    <row r="522" spans="1:11" x14ac:dyDescent="0.25">
      <c r="A522" s="22">
        <v>46104</v>
      </c>
      <c r="B522" s="23">
        <v>118</v>
      </c>
      <c r="C522" s="49" t="str">
        <f>IF(ISBLANK($B522),"",IFERROR(VLOOKUP($B522,ESTOQUE!$B$2:$D$97168,2,FALSE),"Produto não cadastrado"))</f>
        <v>CONSUMO</v>
      </c>
      <c r="D522" s="69" t="str">
        <f>IF(ISBLANK($B522),"",IFERROR(VLOOKUP($B522,ESTOQUE!$B$2:$M$997973,3,FALSE),"Produto não cadastrado"))</f>
        <v>MACACÃO DE PROTEÇÃO TYVEK</v>
      </c>
      <c r="E522" s="89" t="str">
        <f>_xlfn.XLOOKUP(B522,ESTOQUE!B:B,ESTOQUE!G:G)</f>
        <v>UND</v>
      </c>
      <c r="F522" s="88">
        <v>69</v>
      </c>
      <c r="G522" s="90"/>
      <c r="H522" s="91">
        <f t="shared" si="8"/>
        <v>0</v>
      </c>
      <c r="I522" s="71"/>
      <c r="J522" s="24"/>
      <c r="K522" s="127"/>
    </row>
    <row r="523" spans="1:11" x14ac:dyDescent="0.25">
      <c r="A523" s="22">
        <v>46108</v>
      </c>
      <c r="B523" s="23">
        <v>118</v>
      </c>
      <c r="C523" s="49" t="str">
        <f>IF(ISBLANK($B523),"",IFERROR(VLOOKUP($B523,ESTOQUE!$B$2:$D$97168,2,FALSE),"Produto não cadastrado"))</f>
        <v>CONSUMO</v>
      </c>
      <c r="D523" s="69" t="str">
        <f>IF(ISBLANK($B523),"",IFERROR(VLOOKUP($B523,ESTOQUE!$B$2:$M$997973,3,FALSE),"Produto não cadastrado"))</f>
        <v>MACACÃO DE PROTEÇÃO TYVEK</v>
      </c>
      <c r="E523" s="89" t="str">
        <f>_xlfn.XLOOKUP(B523,ESTOQUE!B:B,ESTOQUE!G:G)</f>
        <v>UND</v>
      </c>
      <c r="F523" s="88">
        <v>50</v>
      </c>
      <c r="G523" s="92"/>
      <c r="H523" s="91">
        <f t="shared" si="8"/>
        <v>0</v>
      </c>
      <c r="I523" s="71"/>
      <c r="J523" s="24"/>
      <c r="K523" s="127"/>
    </row>
    <row r="524" spans="1:11" x14ac:dyDescent="0.25">
      <c r="A524" s="22">
        <v>46108</v>
      </c>
      <c r="B524" s="23">
        <v>228</v>
      </c>
      <c r="C524" s="49" t="str">
        <f>IF(ISBLANK($B524),"",IFERROR(VLOOKUP($B524,ESTOQUE!$B$2:$D$97168,2,FALSE),"Produto não cadastrado"))</f>
        <v>CONSUMO</v>
      </c>
      <c r="D524" s="69" t="str">
        <f>IF(ISBLANK($B524),"",IFERROR(VLOOKUP($B524,ESTOQUE!$B$2:$M$997973,3,FALSE),"Produto não cadastrado"))</f>
        <v xml:space="preserve">BALACLAVA  </v>
      </c>
      <c r="E524" s="89" t="str">
        <f>_xlfn.XLOOKUP(B524,ESTOQUE!B:B,ESTOQUE!G:G)</f>
        <v>UND</v>
      </c>
      <c r="F524" s="88">
        <v>31</v>
      </c>
      <c r="G524" s="92"/>
      <c r="H524" s="91">
        <f t="shared" si="8"/>
        <v>0</v>
      </c>
      <c r="I524" s="71"/>
      <c r="J524" s="24"/>
      <c r="K524" s="127"/>
    </row>
    <row r="525" spans="1:11" x14ac:dyDescent="0.25">
      <c r="A525" s="22">
        <v>46108</v>
      </c>
      <c r="B525" s="23">
        <v>49</v>
      </c>
      <c r="C525" s="49" t="str">
        <f>IF(ISBLANK($B525),"",IFERROR(VLOOKUP($B525,ESTOQUE!$B$2:$D$97168,2,FALSE),"Produto não cadastrado"))</f>
        <v>CONSUMO</v>
      </c>
      <c r="D525" s="69" t="str">
        <f>IF(ISBLANK($B525),"",IFERROR(VLOOKUP($B525,ESTOQUE!$B$2:$M$997973,3,FALSE),"Produto não cadastrado"))</f>
        <v>CALÇA CINZA OP. C/ FAIXA REFLETIVA TAM: P</v>
      </c>
      <c r="E525" s="89" t="str">
        <f>_xlfn.XLOOKUP(B525,ESTOQUE!B:B,ESTOQUE!G:G)</f>
        <v>UND</v>
      </c>
      <c r="F525" s="88">
        <v>66</v>
      </c>
      <c r="G525" s="90"/>
      <c r="H525" s="91">
        <f t="shared" si="8"/>
        <v>0</v>
      </c>
      <c r="I525" s="71"/>
      <c r="J525" s="24"/>
      <c r="K525" s="127"/>
    </row>
    <row r="526" spans="1:11" x14ac:dyDescent="0.25">
      <c r="A526" s="22">
        <v>46108</v>
      </c>
      <c r="B526" s="23">
        <v>48</v>
      </c>
      <c r="C526" s="49" t="str">
        <f>IF(ISBLANK($B526),"",IFERROR(VLOOKUP($B526,ESTOQUE!$B$2:$D$97168,2,FALSE),"Produto não cadastrado"))</f>
        <v>CONSUMO</v>
      </c>
      <c r="D526" s="69" t="str">
        <f>IF(ISBLANK($B526),"",IFERROR(VLOOKUP($B526,ESTOQUE!$B$2:$M$997973,3,FALSE),"Produto não cadastrado"))</f>
        <v>CALÇA CINZA OP. C/ FAIXA REFLETIVA TAM: M</v>
      </c>
      <c r="E526" s="89" t="str">
        <f>_xlfn.XLOOKUP(B526,ESTOQUE!B:B,ESTOQUE!G:G)</f>
        <v>UND</v>
      </c>
      <c r="F526" s="88">
        <v>117</v>
      </c>
      <c r="G526" s="90"/>
      <c r="H526" s="91">
        <f t="shared" si="8"/>
        <v>0</v>
      </c>
      <c r="I526" s="71"/>
      <c r="J526" s="24"/>
      <c r="K526" s="127"/>
    </row>
    <row r="527" spans="1:11" x14ac:dyDescent="0.25">
      <c r="A527" s="22">
        <v>46108</v>
      </c>
      <c r="B527" s="23">
        <v>139</v>
      </c>
      <c r="C527" s="49" t="str">
        <f>IF(ISBLANK($B527),"",IFERROR(VLOOKUP($B527,ESTOQUE!$B$2:$D$97168,2,FALSE),"Produto não cadastrado"))</f>
        <v>CONSUMO</v>
      </c>
      <c r="D527" s="69" t="str">
        <f>IF(ISBLANK($B527),"",IFERROR(VLOOKUP($B527,ESTOQUE!$B$2:$M$997973,3,FALSE),"Produto não cadastrado"))</f>
        <v>PROTETOR AURICULAR TIPO PLUG</v>
      </c>
      <c r="E527" s="89" t="str">
        <f>_xlfn.XLOOKUP(B527,ESTOQUE!B:B,ESTOQUE!G:G)</f>
        <v>UND</v>
      </c>
      <c r="F527" s="88">
        <v>150</v>
      </c>
      <c r="G527" s="90"/>
      <c r="H527" s="91">
        <f t="shared" si="8"/>
        <v>0</v>
      </c>
      <c r="I527" s="71"/>
      <c r="J527" s="24"/>
      <c r="K527" s="127"/>
    </row>
    <row r="528" spans="1:11" x14ac:dyDescent="0.25">
      <c r="A528" s="22">
        <v>46108</v>
      </c>
      <c r="B528" s="23">
        <v>210</v>
      </c>
      <c r="C528" s="49" t="str">
        <f>IF(ISBLANK($B528),"",IFERROR(VLOOKUP($B528,ESTOQUE!$B$2:$D$97168,2,FALSE),"Produto não cadastrado"))</f>
        <v>CONSUMO</v>
      </c>
      <c r="D528" s="69" t="str">
        <f>IF(ISBLANK($B528),"",IFERROR(VLOOKUP($B528,ESTOQUE!$B$2:$M$997973,3,FALSE),"Produto não cadastrado"))</f>
        <v>COLETE REFLETIVO LARANJA G</v>
      </c>
      <c r="E528" s="89" t="str">
        <f>_xlfn.XLOOKUP(B528,ESTOQUE!B:B,ESTOQUE!G:G)</f>
        <v>UND</v>
      </c>
      <c r="F528" s="88">
        <v>2</v>
      </c>
      <c r="G528" s="90"/>
      <c r="H528" s="91">
        <f t="shared" si="8"/>
        <v>0</v>
      </c>
      <c r="I528" s="71"/>
      <c r="J528" s="24"/>
      <c r="K528" s="127"/>
    </row>
    <row r="529" spans="1:11" ht="14.1" customHeight="1" x14ac:dyDescent="0.25">
      <c r="A529" s="22">
        <v>46108</v>
      </c>
      <c r="B529" s="23">
        <v>186</v>
      </c>
      <c r="C529" s="49" t="str">
        <f>IF(ISBLANK($B529),"",IFERROR(VLOOKUP($B529,ESTOQUE!$B$2:$D$97168,2,FALSE),"Produto não cadastrado"))</f>
        <v>CONSUMO</v>
      </c>
      <c r="D529" s="69" t="str">
        <f>IF(ISBLANK($B529),"",IFERROR(VLOOKUP($B529,ESTOQUE!$B$2:$M$997973,3,FALSE),"Produto não cadastrado"))</f>
        <v>COLETE REFLETIVO LARANJA GG</v>
      </c>
      <c r="E529" s="89" t="str">
        <f>_xlfn.XLOOKUP(B529,ESTOQUE!B:B,ESTOQUE!G:G)</f>
        <v>UND</v>
      </c>
      <c r="F529" s="88">
        <v>57</v>
      </c>
      <c r="G529" s="90"/>
      <c r="H529" s="91">
        <f t="shared" si="8"/>
        <v>0</v>
      </c>
      <c r="I529" s="71"/>
      <c r="J529" s="24"/>
      <c r="K529" s="127"/>
    </row>
    <row r="530" spans="1:11" x14ac:dyDescent="0.25">
      <c r="A530" s="22">
        <v>46112</v>
      </c>
      <c r="B530" s="23">
        <v>144</v>
      </c>
      <c r="C530" s="49" t="str">
        <f>IF(ISBLANK($B530),"",IFERROR(VLOOKUP($B530,ESTOQUE!$B$2:$D$97168,2,FALSE),"Produto não cadastrado"))</f>
        <v>CONSUMO</v>
      </c>
      <c r="D530" s="69" t="str">
        <f>IF(ISBLANK($B530),"",IFERROR(VLOOKUP($B530,ESTOQUE!$B$2:$M$997973,3,FALSE),"Produto não cadastrado"))</f>
        <v>MASCARA PFF2-S C/ FILTRO</v>
      </c>
      <c r="E530" s="89" t="str">
        <f>_xlfn.XLOOKUP(B530,ESTOQUE!B:B,ESTOQUE!G:G)</f>
        <v>UND</v>
      </c>
      <c r="F530" s="88">
        <v>250</v>
      </c>
      <c r="G530" s="90"/>
      <c r="H530" s="91">
        <f t="shared" si="8"/>
        <v>0</v>
      </c>
      <c r="I530" s="71"/>
      <c r="J530" s="24"/>
      <c r="K530" s="127"/>
    </row>
    <row r="531" spans="1:11" x14ac:dyDescent="0.25">
      <c r="A531" s="22">
        <v>46114</v>
      </c>
      <c r="B531" s="23">
        <v>218</v>
      </c>
      <c r="C531" s="49" t="str">
        <f>IF(ISBLANK($B531),"",IFERROR(VLOOKUP($B531,ESTOQUE!$B$2:$D$97168,2,FALSE),"Produto não cadastrado"))</f>
        <v>CONSUMO</v>
      </c>
      <c r="D531" s="69" t="str">
        <f>IF(ISBLANK($B531),"",IFERROR(VLOOKUP($B531,ESTOQUE!$B$2:$M$997973,3,FALSE),"Produto não cadastrado"))</f>
        <v>BOTINA SEGURANÇA METATARSO  41</v>
      </c>
      <c r="E531" s="89" t="str">
        <f>_xlfn.XLOOKUP(B531,ESTOQUE!B:B,ESTOQUE!G:G)</f>
        <v>PAR</v>
      </c>
      <c r="F531" s="88">
        <v>50</v>
      </c>
      <c r="G531" s="90"/>
      <c r="H531" s="91">
        <f t="shared" si="8"/>
        <v>0</v>
      </c>
      <c r="I531" s="71"/>
      <c r="J531" s="24"/>
      <c r="K531" s="127"/>
    </row>
    <row r="532" spans="1:11" x14ac:dyDescent="0.25">
      <c r="A532" s="22">
        <v>46114</v>
      </c>
      <c r="B532" s="23">
        <v>216</v>
      </c>
      <c r="C532" s="49" t="str">
        <f>IF(ISBLANK($B532),"",IFERROR(VLOOKUP($B532,ESTOQUE!$B$2:$D$97168,2,FALSE),"Produto não cadastrado"))</f>
        <v>CONSUMO</v>
      </c>
      <c r="D532" s="69" t="str">
        <f>IF(ISBLANK($B532),"",IFERROR(VLOOKUP($B532,ESTOQUE!$B$2:$M$997973,3,FALSE),"Produto não cadastrado"))</f>
        <v>BOTINA SEGURANÇA METATARSO  39</v>
      </c>
      <c r="E532" s="89" t="str">
        <f>_xlfn.XLOOKUP(B532,ESTOQUE!B:B,ESTOQUE!G:G)</f>
        <v>PAR</v>
      </c>
      <c r="F532" s="88">
        <v>30</v>
      </c>
      <c r="G532" s="90"/>
      <c r="H532" s="91">
        <f t="shared" si="8"/>
        <v>0</v>
      </c>
      <c r="I532" s="71"/>
      <c r="J532" s="24"/>
      <c r="K532" s="127"/>
    </row>
    <row r="533" spans="1:11" x14ac:dyDescent="0.25">
      <c r="A533" s="22">
        <v>46114</v>
      </c>
      <c r="B533" s="23">
        <v>110</v>
      </c>
      <c r="C533" s="49" t="str">
        <f>IF(ISBLANK($B533),"",IFERROR(VLOOKUP($B533,ESTOQUE!$B$2:$D$97168,2,FALSE),"Produto não cadastrado"))</f>
        <v>CONSUMO</v>
      </c>
      <c r="D533" s="69" t="str">
        <f>IF(ISBLANK($B533),"",IFERROR(VLOOKUP($B533,ESTOQUE!$B$2:$M$997973,3,FALSE),"Produto não cadastrado"))</f>
        <v>LUVA DE RASPA CANO LONGO</v>
      </c>
      <c r="E533" s="89" t="str">
        <f>_xlfn.XLOOKUP(B533,ESTOQUE!B:B,ESTOQUE!G:G)</f>
        <v>PAR</v>
      </c>
      <c r="F533" s="88">
        <v>300</v>
      </c>
      <c r="G533" s="90"/>
      <c r="H533" s="91">
        <f t="shared" si="8"/>
        <v>0</v>
      </c>
      <c r="I533" s="71"/>
      <c r="J533" s="24"/>
      <c r="K533" s="127"/>
    </row>
    <row r="534" spans="1:11" x14ac:dyDescent="0.25">
      <c r="A534" s="22">
        <v>46114</v>
      </c>
      <c r="B534" s="23">
        <v>114</v>
      </c>
      <c r="C534" s="49" t="str">
        <f>IF(ISBLANK($B534),"",IFERROR(VLOOKUP($B534,ESTOQUE!$B$2:$D$97168,2,FALSE),"Produto não cadastrado"))</f>
        <v>CONSUMO</v>
      </c>
      <c r="D534" s="69" t="str">
        <f>IF(ISBLANK($B534),"",IFERROR(VLOOKUP($B534,ESTOQUE!$B$2:$M$997973,3,FALSE),"Produto não cadastrado"))</f>
        <v xml:space="preserve">LUVA LATEX NITRILICA </v>
      </c>
      <c r="E534" s="89" t="str">
        <f>_xlfn.XLOOKUP(B534,ESTOQUE!B:B,ESTOQUE!G:G)</f>
        <v>PAR</v>
      </c>
      <c r="F534" s="88">
        <v>432</v>
      </c>
      <c r="G534" s="90"/>
      <c r="H534" s="91">
        <f t="shared" si="8"/>
        <v>0</v>
      </c>
      <c r="I534" s="71"/>
      <c r="J534" s="24"/>
      <c r="K534" s="127"/>
    </row>
    <row r="535" spans="1:11" x14ac:dyDescent="0.25">
      <c r="A535" s="22">
        <v>46114</v>
      </c>
      <c r="B535" s="23">
        <v>200</v>
      </c>
      <c r="C535" s="49" t="str">
        <f>IF(ISBLANK($B535),"",IFERROR(VLOOKUP($B535,ESTOQUE!$B$2:$D$97168,2,FALSE),"Produto não cadastrado"))</f>
        <v>CONSUMO</v>
      </c>
      <c r="D535" s="69" t="str">
        <f>IF(ISBLANK($B535),"",IFERROR(VLOOKUP($B535,ESTOQUE!$B$2:$M$997973,3,FALSE),"Produto não cadastrado"))</f>
        <v>CAMISA LARANJA OP. C/ FAIXA REFLETIVA TAM: XGG</v>
      </c>
      <c r="E535" s="89" t="str">
        <f>_xlfn.XLOOKUP(B535,ESTOQUE!B:B,ESTOQUE!G:G)</f>
        <v>UND</v>
      </c>
      <c r="F535" s="88">
        <v>16</v>
      </c>
      <c r="G535" s="90"/>
      <c r="H535" s="91">
        <f t="shared" si="8"/>
        <v>0</v>
      </c>
      <c r="I535" s="71"/>
      <c r="J535" s="24"/>
      <c r="K535" s="127"/>
    </row>
    <row r="536" spans="1:11" x14ac:dyDescent="0.25">
      <c r="A536" s="22">
        <v>46114</v>
      </c>
      <c r="B536" s="23">
        <v>55</v>
      </c>
      <c r="C536" s="49" t="str">
        <f>IF(ISBLANK($B536),"",IFERROR(VLOOKUP($B536,ESTOQUE!$B$2:$D$97168,2,FALSE),"Produto não cadastrado"))</f>
        <v>CONSUMO</v>
      </c>
      <c r="D536" s="69" t="str">
        <f>IF(ISBLANK($B536),"",IFERROR(VLOOKUP($B536,ESTOQUE!$B$2:$M$997973,3,FALSE),"Produto não cadastrado"))</f>
        <v>CALÇA DE ELETRICISTA NR.10 TAM: XGG</v>
      </c>
      <c r="E536" s="89" t="str">
        <f>_xlfn.XLOOKUP(B536,ESTOQUE!B:B,ESTOQUE!G:G)</f>
        <v>UND</v>
      </c>
      <c r="F536" s="88">
        <v>12</v>
      </c>
      <c r="G536" s="90"/>
      <c r="H536" s="91">
        <f t="shared" si="8"/>
        <v>0</v>
      </c>
      <c r="I536" s="71"/>
      <c r="J536" s="24"/>
      <c r="K536" s="127"/>
    </row>
    <row r="537" spans="1:11" x14ac:dyDescent="0.25">
      <c r="A537" s="22">
        <v>46130</v>
      </c>
      <c r="B537" s="23">
        <v>267</v>
      </c>
      <c r="C537" s="49" t="str">
        <f>IF(ISBLANK($B537),"",IFERROR(VLOOKUP($B537,ESTOQUE!$B$2:$D$97168,2,FALSE),"Produto não cadastrado"))</f>
        <v>CONSUMO</v>
      </c>
      <c r="D537" s="69" t="str">
        <f>IF(ISBLANK($B537),"",IFERROR(VLOOKUP($B537,ESTOQUE!$B$2:$M$997973,3,FALSE),"Produto não cadastrado"))</f>
        <v>LUVA POLIESTER ANTICORTE CANO LONGO</v>
      </c>
      <c r="E537" s="89" t="str">
        <f>_xlfn.XLOOKUP(B537,ESTOQUE!B:B,ESTOQUE!G:G)</f>
        <v>UND</v>
      </c>
      <c r="F537" s="88">
        <v>432</v>
      </c>
      <c r="G537" s="90"/>
      <c r="H537" s="91">
        <f t="shared" si="8"/>
        <v>0</v>
      </c>
      <c r="I537" s="71"/>
      <c r="J537" s="24"/>
      <c r="K537" s="127"/>
    </row>
    <row r="538" spans="1:11" x14ac:dyDescent="0.25">
      <c r="A538" s="22">
        <v>46130</v>
      </c>
      <c r="B538" s="23">
        <v>118</v>
      </c>
      <c r="C538" s="49" t="str">
        <f>IF(ISBLANK($B538),"",IFERROR(VLOOKUP($B538,ESTOQUE!$B$2:$D$97168,2,FALSE),"Produto não cadastrado"))</f>
        <v>CONSUMO</v>
      </c>
      <c r="D538" s="69" t="str">
        <f>IF(ISBLANK($B538),"",IFERROR(VLOOKUP($B538,ESTOQUE!$B$2:$M$997973,3,FALSE),"Produto não cadastrado"))</f>
        <v>MACACÃO DE PROTEÇÃO TYVEK</v>
      </c>
      <c r="E538" s="89" t="str">
        <f>_xlfn.XLOOKUP(B538,ESTOQUE!B:B,ESTOQUE!G:G)</f>
        <v>UND</v>
      </c>
      <c r="F538" s="88">
        <v>500</v>
      </c>
      <c r="G538" s="90"/>
      <c r="H538" s="91">
        <f t="shared" si="8"/>
        <v>0</v>
      </c>
      <c r="I538" s="71"/>
      <c r="J538" s="24"/>
      <c r="K538" s="127"/>
    </row>
    <row r="539" spans="1:11" x14ac:dyDescent="0.25">
      <c r="A539" s="22">
        <v>46130</v>
      </c>
      <c r="B539" s="23">
        <v>228</v>
      </c>
      <c r="C539" s="49" t="str">
        <f>IF(ISBLANK($B539),"",IFERROR(VLOOKUP($B539,ESTOQUE!$B$2:$D$97168,2,FALSE),"Produto não cadastrado"))</f>
        <v>CONSUMO</v>
      </c>
      <c r="D539" s="69" t="str">
        <f>IF(ISBLANK($B539),"",IFERROR(VLOOKUP($B539,ESTOQUE!$B$2:$M$997973,3,FALSE),"Produto não cadastrado"))</f>
        <v xml:space="preserve">BALACLAVA  </v>
      </c>
      <c r="E539" s="89" t="str">
        <f>_xlfn.XLOOKUP(B539,ESTOQUE!B:B,ESTOQUE!G:G)</f>
        <v>UND</v>
      </c>
      <c r="F539" s="88">
        <v>500</v>
      </c>
      <c r="G539" s="90"/>
      <c r="H539" s="91">
        <f t="shared" si="8"/>
        <v>0</v>
      </c>
      <c r="I539" s="71"/>
      <c r="J539" s="24"/>
      <c r="K539" s="127"/>
    </row>
    <row r="540" spans="1:11" x14ac:dyDescent="0.25">
      <c r="A540" s="22">
        <v>46130</v>
      </c>
      <c r="B540" s="23">
        <v>144</v>
      </c>
      <c r="C540" s="49" t="str">
        <f>IF(ISBLANK($B540),"",IFERROR(VLOOKUP($B540,ESTOQUE!$B$2:$D$97168,2,FALSE),"Produto não cadastrado"))</f>
        <v>CONSUMO</v>
      </c>
      <c r="D540" s="69" t="str">
        <f>IF(ISBLANK($B540),"",IFERROR(VLOOKUP($B540,ESTOQUE!$B$2:$M$997973,3,FALSE),"Produto não cadastrado"))</f>
        <v>MASCARA PFF2-S C/ FILTRO</v>
      </c>
      <c r="E540" s="89" t="str">
        <f>_xlfn.XLOOKUP(B540,ESTOQUE!B:B,ESTOQUE!G:G)</f>
        <v>UND</v>
      </c>
      <c r="F540" s="88">
        <v>1050</v>
      </c>
      <c r="G540" s="90"/>
      <c r="H540" s="91">
        <f t="shared" si="8"/>
        <v>0</v>
      </c>
      <c r="I540" s="71"/>
      <c r="J540" s="24"/>
      <c r="K540" s="127"/>
    </row>
    <row r="541" spans="1:11" x14ac:dyDescent="0.25">
      <c r="A541" s="22">
        <v>46130</v>
      </c>
      <c r="B541" s="23">
        <v>217</v>
      </c>
      <c r="C541" s="49" t="str">
        <f>IF(ISBLANK($B541),"",IFERROR(VLOOKUP($B541,ESTOQUE!$B$2:$D$97168,2,FALSE),"Produto não cadastrado"))</f>
        <v>CONSUMO</v>
      </c>
      <c r="D541" s="69" t="str">
        <f>IF(ISBLANK($B541),"",IFERROR(VLOOKUP($B541,ESTOQUE!$B$2:$M$997973,3,FALSE),"Produto não cadastrado"))</f>
        <v>BOTINA SEGURANÇA METATARSO  40</v>
      </c>
      <c r="E541" s="89" t="str">
        <f>_xlfn.XLOOKUP(B541,ESTOQUE!B:B,ESTOQUE!G:G)</f>
        <v>PAR</v>
      </c>
      <c r="F541" s="88">
        <v>20</v>
      </c>
      <c r="G541" s="92"/>
      <c r="H541" s="91">
        <f t="shared" si="8"/>
        <v>0</v>
      </c>
      <c r="I541" s="71"/>
      <c r="J541" s="24"/>
      <c r="K541" s="127"/>
    </row>
    <row r="542" spans="1:11" x14ac:dyDescent="0.25">
      <c r="A542" s="22">
        <v>46130</v>
      </c>
      <c r="B542" s="23">
        <v>218</v>
      </c>
      <c r="C542" s="49" t="str">
        <f>IF(ISBLANK($B542),"",IFERROR(VLOOKUP($B542,ESTOQUE!$B$2:$D$97168,2,FALSE),"Produto não cadastrado"))</f>
        <v>CONSUMO</v>
      </c>
      <c r="D542" s="69" t="str">
        <f>IF(ISBLANK($B542),"",IFERROR(VLOOKUP($B542,ESTOQUE!$B$2:$M$997973,3,FALSE),"Produto não cadastrado"))</f>
        <v>BOTINA SEGURANÇA METATARSO  41</v>
      </c>
      <c r="E542" s="89" t="str">
        <f>_xlfn.XLOOKUP(B542,ESTOQUE!B:B,ESTOQUE!G:G)</f>
        <v>PAR</v>
      </c>
      <c r="F542" s="88">
        <v>30</v>
      </c>
      <c r="G542" s="92"/>
      <c r="H542" s="91">
        <f t="shared" si="8"/>
        <v>0</v>
      </c>
      <c r="I542" s="71"/>
      <c r="J542" s="24"/>
      <c r="K542" s="127"/>
    </row>
    <row r="543" spans="1:11" x14ac:dyDescent="0.25">
      <c r="A543" s="22">
        <v>46131</v>
      </c>
      <c r="B543" s="23">
        <v>125</v>
      </c>
      <c r="C543" s="49" t="str">
        <f>IF(ISBLANK($B543),"",IFERROR(VLOOKUP($B543,ESTOQUE!$B$2:$D$97168,2,FALSE),"Produto não cadastrado"))</f>
        <v>CONSUMO</v>
      </c>
      <c r="D543" s="69" t="str">
        <f>IF(ISBLANK($B543),"",IFERROR(VLOOKUP($B543,ESTOQUE!$B$2:$M$997973,3,FALSE),"Produto não cadastrado"))</f>
        <v xml:space="preserve">MASCARA DE SOLDA AUTOMATICA </v>
      </c>
      <c r="E543" s="89" t="str">
        <f>_xlfn.XLOOKUP(B543,ESTOQUE!B:B,ESTOQUE!G:G)</f>
        <v>UND</v>
      </c>
      <c r="F543" s="88">
        <v>6</v>
      </c>
      <c r="G543" s="90"/>
      <c r="H543" s="91">
        <f t="shared" si="8"/>
        <v>0</v>
      </c>
      <c r="I543" s="71"/>
      <c r="J543" s="24"/>
      <c r="K543" s="127"/>
    </row>
    <row r="544" spans="1:11" x14ac:dyDescent="0.25">
      <c r="A544" s="22">
        <v>46131</v>
      </c>
      <c r="B544" s="23">
        <v>49</v>
      </c>
      <c r="C544" s="49" t="str">
        <f>IF(ISBLANK($B544),"",IFERROR(VLOOKUP($B544,ESTOQUE!$B$2:$D$97168,2,FALSE),"Produto não cadastrado"))</f>
        <v>CONSUMO</v>
      </c>
      <c r="D544" s="69" t="str">
        <f>IF(ISBLANK($B544),"",IFERROR(VLOOKUP($B544,ESTOQUE!$B$2:$M$997973,3,FALSE),"Produto não cadastrado"))</f>
        <v>CALÇA CINZA OP. C/ FAIXA REFLETIVA TAM: P</v>
      </c>
      <c r="E544" s="89" t="str">
        <f>_xlfn.XLOOKUP(B544,ESTOQUE!B:B,ESTOQUE!G:G)</f>
        <v>UND</v>
      </c>
      <c r="F544" s="88">
        <v>29</v>
      </c>
      <c r="G544" s="90"/>
      <c r="H544" s="91">
        <f t="shared" si="8"/>
        <v>0</v>
      </c>
      <c r="I544" s="71"/>
      <c r="J544" s="24"/>
      <c r="K544" s="127"/>
    </row>
    <row r="545" spans="1:11" x14ac:dyDescent="0.25">
      <c r="A545" s="22">
        <v>46131</v>
      </c>
      <c r="B545" s="23">
        <v>139</v>
      </c>
      <c r="C545" s="49" t="str">
        <f>IF(ISBLANK($B545),"",IFERROR(VLOOKUP($B545,ESTOQUE!$B$2:$D$97168,2,FALSE),"Produto não cadastrado"))</f>
        <v>CONSUMO</v>
      </c>
      <c r="D545" s="69" t="str">
        <f>IF(ISBLANK($B545),"",IFERROR(VLOOKUP($B545,ESTOQUE!$B$2:$M$997973,3,FALSE),"Produto não cadastrado"))</f>
        <v>PROTETOR AURICULAR TIPO PLUG</v>
      </c>
      <c r="E545" s="89" t="str">
        <f>_xlfn.XLOOKUP(B545,ESTOQUE!B:B,ESTOQUE!G:G)</f>
        <v>UND</v>
      </c>
      <c r="F545" s="88">
        <v>904</v>
      </c>
      <c r="G545" s="90"/>
      <c r="H545" s="91">
        <f t="shared" si="8"/>
        <v>0</v>
      </c>
      <c r="I545" s="71"/>
      <c r="J545" s="24"/>
      <c r="K545" s="127"/>
    </row>
    <row r="546" spans="1:11" x14ac:dyDescent="0.25">
      <c r="A546" s="22">
        <v>46131</v>
      </c>
      <c r="B546" s="23">
        <v>74</v>
      </c>
      <c r="C546" s="49" t="str">
        <f>IF(ISBLANK($B546),"",IFERROR(VLOOKUP($B546,ESTOQUE!$B$2:$D$97168,2,FALSE),"Produto não cadastrado"))</f>
        <v>CONSUMO</v>
      </c>
      <c r="D546" s="69" t="str">
        <f>IF(ISBLANK($B546),"",IFERROR(VLOOKUP($B546,ESTOQUE!$B$2:$M$997973,3,FALSE),"Produto não cadastrado"))</f>
        <v>CAPACETE CAMPER AMARELO</v>
      </c>
      <c r="E546" s="89" t="str">
        <f>_xlfn.XLOOKUP(B546,ESTOQUE!B:B,ESTOQUE!G:G)</f>
        <v>UND</v>
      </c>
      <c r="F546" s="88">
        <v>5</v>
      </c>
      <c r="G546" s="90"/>
      <c r="H546" s="91">
        <f t="shared" si="8"/>
        <v>0</v>
      </c>
      <c r="I546" s="71"/>
      <c r="J546" s="24"/>
      <c r="K546" s="127"/>
    </row>
    <row r="547" spans="1:11" x14ac:dyDescent="0.25">
      <c r="A547" s="22">
        <v>46131</v>
      </c>
      <c r="B547" s="23">
        <v>87</v>
      </c>
      <c r="C547" s="49" t="str">
        <f>IF(ISBLANK($B547),"",IFERROR(VLOOKUP($B547,ESTOQUE!$B$2:$D$97168,2,FALSE),"Produto não cadastrado"))</f>
        <v>CONSUMO</v>
      </c>
      <c r="D547" s="69" t="str">
        <f>IF(ISBLANK($B547),"",IFERROR(VLOOKUP($B547,ESTOQUE!$B$2:$M$997973,3,FALSE),"Produto não cadastrado"))</f>
        <v>CAPACETE PLASTCOR AMARELO</v>
      </c>
      <c r="E547" s="89" t="str">
        <f>_xlfn.XLOOKUP(B547,ESTOQUE!B:B,ESTOQUE!G:G)</f>
        <v>UND</v>
      </c>
      <c r="F547" s="88">
        <v>1</v>
      </c>
      <c r="G547" s="90"/>
      <c r="H547" s="91">
        <f t="shared" si="8"/>
        <v>0</v>
      </c>
      <c r="I547" s="71"/>
      <c r="J547" s="24"/>
      <c r="K547" s="127"/>
    </row>
    <row r="548" spans="1:11" x14ac:dyDescent="0.25">
      <c r="A548" s="22">
        <v>46131</v>
      </c>
      <c r="B548" s="23">
        <v>178</v>
      </c>
      <c r="C548" s="49" t="str">
        <f>IF(ISBLANK($B548),"",IFERROR(VLOOKUP($B548,ESTOQUE!$B$2:$D$97168,2,FALSE),"Produto não cadastrado"))</f>
        <v>CONSUMO</v>
      </c>
      <c r="D548" s="69" t="str">
        <f>IF(ISBLANK($B548),"",IFERROR(VLOOKUP($B548,ESTOQUE!$B$2:$M$997973,3,FALSE),"Produto não cadastrado"))</f>
        <v>CAPACETE GENISIS VERMELHO</v>
      </c>
      <c r="E548" s="89" t="str">
        <f>_xlfn.XLOOKUP(B548,ESTOQUE!B:B,ESTOQUE!G:G)</f>
        <v>UND</v>
      </c>
      <c r="F548" s="88">
        <v>3</v>
      </c>
      <c r="G548" s="90"/>
      <c r="H548" s="91">
        <f t="shared" si="8"/>
        <v>0</v>
      </c>
      <c r="I548" s="71"/>
      <c r="J548" s="24"/>
      <c r="K548" s="127"/>
    </row>
    <row r="549" spans="1:11" x14ac:dyDescent="0.25">
      <c r="A549" s="22">
        <v>46131</v>
      </c>
      <c r="B549" s="23">
        <v>89</v>
      </c>
      <c r="C549" s="49" t="str">
        <f>IF(ISBLANK($B549),"",IFERROR(VLOOKUP($B549,ESTOQUE!$B$2:$D$97168,2,FALSE),"Produto não cadastrado"))</f>
        <v>CONSUMO</v>
      </c>
      <c r="D549" s="69" t="str">
        <f>IF(ISBLANK($B549),"",IFERROR(VLOOKUP($B549,ESTOQUE!$B$2:$M$997973,3,FALSE),"Produto não cadastrado"))</f>
        <v>CAPACETE PLASTCOR BRANCO</v>
      </c>
      <c r="E549" s="89" t="str">
        <f>_xlfn.XLOOKUP(B549,ESTOQUE!B:B,ESTOQUE!G:G)</f>
        <v>UND</v>
      </c>
      <c r="F549" s="88">
        <v>3</v>
      </c>
      <c r="G549" s="90"/>
      <c r="H549" s="91">
        <f t="shared" si="8"/>
        <v>0</v>
      </c>
      <c r="I549" s="71"/>
      <c r="J549" s="24"/>
      <c r="K549" s="127"/>
    </row>
    <row r="550" spans="1:11" x14ac:dyDescent="0.25">
      <c r="A550" s="22">
        <v>46131</v>
      </c>
      <c r="B550" s="23">
        <v>91</v>
      </c>
      <c r="C550" s="49" t="str">
        <f>IF(ISBLANK($B550),"",IFERROR(VLOOKUP($B550,ESTOQUE!$B$2:$D$97168,2,FALSE),"Produto não cadastrado"))</f>
        <v>CONSUMO</v>
      </c>
      <c r="D550" s="69" t="str">
        <f>IF(ISBLANK($B550),"",IFERROR(VLOOKUP($B550,ESTOQUE!$B$2:$M$997973,3,FALSE),"Produto não cadastrado"))</f>
        <v>CAPACETE PLASTCOR ROXO</v>
      </c>
      <c r="E550" s="89" t="str">
        <f>_xlfn.XLOOKUP(B550,ESTOQUE!B:B,ESTOQUE!G:G)</f>
        <v>UND</v>
      </c>
      <c r="F550" s="88">
        <v>1</v>
      </c>
      <c r="G550" s="90"/>
      <c r="H550" s="91">
        <f t="shared" si="8"/>
        <v>0</v>
      </c>
      <c r="I550" s="71"/>
      <c r="J550" s="24"/>
      <c r="K550" s="127"/>
    </row>
    <row r="551" spans="1:11" x14ac:dyDescent="0.25">
      <c r="A551" s="22">
        <v>46131</v>
      </c>
      <c r="B551" s="23">
        <v>84</v>
      </c>
      <c r="C551" s="49" t="str">
        <f>IF(ISBLANK($B551),"",IFERROR(VLOOKUP($B551,ESTOQUE!$B$2:$D$97168,2,FALSE),"Produto não cadastrado"))</f>
        <v>CONSUMO</v>
      </c>
      <c r="D551" s="69" t="str">
        <f>IF(ISBLANK($B551),"",IFERROR(VLOOKUP($B551,ESTOQUE!$B$2:$M$997973,3,FALSE),"Produto não cadastrado"))</f>
        <v>CAPACETE LIBUS MARROM</v>
      </c>
      <c r="E551" s="89" t="str">
        <f>_xlfn.XLOOKUP(B551,ESTOQUE!B:B,ESTOQUE!G:G)</f>
        <v>UND</v>
      </c>
      <c r="F551" s="88">
        <v>9</v>
      </c>
      <c r="G551" s="90"/>
      <c r="H551" s="91">
        <f t="shared" si="8"/>
        <v>0</v>
      </c>
      <c r="I551" s="71"/>
      <c r="J551" s="24"/>
      <c r="K551" s="127"/>
    </row>
    <row r="552" spans="1:11" x14ac:dyDescent="0.25">
      <c r="A552" s="22">
        <v>46131</v>
      </c>
      <c r="B552" s="23">
        <v>266</v>
      </c>
      <c r="C552" s="49" t="str">
        <f>IF(ISBLANK($B552),"",IFERROR(VLOOKUP($B552,ESTOQUE!$B$2:$D$97168,2,FALSE),"Produto não cadastrado"))</f>
        <v>CONSUMO</v>
      </c>
      <c r="D552" s="69" t="str">
        <f>IF(ISBLANK($B552),"",IFERROR(VLOOKUP($B552,ESTOQUE!$B$2:$M$997973,3,FALSE),"Produto não cadastrado"))</f>
        <v>CINTO DE SEGURANÇA ATHENAS TAM:2</v>
      </c>
      <c r="E552" s="89" t="str">
        <f>_xlfn.XLOOKUP(B552,ESTOQUE!B:B,ESTOQUE!G:G)</f>
        <v>UND</v>
      </c>
      <c r="F552" s="88">
        <v>2</v>
      </c>
      <c r="G552" s="90"/>
      <c r="H552" s="91">
        <f t="shared" si="8"/>
        <v>0</v>
      </c>
      <c r="I552" s="71"/>
      <c r="J552" s="24"/>
      <c r="K552" s="127"/>
    </row>
    <row r="553" spans="1:11" x14ac:dyDescent="0.25">
      <c r="A553" s="22">
        <v>46131</v>
      </c>
      <c r="B553" s="23">
        <v>21</v>
      </c>
      <c r="C553" s="49" t="str">
        <f>IF(ISBLANK($B553),"",IFERROR(VLOOKUP($B553,ESTOQUE!$B$2:$D$97168,2,FALSE),"Produto não cadastrado"))</f>
        <v>CONSUMO</v>
      </c>
      <c r="D553" s="69" t="str">
        <f>IF(ISBLANK($B553),"",IFERROR(VLOOKUP($B553,ESTOQUE!$B$2:$M$997973,3,FALSE),"Produto não cadastrado"))</f>
        <v>BOTA PVC CANO MEDIO Nº 42</v>
      </c>
      <c r="E553" s="89" t="str">
        <f>_xlfn.XLOOKUP(B553,ESTOQUE!B:B,ESTOQUE!G:G)</f>
        <v>PAR</v>
      </c>
      <c r="F553" s="88">
        <v>14</v>
      </c>
      <c r="G553" s="90"/>
      <c r="H553" s="91">
        <f t="shared" si="8"/>
        <v>0</v>
      </c>
      <c r="I553" s="71"/>
      <c r="J553" s="24"/>
      <c r="K553" s="127"/>
    </row>
    <row r="554" spans="1:11" x14ac:dyDescent="0.25">
      <c r="A554" s="22">
        <v>46131</v>
      </c>
      <c r="B554" s="23">
        <v>20</v>
      </c>
      <c r="C554" s="49" t="str">
        <f>IF(ISBLANK($B554),"",IFERROR(VLOOKUP($B554,ESTOQUE!$B$2:$D$97168,2,FALSE),"Produto não cadastrado"))</f>
        <v>CONSUMO</v>
      </c>
      <c r="D554" s="69" t="str">
        <f>IF(ISBLANK($B554),"",IFERROR(VLOOKUP($B554,ESTOQUE!$B$2:$M$997973,3,FALSE),"Produto não cadastrado"))</f>
        <v>BOTA PVC CANO MEDIO Nº 41</v>
      </c>
      <c r="E554" s="89" t="str">
        <f>_xlfn.XLOOKUP(B554,ESTOQUE!B:B,ESTOQUE!G:G)</f>
        <v>PAR</v>
      </c>
      <c r="F554" s="88">
        <v>13</v>
      </c>
      <c r="G554" s="90"/>
      <c r="H554" s="91">
        <f t="shared" si="8"/>
        <v>0</v>
      </c>
      <c r="I554" s="71"/>
      <c r="J554" s="24"/>
      <c r="K554" s="127"/>
    </row>
    <row r="555" spans="1:11" x14ac:dyDescent="0.25">
      <c r="A555" s="22">
        <v>46131</v>
      </c>
      <c r="B555" s="23">
        <v>19</v>
      </c>
      <c r="C555" s="49" t="str">
        <f>IF(ISBLANK($B555),"",IFERROR(VLOOKUP($B555,ESTOQUE!$B$2:$D$97168,2,FALSE),"Produto não cadastrado"))</f>
        <v>CONSUMO</v>
      </c>
      <c r="D555" s="69" t="str">
        <f>IF(ISBLANK($B555),"",IFERROR(VLOOKUP($B555,ESTOQUE!$B$2:$M$997973,3,FALSE),"Produto não cadastrado"))</f>
        <v>BOTA PVC CANO MEDIO Nº 40</v>
      </c>
      <c r="E555" s="89" t="str">
        <f>_xlfn.XLOOKUP(B555,ESTOQUE!B:B,ESTOQUE!G:G)</f>
        <v>PAR</v>
      </c>
      <c r="F555" s="88">
        <v>20</v>
      </c>
      <c r="G555" s="90"/>
      <c r="H555" s="91">
        <f t="shared" si="8"/>
        <v>0</v>
      </c>
      <c r="I555" s="71"/>
      <c r="J555" s="24"/>
      <c r="K555" s="127"/>
    </row>
    <row r="556" spans="1:11" x14ac:dyDescent="0.25">
      <c r="A556" s="22">
        <v>46131</v>
      </c>
      <c r="B556" s="23">
        <v>14</v>
      </c>
      <c r="C556" s="49" t="str">
        <f>IF(ISBLANK($B556),"",IFERROR(VLOOKUP($B556,ESTOQUE!$B$2:$D$97168,2,FALSE),"Produto não cadastrado"))</f>
        <v>CONSUMO</v>
      </c>
      <c r="D556" s="69" t="str">
        <f>IF(ISBLANK($B556),"",IFERROR(VLOOKUP($B556,ESTOQUE!$B$2:$M$997973,3,FALSE),"Produto não cadastrado"))</f>
        <v>BOTA PVC CANO LONGO Nº 46</v>
      </c>
      <c r="E556" s="89" t="str">
        <f>_xlfn.XLOOKUP(B556,ESTOQUE!B:B,ESTOQUE!G:G)</f>
        <v>PAR</v>
      </c>
      <c r="F556" s="88">
        <v>2</v>
      </c>
      <c r="G556" s="90"/>
      <c r="H556" s="91">
        <f t="shared" si="8"/>
        <v>0</v>
      </c>
      <c r="I556" s="71"/>
      <c r="J556" s="24"/>
      <c r="K556" s="127"/>
    </row>
    <row r="557" spans="1:11" x14ac:dyDescent="0.25">
      <c r="A557" s="22">
        <v>46131</v>
      </c>
      <c r="B557" s="23">
        <v>13</v>
      </c>
      <c r="C557" s="49" t="str">
        <f>IF(ISBLANK($B557),"",IFERROR(VLOOKUP($B557,ESTOQUE!$B$2:$D$97168,2,FALSE),"Produto não cadastrado"))</f>
        <v>CONSUMO</v>
      </c>
      <c r="D557" s="69" t="str">
        <f>IF(ISBLANK($B557),"",IFERROR(VLOOKUP($B557,ESTOQUE!$B$2:$M$997973,3,FALSE),"Produto não cadastrado"))</f>
        <v>BOTA PVC CANO LONGO Nº 45</v>
      </c>
      <c r="E557" s="89" t="str">
        <f>_xlfn.XLOOKUP(B557,ESTOQUE!B:B,ESTOQUE!G:G)</f>
        <v>PAR</v>
      </c>
      <c r="F557" s="88">
        <v>7</v>
      </c>
      <c r="G557" s="90"/>
      <c r="H557" s="91">
        <f t="shared" si="8"/>
        <v>0</v>
      </c>
      <c r="I557" s="71"/>
      <c r="J557" s="24"/>
      <c r="K557" s="127"/>
    </row>
    <row r="558" spans="1:11" x14ac:dyDescent="0.25">
      <c r="A558" s="22">
        <v>46131</v>
      </c>
      <c r="B558" s="23">
        <v>6</v>
      </c>
      <c r="C558" s="49" t="str">
        <f>IF(ISBLANK($B558),"",IFERROR(VLOOKUP($B558,ESTOQUE!$B$2:$D$97168,2,FALSE),"Produto não cadastrado"))</f>
        <v>CONSUMO</v>
      </c>
      <c r="D558" s="69" t="str">
        <f>IF(ISBLANK($B558),"",IFERROR(VLOOKUP($B558,ESTOQUE!$B$2:$M$997973,3,FALSE),"Produto não cadastrado"))</f>
        <v>BOTA PVC CANO LONGO Nº 38</v>
      </c>
      <c r="E558" s="89" t="str">
        <f>_xlfn.XLOOKUP(B558,ESTOQUE!B:B,ESTOQUE!G:G)</f>
        <v>PAR</v>
      </c>
      <c r="F558" s="88">
        <v>3</v>
      </c>
      <c r="G558" s="90"/>
      <c r="H558" s="91">
        <f t="shared" si="8"/>
        <v>0</v>
      </c>
      <c r="I558" s="71"/>
      <c r="J558" s="24"/>
      <c r="K558" s="127"/>
    </row>
    <row r="559" spans="1:11" x14ac:dyDescent="0.25">
      <c r="A559" s="22">
        <v>46131</v>
      </c>
      <c r="B559" s="23">
        <v>174</v>
      </c>
      <c r="C559" s="49" t="str">
        <f>IF(ISBLANK($B559),"",IFERROR(VLOOKUP($B559,ESTOQUE!$B$2:$D$97168,2,FALSE),"Produto não cadastrado"))</f>
        <v>CONSUMO</v>
      </c>
      <c r="D559" s="69" t="str">
        <f>IF(ISBLANK($B559),"",IFERROR(VLOOKUP($B559,ESTOQUE!$B$2:$M$997973,3,FALSE),"Produto não cadastrado"))</f>
        <v>BOTA PVC CANO CURTO Nº 43</v>
      </c>
      <c r="E559" s="89" t="str">
        <f>_xlfn.XLOOKUP(B559,ESTOQUE!B:B,ESTOQUE!G:G)</f>
        <v>PAR</v>
      </c>
      <c r="F559" s="88">
        <v>12</v>
      </c>
      <c r="G559" s="90"/>
      <c r="H559" s="91">
        <f t="shared" si="8"/>
        <v>0</v>
      </c>
      <c r="I559" s="71"/>
      <c r="J559" s="24"/>
      <c r="K559" s="127"/>
    </row>
    <row r="560" spans="1:11" x14ac:dyDescent="0.25">
      <c r="A560" s="22">
        <v>46131</v>
      </c>
      <c r="B560" s="23">
        <v>171</v>
      </c>
      <c r="C560" s="49" t="str">
        <f>IF(ISBLANK($B560),"",IFERROR(VLOOKUP($B560,ESTOQUE!$B$2:$D$97168,2,FALSE),"Produto não cadastrado"))</f>
        <v>CONSUMO</v>
      </c>
      <c r="D560" s="69" t="str">
        <f>IF(ISBLANK($B560),"",IFERROR(VLOOKUP($B560,ESTOQUE!$B$2:$M$997973,3,FALSE),"Produto não cadastrado"))</f>
        <v>BOTA PVC CANO CURTO Nº 40</v>
      </c>
      <c r="E560" s="89" t="str">
        <f>_xlfn.XLOOKUP(B560,ESTOQUE!B:B,ESTOQUE!G:G)</f>
        <v>PAR</v>
      </c>
      <c r="F560" s="88">
        <v>7</v>
      </c>
      <c r="G560" s="90"/>
      <c r="H560" s="91">
        <f t="shared" si="8"/>
        <v>0</v>
      </c>
      <c r="I560" s="71"/>
      <c r="J560" s="24"/>
      <c r="K560" s="127"/>
    </row>
    <row r="561" spans="1:11" x14ac:dyDescent="0.25">
      <c r="A561" s="22">
        <v>46131</v>
      </c>
      <c r="B561" s="23">
        <v>268</v>
      </c>
      <c r="C561" s="49" t="str">
        <f>IF(ISBLANK($B561),"",IFERROR(VLOOKUP($B561,ESTOQUE!$B$2:$D$97168,2,FALSE),"Produto não cadastrado"))</f>
        <v>CONSUMO</v>
      </c>
      <c r="D561" s="69" t="str">
        <f>IF(ISBLANK($B561),"",IFERROR(VLOOKUP($B561,ESTOQUE!$B$2:$M$997973,3,FALSE),"Produto não cadastrado"))</f>
        <v>BOTA PVC CANO CURTO N  39</v>
      </c>
      <c r="E561" s="89" t="str">
        <f>_xlfn.XLOOKUP(B561,ESTOQUE!B:B,ESTOQUE!G:G)</f>
        <v>PAR</v>
      </c>
      <c r="F561" s="88">
        <v>19</v>
      </c>
      <c r="G561" s="90"/>
      <c r="H561" s="91">
        <f t="shared" si="8"/>
        <v>0</v>
      </c>
      <c r="I561" s="71"/>
      <c r="J561" s="24"/>
      <c r="K561" s="127"/>
    </row>
    <row r="562" spans="1:11" x14ac:dyDescent="0.25">
      <c r="A562" s="22">
        <v>46131</v>
      </c>
      <c r="B562" s="23">
        <v>35</v>
      </c>
      <c r="C562" s="49" t="str">
        <f>IF(ISBLANK($B562),"",IFERROR(VLOOKUP($B562,ESTOQUE!$B$2:$D$97168,2,FALSE),"Produto não cadastrado"))</f>
        <v>CONSUMO</v>
      </c>
      <c r="D562" s="69" t="str">
        <f>IF(ISBLANK($B562),"",IFERROR(VLOOKUP($B562,ESTOQUE!$B$2:$M$997973,3,FALSE),"Produto não cadastrado"))</f>
        <v>BOTINA OP. BICO PVC Nº 37</v>
      </c>
      <c r="E562" s="89" t="str">
        <f>_xlfn.XLOOKUP(B562,ESTOQUE!B:B,ESTOQUE!G:G)</f>
        <v>PAR</v>
      </c>
      <c r="F562" s="88">
        <v>13</v>
      </c>
      <c r="G562" s="90"/>
      <c r="H562" s="91">
        <f t="shared" si="8"/>
        <v>0</v>
      </c>
      <c r="I562" s="71"/>
      <c r="J562" s="24"/>
      <c r="K562" s="127"/>
    </row>
    <row r="563" spans="1:11" x14ac:dyDescent="0.25">
      <c r="A563" s="22">
        <v>46131</v>
      </c>
      <c r="B563" s="23">
        <v>41</v>
      </c>
      <c r="C563" s="49" t="str">
        <f>IF(ISBLANK($B563),"",IFERROR(VLOOKUP($B563,ESTOQUE!$B$2:$D$97168,2,FALSE),"Produto não cadastrado"))</f>
        <v>CONSUMO</v>
      </c>
      <c r="D563" s="69" t="str">
        <f>IF(ISBLANK($B563),"",IFERROR(VLOOKUP($B563,ESTOQUE!$B$2:$M$997973,3,FALSE),"Produto não cadastrado"))</f>
        <v>BOTINA OP. BICO PVC Nº 43</v>
      </c>
      <c r="E563" s="89" t="str">
        <f>_xlfn.XLOOKUP(B563,ESTOQUE!B:B,ESTOQUE!G:G)</f>
        <v>PAR</v>
      </c>
      <c r="F563" s="88">
        <v>10</v>
      </c>
      <c r="G563" s="90"/>
      <c r="H563" s="91">
        <f t="shared" si="8"/>
        <v>0</v>
      </c>
      <c r="I563" s="71"/>
      <c r="J563" s="24"/>
      <c r="K563" s="127"/>
    </row>
    <row r="564" spans="1:11" x14ac:dyDescent="0.25">
      <c r="A564" s="22">
        <v>46131</v>
      </c>
      <c r="B564" s="23">
        <v>217</v>
      </c>
      <c r="C564" s="49" t="str">
        <f>IF(ISBLANK($B564),"",IFERROR(VLOOKUP($B564,ESTOQUE!$B$2:$D$97168,2,FALSE),"Produto não cadastrado"))</f>
        <v>CONSUMO</v>
      </c>
      <c r="D564" s="69" t="str">
        <f>IF(ISBLANK($B564),"",IFERROR(VLOOKUP($B564,ESTOQUE!$B$2:$M$997973,3,FALSE),"Produto não cadastrado"))</f>
        <v>BOTINA SEGURANÇA METATARSO  40</v>
      </c>
      <c r="E564" s="89" t="str">
        <f>_xlfn.XLOOKUP(B564,ESTOQUE!B:B,ESTOQUE!G:G)</f>
        <v>PAR</v>
      </c>
      <c r="F564" s="88">
        <v>4</v>
      </c>
      <c r="G564" s="90"/>
      <c r="H564" s="91">
        <f t="shared" si="8"/>
        <v>0</v>
      </c>
      <c r="I564" s="71"/>
      <c r="J564" s="24"/>
      <c r="K564" s="127"/>
    </row>
    <row r="565" spans="1:11" x14ac:dyDescent="0.25">
      <c r="A565" s="22">
        <v>46131</v>
      </c>
      <c r="B565" s="23">
        <v>261</v>
      </c>
      <c r="C565" s="49" t="str">
        <f>IF(ISBLANK($B565),"",IFERROR(VLOOKUP($B565,ESTOQUE!$B$2:$D$97168,2,FALSE),"Produto não cadastrado"))</f>
        <v>CONSUMO</v>
      </c>
      <c r="D565" s="69" t="str">
        <f>IF(ISBLANK($B565),"",IFERROR(VLOOKUP($B565,ESTOQUE!$B$2:$M$997973,3,FALSE),"Produto não cadastrado"))</f>
        <v xml:space="preserve">LUVA DE VAQUETA VERDE </v>
      </c>
      <c r="E565" s="89" t="str">
        <f>_xlfn.XLOOKUP(B565,ESTOQUE!B:B,ESTOQUE!G:G)</f>
        <v>PAR</v>
      </c>
      <c r="F565" s="88">
        <v>5</v>
      </c>
      <c r="G565" s="90"/>
      <c r="H565" s="91">
        <f t="shared" ref="H565:H628" si="9">F565*G565</f>
        <v>0</v>
      </c>
      <c r="I565" s="71"/>
      <c r="J565" s="24"/>
      <c r="K565" s="127"/>
    </row>
    <row r="566" spans="1:11" x14ac:dyDescent="0.25">
      <c r="A566" s="22">
        <v>46131</v>
      </c>
      <c r="B566" s="23">
        <v>111</v>
      </c>
      <c r="C566" s="49" t="str">
        <f>IF(ISBLANK($B566),"",IFERROR(VLOOKUP($B566,ESTOQUE!$B$2:$D$97168,2,FALSE),"Produto não cadastrado"))</f>
        <v>CONSUMO</v>
      </c>
      <c r="D566" s="69" t="str">
        <f>IF(ISBLANK($B566),"",IFERROR(VLOOKUP($B566,ESTOQUE!$B$2:$M$997973,3,FALSE),"Produto não cadastrado"))</f>
        <v>LUVA DE VAQUETA MARROM</v>
      </c>
      <c r="E566" s="89" t="str">
        <f>_xlfn.XLOOKUP(B566,ESTOQUE!B:B,ESTOQUE!G:G)</f>
        <v>PAR</v>
      </c>
      <c r="F566" s="88">
        <v>5</v>
      </c>
      <c r="G566" s="90"/>
      <c r="H566" s="91">
        <f t="shared" si="9"/>
        <v>0</v>
      </c>
      <c r="I566" s="71"/>
      <c r="J566" s="24"/>
      <c r="K566" s="127"/>
    </row>
    <row r="567" spans="1:11" x14ac:dyDescent="0.25">
      <c r="A567" s="22">
        <v>46131</v>
      </c>
      <c r="B567" s="23">
        <v>189</v>
      </c>
      <c r="C567" s="49" t="str">
        <f>IF(ISBLANK($B567),"",IFERROR(VLOOKUP($B567,ESTOQUE!$B$2:$D$97168,2,FALSE),"Produto não cadastrado"))</f>
        <v>CONSUMO</v>
      </c>
      <c r="D567" s="69" t="str">
        <f>IF(ISBLANK($B567),"",IFERROR(VLOOKUP($B567,ESTOQUE!$B$2:$M$997973,3,FALSE),"Produto não cadastrado"))</f>
        <v xml:space="preserve">LUVA DE VAQUETA MISTA </v>
      </c>
      <c r="E567" s="89" t="str">
        <f>_xlfn.XLOOKUP(B567,ESTOQUE!B:B,ESTOQUE!G:G)</f>
        <v>UND</v>
      </c>
      <c r="F567" s="88">
        <v>25</v>
      </c>
      <c r="G567" s="90"/>
      <c r="H567" s="91">
        <f t="shared" si="9"/>
        <v>0</v>
      </c>
      <c r="I567" s="71"/>
      <c r="J567" s="24"/>
      <c r="K567" s="127"/>
    </row>
    <row r="568" spans="1:11" x14ac:dyDescent="0.25">
      <c r="A568" s="22">
        <v>46131</v>
      </c>
      <c r="B568" s="23">
        <v>119</v>
      </c>
      <c r="C568" s="49" t="str">
        <f>IF(ISBLANK($B568),"",IFERROR(VLOOKUP($B568,ESTOQUE!$B$2:$D$97168,2,FALSE),"Produto não cadastrado"))</f>
        <v>CONSUMO</v>
      </c>
      <c r="D568" s="69" t="str">
        <f>IF(ISBLANK($B568),"",IFERROR(VLOOKUP($B568,ESTOQUE!$B$2:$M$997973,3,FALSE),"Produto não cadastrado"))</f>
        <v>SUPORTE P/ ACOPLAR PROTETOR FACIAL PRETO</v>
      </c>
      <c r="E568" s="89" t="str">
        <f>_xlfn.XLOOKUP(B568,ESTOQUE!B:B,ESTOQUE!G:G)</f>
        <v>UND</v>
      </c>
      <c r="F568" s="88">
        <v>2</v>
      </c>
      <c r="G568" s="90"/>
      <c r="H568" s="91">
        <f t="shared" si="9"/>
        <v>0</v>
      </c>
      <c r="I568" s="71"/>
      <c r="J568" s="24"/>
      <c r="K568" s="127"/>
    </row>
    <row r="569" spans="1:11" x14ac:dyDescent="0.25">
      <c r="A569" s="22">
        <v>46133</v>
      </c>
      <c r="B569" s="23">
        <v>126</v>
      </c>
      <c r="C569" s="49" t="str">
        <f>IF(ISBLANK($B569),"",IFERROR(VLOOKUP($B569,ESTOQUE!$B$2:$D$97168,2,FALSE),"Produto não cadastrado"))</f>
        <v>CONSUMO</v>
      </c>
      <c r="D569" s="69" t="str">
        <f>IF(ISBLANK($B569),"",IFERROR(VLOOKUP($B569,ESTOQUE!$B$2:$M$997973,3,FALSE),"Produto não cadastrado"))</f>
        <v>OCULOS DE PROTEÇÃO ESCURO</v>
      </c>
      <c r="E569" s="89" t="str">
        <f>_xlfn.XLOOKUP(B569,ESTOQUE!B:B,ESTOQUE!G:G)</f>
        <v>UND</v>
      </c>
      <c r="F569" s="88">
        <v>480</v>
      </c>
      <c r="G569" s="90"/>
      <c r="H569" s="91">
        <f t="shared" si="9"/>
        <v>0</v>
      </c>
      <c r="I569" s="71" t="s">
        <v>299</v>
      </c>
      <c r="J569" s="24"/>
      <c r="K569" s="127"/>
    </row>
    <row r="570" spans="1:11" x14ac:dyDescent="0.25">
      <c r="A570" s="22">
        <v>46133</v>
      </c>
      <c r="B570" s="23">
        <v>124</v>
      </c>
      <c r="C570" s="49" t="str">
        <f>IF(ISBLANK($B570),"",IFERROR(VLOOKUP($B570,ESTOQUE!$B$2:$D$97168,2,FALSE),"Produto não cadastrado"))</f>
        <v>CONSUMO</v>
      </c>
      <c r="D570" s="69" t="str">
        <f>IF(ISBLANK($B570),"",IFERROR(VLOOKUP($B570,ESTOQUE!$B$2:$M$997973,3,FALSE),"Produto não cadastrado"))</f>
        <v xml:space="preserve">OCULOS DE PROTEÇÃO INCOLOR </v>
      </c>
      <c r="E570" s="89" t="str">
        <f>_xlfn.XLOOKUP(B570,ESTOQUE!B:B,ESTOQUE!G:G)</f>
        <v>UND</v>
      </c>
      <c r="F570" s="88">
        <v>360</v>
      </c>
      <c r="G570" s="90"/>
      <c r="H570" s="91">
        <f t="shared" si="9"/>
        <v>0</v>
      </c>
      <c r="I570" s="71" t="s">
        <v>299</v>
      </c>
      <c r="J570" s="24"/>
      <c r="K570" s="127"/>
    </row>
    <row r="571" spans="1:11" x14ac:dyDescent="0.25">
      <c r="A571" s="22">
        <v>46133</v>
      </c>
      <c r="B571" s="23">
        <v>207</v>
      </c>
      <c r="C571" s="49" t="str">
        <f>IF(ISBLANK($B571),"",IFERROR(VLOOKUP($B571,ESTOQUE!$B$2:$D$97168,2,FALSE),"Produto não cadastrado"))</f>
        <v>CONSUMO</v>
      </c>
      <c r="D571" s="69" t="str">
        <f>IF(ISBLANK($B571),"",IFERROR(VLOOKUP($B571,ESTOQUE!$B$2:$M$997973,3,FALSE),"Produto não cadastrado"))</f>
        <v>LUVA POLIESTER ANTICORTE BANHADA PU TAM 9</v>
      </c>
      <c r="E571" s="89" t="str">
        <f>_xlfn.XLOOKUP(B571,ESTOQUE!B:B,ESTOQUE!G:G)</f>
        <v>PAR</v>
      </c>
      <c r="F571" s="88">
        <v>288</v>
      </c>
      <c r="G571" s="92"/>
      <c r="H571" s="91">
        <f t="shared" si="9"/>
        <v>0</v>
      </c>
      <c r="I571" s="71" t="s">
        <v>299</v>
      </c>
      <c r="J571" s="24"/>
      <c r="K571" s="127"/>
    </row>
    <row r="572" spans="1:11" x14ac:dyDescent="0.25">
      <c r="A572" s="22">
        <v>46135</v>
      </c>
      <c r="B572" s="23">
        <v>49</v>
      </c>
      <c r="C572" s="49" t="str">
        <f>IF(ISBLANK($B572),"",IFERROR(VLOOKUP($B572,ESTOQUE!$B$2:$D$97168,2,FALSE),"Produto não cadastrado"))</f>
        <v>CONSUMO</v>
      </c>
      <c r="D572" s="69" t="str">
        <f>IF(ISBLANK($B572),"",IFERROR(VLOOKUP($B572,ESTOQUE!$B$2:$M$997973,3,FALSE),"Produto não cadastrado"))</f>
        <v>CALÇA CINZA OP. C/ FAIXA REFLETIVA TAM: P</v>
      </c>
      <c r="E572" s="89" t="str">
        <f>_xlfn.XLOOKUP(B572,ESTOQUE!B:B,ESTOQUE!G:G)</f>
        <v>UND</v>
      </c>
      <c r="F572" s="88">
        <v>120</v>
      </c>
      <c r="G572" s="92"/>
      <c r="H572" s="91">
        <f t="shared" si="9"/>
        <v>0</v>
      </c>
      <c r="I572" s="71" t="s">
        <v>299</v>
      </c>
      <c r="J572" s="24"/>
      <c r="K572" s="127"/>
    </row>
    <row r="573" spans="1:11" x14ac:dyDescent="0.25">
      <c r="A573" s="22">
        <v>46135</v>
      </c>
      <c r="B573" s="23">
        <v>46</v>
      </c>
      <c r="C573" s="49" t="str">
        <f>IF(ISBLANK($B573),"",IFERROR(VLOOKUP($B573,ESTOQUE!$B$2:$D$97168,2,FALSE),"Produto não cadastrado"))</f>
        <v>CONSUMO</v>
      </c>
      <c r="D573" s="69" t="str">
        <f>IF(ISBLANK($B573),"",IFERROR(VLOOKUP($B573,ESTOQUE!$B$2:$M$997973,3,FALSE),"Produto não cadastrado"))</f>
        <v>CALÇA CINZA OP. C/ FAIXA REFLETIVA TAM: G</v>
      </c>
      <c r="E573" s="89" t="str">
        <f>_xlfn.XLOOKUP(B573,ESTOQUE!B:B,ESTOQUE!G:G)</f>
        <v>UND</v>
      </c>
      <c r="F573" s="88">
        <v>60</v>
      </c>
      <c r="G573" s="92"/>
      <c r="H573" s="91">
        <f t="shared" si="9"/>
        <v>0</v>
      </c>
      <c r="I573" s="71" t="s">
        <v>299</v>
      </c>
      <c r="J573" s="24"/>
      <c r="K573" s="127"/>
    </row>
    <row r="574" spans="1:11" x14ac:dyDescent="0.25">
      <c r="A574" s="22">
        <v>46135</v>
      </c>
      <c r="B574" s="23">
        <v>70</v>
      </c>
      <c r="C574" s="49" t="str">
        <f>IF(ISBLANK($B574),"",IFERROR(VLOOKUP($B574,ESTOQUE!$B$2:$D$97168,2,FALSE),"Produto não cadastrado"))</f>
        <v>CONSUMO</v>
      </c>
      <c r="D574" s="69" t="str">
        <f>IF(ISBLANK($B574),"",IFERROR(VLOOKUP($B574,ESTOQUE!$B$2:$M$997973,3,FALSE),"Produto não cadastrado"))</f>
        <v>CAMISA LARANJA OP. C/ FAIXA REFLETIVA TAM: P</v>
      </c>
      <c r="E574" s="89" t="str">
        <f>_xlfn.XLOOKUP(B574,ESTOQUE!B:B,ESTOQUE!G:G)</f>
        <v>UND</v>
      </c>
      <c r="F574" s="88">
        <v>140</v>
      </c>
      <c r="G574" s="90"/>
      <c r="H574" s="91">
        <f t="shared" si="9"/>
        <v>0</v>
      </c>
      <c r="I574" s="71" t="s">
        <v>299</v>
      </c>
      <c r="J574" s="24"/>
      <c r="K574" s="127"/>
    </row>
    <row r="575" spans="1:11" x14ac:dyDescent="0.25">
      <c r="A575" s="22">
        <v>46139</v>
      </c>
      <c r="B575" s="23">
        <v>219</v>
      </c>
      <c r="C575" s="49" t="str">
        <f>IF(ISBLANK($B575),"",IFERROR(VLOOKUP($B575,ESTOQUE!$B$2:$D$97168,2,FALSE),"Produto não cadastrado"))</f>
        <v>CONSUMO</v>
      </c>
      <c r="D575" s="69" t="str">
        <f>IF(ISBLANK($B575),"",IFERROR(VLOOKUP($B575,ESTOQUE!$B$2:$M$997973,3,FALSE),"Produto não cadastrado"))</f>
        <v>BOTINA SEGURANÇA METATARSO  42</v>
      </c>
      <c r="E575" s="89" t="str">
        <f>_xlfn.XLOOKUP(B575,ESTOQUE!B:B,ESTOQUE!G:G)</f>
        <v>PAR</v>
      </c>
      <c r="F575" s="88">
        <v>20</v>
      </c>
      <c r="G575" s="90"/>
      <c r="H575" s="91">
        <f t="shared" si="9"/>
        <v>0</v>
      </c>
      <c r="I575" s="71" t="s">
        <v>299</v>
      </c>
      <c r="J575" s="24"/>
      <c r="K575" s="127"/>
    </row>
    <row r="576" spans="1:11" x14ac:dyDescent="0.25">
      <c r="A576" s="22">
        <v>46139</v>
      </c>
      <c r="B576" s="23">
        <v>144</v>
      </c>
      <c r="C576" s="49" t="str">
        <f>IF(ISBLANK($B576),"",IFERROR(VLOOKUP($B576,ESTOQUE!$B$2:$D$97168,2,FALSE),"Produto não cadastrado"))</f>
        <v>CONSUMO</v>
      </c>
      <c r="D576" s="69" t="str">
        <f>IF(ISBLANK($B576),"",IFERROR(VLOOKUP($B576,ESTOQUE!$B$2:$M$997973,3,FALSE),"Produto não cadastrado"))</f>
        <v>MASCARA PFF2-S C/ FILTRO</v>
      </c>
      <c r="E576" s="89" t="str">
        <f>_xlfn.XLOOKUP(B576,ESTOQUE!B:B,ESTOQUE!G:G)</f>
        <v>UND</v>
      </c>
      <c r="F576" s="88">
        <v>350</v>
      </c>
      <c r="G576" s="90"/>
      <c r="H576" s="91">
        <f t="shared" si="9"/>
        <v>0</v>
      </c>
      <c r="I576" s="71" t="s">
        <v>299</v>
      </c>
      <c r="J576" s="24"/>
      <c r="K576" s="127"/>
    </row>
    <row r="577" spans="1:11" x14ac:dyDescent="0.25">
      <c r="A577" s="22">
        <v>46139</v>
      </c>
      <c r="B577" s="23">
        <v>135</v>
      </c>
      <c r="C577" s="49" t="str">
        <f>IF(ISBLANK($B577),"",IFERROR(VLOOKUP($B577,ESTOQUE!$B$2:$D$97168,2,FALSE),"Produto não cadastrado"))</f>
        <v>CONSUMO</v>
      </c>
      <c r="D577" s="69" t="str">
        <f>IF(ISBLANK($B577),"",IFERROR(VLOOKUP($B577,ESTOQUE!$B$2:$M$997973,3,FALSE),"Produto não cadastrado"))</f>
        <v>TALABARTE DUPLO TIPO Y</v>
      </c>
      <c r="E577" s="89" t="str">
        <f>_xlfn.XLOOKUP(B577,ESTOQUE!B:B,ESTOQUE!G:G)</f>
        <v>UND</v>
      </c>
      <c r="F577" s="88">
        <v>20</v>
      </c>
      <c r="G577" s="90"/>
      <c r="H577" s="91">
        <f t="shared" si="9"/>
        <v>0</v>
      </c>
      <c r="I577" s="71" t="s">
        <v>299</v>
      </c>
      <c r="J577" s="24"/>
      <c r="K577" s="127"/>
    </row>
    <row r="578" spans="1:11" x14ac:dyDescent="0.25">
      <c r="A578" s="22">
        <v>46142</v>
      </c>
      <c r="B578" s="23">
        <v>46</v>
      </c>
      <c r="C578" s="49" t="str">
        <f>IF(ISBLANK($B578),"",IFERROR(VLOOKUP($B578,ESTOQUE!$B$2:$D$97168,2,FALSE),"Produto não cadastrado"))</f>
        <v>CONSUMO</v>
      </c>
      <c r="D578" s="69" t="str">
        <f>IF(ISBLANK($B578),"",IFERROR(VLOOKUP($B578,ESTOQUE!$B$2:$M$997973,3,FALSE),"Produto não cadastrado"))</f>
        <v>CALÇA CINZA OP. C/ FAIXA REFLETIVA TAM: G</v>
      </c>
      <c r="E578" s="89" t="str">
        <f>_xlfn.XLOOKUP(B578,ESTOQUE!B:B,ESTOQUE!G:G)</f>
        <v>UND</v>
      </c>
      <c r="F578" s="88">
        <v>241</v>
      </c>
      <c r="G578" s="90"/>
      <c r="H578" s="91">
        <f t="shared" si="9"/>
        <v>0</v>
      </c>
      <c r="I578" s="71"/>
      <c r="J578" s="24"/>
      <c r="K578" s="127"/>
    </row>
    <row r="579" spans="1:11" x14ac:dyDescent="0.25">
      <c r="A579" s="22">
        <v>46142</v>
      </c>
      <c r="B579" s="23">
        <v>48</v>
      </c>
      <c r="C579" s="49" t="str">
        <f>IF(ISBLANK($B579),"",IFERROR(VLOOKUP($B579,ESTOQUE!$B$2:$D$97168,2,FALSE),"Produto não cadastrado"))</f>
        <v>CONSUMO</v>
      </c>
      <c r="D579" s="69" t="str">
        <f>IF(ISBLANK($B579),"",IFERROR(VLOOKUP($B579,ESTOQUE!$B$2:$M$997973,3,FALSE),"Produto não cadastrado"))</f>
        <v>CALÇA CINZA OP. C/ FAIXA REFLETIVA TAM: M</v>
      </c>
      <c r="E579" s="89" t="str">
        <f>_xlfn.XLOOKUP(B579,ESTOQUE!B:B,ESTOQUE!G:G)</f>
        <v>UND</v>
      </c>
      <c r="F579" s="88">
        <v>200</v>
      </c>
      <c r="G579" s="92"/>
      <c r="H579" s="91">
        <f t="shared" si="9"/>
        <v>0</v>
      </c>
      <c r="I579" s="71"/>
      <c r="J579" s="24"/>
      <c r="K579" s="127"/>
    </row>
    <row r="580" spans="1:11" x14ac:dyDescent="0.25">
      <c r="A580" s="22">
        <v>46142</v>
      </c>
      <c r="B580" s="23">
        <v>49</v>
      </c>
      <c r="C580" s="49" t="str">
        <f>IF(ISBLANK($B580),"",IFERROR(VLOOKUP($B580,ESTOQUE!$B$2:$D$97168,2,FALSE),"Produto não cadastrado"))</f>
        <v>CONSUMO</v>
      </c>
      <c r="D580" s="69" t="str">
        <f>IF(ISBLANK($B580),"",IFERROR(VLOOKUP($B580,ESTOQUE!$B$2:$M$997973,3,FALSE),"Produto não cadastrado"))</f>
        <v>CALÇA CINZA OP. C/ FAIXA REFLETIVA TAM: P</v>
      </c>
      <c r="E580" s="89" t="str">
        <f>_xlfn.XLOOKUP(B580,ESTOQUE!B:B,ESTOQUE!G:G)</f>
        <v>UND</v>
      </c>
      <c r="F580" s="88">
        <v>100</v>
      </c>
      <c r="G580" s="92"/>
      <c r="H580" s="91">
        <f t="shared" si="9"/>
        <v>0</v>
      </c>
      <c r="I580" s="71"/>
      <c r="J580" s="24"/>
      <c r="K580" s="127"/>
    </row>
    <row r="581" spans="1:11" x14ac:dyDescent="0.25">
      <c r="A581" s="22">
        <v>46142</v>
      </c>
      <c r="B581" s="23">
        <v>70</v>
      </c>
      <c r="C581" s="49" t="str">
        <f>IF(ISBLANK($B581),"",IFERROR(VLOOKUP($B581,ESTOQUE!$B$2:$D$97168,2,FALSE),"Produto não cadastrado"))</f>
        <v>CONSUMO</v>
      </c>
      <c r="D581" s="69" t="str">
        <f>IF(ISBLANK($B581),"",IFERROR(VLOOKUP($B581,ESTOQUE!$B$2:$M$997973,3,FALSE),"Produto não cadastrado"))</f>
        <v>CAMISA LARANJA OP. C/ FAIXA REFLETIVA TAM: P</v>
      </c>
      <c r="E581" s="89" t="str">
        <f>_xlfn.XLOOKUP(B581,ESTOQUE!B:B,ESTOQUE!G:G)</f>
        <v>UND</v>
      </c>
      <c r="F581" s="88">
        <v>50</v>
      </c>
      <c r="G581" s="90"/>
      <c r="H581" s="91">
        <f t="shared" si="9"/>
        <v>0</v>
      </c>
      <c r="I581" s="71"/>
      <c r="J581" s="24"/>
      <c r="K581" s="127"/>
    </row>
    <row r="582" spans="1:11" x14ac:dyDescent="0.25">
      <c r="A582" s="22">
        <v>46142</v>
      </c>
      <c r="B582" s="23">
        <v>69</v>
      </c>
      <c r="C582" s="49" t="str">
        <f>IF(ISBLANK($B582),"",IFERROR(VLOOKUP($B582,ESTOQUE!$B$2:$D$97168,2,FALSE),"Produto não cadastrado"))</f>
        <v>CONSUMO</v>
      </c>
      <c r="D582" s="69" t="str">
        <f>IF(ISBLANK($B582),"",IFERROR(VLOOKUP($B582,ESTOQUE!$B$2:$M$997973,3,FALSE),"Produto não cadastrado"))</f>
        <v>CAMISA LARANJA OP. C/ FAIXA REFLETIVA TAM: M</v>
      </c>
      <c r="E582" s="89" t="str">
        <f>_xlfn.XLOOKUP(B582,ESTOQUE!B:B,ESTOQUE!G:G)</f>
        <v>UND</v>
      </c>
      <c r="F582" s="88">
        <v>50</v>
      </c>
      <c r="G582" s="90"/>
      <c r="H582" s="91">
        <f t="shared" si="9"/>
        <v>0</v>
      </c>
      <c r="I582" s="71"/>
      <c r="J582" s="24"/>
      <c r="K582" s="127"/>
    </row>
    <row r="583" spans="1:11" x14ac:dyDescent="0.25">
      <c r="A583" s="22">
        <v>46142</v>
      </c>
      <c r="B583" s="23">
        <v>67</v>
      </c>
      <c r="C583" s="49" t="str">
        <f>IF(ISBLANK($B583),"",IFERROR(VLOOKUP($B583,ESTOQUE!$B$2:$D$97168,2,FALSE),"Produto não cadastrado"))</f>
        <v>CONSUMO</v>
      </c>
      <c r="D583" s="69" t="str">
        <f>IF(ISBLANK($B583),"",IFERROR(VLOOKUP($B583,ESTOQUE!$B$2:$M$997973,3,FALSE),"Produto não cadastrado"))</f>
        <v>CAMISA LARANJA OP. C/ FAIXA REFLETIVA TAM: G</v>
      </c>
      <c r="E583" s="89" t="str">
        <f>_xlfn.XLOOKUP(B583,ESTOQUE!B:B,ESTOQUE!G:G)</f>
        <v>UND</v>
      </c>
      <c r="F583" s="88">
        <v>50</v>
      </c>
      <c r="G583" s="90"/>
      <c r="H583" s="91">
        <f t="shared" si="9"/>
        <v>0</v>
      </c>
      <c r="I583" s="71"/>
      <c r="J583" s="24"/>
      <c r="K583" s="127"/>
    </row>
    <row r="584" spans="1:11" x14ac:dyDescent="0.25">
      <c r="A584" s="22">
        <v>46142</v>
      </c>
      <c r="B584" s="23">
        <v>216</v>
      </c>
      <c r="C584" s="49" t="str">
        <f>IF(ISBLANK($B584),"",IFERROR(VLOOKUP($B584,ESTOQUE!$B$2:$D$97168,2,FALSE),"Produto não cadastrado"))</f>
        <v>CONSUMO</v>
      </c>
      <c r="D584" s="69" t="str">
        <f>IF(ISBLANK($B584),"",IFERROR(VLOOKUP($B584,ESTOQUE!$B$2:$M$997973,3,FALSE),"Produto não cadastrado"))</f>
        <v>BOTINA SEGURANÇA METATARSO  39</v>
      </c>
      <c r="E584" s="89" t="str">
        <f>_xlfn.XLOOKUP(B584,ESTOQUE!B:B,ESTOQUE!G:G)</f>
        <v>PAR</v>
      </c>
      <c r="F584" s="88">
        <v>20</v>
      </c>
      <c r="G584" s="90"/>
      <c r="H584" s="91">
        <f t="shared" si="9"/>
        <v>0</v>
      </c>
      <c r="I584" s="71"/>
      <c r="J584" s="24"/>
      <c r="K584" s="127"/>
    </row>
    <row r="585" spans="1:11" x14ac:dyDescent="0.25">
      <c r="A585" s="22">
        <v>46142</v>
      </c>
      <c r="B585" s="23">
        <v>118</v>
      </c>
      <c r="C585" s="49" t="str">
        <f>IF(ISBLANK($B585),"",IFERROR(VLOOKUP($B585,ESTOQUE!$B$2:$D$97168,2,FALSE),"Produto não cadastrado"))</f>
        <v>CONSUMO</v>
      </c>
      <c r="D585" s="69" t="str">
        <f>IF(ISBLANK($B585),"",IFERROR(VLOOKUP($B585,ESTOQUE!$B$2:$M$997973,3,FALSE),"Produto não cadastrado"))</f>
        <v>MACACÃO DE PROTEÇÃO TYVEK</v>
      </c>
      <c r="E585" s="89" t="str">
        <f>_xlfn.XLOOKUP(B585,ESTOQUE!B:B,ESTOQUE!G:G)</f>
        <v>UND</v>
      </c>
      <c r="F585" s="88">
        <v>250</v>
      </c>
      <c r="G585" s="90"/>
      <c r="H585" s="91">
        <f t="shared" si="9"/>
        <v>0</v>
      </c>
      <c r="I585" s="71"/>
      <c r="J585" s="24"/>
      <c r="K585" s="127"/>
    </row>
    <row r="586" spans="1:11" x14ac:dyDescent="0.25">
      <c r="A586" s="22">
        <v>46142</v>
      </c>
      <c r="B586" s="23">
        <v>128</v>
      </c>
      <c r="C586" s="49" t="str">
        <f>IF(ISBLANK($B586),"",IFERROR(VLOOKUP($B586,ESTOQUE!$B$2:$D$97168,2,FALSE),"Produto não cadastrado"))</f>
        <v>CONSUMO</v>
      </c>
      <c r="D586" s="69" t="str">
        <f>IF(ISBLANK($B586),"",IFERROR(VLOOKUP($B586,ESTOQUE!$B$2:$M$997973,3,FALSE),"Produto não cadastrado"))</f>
        <v>PERNEIRA PVC C/ VELCRO</v>
      </c>
      <c r="E586" s="89" t="str">
        <f>_xlfn.XLOOKUP(B586,ESTOQUE!B:B,ESTOQUE!G:G)</f>
        <v>PAR</v>
      </c>
      <c r="F586" s="88">
        <v>20</v>
      </c>
      <c r="G586" s="90"/>
      <c r="H586" s="91">
        <f t="shared" si="9"/>
        <v>0</v>
      </c>
      <c r="I586" s="71"/>
      <c r="J586" s="24"/>
      <c r="K586" s="127"/>
    </row>
    <row r="587" spans="1:11" x14ac:dyDescent="0.25">
      <c r="A587" s="22">
        <v>46142</v>
      </c>
      <c r="B587" s="23">
        <v>211</v>
      </c>
      <c r="C587" s="49" t="str">
        <f>IF(ISBLANK($B587),"",IFERROR(VLOOKUP($B587,ESTOQUE!$B$2:$D$97168,2,FALSE),"Produto não cadastrado"))</f>
        <v>CONSUMO</v>
      </c>
      <c r="D587" s="69" t="str">
        <f>IF(ISBLANK($B587),"",IFERROR(VLOOKUP($B587,ESTOQUE!$B$2:$M$997973,3,FALSE),"Produto não cadastrado"))</f>
        <v>RESPIRADOR SEMIFACIAL T 9500</v>
      </c>
      <c r="E587" s="89" t="str">
        <f>_xlfn.XLOOKUP(B587,ESTOQUE!B:B,ESTOQUE!G:G)</f>
        <v>UND</v>
      </c>
      <c r="F587" s="88">
        <v>60</v>
      </c>
      <c r="G587" s="92"/>
      <c r="H587" s="91">
        <f t="shared" si="9"/>
        <v>0</v>
      </c>
      <c r="I587" s="71"/>
      <c r="J587" s="24"/>
      <c r="K587" s="127"/>
    </row>
    <row r="588" spans="1:11" x14ac:dyDescent="0.25">
      <c r="A588" s="22">
        <v>46147</v>
      </c>
      <c r="B588" s="23">
        <v>216</v>
      </c>
      <c r="C588" s="49" t="str">
        <f>IF(ISBLANK($B588),"",IFERROR(VLOOKUP($B588,ESTOQUE!$B$2:$D$97168,2,FALSE),"Produto não cadastrado"))</f>
        <v>CONSUMO</v>
      </c>
      <c r="D588" s="69" t="str">
        <f>IF(ISBLANK($B588),"",IFERROR(VLOOKUP($B588,ESTOQUE!$B$2:$M$997973,3,FALSE),"Produto não cadastrado"))</f>
        <v>BOTINA SEGURANÇA METATARSO  39</v>
      </c>
      <c r="E588" s="89" t="str">
        <f>_xlfn.XLOOKUP(B588,ESTOQUE!B:B,ESTOQUE!G:G)</f>
        <v>PAR</v>
      </c>
      <c r="F588" s="88">
        <v>10</v>
      </c>
      <c r="G588" s="92"/>
      <c r="H588" s="91">
        <f t="shared" si="9"/>
        <v>0</v>
      </c>
      <c r="I588" s="71"/>
      <c r="J588" s="24"/>
      <c r="K588" s="127"/>
    </row>
    <row r="589" spans="1:11" x14ac:dyDescent="0.25">
      <c r="A589" s="22">
        <v>46147</v>
      </c>
      <c r="B589" s="23">
        <v>219</v>
      </c>
      <c r="C589" s="49" t="str">
        <f>IF(ISBLANK($B589),"",IFERROR(VLOOKUP($B589,ESTOQUE!$B$2:$D$97168,2,FALSE),"Produto não cadastrado"))</f>
        <v>CONSUMO</v>
      </c>
      <c r="D589" s="69" t="str">
        <f>IF(ISBLANK($B589),"",IFERROR(VLOOKUP($B589,ESTOQUE!$B$2:$M$997973,3,FALSE),"Produto não cadastrado"))</f>
        <v>BOTINA SEGURANÇA METATARSO  42</v>
      </c>
      <c r="E589" s="89" t="str">
        <f>_xlfn.XLOOKUP(B589,ESTOQUE!B:B,ESTOQUE!G:G)</f>
        <v>PAR</v>
      </c>
      <c r="F589" s="88">
        <v>10</v>
      </c>
      <c r="G589" s="90"/>
      <c r="H589" s="91">
        <f t="shared" si="9"/>
        <v>0</v>
      </c>
      <c r="I589" s="71"/>
      <c r="J589" s="24"/>
      <c r="K589" s="127"/>
    </row>
    <row r="590" spans="1:11" x14ac:dyDescent="0.25">
      <c r="A590" s="22">
        <v>46147</v>
      </c>
      <c r="B590" s="23">
        <v>97</v>
      </c>
      <c r="C590" s="49" t="str">
        <f>IF(ISBLANK($B590),"",IFERROR(VLOOKUP($B590,ESTOQUE!$B$2:$D$97168,2,FALSE),"Produto não cadastrado"))</f>
        <v>CONSUMO</v>
      </c>
      <c r="D590" s="69" t="str">
        <f>IF(ISBLANK($B590),"",IFERROR(VLOOKUP($B590,ESTOQUE!$B$2:$M$997973,3,FALSE),"Produto não cadastrado"))</f>
        <v>COLETE REFLETIVO LARANJA M</v>
      </c>
      <c r="E590" s="89" t="str">
        <f>_xlfn.XLOOKUP(B590,ESTOQUE!B:B,ESTOQUE!G:G)</f>
        <v>UND</v>
      </c>
      <c r="F590" s="88">
        <v>50</v>
      </c>
      <c r="G590" s="90"/>
      <c r="H590" s="91">
        <f t="shared" si="9"/>
        <v>0</v>
      </c>
      <c r="I590" s="71"/>
      <c r="J590" s="24"/>
      <c r="K590" s="127"/>
    </row>
    <row r="591" spans="1:11" x14ac:dyDescent="0.25">
      <c r="A591" s="22">
        <v>46155</v>
      </c>
      <c r="B591" s="23">
        <v>141</v>
      </c>
      <c r="C591" s="49" t="s">
        <v>19</v>
      </c>
      <c r="D591" s="69" t="str">
        <f>IF(ISBLANK($B591),"",IFERROR(VLOOKUP($B591,ESTOQUE!$B$2:$M$997973,3,FALSE),"Produto não cadastrado"))</f>
        <v xml:space="preserve">LUVA DE VAQUETA </v>
      </c>
      <c r="E591" s="89" t="str">
        <f>_xlfn.XLOOKUP(B591,ESTOQUE!B:B,ESTOQUE!G:G)</f>
        <v>PAR</v>
      </c>
      <c r="F591" s="88">
        <v>400</v>
      </c>
      <c r="G591" s="90"/>
      <c r="H591" s="91">
        <f t="shared" si="9"/>
        <v>0</v>
      </c>
      <c r="I591" s="71"/>
      <c r="J591" s="24"/>
      <c r="K591" s="127"/>
    </row>
    <row r="592" spans="1:11" x14ac:dyDescent="0.25">
      <c r="A592" s="22">
        <v>46155</v>
      </c>
      <c r="B592" s="23">
        <v>267</v>
      </c>
      <c r="C592" s="49" t="str">
        <f>IF(ISBLANK($B592),"",IFERROR(VLOOKUP($B592,ESTOQUE!$B$2:$D$97168,2,FALSE),"Produto não cadastrado"))</f>
        <v>CONSUMO</v>
      </c>
      <c r="D592" s="69" t="str">
        <f>IF(ISBLANK($B592),"",IFERROR(VLOOKUP($B592,ESTOQUE!$B$2:$M$997973,3,FALSE),"Produto não cadastrado"))</f>
        <v>LUVA POLIESTER ANTICORTE CANO LONGO</v>
      </c>
      <c r="E592" s="89" t="str">
        <f>_xlfn.XLOOKUP(B592,ESTOQUE!B:B,ESTOQUE!G:G)</f>
        <v>UND</v>
      </c>
      <c r="F592" s="88">
        <v>432</v>
      </c>
      <c r="G592" s="90"/>
      <c r="H592" s="91">
        <f t="shared" si="9"/>
        <v>0</v>
      </c>
      <c r="I592" s="71"/>
      <c r="J592" s="24"/>
      <c r="K592" s="127"/>
    </row>
    <row r="593" spans="1:11" x14ac:dyDescent="0.25">
      <c r="A593" s="22">
        <v>46155</v>
      </c>
      <c r="B593" s="23">
        <v>114</v>
      </c>
      <c r="C593" s="49" t="str">
        <f>IF(ISBLANK($B593),"",IFERROR(VLOOKUP($B593,ESTOQUE!$B$2:$D$97168,2,FALSE),"Produto não cadastrado"))</f>
        <v>CONSUMO</v>
      </c>
      <c r="D593" s="69" t="str">
        <f>IF(ISBLANK($B593),"",IFERROR(VLOOKUP($B593,ESTOQUE!$B$2:$M$997973,3,FALSE),"Produto não cadastrado"))</f>
        <v xml:space="preserve">LUVA LATEX NITRILICA </v>
      </c>
      <c r="E593" s="89" t="str">
        <f>_xlfn.XLOOKUP(B593,ESTOQUE!B:B,ESTOQUE!G:G)</f>
        <v>PAR</v>
      </c>
      <c r="F593" s="88">
        <v>432</v>
      </c>
      <c r="G593" s="90"/>
      <c r="H593" s="91">
        <f t="shared" si="9"/>
        <v>0</v>
      </c>
      <c r="I593" s="71"/>
      <c r="J593" s="24"/>
      <c r="K593" s="127"/>
    </row>
    <row r="594" spans="1:11" x14ac:dyDescent="0.25">
      <c r="A594" s="22">
        <v>46155</v>
      </c>
      <c r="B594" s="23">
        <v>144</v>
      </c>
      <c r="C594" s="49" t="str">
        <f>IF(ISBLANK($B594),"",IFERROR(VLOOKUP($B594,ESTOQUE!$B$2:$D$97168,2,FALSE),"Produto não cadastrado"))</f>
        <v>CONSUMO</v>
      </c>
      <c r="D594" s="69" t="str">
        <f>IF(ISBLANK($B594),"",IFERROR(VLOOKUP($B594,ESTOQUE!$B$2:$M$997973,3,FALSE),"Produto não cadastrado"))</f>
        <v>MASCARA PFF2-S C/ FILTRO</v>
      </c>
      <c r="E594" s="89" t="str">
        <f>_xlfn.XLOOKUP(B594,ESTOQUE!B:B,ESTOQUE!G:G)</f>
        <v>UND</v>
      </c>
      <c r="F594" s="88">
        <v>350</v>
      </c>
      <c r="G594" s="90"/>
      <c r="H594" s="91">
        <f t="shared" si="9"/>
        <v>0</v>
      </c>
      <c r="I594" s="71"/>
      <c r="J594" s="24"/>
      <c r="K594" s="127"/>
    </row>
    <row r="595" spans="1:11" x14ac:dyDescent="0.25">
      <c r="A595" s="22">
        <v>46155</v>
      </c>
      <c r="B595" s="23">
        <v>217</v>
      </c>
      <c r="C595" s="49" t="str">
        <f>IF(ISBLANK($B595),"",IFERROR(VLOOKUP($B595,ESTOQUE!$B$2:$D$97168,2,FALSE),"Produto não cadastrado"))</f>
        <v>CONSUMO</v>
      </c>
      <c r="D595" s="69" t="str">
        <f>IF(ISBLANK($B595),"",IFERROR(VLOOKUP($B595,ESTOQUE!$B$2:$M$997973,3,FALSE),"Produto não cadastrado"))</f>
        <v>BOTINA SEGURANÇA METATARSO  40</v>
      </c>
      <c r="E595" s="89" t="str">
        <f>_xlfn.XLOOKUP(B595,ESTOQUE!B:B,ESTOQUE!G:G)</f>
        <v>PAR</v>
      </c>
      <c r="F595" s="88">
        <v>36</v>
      </c>
      <c r="G595" s="90"/>
      <c r="H595" s="91">
        <f t="shared" si="9"/>
        <v>0</v>
      </c>
      <c r="I595" s="71"/>
      <c r="J595" s="24"/>
      <c r="K595" s="127"/>
    </row>
    <row r="596" spans="1:11" x14ac:dyDescent="0.25">
      <c r="A596" s="22">
        <v>46156</v>
      </c>
      <c r="B596" s="23">
        <v>144</v>
      </c>
      <c r="C596" s="49" t="str">
        <f>IF(ISBLANK($B596),"",IFERROR(VLOOKUP($B596,ESTOQUE!$B$2:$D$97168,2,FALSE),"Produto não cadastrado"))</f>
        <v>CONSUMO</v>
      </c>
      <c r="D596" s="69" t="str">
        <f>IF(ISBLANK($B596),"",IFERROR(VLOOKUP($B596,ESTOQUE!$B$2:$M$997973,3,FALSE),"Produto não cadastrado"))</f>
        <v>MASCARA PFF2-S C/ FILTRO</v>
      </c>
      <c r="E596" s="89" t="str">
        <f>_xlfn.XLOOKUP(B596,ESTOQUE!B:B,ESTOQUE!G:G)</f>
        <v>UND</v>
      </c>
      <c r="F596" s="88">
        <v>1500</v>
      </c>
      <c r="G596" s="90"/>
      <c r="H596" s="91">
        <f t="shared" si="9"/>
        <v>0</v>
      </c>
      <c r="I596" s="71"/>
      <c r="J596" s="24"/>
      <c r="K596" s="127"/>
    </row>
    <row r="597" spans="1:11" x14ac:dyDescent="0.25">
      <c r="A597" s="22">
        <v>46156</v>
      </c>
      <c r="B597" s="23">
        <v>126</v>
      </c>
      <c r="C597" s="49" t="str">
        <f>IF(ISBLANK($B597),"",IFERROR(VLOOKUP($B597,ESTOQUE!$B$2:$D$97168,2,FALSE),"Produto não cadastrado"))</f>
        <v>CONSUMO</v>
      </c>
      <c r="D597" s="69" t="str">
        <f>IF(ISBLANK($B597),"",IFERROR(VLOOKUP($B597,ESTOQUE!$B$2:$M$997973,3,FALSE),"Produto não cadastrado"))</f>
        <v>OCULOS DE PROTEÇÃO ESCURO</v>
      </c>
      <c r="E597" s="89" t="str">
        <f>_xlfn.XLOOKUP(B597,ESTOQUE!B:B,ESTOQUE!G:G)</f>
        <v>UND</v>
      </c>
      <c r="F597" s="88">
        <v>240</v>
      </c>
      <c r="G597" s="90"/>
      <c r="H597" s="91">
        <f t="shared" si="9"/>
        <v>0</v>
      </c>
      <c r="I597" s="71"/>
      <c r="J597" s="24"/>
      <c r="K597" s="127"/>
    </row>
    <row r="598" spans="1:11" x14ac:dyDescent="0.25">
      <c r="A598" s="22">
        <v>46156</v>
      </c>
      <c r="B598" s="23">
        <v>114</v>
      </c>
      <c r="C598" s="49" t="str">
        <f>IF(ISBLANK($B598),"",IFERROR(VLOOKUP($B598,ESTOQUE!$B$2:$D$97168,2,FALSE),"Produto não cadastrado"))</f>
        <v>CONSUMO</v>
      </c>
      <c r="D598" s="69" t="str">
        <f>IF(ISBLANK($B598),"",IFERROR(VLOOKUP($B598,ESTOQUE!$B$2:$M$997973,3,FALSE),"Produto não cadastrado"))</f>
        <v xml:space="preserve">LUVA LATEX NITRILICA </v>
      </c>
      <c r="E598" s="89" t="str">
        <f>_xlfn.XLOOKUP(B598,ESTOQUE!B:B,ESTOQUE!G:G)</f>
        <v>PAR</v>
      </c>
      <c r="F598" s="88">
        <v>140</v>
      </c>
      <c r="G598" s="90"/>
      <c r="H598" s="91">
        <f t="shared" si="9"/>
        <v>0</v>
      </c>
      <c r="I598" s="71"/>
      <c r="J598" s="24"/>
      <c r="K598" s="127"/>
    </row>
    <row r="599" spans="1:11" x14ac:dyDescent="0.25">
      <c r="A599" s="22">
        <v>46156</v>
      </c>
      <c r="B599" s="23">
        <v>267</v>
      </c>
      <c r="C599" s="49" t="str">
        <f>IF(ISBLANK($B599),"",IFERROR(VLOOKUP($B599,ESTOQUE!$B$2:$D$97168,2,FALSE),"Produto não cadastrado"))</f>
        <v>CONSUMO</v>
      </c>
      <c r="D599" s="69" t="str">
        <f>IF(ISBLANK($B599),"",IFERROR(VLOOKUP($B599,ESTOQUE!$B$2:$M$997973,3,FALSE),"Produto não cadastrado"))</f>
        <v>LUVA POLIESTER ANTICORTE CANO LONGO</v>
      </c>
      <c r="E599" s="89" t="str">
        <f>_xlfn.XLOOKUP(B599,ESTOQUE!B:B,ESTOQUE!G:G)</f>
        <v>UND</v>
      </c>
      <c r="F599" s="88">
        <v>240</v>
      </c>
      <c r="G599" s="90"/>
      <c r="H599" s="91">
        <f t="shared" si="9"/>
        <v>0</v>
      </c>
      <c r="I599" s="71"/>
      <c r="J599" s="24"/>
      <c r="K599" s="127"/>
    </row>
    <row r="600" spans="1:11" x14ac:dyDescent="0.25">
      <c r="A600" s="22">
        <v>46156</v>
      </c>
      <c r="B600" s="23">
        <v>216</v>
      </c>
      <c r="C600" s="49" t="str">
        <f>IF(ISBLANK($B600),"",IFERROR(VLOOKUP($B600,ESTOQUE!$B$2:$D$97168,2,FALSE),"Produto não cadastrado"))</f>
        <v>CONSUMO</v>
      </c>
      <c r="D600" s="69" t="str">
        <f>IF(ISBLANK($B600),"",IFERROR(VLOOKUP($B600,ESTOQUE!$B$2:$M$997973,3,FALSE),"Produto não cadastrado"))</f>
        <v>BOTINA SEGURANÇA METATARSO  39</v>
      </c>
      <c r="E600" s="89" t="str">
        <f>_xlfn.XLOOKUP(B600,ESTOQUE!B:B,ESTOQUE!G:G)</f>
        <v>PAR</v>
      </c>
      <c r="F600" s="88">
        <v>30</v>
      </c>
      <c r="G600" s="90"/>
      <c r="H600" s="91">
        <f t="shared" si="9"/>
        <v>0</v>
      </c>
      <c r="I600" s="71"/>
      <c r="J600" s="24"/>
      <c r="K600" s="127"/>
    </row>
    <row r="601" spans="1:11" x14ac:dyDescent="0.25">
      <c r="A601" s="22">
        <v>46156</v>
      </c>
      <c r="B601" s="23">
        <v>110</v>
      </c>
      <c r="C601" s="49" t="str">
        <f>IF(ISBLANK($B601),"",IFERROR(VLOOKUP($B601,ESTOQUE!$B$2:$D$97168,2,FALSE),"Produto não cadastrado"))</f>
        <v>CONSUMO</v>
      </c>
      <c r="D601" s="69" t="str">
        <f>IF(ISBLANK($B601),"",IFERROR(VLOOKUP($B601,ESTOQUE!$B$2:$M$997973,3,FALSE),"Produto não cadastrado"))</f>
        <v>LUVA DE RASPA CANO LONGO</v>
      </c>
      <c r="E601" s="89" t="str">
        <f>_xlfn.XLOOKUP(B601,ESTOQUE!B:B,ESTOQUE!G:G)</f>
        <v>PAR</v>
      </c>
      <c r="F601" s="88">
        <v>200</v>
      </c>
      <c r="G601" s="90"/>
      <c r="H601" s="91">
        <f t="shared" si="9"/>
        <v>0</v>
      </c>
      <c r="I601" s="71"/>
      <c r="J601" s="24"/>
      <c r="K601" s="127"/>
    </row>
    <row r="602" spans="1:11" x14ac:dyDescent="0.25">
      <c r="A602" s="22">
        <v>46156</v>
      </c>
      <c r="B602" s="23">
        <v>69</v>
      </c>
      <c r="C602" s="49" t="str">
        <f>IF(ISBLANK($B602),"",IFERROR(VLOOKUP($B602,ESTOQUE!$B$2:$D$97168,2,FALSE),"Produto não cadastrado"))</f>
        <v>CONSUMO</v>
      </c>
      <c r="D602" s="69" t="str">
        <f>IF(ISBLANK($B602),"",IFERROR(VLOOKUP($B602,ESTOQUE!$B$2:$M$997973,3,FALSE),"Produto não cadastrado"))</f>
        <v>CAMISA LARANJA OP. C/ FAIXA REFLETIVA TAM: M</v>
      </c>
      <c r="E602" s="89" t="str">
        <f>_xlfn.XLOOKUP(B602,ESTOQUE!B:B,ESTOQUE!G:G)</f>
        <v>UND</v>
      </c>
      <c r="F602" s="88">
        <v>20</v>
      </c>
      <c r="G602" s="90"/>
      <c r="H602" s="91">
        <f t="shared" si="9"/>
        <v>0</v>
      </c>
      <c r="I602" s="71"/>
      <c r="J602" s="24"/>
      <c r="K602" s="127"/>
    </row>
    <row r="603" spans="1:11" x14ac:dyDescent="0.25">
      <c r="A603" s="22">
        <v>46163</v>
      </c>
      <c r="B603" s="23">
        <v>36</v>
      </c>
      <c r="C603" s="49" t="s">
        <v>19</v>
      </c>
      <c r="D603" s="69" t="str">
        <f>IF(ISBLANK($B603),"",IFERROR(VLOOKUP($B603,ESTOQUE!$B$2:$M$997973,3,FALSE),"Produto não cadastrado"))</f>
        <v>BOTINA OP. BICO PVC Nº 38</v>
      </c>
      <c r="E603" s="89" t="str">
        <f>_xlfn.XLOOKUP(B603,ESTOQUE!B:B,ESTOQUE!G:G)</f>
        <v>PAR</v>
      </c>
      <c r="F603" s="88">
        <v>10</v>
      </c>
      <c r="G603" s="92"/>
      <c r="H603" s="91">
        <f t="shared" si="9"/>
        <v>0</v>
      </c>
      <c r="I603" s="71"/>
      <c r="J603" s="24"/>
      <c r="K603" s="127"/>
    </row>
    <row r="604" spans="1:11" x14ac:dyDescent="0.25">
      <c r="A604" s="22">
        <v>46163</v>
      </c>
      <c r="B604" s="23">
        <v>126</v>
      </c>
      <c r="C604" s="49" t="str">
        <f>IF(ISBLANK($B604),"",IFERROR(VLOOKUP($B604,ESTOQUE!$B$2:$D$97168,2,FALSE),"Produto não cadastrado"))</f>
        <v>CONSUMO</v>
      </c>
      <c r="D604" s="69" t="str">
        <f>IF(ISBLANK($B604),"",IFERROR(VLOOKUP($B604,ESTOQUE!$B$2:$M$997973,3,FALSE),"Produto não cadastrado"))</f>
        <v>OCULOS DE PROTEÇÃO ESCURO</v>
      </c>
      <c r="E604" s="89" t="str">
        <f>_xlfn.XLOOKUP(B604,ESTOQUE!B:B,ESTOQUE!G:G)</f>
        <v>UND</v>
      </c>
      <c r="F604" s="88">
        <v>120</v>
      </c>
      <c r="G604" s="92"/>
      <c r="H604" s="91">
        <f t="shared" si="9"/>
        <v>0</v>
      </c>
      <c r="I604" s="71"/>
      <c r="J604" s="24"/>
      <c r="K604" s="127"/>
    </row>
    <row r="605" spans="1:11" x14ac:dyDescent="0.25">
      <c r="A605" s="22">
        <v>46163</v>
      </c>
      <c r="B605" s="23">
        <v>144</v>
      </c>
      <c r="C605" s="49" t="str">
        <f>IF(ISBLANK($B605),"",IFERROR(VLOOKUP($B605,ESTOQUE!$B$2:$D$97168,2,FALSE),"Produto não cadastrado"))</f>
        <v>CONSUMO</v>
      </c>
      <c r="D605" s="69" t="str">
        <f>IF(ISBLANK($B605),"",IFERROR(VLOOKUP($B605,ESTOQUE!$B$2:$M$997973,3,FALSE),"Produto não cadastrado"))</f>
        <v>MASCARA PFF2-S C/ FILTRO</v>
      </c>
      <c r="E605" s="89" t="str">
        <f>_xlfn.XLOOKUP(B605,ESTOQUE!B:B,ESTOQUE!G:G)</f>
        <v>UND</v>
      </c>
      <c r="F605" s="88">
        <v>200</v>
      </c>
      <c r="G605" s="90"/>
      <c r="H605" s="91">
        <f t="shared" si="9"/>
        <v>0</v>
      </c>
      <c r="I605" s="71"/>
      <c r="J605" s="24"/>
      <c r="K605" s="127"/>
    </row>
    <row r="606" spans="1:11" x14ac:dyDescent="0.25">
      <c r="A606" s="22">
        <v>46163</v>
      </c>
      <c r="B606" s="23">
        <v>118</v>
      </c>
      <c r="C606" s="49" t="str">
        <f>IF(ISBLANK($B606),"",IFERROR(VLOOKUP($B606,ESTOQUE!$B$2:$D$97168,2,FALSE),"Produto não cadastrado"))</f>
        <v>CONSUMO</v>
      </c>
      <c r="D606" s="69" t="str">
        <f>IF(ISBLANK($B606),"",IFERROR(VLOOKUP($B606,ESTOQUE!$B$2:$M$997973,3,FALSE),"Produto não cadastrado"))</f>
        <v>MACACÃO DE PROTEÇÃO TYVEK</v>
      </c>
      <c r="E606" s="89" t="str">
        <f>_xlfn.XLOOKUP(B606,ESTOQUE!B:B,ESTOQUE!G:G)</f>
        <v>UND</v>
      </c>
      <c r="F606" s="88">
        <v>50</v>
      </c>
      <c r="G606" s="92"/>
      <c r="H606" s="91">
        <f t="shared" si="9"/>
        <v>0</v>
      </c>
      <c r="I606" s="71"/>
      <c r="J606" s="24"/>
      <c r="K606" s="127"/>
    </row>
    <row r="607" spans="1:11" x14ac:dyDescent="0.25">
      <c r="A607" s="22">
        <v>46165</v>
      </c>
      <c r="B607" s="23">
        <v>40</v>
      </c>
      <c r="C607" s="49" t="str">
        <f>IF(ISBLANK($B607),"",IFERROR(VLOOKUP($B607,ESTOQUE!$B$2:$D$97168,2,FALSE),"Produto não cadastrado"))</f>
        <v>CONSUMO</v>
      </c>
      <c r="D607" s="69" t="str">
        <f>IF(ISBLANK($B607),"",IFERROR(VLOOKUP($B607,ESTOQUE!$B$2:$M$997973,3,FALSE),"Produto não cadastrado"))</f>
        <v>BOTINA OP. BICO PVC Nº 42</v>
      </c>
      <c r="E607" s="89" t="str">
        <f>_xlfn.XLOOKUP(B607,ESTOQUE!B:B,ESTOQUE!G:G)</f>
        <v>PAR</v>
      </c>
      <c r="F607" s="88">
        <v>20</v>
      </c>
      <c r="G607" s="90"/>
      <c r="H607" s="91">
        <f t="shared" si="9"/>
        <v>0</v>
      </c>
      <c r="I607" s="71"/>
      <c r="J607" s="24"/>
      <c r="K607" s="127"/>
    </row>
    <row r="608" spans="1:11" x14ac:dyDescent="0.25">
      <c r="A608" s="22">
        <v>46167</v>
      </c>
      <c r="B608" s="23">
        <v>67</v>
      </c>
      <c r="C608" s="49" t="str">
        <f>IF(ISBLANK($B608),"",IFERROR(VLOOKUP($B608,ESTOQUE!$B$2:$D$97168,2,FALSE),"Produto não cadastrado"))</f>
        <v>CONSUMO</v>
      </c>
      <c r="D608" s="69" t="str">
        <f>IF(ISBLANK($B608),"",IFERROR(VLOOKUP($B608,ESTOQUE!$B$2:$M$997973,3,FALSE),"Produto não cadastrado"))</f>
        <v>CAMISA LARANJA OP. C/ FAIXA REFLETIVA TAM: G</v>
      </c>
      <c r="E608" s="89" t="str">
        <f>_xlfn.XLOOKUP(B608,ESTOQUE!B:B,ESTOQUE!G:G)</f>
        <v>UND</v>
      </c>
      <c r="F608" s="88">
        <v>30</v>
      </c>
      <c r="G608" s="90"/>
      <c r="H608" s="91">
        <f t="shared" si="9"/>
        <v>0</v>
      </c>
      <c r="I608" s="71"/>
      <c r="J608" s="24"/>
      <c r="K608" s="127"/>
    </row>
    <row r="609" spans="1:11" x14ac:dyDescent="0.25">
      <c r="A609" s="22">
        <v>46167</v>
      </c>
      <c r="B609" s="23">
        <v>69</v>
      </c>
      <c r="C609" s="49" t="str">
        <f>IF(ISBLANK($B609),"",IFERROR(VLOOKUP($B609,ESTOQUE!$B$2:$D$97168,2,FALSE),"Produto não cadastrado"))</f>
        <v>CONSUMO</v>
      </c>
      <c r="D609" s="69" t="str">
        <f>IF(ISBLANK($B609),"",IFERROR(VLOOKUP($B609,ESTOQUE!$B$2:$M$997973,3,FALSE),"Produto não cadastrado"))</f>
        <v>CAMISA LARANJA OP. C/ FAIXA REFLETIVA TAM: M</v>
      </c>
      <c r="E609" s="89" t="str">
        <f>_xlfn.XLOOKUP(B609,ESTOQUE!B:B,ESTOQUE!G:G)</f>
        <v>UND</v>
      </c>
      <c r="F609" s="88">
        <v>80</v>
      </c>
      <c r="G609" s="90"/>
      <c r="H609" s="91">
        <f t="shared" si="9"/>
        <v>0</v>
      </c>
      <c r="I609" s="71"/>
      <c r="J609" s="24"/>
      <c r="K609" s="127"/>
    </row>
    <row r="610" spans="1:11" x14ac:dyDescent="0.25">
      <c r="A610" s="22">
        <v>46167</v>
      </c>
      <c r="B610" s="23">
        <v>142</v>
      </c>
      <c r="C610" s="49" t="str">
        <f>IF(ISBLANK($B610),"",IFERROR(VLOOKUP($B610,ESTOQUE!$B$2:$D$97168,2,FALSE),"Produto não cadastrado"))</f>
        <v>CONSUMO</v>
      </c>
      <c r="D610" s="69" t="str">
        <f>IF(ISBLANK($B610),"",IFERROR(VLOOKUP($B610,ESTOQUE!$B$2:$M$997973,3,FALSE),"Produto não cadastrado"))</f>
        <v>TRAVA QUEDA P/ CABO DE AÇO 8mm</v>
      </c>
      <c r="E610" s="89" t="str">
        <f>_xlfn.XLOOKUP(B610,ESTOQUE!B:B,ESTOQUE!G:G)</f>
        <v>UND</v>
      </c>
      <c r="F610" s="88">
        <v>11</v>
      </c>
      <c r="G610" s="90"/>
      <c r="H610" s="91">
        <f t="shared" si="9"/>
        <v>0</v>
      </c>
      <c r="I610" s="71"/>
      <c r="J610" s="24"/>
      <c r="K610" s="127"/>
    </row>
    <row r="611" spans="1:11" x14ac:dyDescent="0.25">
      <c r="A611" s="22">
        <v>46167</v>
      </c>
      <c r="B611" s="23">
        <v>118</v>
      </c>
      <c r="C611" s="49" t="str">
        <f>IF(ISBLANK($B611),"",IFERROR(VLOOKUP($B611,ESTOQUE!$B$2:$D$97168,2,FALSE),"Produto não cadastrado"))</f>
        <v>CONSUMO</v>
      </c>
      <c r="D611" s="69" t="str">
        <f>IF(ISBLANK($B611),"",IFERROR(VLOOKUP($B611,ESTOQUE!$B$2:$M$997973,3,FALSE),"Produto não cadastrado"))</f>
        <v>MACACÃO DE PROTEÇÃO TYVEK</v>
      </c>
      <c r="E611" s="89" t="str">
        <f>_xlfn.XLOOKUP(B611,ESTOQUE!B:B,ESTOQUE!G:G)</f>
        <v>UND</v>
      </c>
      <c r="F611" s="88">
        <v>50</v>
      </c>
      <c r="G611" s="90"/>
      <c r="H611" s="91">
        <f t="shared" si="9"/>
        <v>0</v>
      </c>
      <c r="I611" s="71"/>
      <c r="J611" s="24"/>
      <c r="K611" s="127"/>
    </row>
    <row r="612" spans="1:11" x14ac:dyDescent="0.25">
      <c r="A612" s="22">
        <v>46168</v>
      </c>
      <c r="B612" s="23">
        <v>194</v>
      </c>
      <c r="C612" s="49" t="str">
        <f>IF(ISBLANK($B612),"",IFERROR(VLOOKUP($B612,ESTOQUE!$B$2:$D$97168,2,FALSE),"Produto não cadastrado"))</f>
        <v>CONSUMO</v>
      </c>
      <c r="D612" s="69" t="str">
        <f>IF(ISBLANK($B612),"",IFERROR(VLOOKUP($B612,ESTOQUE!$B$2:$M$997973,3,FALSE),"Produto não cadastrado"))</f>
        <v>VISEIRA ACOPLADA</v>
      </c>
      <c r="E612" s="89" t="str">
        <f>_xlfn.XLOOKUP(B612,ESTOQUE!B:B,ESTOQUE!G:G)</f>
        <v>UND</v>
      </c>
      <c r="F612" s="88">
        <v>10</v>
      </c>
      <c r="G612" s="90"/>
      <c r="H612" s="91">
        <f t="shared" si="9"/>
        <v>0</v>
      </c>
      <c r="I612" s="71"/>
      <c r="J612" s="24"/>
      <c r="K612" s="127"/>
    </row>
    <row r="613" spans="1:11" x14ac:dyDescent="0.25">
      <c r="A613" s="22">
        <v>46172</v>
      </c>
      <c r="B613" s="23">
        <v>207</v>
      </c>
      <c r="C613" s="49" t="str">
        <f>IF(ISBLANK($B613),"",IFERROR(VLOOKUP($B613,ESTOQUE!$B$2:$D$97168,2,FALSE),"Produto não cadastrado"))</f>
        <v>CONSUMO</v>
      </c>
      <c r="D613" s="69" t="str">
        <f>IF(ISBLANK($B613),"",IFERROR(VLOOKUP($B613,ESTOQUE!$B$2:$M$997973,3,FALSE),"Produto não cadastrado"))</f>
        <v>LUVA POLIESTER ANTICORTE BANHADA PU TAM 9</v>
      </c>
      <c r="E613" s="89" t="str">
        <f>_xlfn.XLOOKUP(B613,ESTOQUE!B:B,ESTOQUE!G:G)</f>
        <v>PAR</v>
      </c>
      <c r="F613" s="88">
        <v>298</v>
      </c>
      <c r="G613" s="90"/>
      <c r="H613" s="91">
        <f t="shared" si="9"/>
        <v>0</v>
      </c>
      <c r="I613" s="71"/>
      <c r="J613" s="24"/>
      <c r="K613" s="127"/>
    </row>
    <row r="614" spans="1:11" x14ac:dyDescent="0.25">
      <c r="A614" s="22">
        <v>46174</v>
      </c>
      <c r="B614" s="23">
        <v>118</v>
      </c>
      <c r="C614" s="49" t="str">
        <f>IF(ISBLANK($B614),"",IFERROR(VLOOKUP($B614,ESTOQUE!$B$2:$D$97168,2,FALSE),"Produto não cadastrado"))</f>
        <v>CONSUMO</v>
      </c>
      <c r="D614" s="69" t="str">
        <f>IF(ISBLANK($B614),"",IFERROR(VLOOKUP($B614,ESTOQUE!$B$2:$M$997973,3,FALSE),"Produto não cadastrado"))</f>
        <v>MACACÃO DE PROTEÇÃO TYVEK</v>
      </c>
      <c r="E614" s="89" t="str">
        <f>_xlfn.XLOOKUP(B614,ESTOQUE!B:B,ESTOQUE!G:G)</f>
        <v>UND</v>
      </c>
      <c r="F614" s="88">
        <v>75</v>
      </c>
      <c r="G614" s="90"/>
      <c r="H614" s="91">
        <f t="shared" si="9"/>
        <v>0</v>
      </c>
      <c r="I614" s="71"/>
      <c r="J614" s="24"/>
      <c r="K614" s="127"/>
    </row>
    <row r="615" spans="1:11" x14ac:dyDescent="0.25">
      <c r="A615" s="22">
        <v>46174</v>
      </c>
      <c r="B615" s="23">
        <v>48</v>
      </c>
      <c r="C615" s="49" t="str">
        <f>IF(ISBLANK($B615),"",IFERROR(VLOOKUP($B615,ESTOQUE!$B$2:$D$97168,2,FALSE),"Produto não cadastrado"))</f>
        <v>CONSUMO</v>
      </c>
      <c r="D615" s="69" t="str">
        <f>IF(ISBLANK($B615),"",IFERROR(VLOOKUP($B615,ESTOQUE!$B$2:$M$997973,3,FALSE),"Produto não cadastrado"))</f>
        <v>CALÇA CINZA OP. C/ FAIXA REFLETIVA TAM: M</v>
      </c>
      <c r="E615" s="89" t="str">
        <f>_xlfn.XLOOKUP(B615,ESTOQUE!B:B,ESTOQUE!G:G)</f>
        <v>UND</v>
      </c>
      <c r="F615" s="88">
        <v>20</v>
      </c>
      <c r="G615" s="90"/>
      <c r="H615" s="91">
        <f t="shared" si="9"/>
        <v>0</v>
      </c>
      <c r="I615" s="71"/>
      <c r="J615" s="24"/>
      <c r="K615" s="127"/>
    </row>
    <row r="616" spans="1:11" x14ac:dyDescent="0.25">
      <c r="A616" s="22">
        <v>46174</v>
      </c>
      <c r="B616" s="23">
        <v>126</v>
      </c>
      <c r="C616" s="49" t="str">
        <f>IF(ISBLANK($B616),"",IFERROR(VLOOKUP($B616,ESTOQUE!$B$2:$D$97168,2,FALSE),"Produto não cadastrado"))</f>
        <v>CONSUMO</v>
      </c>
      <c r="D616" s="69" t="str">
        <f>IF(ISBLANK($B616),"",IFERROR(VLOOKUP($B616,ESTOQUE!$B$2:$M$997973,3,FALSE),"Produto não cadastrado"))</f>
        <v>OCULOS DE PROTEÇÃO ESCURO</v>
      </c>
      <c r="E616" s="89" t="str">
        <f>_xlfn.XLOOKUP(B616,ESTOQUE!B:B,ESTOQUE!G:G)</f>
        <v>UND</v>
      </c>
      <c r="F616" s="88">
        <v>10</v>
      </c>
      <c r="G616" s="90"/>
      <c r="H616" s="91">
        <f t="shared" si="9"/>
        <v>0</v>
      </c>
      <c r="I616" s="71"/>
      <c r="J616" s="24"/>
      <c r="K616" s="127"/>
    </row>
    <row r="617" spans="1:11" x14ac:dyDescent="0.25">
      <c r="A617" s="22">
        <v>46174</v>
      </c>
      <c r="B617" s="23">
        <v>43</v>
      </c>
      <c r="C617" s="49" t="str">
        <f>IF(ISBLANK($B617),"",IFERROR(VLOOKUP($B617,ESTOQUE!$B$2:$D$97168,2,FALSE),"Produto não cadastrado"))</f>
        <v>CONSUMO</v>
      </c>
      <c r="D617" s="69" t="str">
        <f>IF(ISBLANK($B617),"",IFERROR(VLOOKUP($B617,ESTOQUE!$B$2:$M$997973,3,FALSE),"Produto não cadastrado"))</f>
        <v>BOTINA OP. BICO PVC Nº 45</v>
      </c>
      <c r="E617" s="89" t="str">
        <f>_xlfn.XLOOKUP(B617,ESTOQUE!B:B,ESTOQUE!G:G)</f>
        <v>PAR</v>
      </c>
      <c r="F617" s="88">
        <v>5</v>
      </c>
      <c r="G617" s="90"/>
      <c r="H617" s="91">
        <f t="shared" si="9"/>
        <v>0</v>
      </c>
      <c r="I617" s="71"/>
      <c r="J617" s="24"/>
      <c r="K617" s="127"/>
    </row>
    <row r="618" spans="1:11" x14ac:dyDescent="0.25">
      <c r="A618" s="22">
        <v>46174</v>
      </c>
      <c r="B618" s="23">
        <v>37</v>
      </c>
      <c r="C618" s="49" t="str">
        <f>IF(ISBLANK($B618),"",IFERROR(VLOOKUP($B618,ESTOQUE!$B$2:$D$97168,2,FALSE),"Produto não cadastrado"))</f>
        <v>CONSUMO</v>
      </c>
      <c r="D618" s="69" t="str">
        <f>IF(ISBLANK($B618),"",IFERROR(VLOOKUP($B618,ESTOQUE!$B$2:$M$997973,3,FALSE),"Produto não cadastrado"))</f>
        <v>BOTINA OP. BICO PVC Nº 39</v>
      </c>
      <c r="E618" s="89" t="str">
        <f>_xlfn.XLOOKUP(B618,ESTOQUE!B:B,ESTOQUE!G:G)</f>
        <v>PAR</v>
      </c>
      <c r="F618" s="88">
        <v>10</v>
      </c>
      <c r="G618" s="90"/>
      <c r="H618" s="91">
        <f t="shared" si="9"/>
        <v>0</v>
      </c>
      <c r="I618" s="71"/>
      <c r="J618" s="24"/>
      <c r="K618" s="127"/>
    </row>
    <row r="619" spans="1:11" x14ac:dyDescent="0.25">
      <c r="A619" s="22">
        <v>46174</v>
      </c>
      <c r="B619" s="23">
        <v>40</v>
      </c>
      <c r="C619" s="49" t="str">
        <f>IF(ISBLANK($B619),"",IFERROR(VLOOKUP($B619,ESTOQUE!$B$2:$D$97168,2,FALSE),"Produto não cadastrado"))</f>
        <v>CONSUMO</v>
      </c>
      <c r="D619" s="69" t="str">
        <f>IF(ISBLANK($B619),"",IFERROR(VLOOKUP($B619,ESTOQUE!$B$2:$M$997973,3,FALSE),"Produto não cadastrado"))</f>
        <v>BOTINA OP. BICO PVC Nº 42</v>
      </c>
      <c r="E619" s="89" t="str">
        <f>_xlfn.XLOOKUP(B619,ESTOQUE!B:B,ESTOQUE!G:G)</f>
        <v>PAR</v>
      </c>
      <c r="F619" s="88">
        <v>10</v>
      </c>
      <c r="G619" s="90"/>
      <c r="H619" s="91">
        <f t="shared" si="9"/>
        <v>0</v>
      </c>
      <c r="I619" s="71"/>
      <c r="J619" s="24"/>
      <c r="K619" s="127"/>
    </row>
    <row r="620" spans="1:11" x14ac:dyDescent="0.25">
      <c r="A620" s="22">
        <v>46174</v>
      </c>
      <c r="B620" s="23">
        <v>48</v>
      </c>
      <c r="C620" s="49" t="str">
        <f>IF(ISBLANK($B620),"",IFERROR(VLOOKUP($B620,ESTOQUE!$B$2:$D$97168,2,FALSE),"Produto não cadastrado"))</f>
        <v>CONSUMO</v>
      </c>
      <c r="D620" s="69" t="str">
        <f>IF(ISBLANK($B620),"",IFERROR(VLOOKUP($B620,ESTOQUE!$B$2:$M$997973,3,FALSE),"Produto não cadastrado"))</f>
        <v>CALÇA CINZA OP. C/ FAIXA REFLETIVA TAM: M</v>
      </c>
      <c r="E620" s="89" t="str">
        <f>_xlfn.XLOOKUP(B620,ESTOQUE!B:B,ESTOQUE!G:G)</f>
        <v>UND</v>
      </c>
      <c r="F620" s="88">
        <v>20</v>
      </c>
      <c r="G620" s="90"/>
      <c r="H620" s="91">
        <f t="shared" si="9"/>
        <v>0</v>
      </c>
      <c r="I620" s="71"/>
      <c r="J620" s="24"/>
      <c r="K620" s="127"/>
    </row>
    <row r="621" spans="1:11" x14ac:dyDescent="0.25">
      <c r="A621" s="22">
        <v>46174</v>
      </c>
      <c r="B621" s="23">
        <v>69</v>
      </c>
      <c r="C621" s="49" t="str">
        <f>IF(ISBLANK($B621),"",IFERROR(VLOOKUP($B621,ESTOQUE!$B$2:$D$97168,2,FALSE),"Produto não cadastrado"))</f>
        <v>CONSUMO</v>
      </c>
      <c r="D621" s="69" t="str">
        <f>IF(ISBLANK($B621),"",IFERROR(VLOOKUP($B621,ESTOQUE!$B$2:$M$997973,3,FALSE),"Produto não cadastrado"))</f>
        <v>CAMISA LARANJA OP. C/ FAIXA REFLETIVA TAM: M</v>
      </c>
      <c r="E621" s="89" t="str">
        <f>_xlfn.XLOOKUP(B621,ESTOQUE!B:B,ESTOQUE!G:G)</f>
        <v>UND</v>
      </c>
      <c r="F621" s="88">
        <v>20</v>
      </c>
      <c r="G621" s="90"/>
      <c r="H621" s="91">
        <f t="shared" si="9"/>
        <v>0</v>
      </c>
      <c r="I621" s="71"/>
      <c r="J621" s="24"/>
      <c r="K621" s="127"/>
    </row>
    <row r="622" spans="1:11" x14ac:dyDescent="0.25">
      <c r="A622" s="22">
        <v>46174</v>
      </c>
      <c r="B622" s="23">
        <v>21</v>
      </c>
      <c r="C622" s="49" t="str">
        <f>IF(ISBLANK($B622),"",IFERROR(VLOOKUP($B622,ESTOQUE!$B$2:$D$97168,2,FALSE),"Produto não cadastrado"))</f>
        <v>CONSUMO</v>
      </c>
      <c r="D622" s="69" t="str">
        <f>IF(ISBLANK($B622),"",IFERROR(VLOOKUP($B622,ESTOQUE!$B$2:$M$997973,3,FALSE),"Produto não cadastrado"))</f>
        <v>BOTA PVC CANO MEDIO Nº 42</v>
      </c>
      <c r="E622" s="89" t="str">
        <f>_xlfn.XLOOKUP(B622,ESTOQUE!B:B,ESTOQUE!G:G)</f>
        <v>PAR</v>
      </c>
      <c r="F622" s="88">
        <v>12</v>
      </c>
      <c r="G622" s="90"/>
      <c r="H622" s="91">
        <f t="shared" si="9"/>
        <v>0</v>
      </c>
      <c r="I622" s="71"/>
      <c r="J622" s="24"/>
      <c r="K622" s="127"/>
    </row>
    <row r="623" spans="1:11" x14ac:dyDescent="0.25">
      <c r="A623" s="22">
        <v>46184</v>
      </c>
      <c r="B623" s="23">
        <v>118</v>
      </c>
      <c r="C623" s="49" t="str">
        <f>IF(ISBLANK($B623),"",IFERROR(VLOOKUP($B623,ESTOQUE!$B$2:$D$97168,2,FALSE),"Produto não cadastrado"))</f>
        <v>CONSUMO</v>
      </c>
      <c r="D623" s="69" t="str">
        <f>IF(ISBLANK($B623),"",IFERROR(VLOOKUP($B623,ESTOQUE!$B$2:$M$997973,3,FALSE),"Produto não cadastrado"))</f>
        <v>MACACÃO DE PROTEÇÃO TYVEK</v>
      </c>
      <c r="E623" s="89" t="str">
        <f>_xlfn.XLOOKUP(B623,ESTOQUE!B:B,ESTOQUE!G:G)</f>
        <v>UND</v>
      </c>
      <c r="F623" s="88">
        <v>220</v>
      </c>
      <c r="G623" s="90"/>
      <c r="H623" s="91">
        <f t="shared" si="9"/>
        <v>0</v>
      </c>
      <c r="I623" s="71"/>
      <c r="J623" s="24"/>
      <c r="K623" s="127"/>
    </row>
    <row r="624" spans="1:11" x14ac:dyDescent="0.25">
      <c r="A624" s="22"/>
      <c r="B624" s="23"/>
      <c r="C624" s="49" t="str">
        <f>IF(ISBLANK($B624),"",IFERROR(VLOOKUP($B624,ESTOQUE!$B$2:$D$97168,2,FALSE),"Produto não cadastrado"))</f>
        <v/>
      </c>
      <c r="D624" s="69" t="str">
        <f>IF(ISBLANK($B624),"",IFERROR(VLOOKUP($B624,ESTOQUE!$B$2:$M$997973,3,FALSE),"Produto não cadastrado"))</f>
        <v/>
      </c>
      <c r="E624" s="89">
        <f>_xlfn.XLOOKUP(B624,ESTOQUE!B:B,ESTOQUE!G:G)</f>
        <v>0</v>
      </c>
      <c r="F624" s="88"/>
      <c r="G624" s="90"/>
      <c r="H624" s="91">
        <f t="shared" si="9"/>
        <v>0</v>
      </c>
      <c r="I624" s="71"/>
      <c r="J624" s="24"/>
      <c r="K624" s="127"/>
    </row>
    <row r="625" spans="1:11" x14ac:dyDescent="0.25">
      <c r="A625" s="22"/>
      <c r="B625" s="23"/>
      <c r="C625" s="49" t="str">
        <f>IF(ISBLANK($B625),"",IFERROR(VLOOKUP($B625,ESTOQUE!$B$2:$D$97168,2,FALSE),"Produto não cadastrado"))</f>
        <v/>
      </c>
      <c r="D625" s="69" t="str">
        <f>IF(ISBLANK($B625),"",IFERROR(VLOOKUP($B625,ESTOQUE!$B$2:$M$997973,3,FALSE),"Produto não cadastrado"))</f>
        <v/>
      </c>
      <c r="E625" s="89">
        <f>_xlfn.XLOOKUP(B625,ESTOQUE!B:B,ESTOQUE!G:G)</f>
        <v>0</v>
      </c>
      <c r="F625" s="88"/>
      <c r="G625" s="90"/>
      <c r="H625" s="91">
        <f t="shared" si="9"/>
        <v>0</v>
      </c>
      <c r="I625" s="71"/>
      <c r="J625" s="24"/>
      <c r="K625" s="127"/>
    </row>
    <row r="626" spans="1:11" x14ac:dyDescent="0.25">
      <c r="A626" s="22"/>
      <c r="B626" s="23"/>
      <c r="C626" s="49" t="str">
        <f>IF(ISBLANK($B626),"",IFERROR(VLOOKUP($B626,ESTOQUE!$B$2:$D$97168,2,FALSE),"Produto não cadastrado"))</f>
        <v/>
      </c>
      <c r="D626" s="69" t="str">
        <f>IF(ISBLANK($B626),"",IFERROR(VLOOKUP($B626,ESTOQUE!$B$2:$M$997973,3,FALSE),"Produto não cadastrado"))</f>
        <v/>
      </c>
      <c r="E626" s="89">
        <f>_xlfn.XLOOKUP(B626,ESTOQUE!B:B,ESTOQUE!G:G)</f>
        <v>0</v>
      </c>
      <c r="F626" s="88"/>
      <c r="G626" s="90"/>
      <c r="H626" s="91">
        <f t="shared" si="9"/>
        <v>0</v>
      </c>
      <c r="I626" s="71"/>
      <c r="J626" s="24"/>
      <c r="K626" s="127"/>
    </row>
    <row r="627" spans="1:11" x14ac:dyDescent="0.25">
      <c r="A627" s="22"/>
      <c r="B627" s="23"/>
      <c r="C627" s="49" t="str">
        <f>IF(ISBLANK($B627),"",IFERROR(VLOOKUP($B627,ESTOQUE!$B$2:$D$97168,2,FALSE),"Produto não cadastrado"))</f>
        <v/>
      </c>
      <c r="D627" s="69" t="str">
        <f>IF(ISBLANK($B627),"",IFERROR(VLOOKUP($B627,ESTOQUE!$B$2:$M$997973,3,FALSE),"Produto não cadastrado"))</f>
        <v/>
      </c>
      <c r="E627" s="89">
        <f>_xlfn.XLOOKUP(B627,ESTOQUE!B:B,ESTOQUE!G:G)</f>
        <v>0</v>
      </c>
      <c r="F627" s="88"/>
      <c r="G627" s="90"/>
      <c r="H627" s="91">
        <f t="shared" si="9"/>
        <v>0</v>
      </c>
      <c r="I627" s="71"/>
      <c r="J627" s="24"/>
      <c r="K627" s="127"/>
    </row>
    <row r="628" spans="1:11" x14ac:dyDescent="0.25">
      <c r="A628" s="22"/>
      <c r="B628" s="23"/>
      <c r="C628" s="49" t="str">
        <f>IF(ISBLANK($B628),"",IFERROR(VLOOKUP($B628,ESTOQUE!$B$2:$D$97168,2,FALSE),"Produto não cadastrado"))</f>
        <v/>
      </c>
      <c r="D628" s="69" t="str">
        <f>IF(ISBLANK($B628),"",IFERROR(VLOOKUP($B628,ESTOQUE!$B$2:$M$997973,3,FALSE),"Produto não cadastrado"))</f>
        <v/>
      </c>
      <c r="E628" s="89">
        <f>_xlfn.XLOOKUP(B628,ESTOQUE!B:B,ESTOQUE!G:G)</f>
        <v>0</v>
      </c>
      <c r="F628" s="88"/>
      <c r="G628" s="90"/>
      <c r="H628" s="91">
        <f t="shared" si="9"/>
        <v>0</v>
      </c>
      <c r="I628" s="71"/>
      <c r="J628" s="24"/>
      <c r="K628" s="127"/>
    </row>
    <row r="629" spans="1:11" x14ac:dyDescent="0.25">
      <c r="A629" s="22"/>
      <c r="B629" s="23"/>
      <c r="C629" s="49" t="str">
        <f>IF(ISBLANK($B629),"",IFERROR(VLOOKUP($B629,ESTOQUE!$B$2:$D$97168,2,FALSE),"Produto não cadastrado"))</f>
        <v/>
      </c>
      <c r="D629" s="69" t="str">
        <f>IF(ISBLANK($B629),"",IFERROR(VLOOKUP($B629,ESTOQUE!$B$2:$M$997973,3,FALSE),"Produto não cadastrado"))</f>
        <v/>
      </c>
      <c r="E629" s="89">
        <f>_xlfn.XLOOKUP(B629,ESTOQUE!B:B,ESTOQUE!G:G)</f>
        <v>0</v>
      </c>
      <c r="F629" s="88"/>
      <c r="G629" s="90"/>
      <c r="H629" s="91">
        <f t="shared" ref="H629:H692" si="10">F629*G629</f>
        <v>0</v>
      </c>
      <c r="I629" s="71"/>
      <c r="J629" s="24"/>
      <c r="K629" s="127"/>
    </row>
    <row r="630" spans="1:11" x14ac:dyDescent="0.25">
      <c r="A630" s="22"/>
      <c r="B630" s="23"/>
      <c r="C630" s="49" t="str">
        <f>IF(ISBLANK($B630),"",IFERROR(VLOOKUP($B630,ESTOQUE!$B$2:$D$97168,2,FALSE),"Produto não cadastrado"))</f>
        <v/>
      </c>
      <c r="D630" s="69" t="str">
        <f>IF(ISBLANK($B630),"",IFERROR(VLOOKUP($B630,ESTOQUE!$B$2:$M$997973,3,FALSE),"Produto não cadastrado"))</f>
        <v/>
      </c>
      <c r="E630" s="89">
        <f>_xlfn.XLOOKUP(B630,ESTOQUE!B:B,ESTOQUE!G:G)</f>
        <v>0</v>
      </c>
      <c r="F630" s="88"/>
      <c r="G630" s="90"/>
      <c r="H630" s="91">
        <f t="shared" si="10"/>
        <v>0</v>
      </c>
      <c r="I630" s="71"/>
      <c r="J630" s="24"/>
      <c r="K630" s="127"/>
    </row>
    <row r="631" spans="1:11" x14ac:dyDescent="0.25">
      <c r="A631" s="22"/>
      <c r="B631" s="23"/>
      <c r="C631" s="49" t="str">
        <f>IF(ISBLANK($B631),"",IFERROR(VLOOKUP($B631,ESTOQUE!$B$2:$D$97168,2,FALSE),"Produto não cadastrado"))</f>
        <v/>
      </c>
      <c r="D631" s="69" t="str">
        <f>IF(ISBLANK($B631),"",IFERROR(VLOOKUP($B631,ESTOQUE!$B$2:$M$997973,3,FALSE),"Produto não cadastrado"))</f>
        <v/>
      </c>
      <c r="E631" s="89">
        <f>_xlfn.XLOOKUP(B631,ESTOQUE!B:B,ESTOQUE!G:G)</f>
        <v>0</v>
      </c>
      <c r="F631" s="88"/>
      <c r="G631" s="90"/>
      <c r="H631" s="91">
        <f t="shared" si="10"/>
        <v>0</v>
      </c>
      <c r="I631" s="71"/>
      <c r="J631" s="24"/>
      <c r="K631" s="127"/>
    </row>
    <row r="632" spans="1:11" x14ac:dyDescent="0.25">
      <c r="A632" s="22"/>
      <c r="B632" s="23"/>
      <c r="C632" s="49" t="str">
        <f>IF(ISBLANK($B632),"",IFERROR(VLOOKUP($B632,ESTOQUE!$B$2:$D$97168,2,FALSE),"Produto não cadastrado"))</f>
        <v/>
      </c>
      <c r="D632" s="69" t="str">
        <f>IF(ISBLANK($B632),"",IFERROR(VLOOKUP($B632,ESTOQUE!$B$2:$M$997973,3,FALSE),"Produto não cadastrado"))</f>
        <v/>
      </c>
      <c r="E632" s="89">
        <f>_xlfn.XLOOKUP(B632,ESTOQUE!B:B,ESTOQUE!G:G)</f>
        <v>0</v>
      </c>
      <c r="F632" s="88"/>
      <c r="G632" s="90"/>
      <c r="H632" s="91">
        <f t="shared" si="10"/>
        <v>0</v>
      </c>
      <c r="I632" s="71"/>
      <c r="J632" s="24"/>
      <c r="K632" s="127"/>
    </row>
    <row r="633" spans="1:11" x14ac:dyDescent="0.25">
      <c r="A633" s="22"/>
      <c r="B633" s="23"/>
      <c r="C633" s="49" t="str">
        <f>IF(ISBLANK($B633),"",IFERROR(VLOOKUP($B633,ESTOQUE!$B$2:$D$97168,2,FALSE),"Produto não cadastrado"))</f>
        <v/>
      </c>
      <c r="D633" s="69" t="str">
        <f>IF(ISBLANK($B633),"",IFERROR(VLOOKUP($B633,ESTOQUE!$B$2:$M$997973,3,FALSE),"Produto não cadastrado"))</f>
        <v/>
      </c>
      <c r="E633" s="89">
        <f>_xlfn.XLOOKUP(B633,ESTOQUE!B:B,ESTOQUE!G:G)</f>
        <v>0</v>
      </c>
      <c r="F633" s="88"/>
      <c r="G633" s="90"/>
      <c r="H633" s="91">
        <f t="shared" si="10"/>
        <v>0</v>
      </c>
      <c r="I633" s="71"/>
      <c r="J633" s="24"/>
      <c r="K633" s="127"/>
    </row>
    <row r="634" spans="1:11" x14ac:dyDescent="0.25">
      <c r="A634" s="22"/>
      <c r="B634" s="23"/>
      <c r="C634" s="49" t="str">
        <f>IF(ISBLANK($B634),"",IFERROR(VLOOKUP($B634,ESTOQUE!$B$2:$D$97168,2,FALSE),"Produto não cadastrado"))</f>
        <v/>
      </c>
      <c r="D634" s="69" t="str">
        <f>IF(ISBLANK($B634),"",IFERROR(VLOOKUP($B634,ESTOQUE!$B$2:$M$997973,3,FALSE),"Produto não cadastrado"))</f>
        <v/>
      </c>
      <c r="E634" s="89">
        <f>_xlfn.XLOOKUP(B634,ESTOQUE!B:B,ESTOQUE!G:G)</f>
        <v>0</v>
      </c>
      <c r="F634" s="88"/>
      <c r="G634" s="90"/>
      <c r="H634" s="91">
        <f t="shared" si="10"/>
        <v>0</v>
      </c>
      <c r="I634" s="71"/>
      <c r="J634" s="24"/>
      <c r="K634" s="127"/>
    </row>
    <row r="635" spans="1:11" x14ac:dyDescent="0.25">
      <c r="A635" s="22"/>
      <c r="B635" s="23"/>
      <c r="C635" s="49" t="str">
        <f>IF(ISBLANK($B635),"",IFERROR(VLOOKUP($B635,ESTOQUE!$B$2:$D$97168,2,FALSE),"Produto não cadastrado"))</f>
        <v/>
      </c>
      <c r="D635" s="69" t="str">
        <f>IF(ISBLANK($B635),"",IFERROR(VLOOKUP($B635,ESTOQUE!$B$2:$M$997973,3,FALSE),"Produto não cadastrado"))</f>
        <v/>
      </c>
      <c r="E635" s="89">
        <f>_xlfn.XLOOKUP(B635,ESTOQUE!B:B,ESTOQUE!G:G)</f>
        <v>0</v>
      </c>
      <c r="F635" s="88"/>
      <c r="G635" s="90"/>
      <c r="H635" s="91">
        <f t="shared" si="10"/>
        <v>0</v>
      </c>
      <c r="I635" s="71"/>
      <c r="J635" s="24"/>
      <c r="K635" s="127"/>
    </row>
    <row r="636" spans="1:11" x14ac:dyDescent="0.25">
      <c r="A636" s="22"/>
      <c r="B636" s="23"/>
      <c r="C636" s="49" t="str">
        <f>IF(ISBLANK($B636),"",IFERROR(VLOOKUP($B636,ESTOQUE!$B$2:$D$97168,2,FALSE),"Produto não cadastrado"))</f>
        <v/>
      </c>
      <c r="D636" s="69" t="str">
        <f>IF(ISBLANK($B636),"",IFERROR(VLOOKUP($B636,ESTOQUE!$B$2:$M$997973,3,FALSE),"Produto não cadastrado"))</f>
        <v/>
      </c>
      <c r="E636" s="89">
        <f>_xlfn.XLOOKUP(B636,ESTOQUE!B:B,ESTOQUE!G:G)</f>
        <v>0</v>
      </c>
      <c r="F636" s="88"/>
      <c r="G636" s="90"/>
      <c r="H636" s="91">
        <f t="shared" si="10"/>
        <v>0</v>
      </c>
      <c r="I636" s="71"/>
      <c r="J636" s="24"/>
      <c r="K636" s="127"/>
    </row>
    <row r="637" spans="1:11" x14ac:dyDescent="0.25">
      <c r="A637" s="22"/>
      <c r="B637" s="23"/>
      <c r="C637" s="49" t="str">
        <f>IF(ISBLANK($B637),"",IFERROR(VLOOKUP($B637,ESTOQUE!$B$2:$D$97168,2,FALSE),"Produto não cadastrado"))</f>
        <v/>
      </c>
      <c r="D637" s="69" t="str">
        <f>IF(ISBLANK($B637),"",IFERROR(VLOOKUP($B637,ESTOQUE!$B$2:$M$997973,3,FALSE),"Produto não cadastrado"))</f>
        <v/>
      </c>
      <c r="E637" s="89">
        <f>_xlfn.XLOOKUP(B637,ESTOQUE!B:B,ESTOQUE!G:G)</f>
        <v>0</v>
      </c>
      <c r="F637" s="88"/>
      <c r="G637" s="90"/>
      <c r="H637" s="91">
        <f t="shared" si="10"/>
        <v>0</v>
      </c>
      <c r="I637" s="71"/>
      <c r="J637" s="24"/>
      <c r="K637" s="127"/>
    </row>
    <row r="638" spans="1:11" x14ac:dyDescent="0.25">
      <c r="A638" s="22"/>
      <c r="B638" s="23"/>
      <c r="C638" s="49" t="str">
        <f>IF(ISBLANK($B638),"",IFERROR(VLOOKUP($B638,ESTOQUE!$B$2:$D$97168,2,FALSE),"Produto não cadastrado"))</f>
        <v/>
      </c>
      <c r="D638" s="69" t="str">
        <f>IF(ISBLANK($B638),"",IFERROR(VLOOKUP($B638,ESTOQUE!$B$2:$M$997973,3,FALSE),"Produto não cadastrado"))</f>
        <v/>
      </c>
      <c r="E638" s="89">
        <f>_xlfn.XLOOKUP(B638,ESTOQUE!B:B,ESTOQUE!G:G)</f>
        <v>0</v>
      </c>
      <c r="F638" s="88"/>
      <c r="G638" s="90"/>
      <c r="H638" s="91">
        <f t="shared" si="10"/>
        <v>0</v>
      </c>
      <c r="I638" s="71"/>
      <c r="J638" s="24"/>
      <c r="K638" s="127"/>
    </row>
    <row r="639" spans="1:11" x14ac:dyDescent="0.25">
      <c r="A639" s="22"/>
      <c r="B639" s="23"/>
      <c r="C639" s="49" t="str">
        <f>IF(ISBLANK($B639),"",IFERROR(VLOOKUP($B639,ESTOQUE!$B$2:$D$97168,2,FALSE),"Produto não cadastrado"))</f>
        <v/>
      </c>
      <c r="D639" s="69" t="str">
        <f>IF(ISBLANK($B639),"",IFERROR(VLOOKUP($B639,ESTOQUE!$B$2:$M$997973,3,FALSE),"Produto não cadastrado"))</f>
        <v/>
      </c>
      <c r="E639" s="89">
        <f>_xlfn.XLOOKUP(B639,ESTOQUE!B:B,ESTOQUE!G:G)</f>
        <v>0</v>
      </c>
      <c r="F639" s="88"/>
      <c r="G639" s="90"/>
      <c r="H639" s="91">
        <f t="shared" si="10"/>
        <v>0</v>
      </c>
      <c r="I639" s="71"/>
      <c r="J639" s="24"/>
      <c r="K639" s="127"/>
    </row>
    <row r="640" spans="1:11" x14ac:dyDescent="0.25">
      <c r="A640" s="22"/>
      <c r="B640" s="23"/>
      <c r="C640" s="49" t="str">
        <f>IF(ISBLANK($B640),"",IFERROR(VLOOKUP($B640,ESTOQUE!$B$2:$D$97168,2,FALSE),"Produto não cadastrado"))</f>
        <v/>
      </c>
      <c r="D640" s="69" t="str">
        <f>IF(ISBLANK($B640),"",IFERROR(VLOOKUP($B640,ESTOQUE!$B$2:$M$997973,3,FALSE),"Produto não cadastrado"))</f>
        <v/>
      </c>
      <c r="E640" s="89">
        <f>_xlfn.XLOOKUP(B640,ESTOQUE!B:B,ESTOQUE!G:G)</f>
        <v>0</v>
      </c>
      <c r="F640" s="88"/>
      <c r="G640" s="90"/>
      <c r="H640" s="91">
        <f t="shared" si="10"/>
        <v>0</v>
      </c>
      <c r="I640" s="71"/>
      <c r="J640" s="24"/>
      <c r="K640" s="127"/>
    </row>
    <row r="641" spans="1:11" x14ac:dyDescent="0.25">
      <c r="A641" s="22"/>
      <c r="B641" s="23"/>
      <c r="C641" s="49" t="str">
        <f>IF(ISBLANK($B641),"",IFERROR(VLOOKUP($B641,ESTOQUE!$B$2:$D$97168,2,FALSE),"Produto não cadastrado"))</f>
        <v/>
      </c>
      <c r="D641" s="69" t="str">
        <f>IF(ISBLANK($B641),"",IFERROR(VLOOKUP($B641,ESTOQUE!$B$2:$M$997973,3,FALSE),"Produto não cadastrado"))</f>
        <v/>
      </c>
      <c r="E641" s="89">
        <f>_xlfn.XLOOKUP(B641,ESTOQUE!B:B,ESTOQUE!G:G)</f>
        <v>0</v>
      </c>
      <c r="F641" s="88"/>
      <c r="G641" s="90"/>
      <c r="H641" s="91">
        <f t="shared" si="10"/>
        <v>0</v>
      </c>
      <c r="I641" s="71"/>
      <c r="J641" s="24"/>
      <c r="K641" s="127"/>
    </row>
    <row r="642" spans="1:11" x14ac:dyDescent="0.25">
      <c r="A642" s="22"/>
      <c r="B642" s="23"/>
      <c r="C642" s="49" t="str">
        <f>IF(ISBLANK($B642),"",IFERROR(VLOOKUP($B642,ESTOQUE!$B$2:$D$97168,2,FALSE),"Produto não cadastrado"))</f>
        <v/>
      </c>
      <c r="D642" s="69" t="str">
        <f>IF(ISBLANK($B642),"",IFERROR(VLOOKUP($B642,ESTOQUE!$B$2:$M$997973,3,FALSE),"Produto não cadastrado"))</f>
        <v/>
      </c>
      <c r="E642" s="89">
        <f>_xlfn.XLOOKUP(B642,ESTOQUE!B:B,ESTOQUE!G:G)</f>
        <v>0</v>
      </c>
      <c r="F642" s="88"/>
      <c r="G642" s="90"/>
      <c r="H642" s="91">
        <f t="shared" si="10"/>
        <v>0</v>
      </c>
      <c r="I642" s="71"/>
      <c r="J642" s="24"/>
      <c r="K642" s="127"/>
    </row>
    <row r="643" spans="1:11" x14ac:dyDescent="0.25">
      <c r="A643" s="22"/>
      <c r="B643" s="23"/>
      <c r="C643" s="49" t="str">
        <f>IF(ISBLANK($B643),"",IFERROR(VLOOKUP($B643,ESTOQUE!$B$2:$D$97168,2,FALSE),"Produto não cadastrado"))</f>
        <v/>
      </c>
      <c r="D643" s="69" t="str">
        <f>IF(ISBLANK($B643),"",IFERROR(VLOOKUP($B643,ESTOQUE!$B$2:$M$997973,3,FALSE),"Produto não cadastrado"))</f>
        <v/>
      </c>
      <c r="E643" s="89">
        <f>_xlfn.XLOOKUP(B643,ESTOQUE!B:B,ESTOQUE!G:G)</f>
        <v>0</v>
      </c>
      <c r="F643" s="88"/>
      <c r="G643" s="90"/>
      <c r="H643" s="91">
        <f t="shared" si="10"/>
        <v>0</v>
      </c>
      <c r="I643" s="71"/>
      <c r="J643" s="24"/>
      <c r="K643" s="127"/>
    </row>
    <row r="644" spans="1:11" x14ac:dyDescent="0.25">
      <c r="A644" s="22"/>
      <c r="B644" s="23"/>
      <c r="C644" s="49" t="str">
        <f>IF(ISBLANK($B644),"",IFERROR(VLOOKUP($B644,ESTOQUE!$B$2:$D$97168,2,FALSE),"Produto não cadastrado"))</f>
        <v/>
      </c>
      <c r="D644" s="69" t="str">
        <f>IF(ISBLANK($B644),"",IFERROR(VLOOKUP($B644,ESTOQUE!$B$2:$M$997973,3,FALSE),"Produto não cadastrado"))</f>
        <v/>
      </c>
      <c r="E644" s="89">
        <f>_xlfn.XLOOKUP(B644,ESTOQUE!B:B,ESTOQUE!G:G)</f>
        <v>0</v>
      </c>
      <c r="F644" s="88"/>
      <c r="G644" s="90"/>
      <c r="H644" s="91">
        <f t="shared" si="10"/>
        <v>0</v>
      </c>
      <c r="I644" s="71"/>
      <c r="J644" s="24"/>
      <c r="K644" s="127"/>
    </row>
    <row r="645" spans="1:11" x14ac:dyDescent="0.25">
      <c r="A645" s="22"/>
      <c r="B645" s="23"/>
      <c r="C645" s="49" t="str">
        <f>IF(ISBLANK($B645),"",IFERROR(VLOOKUP($B645,ESTOQUE!$B$2:$D$97168,2,FALSE),"Produto não cadastrado"))</f>
        <v/>
      </c>
      <c r="D645" s="69" t="str">
        <f>IF(ISBLANK($B645),"",IFERROR(VLOOKUP($B645,ESTOQUE!$B$2:$M$997973,3,FALSE),"Produto não cadastrado"))</f>
        <v/>
      </c>
      <c r="E645" s="89">
        <f>_xlfn.XLOOKUP(B645,ESTOQUE!B:B,ESTOQUE!G:G)</f>
        <v>0</v>
      </c>
      <c r="F645" s="88"/>
      <c r="G645" s="90"/>
      <c r="H645" s="91">
        <f t="shared" si="10"/>
        <v>0</v>
      </c>
      <c r="I645" s="71"/>
      <c r="J645" s="24"/>
      <c r="K645" s="127"/>
    </row>
    <row r="646" spans="1:11" x14ac:dyDescent="0.25">
      <c r="A646" s="22"/>
      <c r="B646" s="23"/>
      <c r="C646" s="49" t="str">
        <f>IF(ISBLANK($B646),"",IFERROR(VLOOKUP($B646,ESTOQUE!$B$2:$D$97168,2,FALSE),"Produto não cadastrado"))</f>
        <v/>
      </c>
      <c r="D646" s="69" t="str">
        <f>IF(ISBLANK($B646),"",IFERROR(VLOOKUP($B646,ESTOQUE!$B$2:$M$997973,3,FALSE),"Produto não cadastrado"))</f>
        <v/>
      </c>
      <c r="E646" s="89">
        <f>_xlfn.XLOOKUP(B646,ESTOQUE!B:B,ESTOQUE!G:G)</f>
        <v>0</v>
      </c>
      <c r="F646" s="88"/>
      <c r="G646" s="90"/>
      <c r="H646" s="91">
        <f t="shared" si="10"/>
        <v>0</v>
      </c>
      <c r="I646" s="71"/>
      <c r="J646" s="24"/>
      <c r="K646" s="127"/>
    </row>
    <row r="647" spans="1:11" x14ac:dyDescent="0.25">
      <c r="A647" s="22"/>
      <c r="B647" s="23"/>
      <c r="C647" s="49" t="str">
        <f>IF(ISBLANK($B647),"",IFERROR(VLOOKUP($B647,ESTOQUE!$B$2:$D$97168,2,FALSE),"Produto não cadastrado"))</f>
        <v/>
      </c>
      <c r="D647" s="69" t="str">
        <f>IF(ISBLANK($B647),"",IFERROR(VLOOKUP($B647,ESTOQUE!$B$2:$M$997973,3,FALSE),"Produto não cadastrado"))</f>
        <v/>
      </c>
      <c r="E647" s="89">
        <f>_xlfn.XLOOKUP(B647,ESTOQUE!B:B,ESTOQUE!G:G)</f>
        <v>0</v>
      </c>
      <c r="F647" s="88"/>
      <c r="G647" s="90"/>
      <c r="H647" s="91">
        <f t="shared" si="10"/>
        <v>0</v>
      </c>
      <c r="I647" s="71"/>
      <c r="J647" s="24"/>
      <c r="K647" s="127"/>
    </row>
    <row r="648" spans="1:11" x14ac:dyDescent="0.25">
      <c r="A648" s="22"/>
      <c r="B648" s="23"/>
      <c r="C648" s="49" t="str">
        <f>IF(ISBLANK($B648),"",IFERROR(VLOOKUP($B648,ESTOQUE!$B$2:$D$97168,2,FALSE),"Produto não cadastrado"))</f>
        <v/>
      </c>
      <c r="D648" s="69" t="str">
        <f>IF(ISBLANK($B648),"",IFERROR(VLOOKUP($B648,ESTOQUE!$B$2:$M$997973,3,FALSE),"Produto não cadastrado"))</f>
        <v/>
      </c>
      <c r="E648" s="89">
        <f>_xlfn.XLOOKUP(B648,ESTOQUE!B:B,ESTOQUE!G:G)</f>
        <v>0</v>
      </c>
      <c r="F648" s="88"/>
      <c r="G648" s="90"/>
      <c r="H648" s="91">
        <f t="shared" si="10"/>
        <v>0</v>
      </c>
      <c r="I648" s="71"/>
      <c r="J648" s="24"/>
      <c r="K648" s="127"/>
    </row>
    <row r="649" spans="1:11" x14ac:dyDescent="0.25">
      <c r="A649" s="22"/>
      <c r="B649" s="23"/>
      <c r="C649" s="49" t="str">
        <f>IF(ISBLANK($B649),"",IFERROR(VLOOKUP($B649,ESTOQUE!$B$2:$D$97168,2,FALSE),"Produto não cadastrado"))</f>
        <v/>
      </c>
      <c r="D649" s="69" t="str">
        <f>IF(ISBLANK($B649),"",IFERROR(VLOOKUP($B649,ESTOQUE!$B$2:$M$997973,3,FALSE),"Produto não cadastrado"))</f>
        <v/>
      </c>
      <c r="E649" s="89">
        <f>_xlfn.XLOOKUP(B649,ESTOQUE!B:B,ESTOQUE!G:G)</f>
        <v>0</v>
      </c>
      <c r="F649" s="88"/>
      <c r="G649" s="90"/>
      <c r="H649" s="91">
        <f t="shared" si="10"/>
        <v>0</v>
      </c>
      <c r="I649" s="71"/>
      <c r="J649" s="24"/>
      <c r="K649" s="127"/>
    </row>
    <row r="650" spans="1:11" x14ac:dyDescent="0.25">
      <c r="A650" s="22"/>
      <c r="B650" s="23"/>
      <c r="C650" s="49" t="str">
        <f>IF(ISBLANK($B650),"",IFERROR(VLOOKUP($B650,ESTOQUE!$B$2:$D$97168,2,FALSE),"Produto não cadastrado"))</f>
        <v/>
      </c>
      <c r="D650" s="69" t="str">
        <f>IF(ISBLANK($B650),"",IFERROR(VLOOKUP($B650,ESTOQUE!$B$2:$M$997973,3,FALSE),"Produto não cadastrado"))</f>
        <v/>
      </c>
      <c r="E650" s="89">
        <f>_xlfn.XLOOKUP(B650,ESTOQUE!B:B,ESTOQUE!G:G)</f>
        <v>0</v>
      </c>
      <c r="F650" s="88"/>
      <c r="G650" s="90"/>
      <c r="H650" s="91">
        <f t="shared" si="10"/>
        <v>0</v>
      </c>
      <c r="I650" s="71"/>
      <c r="J650" s="24"/>
      <c r="K650" s="127"/>
    </row>
    <row r="651" spans="1:11" x14ac:dyDescent="0.25">
      <c r="A651" s="22"/>
      <c r="B651" s="23"/>
      <c r="C651" s="49" t="str">
        <f>IF(ISBLANK($B651),"",IFERROR(VLOOKUP($B651,ESTOQUE!$B$2:$D$97168,2,FALSE),"Produto não cadastrado"))</f>
        <v/>
      </c>
      <c r="D651" s="69" t="str">
        <f>IF(ISBLANK($B651),"",IFERROR(VLOOKUP($B651,ESTOQUE!$B$2:$M$997973,3,FALSE),"Produto não cadastrado"))</f>
        <v/>
      </c>
      <c r="E651" s="89">
        <f>_xlfn.XLOOKUP(B651,ESTOQUE!B:B,ESTOQUE!G:G)</f>
        <v>0</v>
      </c>
      <c r="F651" s="88"/>
      <c r="G651" s="90"/>
      <c r="H651" s="91">
        <f t="shared" si="10"/>
        <v>0</v>
      </c>
      <c r="I651" s="71"/>
      <c r="J651" s="24"/>
      <c r="K651" s="127"/>
    </row>
    <row r="652" spans="1:11" x14ac:dyDescent="0.25">
      <c r="A652" s="22"/>
      <c r="B652" s="23"/>
      <c r="C652" s="49" t="str">
        <f>IF(ISBLANK($B652),"",IFERROR(VLOOKUP($B652,ESTOQUE!$B$2:$D$97168,2,FALSE),"Produto não cadastrado"))</f>
        <v/>
      </c>
      <c r="D652" s="69" t="str">
        <f>IF(ISBLANK($B652),"",IFERROR(VLOOKUP($B652,ESTOQUE!$B$2:$M$997973,3,FALSE),"Produto não cadastrado"))</f>
        <v/>
      </c>
      <c r="E652" s="89">
        <f>_xlfn.XLOOKUP(B652,ESTOQUE!B:B,ESTOQUE!G:G)</f>
        <v>0</v>
      </c>
      <c r="F652" s="88"/>
      <c r="G652" s="90"/>
      <c r="H652" s="91">
        <f t="shared" si="10"/>
        <v>0</v>
      </c>
      <c r="I652" s="71"/>
      <c r="J652" s="24"/>
      <c r="K652" s="127"/>
    </row>
    <row r="653" spans="1:11" x14ac:dyDescent="0.25">
      <c r="A653" s="22"/>
      <c r="B653" s="23"/>
      <c r="C653" s="49" t="str">
        <f>IF(ISBLANK($B653),"",IFERROR(VLOOKUP($B653,ESTOQUE!$B$2:$D$97168,2,FALSE),"Produto não cadastrado"))</f>
        <v/>
      </c>
      <c r="D653" s="69" t="str">
        <f>IF(ISBLANK($B653),"",IFERROR(VLOOKUP($B653,ESTOQUE!$B$2:$M$997973,3,FALSE),"Produto não cadastrado"))</f>
        <v/>
      </c>
      <c r="E653" s="89">
        <f>_xlfn.XLOOKUP(B653,ESTOQUE!B:B,ESTOQUE!G:G)</f>
        <v>0</v>
      </c>
      <c r="F653" s="88"/>
      <c r="G653" s="90"/>
      <c r="H653" s="91">
        <f t="shared" si="10"/>
        <v>0</v>
      </c>
      <c r="I653" s="71"/>
      <c r="J653" s="24"/>
      <c r="K653" s="127"/>
    </row>
    <row r="654" spans="1:11" x14ac:dyDescent="0.25">
      <c r="A654" s="22"/>
      <c r="B654" s="23"/>
      <c r="C654" s="49" t="str">
        <f>IF(ISBLANK($B654),"",IFERROR(VLOOKUP($B654,ESTOQUE!$B$2:$D$97168,2,FALSE),"Produto não cadastrado"))</f>
        <v/>
      </c>
      <c r="D654" s="69" t="str">
        <f>IF(ISBLANK($B654),"",IFERROR(VLOOKUP($B654,ESTOQUE!$B$2:$M$997973,3,FALSE),"Produto não cadastrado"))</f>
        <v/>
      </c>
      <c r="E654" s="89">
        <f>_xlfn.XLOOKUP(B654,ESTOQUE!B:B,ESTOQUE!G:G)</f>
        <v>0</v>
      </c>
      <c r="F654" s="88"/>
      <c r="G654" s="90"/>
      <c r="H654" s="91">
        <f t="shared" si="10"/>
        <v>0</v>
      </c>
      <c r="I654" s="71"/>
      <c r="J654" s="24"/>
      <c r="K654" s="127"/>
    </row>
    <row r="655" spans="1:11" x14ac:dyDescent="0.25">
      <c r="A655" s="22"/>
      <c r="B655" s="23"/>
      <c r="C655" s="49" t="str">
        <f>IF(ISBLANK($B655),"",IFERROR(VLOOKUP($B655,ESTOQUE!$B$2:$D$97168,2,FALSE),"Produto não cadastrado"))</f>
        <v/>
      </c>
      <c r="D655" s="69" t="str">
        <f>IF(ISBLANK($B655),"",IFERROR(VLOOKUP($B655,ESTOQUE!$B$2:$M$997973,3,FALSE),"Produto não cadastrado"))</f>
        <v/>
      </c>
      <c r="E655" s="89">
        <f>_xlfn.XLOOKUP(B655,ESTOQUE!B:B,ESTOQUE!G:G)</f>
        <v>0</v>
      </c>
      <c r="F655" s="88"/>
      <c r="G655" s="90"/>
      <c r="H655" s="91">
        <f t="shared" si="10"/>
        <v>0</v>
      </c>
      <c r="I655" s="71"/>
      <c r="J655" s="24"/>
      <c r="K655" s="127"/>
    </row>
    <row r="656" spans="1:11" x14ac:dyDescent="0.25">
      <c r="A656" s="22"/>
      <c r="B656" s="23"/>
      <c r="C656" s="49" t="str">
        <f>IF(ISBLANK($B656),"",IFERROR(VLOOKUP($B656,ESTOQUE!$B$2:$D$97168,2,FALSE),"Produto não cadastrado"))</f>
        <v/>
      </c>
      <c r="D656" s="69" t="str">
        <f>IF(ISBLANK($B656),"",IFERROR(VLOOKUP($B656,ESTOQUE!$B$2:$M$997973,3,FALSE),"Produto não cadastrado"))</f>
        <v/>
      </c>
      <c r="E656" s="89">
        <f>_xlfn.XLOOKUP(B656,ESTOQUE!B:B,ESTOQUE!G:G)</f>
        <v>0</v>
      </c>
      <c r="F656" s="88"/>
      <c r="G656" s="90"/>
      <c r="H656" s="91">
        <f t="shared" si="10"/>
        <v>0</v>
      </c>
      <c r="I656" s="71"/>
      <c r="J656" s="24"/>
      <c r="K656" s="127"/>
    </row>
    <row r="657" spans="1:11" x14ac:dyDescent="0.25">
      <c r="A657" s="22"/>
      <c r="B657" s="23"/>
      <c r="C657" s="49" t="str">
        <f>IF(ISBLANK($B657),"",IFERROR(VLOOKUP($B657,ESTOQUE!$B$2:$D$97168,2,FALSE),"Produto não cadastrado"))</f>
        <v/>
      </c>
      <c r="D657" s="69" t="str">
        <f>IF(ISBLANK($B657),"",IFERROR(VLOOKUP($B657,ESTOQUE!$B$2:$M$997973,3,FALSE),"Produto não cadastrado"))</f>
        <v/>
      </c>
      <c r="E657" s="89">
        <f>_xlfn.XLOOKUP(B657,ESTOQUE!B:B,ESTOQUE!G:G)</f>
        <v>0</v>
      </c>
      <c r="F657" s="88"/>
      <c r="G657" s="90"/>
      <c r="H657" s="91">
        <f t="shared" si="10"/>
        <v>0</v>
      </c>
      <c r="I657" s="71"/>
      <c r="J657" s="24"/>
      <c r="K657" s="127"/>
    </row>
    <row r="658" spans="1:11" x14ac:dyDescent="0.25">
      <c r="A658" s="22"/>
      <c r="B658" s="23"/>
      <c r="C658" s="49" t="str">
        <f>IF(ISBLANK($B658),"",IFERROR(VLOOKUP($B658,ESTOQUE!$B$2:$D$97168,2,FALSE),"Produto não cadastrado"))</f>
        <v/>
      </c>
      <c r="D658" s="69" t="str">
        <f>IF(ISBLANK($B658),"",IFERROR(VLOOKUP($B658,ESTOQUE!$B$2:$M$997973,3,FALSE),"Produto não cadastrado"))</f>
        <v/>
      </c>
      <c r="E658" s="89">
        <f>_xlfn.XLOOKUP(B658,ESTOQUE!B:B,ESTOQUE!G:G)</f>
        <v>0</v>
      </c>
      <c r="F658" s="88"/>
      <c r="G658" s="90"/>
      <c r="H658" s="91">
        <f t="shared" si="10"/>
        <v>0</v>
      </c>
      <c r="I658" s="71"/>
      <c r="J658" s="24"/>
      <c r="K658" s="127"/>
    </row>
    <row r="659" spans="1:11" x14ac:dyDescent="0.25">
      <c r="A659" s="22"/>
      <c r="B659" s="23"/>
      <c r="C659" s="49" t="str">
        <f>IF(ISBLANK($B659),"",IFERROR(VLOOKUP($B659,ESTOQUE!$B$2:$D$97168,2,FALSE),"Produto não cadastrado"))</f>
        <v/>
      </c>
      <c r="D659" s="69" t="str">
        <f>IF(ISBLANK($B659),"",IFERROR(VLOOKUP($B659,ESTOQUE!$B$2:$M$997973,3,FALSE),"Produto não cadastrado"))</f>
        <v/>
      </c>
      <c r="E659" s="89">
        <f>_xlfn.XLOOKUP(B659,ESTOQUE!B:B,ESTOQUE!G:G)</f>
        <v>0</v>
      </c>
      <c r="F659" s="88"/>
      <c r="G659" s="90"/>
      <c r="H659" s="91">
        <f t="shared" si="10"/>
        <v>0</v>
      </c>
      <c r="I659" s="71"/>
      <c r="J659" s="24"/>
      <c r="K659" s="127"/>
    </row>
    <row r="660" spans="1:11" x14ac:dyDescent="0.25">
      <c r="A660" s="22"/>
      <c r="B660" s="23"/>
      <c r="C660" s="49" t="str">
        <f>IF(ISBLANK($B660),"",IFERROR(VLOOKUP($B660,ESTOQUE!$B$2:$D$97168,2,FALSE),"Produto não cadastrado"))</f>
        <v/>
      </c>
      <c r="D660" s="69" t="str">
        <f>IF(ISBLANK($B660),"",IFERROR(VLOOKUP($B660,ESTOQUE!$B$2:$M$997973,3,FALSE),"Produto não cadastrado"))</f>
        <v/>
      </c>
      <c r="E660" s="89">
        <f>_xlfn.XLOOKUP(B660,ESTOQUE!B:B,ESTOQUE!G:G)</f>
        <v>0</v>
      </c>
      <c r="F660" s="88"/>
      <c r="G660" s="90"/>
      <c r="H660" s="91">
        <f t="shared" si="10"/>
        <v>0</v>
      </c>
      <c r="I660" s="71"/>
      <c r="J660" s="24"/>
      <c r="K660" s="127"/>
    </row>
    <row r="661" spans="1:11" x14ac:dyDescent="0.25">
      <c r="A661" s="22"/>
      <c r="B661" s="23"/>
      <c r="C661" s="49" t="str">
        <f>IF(ISBLANK($B661),"",IFERROR(VLOOKUP($B661,ESTOQUE!$B$2:$D$97168,2,FALSE),"Produto não cadastrado"))</f>
        <v/>
      </c>
      <c r="D661" s="69" t="str">
        <f>IF(ISBLANK($B661),"",IFERROR(VLOOKUP($B661,ESTOQUE!$B$2:$M$997973,3,FALSE),"Produto não cadastrado"))</f>
        <v/>
      </c>
      <c r="E661" s="89">
        <f>_xlfn.XLOOKUP(B661,ESTOQUE!B:B,ESTOQUE!G:G)</f>
        <v>0</v>
      </c>
      <c r="F661" s="88"/>
      <c r="G661" s="90"/>
      <c r="H661" s="91">
        <f t="shared" si="10"/>
        <v>0</v>
      </c>
      <c r="I661" s="71"/>
      <c r="J661" s="24"/>
      <c r="K661" s="127"/>
    </row>
    <row r="662" spans="1:11" x14ac:dyDescent="0.25">
      <c r="A662" s="22"/>
      <c r="B662" s="23"/>
      <c r="C662" s="49" t="str">
        <f>IF(ISBLANK($B662),"",IFERROR(VLOOKUP($B662,ESTOQUE!$B$2:$D$97168,2,FALSE),"Produto não cadastrado"))</f>
        <v/>
      </c>
      <c r="D662" s="69" t="str">
        <f>IF(ISBLANK($B662),"",IFERROR(VLOOKUP($B662,ESTOQUE!$B$2:$M$997973,3,FALSE),"Produto não cadastrado"))</f>
        <v/>
      </c>
      <c r="E662" s="89">
        <f>_xlfn.XLOOKUP(B662,ESTOQUE!B:B,ESTOQUE!G:G)</f>
        <v>0</v>
      </c>
      <c r="F662" s="88"/>
      <c r="G662" s="90"/>
      <c r="H662" s="91">
        <f t="shared" si="10"/>
        <v>0</v>
      </c>
      <c r="I662" s="71"/>
      <c r="J662" s="24"/>
      <c r="K662" s="127"/>
    </row>
    <row r="663" spans="1:11" x14ac:dyDescent="0.25">
      <c r="A663" s="22"/>
      <c r="B663" s="23"/>
      <c r="C663" s="49" t="str">
        <f>IF(ISBLANK($B663),"",IFERROR(VLOOKUP($B663,ESTOQUE!$B$2:$D$97168,2,FALSE),"Produto não cadastrado"))</f>
        <v/>
      </c>
      <c r="D663" s="69" t="str">
        <f>IF(ISBLANK($B663),"",IFERROR(VLOOKUP($B663,ESTOQUE!$B$2:$M$997973,3,FALSE),"Produto não cadastrado"))</f>
        <v/>
      </c>
      <c r="E663" s="89">
        <f>_xlfn.XLOOKUP(B663,ESTOQUE!B:B,ESTOQUE!G:G)</f>
        <v>0</v>
      </c>
      <c r="F663" s="88"/>
      <c r="G663" s="90"/>
      <c r="H663" s="91">
        <f t="shared" si="10"/>
        <v>0</v>
      </c>
      <c r="I663" s="71"/>
      <c r="J663" s="24"/>
      <c r="K663" s="127"/>
    </row>
    <row r="664" spans="1:11" x14ac:dyDescent="0.25">
      <c r="A664" s="22"/>
      <c r="B664" s="23"/>
      <c r="C664" s="49" t="str">
        <f>IF(ISBLANK($B664),"",IFERROR(VLOOKUP($B664,ESTOQUE!$B$2:$D$97168,2,FALSE),"Produto não cadastrado"))</f>
        <v/>
      </c>
      <c r="D664" s="69" t="str">
        <f>IF(ISBLANK($B664),"",IFERROR(VLOOKUP($B664,ESTOQUE!$B$2:$M$997973,3,FALSE),"Produto não cadastrado"))</f>
        <v/>
      </c>
      <c r="E664" s="89">
        <f>_xlfn.XLOOKUP(B664,ESTOQUE!B:B,ESTOQUE!G:G)</f>
        <v>0</v>
      </c>
      <c r="F664" s="88"/>
      <c r="G664" s="90"/>
      <c r="H664" s="91">
        <f t="shared" si="10"/>
        <v>0</v>
      </c>
      <c r="I664" s="71"/>
      <c r="J664" s="24"/>
      <c r="K664" s="127"/>
    </row>
    <row r="665" spans="1:11" x14ac:dyDescent="0.25">
      <c r="A665" s="22"/>
      <c r="B665" s="23"/>
      <c r="C665" s="49" t="str">
        <f>IF(ISBLANK($B665),"",IFERROR(VLOOKUP($B665,ESTOQUE!$B$2:$D$97168,2,FALSE),"Produto não cadastrado"))</f>
        <v/>
      </c>
      <c r="D665" s="69" t="str">
        <f>IF(ISBLANK($B665),"",IFERROR(VLOOKUP($B665,ESTOQUE!$B$2:$M$997973,3,FALSE),"Produto não cadastrado"))</f>
        <v/>
      </c>
      <c r="E665" s="89">
        <f>_xlfn.XLOOKUP(B665,ESTOQUE!B:B,ESTOQUE!G:G)</f>
        <v>0</v>
      </c>
      <c r="F665" s="88"/>
      <c r="G665" s="90"/>
      <c r="H665" s="91">
        <f t="shared" si="10"/>
        <v>0</v>
      </c>
      <c r="I665" s="71"/>
      <c r="J665" s="24"/>
      <c r="K665" s="127"/>
    </row>
    <row r="666" spans="1:11" x14ac:dyDescent="0.25">
      <c r="A666" s="22"/>
      <c r="B666" s="23"/>
      <c r="C666" s="49" t="str">
        <f>IF(ISBLANK($B666),"",IFERROR(VLOOKUP($B666,ESTOQUE!$B$2:$D$97168,2,FALSE),"Produto não cadastrado"))</f>
        <v/>
      </c>
      <c r="D666" s="69" t="str">
        <f>IF(ISBLANK($B666),"",IFERROR(VLOOKUP($B666,ESTOQUE!$B$2:$M$997973,3,FALSE),"Produto não cadastrado"))</f>
        <v/>
      </c>
      <c r="E666" s="89">
        <f>_xlfn.XLOOKUP(B666,ESTOQUE!B:B,ESTOQUE!G:G)</f>
        <v>0</v>
      </c>
      <c r="F666" s="88"/>
      <c r="G666" s="90"/>
      <c r="H666" s="91">
        <f t="shared" si="10"/>
        <v>0</v>
      </c>
      <c r="I666" s="71"/>
      <c r="J666" s="24"/>
      <c r="K666" s="127"/>
    </row>
    <row r="667" spans="1:11" x14ac:dyDescent="0.25">
      <c r="A667" s="22"/>
      <c r="B667" s="23"/>
      <c r="C667" s="49" t="str">
        <f>IF(ISBLANK($B667),"",IFERROR(VLOOKUP($B667,ESTOQUE!$B$2:$D$97168,2,FALSE),"Produto não cadastrado"))</f>
        <v/>
      </c>
      <c r="D667" s="69" t="str">
        <f>IF(ISBLANK($B667),"",IFERROR(VLOOKUP($B667,ESTOQUE!$B$2:$M$997973,3,FALSE),"Produto não cadastrado"))</f>
        <v/>
      </c>
      <c r="E667" s="89">
        <f>_xlfn.XLOOKUP(B667,ESTOQUE!B:B,ESTOQUE!G:G)</f>
        <v>0</v>
      </c>
      <c r="F667" s="88"/>
      <c r="G667" s="90"/>
      <c r="H667" s="91">
        <f t="shared" si="10"/>
        <v>0</v>
      </c>
      <c r="I667" s="71"/>
      <c r="J667" s="24"/>
      <c r="K667" s="127"/>
    </row>
    <row r="668" spans="1:11" x14ac:dyDescent="0.25">
      <c r="A668" s="22"/>
      <c r="B668" s="23"/>
      <c r="C668" s="49" t="str">
        <f>IF(ISBLANK($B668),"",IFERROR(VLOOKUP($B668,ESTOQUE!$B$2:$D$97168,2,FALSE),"Produto não cadastrado"))</f>
        <v/>
      </c>
      <c r="D668" s="69" t="str">
        <f>IF(ISBLANK($B668),"",IFERROR(VLOOKUP($B668,ESTOQUE!$B$2:$M$997973,3,FALSE),"Produto não cadastrado"))</f>
        <v/>
      </c>
      <c r="E668" s="89">
        <f>_xlfn.XLOOKUP(B668,ESTOQUE!B:B,ESTOQUE!G:G)</f>
        <v>0</v>
      </c>
      <c r="F668" s="88"/>
      <c r="G668" s="90"/>
      <c r="H668" s="91">
        <f t="shared" si="10"/>
        <v>0</v>
      </c>
      <c r="I668" s="71"/>
      <c r="J668" s="24"/>
      <c r="K668" s="127"/>
    </row>
    <row r="669" spans="1:11" x14ac:dyDescent="0.25">
      <c r="A669" s="22"/>
      <c r="B669" s="23"/>
      <c r="C669" s="49" t="str">
        <f>IF(ISBLANK($B669),"",IFERROR(VLOOKUP($B669,ESTOQUE!$B$2:$D$97168,2,FALSE),"Produto não cadastrado"))</f>
        <v/>
      </c>
      <c r="D669" s="69" t="str">
        <f>IF(ISBLANK($B669),"",IFERROR(VLOOKUP($B669,ESTOQUE!$B$2:$M$997973,3,FALSE),"Produto não cadastrado"))</f>
        <v/>
      </c>
      <c r="E669" s="89">
        <f>_xlfn.XLOOKUP(B669,ESTOQUE!B:B,ESTOQUE!G:G)</f>
        <v>0</v>
      </c>
      <c r="F669" s="88"/>
      <c r="G669" s="90"/>
      <c r="H669" s="91">
        <f t="shared" si="10"/>
        <v>0</v>
      </c>
      <c r="I669" s="71"/>
      <c r="J669" s="24"/>
      <c r="K669" s="127"/>
    </row>
    <row r="670" spans="1:11" x14ac:dyDescent="0.25">
      <c r="A670" s="22"/>
      <c r="B670" s="23"/>
      <c r="C670" s="49" t="str">
        <f>IF(ISBLANK($B670),"",IFERROR(VLOOKUP($B670,ESTOQUE!$B$2:$D$97168,2,FALSE),"Produto não cadastrado"))</f>
        <v/>
      </c>
      <c r="D670" s="69" t="str">
        <f>IF(ISBLANK($B670),"",IFERROR(VLOOKUP($B670,ESTOQUE!$B$2:$M$997973,3,FALSE),"Produto não cadastrado"))</f>
        <v/>
      </c>
      <c r="E670" s="89">
        <f>_xlfn.XLOOKUP(B670,ESTOQUE!B:B,ESTOQUE!G:G)</f>
        <v>0</v>
      </c>
      <c r="F670" s="88"/>
      <c r="G670" s="90"/>
      <c r="H670" s="91">
        <f t="shared" si="10"/>
        <v>0</v>
      </c>
      <c r="I670" s="71"/>
      <c r="J670" s="24"/>
      <c r="K670" s="127"/>
    </row>
    <row r="671" spans="1:11" x14ac:dyDescent="0.25">
      <c r="A671" s="22"/>
      <c r="B671" s="23"/>
      <c r="C671" s="49" t="str">
        <f>IF(ISBLANK($B671),"",IFERROR(VLOOKUP($B671,ESTOQUE!$B$2:$D$97168,2,FALSE),"Produto não cadastrado"))</f>
        <v/>
      </c>
      <c r="D671" s="69" t="str">
        <f>IF(ISBLANK($B671),"",IFERROR(VLOOKUP($B671,ESTOQUE!$B$2:$M$997973,3,FALSE),"Produto não cadastrado"))</f>
        <v/>
      </c>
      <c r="E671" s="89">
        <f>_xlfn.XLOOKUP(B671,ESTOQUE!B:B,ESTOQUE!G:G)</f>
        <v>0</v>
      </c>
      <c r="F671" s="88"/>
      <c r="G671" s="90"/>
      <c r="H671" s="91">
        <f t="shared" si="10"/>
        <v>0</v>
      </c>
      <c r="I671" s="71"/>
      <c r="J671" s="24"/>
      <c r="K671" s="127"/>
    </row>
    <row r="672" spans="1:11" x14ac:dyDescent="0.25">
      <c r="A672" s="22"/>
      <c r="B672" s="23"/>
      <c r="C672" s="49" t="str">
        <f>IF(ISBLANK($B672),"",IFERROR(VLOOKUP($B672,ESTOQUE!$B$2:$D$97168,2,FALSE),"Produto não cadastrado"))</f>
        <v/>
      </c>
      <c r="D672" s="69" t="str">
        <f>IF(ISBLANK($B672),"",IFERROR(VLOOKUP($B672,ESTOQUE!$B$2:$M$997973,3,FALSE),"Produto não cadastrado"))</f>
        <v/>
      </c>
      <c r="E672" s="89">
        <f>_xlfn.XLOOKUP(B672,ESTOQUE!B:B,ESTOQUE!G:G)</f>
        <v>0</v>
      </c>
      <c r="F672" s="88"/>
      <c r="G672" s="90"/>
      <c r="H672" s="91">
        <f t="shared" si="10"/>
        <v>0</v>
      </c>
      <c r="I672" s="71"/>
      <c r="J672" s="24"/>
      <c r="K672" s="127"/>
    </row>
    <row r="673" spans="1:11" x14ac:dyDescent="0.25">
      <c r="A673" s="22"/>
      <c r="B673" s="23"/>
      <c r="C673" s="49" t="str">
        <f>IF(ISBLANK($B673),"",IFERROR(VLOOKUP($B673,ESTOQUE!$B$2:$D$97168,2,FALSE),"Produto não cadastrado"))</f>
        <v/>
      </c>
      <c r="D673" s="69" t="str">
        <f>IF(ISBLANK($B673),"",IFERROR(VLOOKUP($B673,ESTOQUE!$B$2:$M$997973,3,FALSE),"Produto não cadastrado"))</f>
        <v/>
      </c>
      <c r="E673" s="89">
        <f>_xlfn.XLOOKUP(B673,ESTOQUE!B:B,ESTOQUE!G:G)</f>
        <v>0</v>
      </c>
      <c r="F673" s="88"/>
      <c r="G673" s="90"/>
      <c r="H673" s="91">
        <f t="shared" si="10"/>
        <v>0</v>
      </c>
      <c r="I673" s="71"/>
      <c r="J673" s="24"/>
      <c r="K673" s="127"/>
    </row>
    <row r="674" spans="1:11" x14ac:dyDescent="0.25">
      <c r="A674" s="22"/>
      <c r="B674" s="23"/>
      <c r="C674" s="49" t="str">
        <f>IF(ISBLANK($B674),"",IFERROR(VLOOKUP($B674,ESTOQUE!$B$2:$D$97168,2,FALSE),"Produto não cadastrado"))</f>
        <v/>
      </c>
      <c r="D674" s="69" t="str">
        <f>IF(ISBLANK($B674),"",IFERROR(VLOOKUP($B674,ESTOQUE!$B$2:$M$997973,3,FALSE),"Produto não cadastrado"))</f>
        <v/>
      </c>
      <c r="E674" s="89">
        <f>_xlfn.XLOOKUP(B674,ESTOQUE!B:B,ESTOQUE!G:G)</f>
        <v>0</v>
      </c>
      <c r="F674" s="88"/>
      <c r="G674" s="90"/>
      <c r="H674" s="91">
        <f t="shared" si="10"/>
        <v>0</v>
      </c>
      <c r="I674" s="71"/>
      <c r="J674" s="24"/>
      <c r="K674" s="127"/>
    </row>
    <row r="675" spans="1:11" x14ac:dyDescent="0.25">
      <c r="A675" s="22"/>
      <c r="B675" s="23"/>
      <c r="C675" s="49" t="str">
        <f>IF(ISBLANK($B675),"",IFERROR(VLOOKUP($B675,ESTOQUE!$B$2:$D$97168,2,FALSE),"Produto não cadastrado"))</f>
        <v/>
      </c>
      <c r="D675" s="69" t="str">
        <f>IF(ISBLANK($B675),"",IFERROR(VLOOKUP($B675,ESTOQUE!$B$2:$M$997973,3,FALSE),"Produto não cadastrado"))</f>
        <v/>
      </c>
      <c r="E675" s="89">
        <f>_xlfn.XLOOKUP(B675,ESTOQUE!B:B,ESTOQUE!G:G)</f>
        <v>0</v>
      </c>
      <c r="F675" s="88"/>
      <c r="G675" s="90"/>
      <c r="H675" s="91">
        <f t="shared" si="10"/>
        <v>0</v>
      </c>
      <c r="I675" s="71"/>
      <c r="J675" s="24"/>
      <c r="K675" s="127"/>
    </row>
    <row r="676" spans="1:11" x14ac:dyDescent="0.25">
      <c r="A676" s="22"/>
      <c r="B676" s="23"/>
      <c r="C676" s="49" t="str">
        <f>IF(ISBLANK($B676),"",IFERROR(VLOOKUP($B676,ESTOQUE!$B$2:$D$97168,2,FALSE),"Produto não cadastrado"))</f>
        <v/>
      </c>
      <c r="D676" s="69" t="str">
        <f>IF(ISBLANK($B676),"",IFERROR(VLOOKUP($B676,ESTOQUE!$B$2:$M$997973,3,FALSE),"Produto não cadastrado"))</f>
        <v/>
      </c>
      <c r="E676" s="89">
        <f>_xlfn.XLOOKUP(B676,ESTOQUE!B:B,ESTOQUE!G:G)</f>
        <v>0</v>
      </c>
      <c r="F676" s="88"/>
      <c r="G676" s="90"/>
      <c r="H676" s="91">
        <f t="shared" si="10"/>
        <v>0</v>
      </c>
      <c r="I676" s="71"/>
      <c r="J676" s="24"/>
      <c r="K676" s="127"/>
    </row>
    <row r="677" spans="1:11" x14ac:dyDescent="0.25">
      <c r="A677" s="22"/>
      <c r="B677" s="23"/>
      <c r="C677" s="49" t="str">
        <f>IF(ISBLANK($B677),"",IFERROR(VLOOKUP($B677,ESTOQUE!$B$2:$D$97168,2,FALSE),"Produto não cadastrado"))</f>
        <v/>
      </c>
      <c r="D677" s="69" t="str">
        <f>IF(ISBLANK($B677),"",IFERROR(VLOOKUP($B677,ESTOQUE!$B$2:$M$997973,3,FALSE),"Produto não cadastrado"))</f>
        <v/>
      </c>
      <c r="E677" s="89">
        <f>_xlfn.XLOOKUP(B677,ESTOQUE!B:B,ESTOQUE!G:G)</f>
        <v>0</v>
      </c>
      <c r="F677" s="88"/>
      <c r="G677" s="90"/>
      <c r="H677" s="91">
        <f t="shared" si="10"/>
        <v>0</v>
      </c>
      <c r="I677" s="71"/>
      <c r="J677" s="24"/>
      <c r="K677" s="127"/>
    </row>
    <row r="678" spans="1:11" x14ac:dyDescent="0.25">
      <c r="A678" s="22"/>
      <c r="B678" s="23"/>
      <c r="C678" s="49" t="str">
        <f>IF(ISBLANK($B678),"",IFERROR(VLOOKUP($B678,ESTOQUE!$B$2:$D$97168,2,FALSE),"Produto não cadastrado"))</f>
        <v/>
      </c>
      <c r="D678" s="69" t="str">
        <f>IF(ISBLANK($B678),"",IFERROR(VLOOKUP($B678,ESTOQUE!$B$2:$M$997973,3,FALSE),"Produto não cadastrado"))</f>
        <v/>
      </c>
      <c r="E678" s="89">
        <f>_xlfn.XLOOKUP(B678,ESTOQUE!B:B,ESTOQUE!G:G)</f>
        <v>0</v>
      </c>
      <c r="F678" s="88"/>
      <c r="G678" s="90"/>
      <c r="H678" s="91">
        <f t="shared" si="10"/>
        <v>0</v>
      </c>
      <c r="I678" s="71"/>
      <c r="J678" s="24"/>
      <c r="K678" s="127"/>
    </row>
    <row r="679" spans="1:11" x14ac:dyDescent="0.25">
      <c r="A679" s="22"/>
      <c r="B679" s="23"/>
      <c r="C679" s="49" t="str">
        <f>IF(ISBLANK($B679),"",IFERROR(VLOOKUP($B679,ESTOQUE!$B$2:$D$97168,2,FALSE),"Produto não cadastrado"))</f>
        <v/>
      </c>
      <c r="D679" s="69" t="str">
        <f>IF(ISBLANK($B679),"",IFERROR(VLOOKUP($B679,ESTOQUE!$B$2:$M$997973,3,FALSE),"Produto não cadastrado"))</f>
        <v/>
      </c>
      <c r="E679" s="89">
        <f>_xlfn.XLOOKUP(B679,ESTOQUE!B:B,ESTOQUE!G:G)</f>
        <v>0</v>
      </c>
      <c r="F679" s="88"/>
      <c r="G679" s="90"/>
      <c r="H679" s="91">
        <f t="shared" si="10"/>
        <v>0</v>
      </c>
      <c r="I679" s="71"/>
      <c r="J679" s="24"/>
      <c r="K679" s="127"/>
    </row>
    <row r="680" spans="1:11" x14ac:dyDescent="0.25">
      <c r="A680" s="22"/>
      <c r="B680" s="23"/>
      <c r="C680" s="49" t="str">
        <f>IF(ISBLANK($B680),"",IFERROR(VLOOKUP($B680,ESTOQUE!$B$2:$D$97168,2,FALSE),"Produto não cadastrado"))</f>
        <v/>
      </c>
      <c r="D680" s="69" t="str">
        <f>IF(ISBLANK($B680),"",IFERROR(VLOOKUP($B680,ESTOQUE!$B$2:$M$997973,3,FALSE),"Produto não cadastrado"))</f>
        <v/>
      </c>
      <c r="E680" s="89">
        <f>_xlfn.XLOOKUP(B680,ESTOQUE!B:B,ESTOQUE!G:G)</f>
        <v>0</v>
      </c>
      <c r="F680" s="88"/>
      <c r="G680" s="90"/>
      <c r="H680" s="91">
        <f t="shared" si="10"/>
        <v>0</v>
      </c>
      <c r="I680" s="71"/>
      <c r="J680" s="24"/>
      <c r="K680" s="127"/>
    </row>
    <row r="681" spans="1:11" x14ac:dyDescent="0.25">
      <c r="A681" s="22"/>
      <c r="B681" s="23"/>
      <c r="C681" s="49" t="str">
        <f>IF(ISBLANK($B681),"",IFERROR(VLOOKUP($B681,ESTOQUE!$B$2:$D$97168,2,FALSE),"Produto não cadastrado"))</f>
        <v/>
      </c>
      <c r="D681" s="69" t="str">
        <f>IF(ISBLANK($B681),"",IFERROR(VLOOKUP($B681,ESTOQUE!$B$2:$M$997973,3,FALSE),"Produto não cadastrado"))</f>
        <v/>
      </c>
      <c r="E681" s="89">
        <f>_xlfn.XLOOKUP(B681,ESTOQUE!B:B,ESTOQUE!G:G)</f>
        <v>0</v>
      </c>
      <c r="F681" s="88"/>
      <c r="G681" s="90"/>
      <c r="H681" s="91">
        <f t="shared" si="10"/>
        <v>0</v>
      </c>
      <c r="I681" s="71"/>
      <c r="J681" s="24"/>
      <c r="K681" s="127"/>
    </row>
    <row r="682" spans="1:11" x14ac:dyDescent="0.25">
      <c r="A682" s="22"/>
      <c r="B682" s="23"/>
      <c r="C682" s="49" t="str">
        <f>IF(ISBLANK($B682),"",IFERROR(VLOOKUP($B682,ESTOQUE!$B$2:$D$97168,2,FALSE),"Produto não cadastrado"))</f>
        <v/>
      </c>
      <c r="D682" s="69" t="str">
        <f>IF(ISBLANK($B682),"",IFERROR(VLOOKUP($B682,ESTOQUE!$B$2:$M$997973,3,FALSE),"Produto não cadastrado"))</f>
        <v/>
      </c>
      <c r="E682" s="89">
        <f>_xlfn.XLOOKUP(B682,ESTOQUE!B:B,ESTOQUE!G:G)</f>
        <v>0</v>
      </c>
      <c r="F682" s="88"/>
      <c r="G682" s="90"/>
      <c r="H682" s="91">
        <f t="shared" si="10"/>
        <v>0</v>
      </c>
      <c r="I682" s="71"/>
      <c r="J682" s="24"/>
      <c r="K682" s="127"/>
    </row>
    <row r="683" spans="1:11" x14ac:dyDescent="0.25">
      <c r="A683" s="22"/>
      <c r="B683" s="23"/>
      <c r="C683" s="49" t="str">
        <f>IF(ISBLANK($B683),"",IFERROR(VLOOKUP($B683,ESTOQUE!$B$2:$D$97168,2,FALSE),"Produto não cadastrado"))</f>
        <v/>
      </c>
      <c r="D683" s="69" t="str">
        <f>IF(ISBLANK($B683),"",IFERROR(VLOOKUP($B683,ESTOQUE!$B$2:$M$997973,3,FALSE),"Produto não cadastrado"))</f>
        <v/>
      </c>
      <c r="E683" s="89">
        <f>_xlfn.XLOOKUP(B683,ESTOQUE!B:B,ESTOQUE!G:G)</f>
        <v>0</v>
      </c>
      <c r="F683" s="88"/>
      <c r="G683" s="90"/>
      <c r="H683" s="91">
        <f t="shared" si="10"/>
        <v>0</v>
      </c>
      <c r="I683" s="71"/>
      <c r="J683" s="24"/>
      <c r="K683" s="127"/>
    </row>
    <row r="684" spans="1:11" x14ac:dyDescent="0.25">
      <c r="A684" s="22"/>
      <c r="B684" s="23"/>
      <c r="C684" s="49" t="str">
        <f>IF(ISBLANK($B684),"",IFERROR(VLOOKUP($B684,ESTOQUE!$B$2:$D$97168,2,FALSE),"Produto não cadastrado"))</f>
        <v/>
      </c>
      <c r="D684" s="69" t="str">
        <f>IF(ISBLANK($B684),"",IFERROR(VLOOKUP($B684,ESTOQUE!$B$2:$M$997973,3,FALSE),"Produto não cadastrado"))</f>
        <v/>
      </c>
      <c r="E684" s="89">
        <f>_xlfn.XLOOKUP(B684,ESTOQUE!B:B,ESTOQUE!G:G)</f>
        <v>0</v>
      </c>
      <c r="F684" s="88"/>
      <c r="G684" s="90"/>
      <c r="H684" s="91">
        <f t="shared" si="10"/>
        <v>0</v>
      </c>
      <c r="I684" s="71"/>
      <c r="J684" s="24"/>
      <c r="K684" s="127"/>
    </row>
    <row r="685" spans="1:11" x14ac:dyDescent="0.25">
      <c r="A685" s="22"/>
      <c r="B685" s="23"/>
      <c r="C685" s="49" t="str">
        <f>IF(ISBLANK($B685),"",IFERROR(VLOOKUP($B685,ESTOQUE!$B$2:$D$97168,2,FALSE),"Produto não cadastrado"))</f>
        <v/>
      </c>
      <c r="D685" s="69" t="str">
        <f>IF(ISBLANK($B685),"",IFERROR(VLOOKUP($B685,ESTOQUE!$B$2:$M$997973,3,FALSE),"Produto não cadastrado"))</f>
        <v/>
      </c>
      <c r="E685" s="89">
        <f>_xlfn.XLOOKUP(B685,ESTOQUE!B:B,ESTOQUE!G:G)</f>
        <v>0</v>
      </c>
      <c r="F685" s="88"/>
      <c r="G685" s="90"/>
      <c r="H685" s="91">
        <f t="shared" si="10"/>
        <v>0</v>
      </c>
      <c r="I685" s="71"/>
      <c r="J685" s="24"/>
      <c r="K685" s="127"/>
    </row>
    <row r="686" spans="1:11" x14ac:dyDescent="0.25">
      <c r="A686" s="22"/>
      <c r="B686" s="23"/>
      <c r="C686" s="49" t="str">
        <f>IF(ISBLANK($B686),"",IFERROR(VLOOKUP($B686,ESTOQUE!$B$2:$D$97168,2,FALSE),"Produto não cadastrado"))</f>
        <v/>
      </c>
      <c r="D686" s="69" t="str">
        <f>IF(ISBLANK($B686),"",IFERROR(VLOOKUP($B686,ESTOQUE!$B$2:$M$997973,3,FALSE),"Produto não cadastrado"))</f>
        <v/>
      </c>
      <c r="E686" s="89">
        <f>_xlfn.XLOOKUP(B686,ESTOQUE!B:B,ESTOQUE!G:G)</f>
        <v>0</v>
      </c>
      <c r="F686" s="88"/>
      <c r="G686" s="90"/>
      <c r="H686" s="91">
        <f t="shared" si="10"/>
        <v>0</v>
      </c>
      <c r="I686" s="71"/>
      <c r="J686" s="24"/>
      <c r="K686" s="127"/>
    </row>
    <row r="687" spans="1:11" x14ac:dyDescent="0.25">
      <c r="A687" s="22"/>
      <c r="B687" s="23"/>
      <c r="C687" s="49" t="str">
        <f>IF(ISBLANK($B687),"",IFERROR(VLOOKUP($B687,ESTOQUE!$B$2:$D$97168,2,FALSE),"Produto não cadastrado"))</f>
        <v/>
      </c>
      <c r="D687" s="69" t="str">
        <f>IF(ISBLANK($B687),"",IFERROR(VLOOKUP($B687,ESTOQUE!$B$2:$M$997973,3,FALSE),"Produto não cadastrado"))</f>
        <v/>
      </c>
      <c r="E687" s="89">
        <f>_xlfn.XLOOKUP(B687,ESTOQUE!B:B,ESTOQUE!G:G)</f>
        <v>0</v>
      </c>
      <c r="F687" s="88"/>
      <c r="G687" s="90"/>
      <c r="H687" s="91">
        <f t="shared" si="10"/>
        <v>0</v>
      </c>
      <c r="I687" s="71"/>
      <c r="J687" s="24"/>
      <c r="K687" s="127"/>
    </row>
    <row r="688" spans="1:11" x14ac:dyDescent="0.25">
      <c r="A688" s="22"/>
      <c r="B688" s="23"/>
      <c r="C688" s="49" t="str">
        <f>IF(ISBLANK($B688),"",IFERROR(VLOOKUP($B688,ESTOQUE!$B$2:$D$97168,2,FALSE),"Produto não cadastrado"))</f>
        <v/>
      </c>
      <c r="D688" s="69" t="str">
        <f>IF(ISBLANK($B688),"",IFERROR(VLOOKUP($B688,ESTOQUE!$B$2:$M$997973,3,FALSE),"Produto não cadastrado"))</f>
        <v/>
      </c>
      <c r="E688" s="89">
        <f>_xlfn.XLOOKUP(B688,ESTOQUE!B:B,ESTOQUE!G:G)</f>
        <v>0</v>
      </c>
      <c r="F688" s="88"/>
      <c r="G688" s="90"/>
      <c r="H688" s="91">
        <f t="shared" si="10"/>
        <v>0</v>
      </c>
      <c r="I688" s="71"/>
      <c r="J688" s="24"/>
      <c r="K688" s="127"/>
    </row>
    <row r="689" spans="1:11" x14ac:dyDescent="0.25">
      <c r="A689" s="22"/>
      <c r="B689" s="23"/>
      <c r="C689" s="49" t="str">
        <f>IF(ISBLANK($B689),"",IFERROR(VLOOKUP($B689,ESTOQUE!$B$2:$D$97168,2,FALSE),"Produto não cadastrado"))</f>
        <v/>
      </c>
      <c r="D689" s="69" t="str">
        <f>IF(ISBLANK($B689),"",IFERROR(VLOOKUP($B689,ESTOQUE!$B$2:$M$997973,3,FALSE),"Produto não cadastrado"))</f>
        <v/>
      </c>
      <c r="E689" s="89">
        <f>_xlfn.XLOOKUP(B689,ESTOQUE!B:B,ESTOQUE!G:G)</f>
        <v>0</v>
      </c>
      <c r="F689" s="88"/>
      <c r="G689" s="90"/>
      <c r="H689" s="91">
        <f t="shared" si="10"/>
        <v>0</v>
      </c>
      <c r="I689" s="71"/>
      <c r="J689" s="24"/>
      <c r="K689" s="127"/>
    </row>
    <row r="690" spans="1:11" x14ac:dyDescent="0.25">
      <c r="A690" s="22"/>
      <c r="B690" s="23"/>
      <c r="C690" s="49" t="str">
        <f>IF(ISBLANK($B690),"",IFERROR(VLOOKUP($B690,ESTOQUE!$B$2:$D$97168,2,FALSE),"Produto não cadastrado"))</f>
        <v/>
      </c>
      <c r="D690" s="69" t="str">
        <f>IF(ISBLANK($B690),"",IFERROR(VLOOKUP($B690,ESTOQUE!$B$2:$M$997973,3,FALSE),"Produto não cadastrado"))</f>
        <v/>
      </c>
      <c r="E690" s="89">
        <f>_xlfn.XLOOKUP(B690,ESTOQUE!B:B,ESTOQUE!G:G)</f>
        <v>0</v>
      </c>
      <c r="F690" s="88"/>
      <c r="G690" s="90"/>
      <c r="H690" s="91">
        <f t="shared" si="10"/>
        <v>0</v>
      </c>
      <c r="I690" s="71"/>
      <c r="J690" s="24"/>
      <c r="K690" s="127"/>
    </row>
    <row r="691" spans="1:11" x14ac:dyDescent="0.25">
      <c r="A691" s="22"/>
      <c r="B691" s="23"/>
      <c r="C691" s="49" t="str">
        <f>IF(ISBLANK($B691),"",IFERROR(VLOOKUP($B691,ESTOQUE!$B$2:$D$97168,2,FALSE),"Produto não cadastrado"))</f>
        <v/>
      </c>
      <c r="D691" s="69" t="str">
        <f>IF(ISBLANK($B691),"",IFERROR(VLOOKUP($B691,ESTOQUE!$B$2:$M$997973,3,FALSE),"Produto não cadastrado"))</f>
        <v/>
      </c>
      <c r="E691" s="89">
        <f>_xlfn.XLOOKUP(B691,ESTOQUE!B:B,ESTOQUE!G:G)</f>
        <v>0</v>
      </c>
      <c r="F691" s="88"/>
      <c r="G691" s="90"/>
      <c r="H691" s="91">
        <f t="shared" si="10"/>
        <v>0</v>
      </c>
      <c r="I691" s="71"/>
      <c r="J691" s="24"/>
      <c r="K691" s="127"/>
    </row>
    <row r="692" spans="1:11" x14ac:dyDescent="0.25">
      <c r="A692" s="22"/>
      <c r="B692" s="23"/>
      <c r="C692" s="49" t="str">
        <f>IF(ISBLANK($B692),"",IFERROR(VLOOKUP($B692,ESTOQUE!$B$2:$D$97168,2,FALSE),"Produto não cadastrado"))</f>
        <v/>
      </c>
      <c r="D692" s="69" t="str">
        <f>IF(ISBLANK($B692),"",IFERROR(VLOOKUP($B692,ESTOQUE!$B$2:$M$997973,3,FALSE),"Produto não cadastrado"))</f>
        <v/>
      </c>
      <c r="E692" s="89">
        <f>_xlfn.XLOOKUP(B692,ESTOQUE!B:B,ESTOQUE!G:G)</f>
        <v>0</v>
      </c>
      <c r="F692" s="88"/>
      <c r="G692" s="90"/>
      <c r="H692" s="91">
        <f t="shared" si="10"/>
        <v>0</v>
      </c>
      <c r="I692" s="71"/>
      <c r="J692" s="24"/>
      <c r="K692" s="127"/>
    </row>
    <row r="693" spans="1:11" x14ac:dyDescent="0.25">
      <c r="A693" s="22"/>
      <c r="B693" s="23"/>
      <c r="C693" s="49" t="str">
        <f>IF(ISBLANK($B693),"",IFERROR(VLOOKUP($B693,ESTOQUE!$B$2:$D$97168,2,FALSE),"Produto não cadastrado"))</f>
        <v/>
      </c>
      <c r="D693" s="69" t="str">
        <f>IF(ISBLANK($B693),"",IFERROR(VLOOKUP($B693,ESTOQUE!$B$2:$M$997973,3,FALSE),"Produto não cadastrado"))</f>
        <v/>
      </c>
      <c r="E693" s="89">
        <f>_xlfn.XLOOKUP(B693,ESTOQUE!B:B,ESTOQUE!G:G)</f>
        <v>0</v>
      </c>
      <c r="F693" s="88"/>
      <c r="G693" s="90"/>
      <c r="H693" s="91">
        <f t="shared" ref="H693:H756" si="11">F693*G693</f>
        <v>0</v>
      </c>
      <c r="I693" s="71"/>
      <c r="J693" s="24"/>
      <c r="K693" s="127"/>
    </row>
    <row r="694" spans="1:11" x14ac:dyDescent="0.25">
      <c r="A694" s="22"/>
      <c r="B694" s="23"/>
      <c r="C694" s="49" t="str">
        <f>IF(ISBLANK($B694),"",IFERROR(VLOOKUP($B694,ESTOQUE!$B$2:$D$97168,2,FALSE),"Produto não cadastrado"))</f>
        <v/>
      </c>
      <c r="D694" s="69" t="str">
        <f>IF(ISBLANK($B694),"",IFERROR(VLOOKUP($B694,ESTOQUE!$B$2:$M$997973,3,FALSE),"Produto não cadastrado"))</f>
        <v/>
      </c>
      <c r="E694" s="89">
        <f>_xlfn.XLOOKUP(B694,ESTOQUE!B:B,ESTOQUE!G:G)</f>
        <v>0</v>
      </c>
      <c r="F694" s="88"/>
      <c r="G694" s="90"/>
      <c r="H694" s="91">
        <f t="shared" si="11"/>
        <v>0</v>
      </c>
      <c r="I694" s="71"/>
      <c r="J694" s="24"/>
      <c r="K694" s="127"/>
    </row>
    <row r="695" spans="1:11" x14ac:dyDescent="0.25">
      <c r="A695" s="22"/>
      <c r="B695" s="23"/>
      <c r="C695" s="49" t="str">
        <f>IF(ISBLANK($B695),"",IFERROR(VLOOKUP($B695,ESTOQUE!$B$2:$D$97168,2,FALSE),"Produto não cadastrado"))</f>
        <v/>
      </c>
      <c r="D695" s="69" t="str">
        <f>IF(ISBLANK($B695),"",IFERROR(VLOOKUP($B695,ESTOQUE!$B$2:$M$997973,3,FALSE),"Produto não cadastrado"))</f>
        <v/>
      </c>
      <c r="E695" s="89">
        <f>_xlfn.XLOOKUP(B695,ESTOQUE!B:B,ESTOQUE!G:G)</f>
        <v>0</v>
      </c>
      <c r="F695" s="88"/>
      <c r="G695" s="90"/>
      <c r="H695" s="91">
        <f t="shared" si="11"/>
        <v>0</v>
      </c>
      <c r="I695" s="71"/>
      <c r="J695" s="24"/>
      <c r="K695" s="127"/>
    </row>
    <row r="696" spans="1:11" x14ac:dyDescent="0.25">
      <c r="A696" s="22"/>
      <c r="B696" s="23"/>
      <c r="C696" s="49" t="str">
        <f>IF(ISBLANK($B696),"",IFERROR(VLOOKUP($B696,ESTOQUE!$B$2:$D$97168,2,FALSE),"Produto não cadastrado"))</f>
        <v/>
      </c>
      <c r="D696" s="69" t="str">
        <f>IF(ISBLANK($B696),"",IFERROR(VLOOKUP($B696,ESTOQUE!$B$2:$M$997973,3,FALSE),"Produto não cadastrado"))</f>
        <v/>
      </c>
      <c r="E696" s="89">
        <f>_xlfn.XLOOKUP(B696,ESTOQUE!B:B,ESTOQUE!G:G)</f>
        <v>0</v>
      </c>
      <c r="F696" s="88"/>
      <c r="G696" s="90"/>
      <c r="H696" s="91">
        <f t="shared" si="11"/>
        <v>0</v>
      </c>
      <c r="I696" s="71"/>
      <c r="J696" s="24"/>
      <c r="K696" s="127"/>
    </row>
    <row r="697" spans="1:11" x14ac:dyDescent="0.25">
      <c r="A697" s="22"/>
      <c r="B697" s="23"/>
      <c r="C697" s="49" t="str">
        <f>IF(ISBLANK($B697),"",IFERROR(VLOOKUP($B697,ESTOQUE!$B$2:$D$97168,2,FALSE),"Produto não cadastrado"))</f>
        <v/>
      </c>
      <c r="D697" s="69" t="str">
        <f>IF(ISBLANK($B697),"",IFERROR(VLOOKUP($B697,ESTOQUE!$B$2:$M$997973,3,FALSE),"Produto não cadastrado"))</f>
        <v/>
      </c>
      <c r="E697" s="89">
        <f>_xlfn.XLOOKUP(B697,ESTOQUE!B:B,ESTOQUE!G:G)</f>
        <v>0</v>
      </c>
      <c r="F697" s="88"/>
      <c r="G697" s="90"/>
      <c r="H697" s="91">
        <f t="shared" si="11"/>
        <v>0</v>
      </c>
      <c r="I697" s="71"/>
      <c r="J697" s="24"/>
      <c r="K697" s="127"/>
    </row>
    <row r="698" spans="1:11" x14ac:dyDescent="0.25">
      <c r="A698" s="22"/>
      <c r="B698" s="23"/>
      <c r="C698" s="49" t="str">
        <f>IF(ISBLANK($B698),"",IFERROR(VLOOKUP($B698,ESTOQUE!$B$2:$D$97168,2,FALSE),"Produto não cadastrado"))</f>
        <v/>
      </c>
      <c r="D698" s="69" t="str">
        <f>IF(ISBLANK($B698),"",IFERROR(VLOOKUP($B698,ESTOQUE!$B$2:$M$997973,3,FALSE),"Produto não cadastrado"))</f>
        <v/>
      </c>
      <c r="E698" s="89">
        <f>_xlfn.XLOOKUP(B698,ESTOQUE!B:B,ESTOQUE!G:G)</f>
        <v>0</v>
      </c>
      <c r="F698" s="88"/>
      <c r="G698" s="90"/>
      <c r="H698" s="91">
        <f t="shared" si="11"/>
        <v>0</v>
      </c>
      <c r="I698" s="71"/>
      <c r="J698" s="24"/>
      <c r="K698" s="127"/>
    </row>
    <row r="699" spans="1:11" x14ac:dyDescent="0.25">
      <c r="A699" s="22"/>
      <c r="B699" s="23"/>
      <c r="C699" s="49" t="str">
        <f>IF(ISBLANK($B699),"",IFERROR(VLOOKUP($B699,ESTOQUE!$B$2:$D$97168,2,FALSE),"Produto não cadastrado"))</f>
        <v/>
      </c>
      <c r="D699" s="69" t="str">
        <f>IF(ISBLANK($B699),"",IFERROR(VLOOKUP($B699,ESTOQUE!$B$2:$M$997973,3,FALSE),"Produto não cadastrado"))</f>
        <v/>
      </c>
      <c r="E699" s="89">
        <f>_xlfn.XLOOKUP(B699,ESTOQUE!B:B,ESTOQUE!G:G)</f>
        <v>0</v>
      </c>
      <c r="F699" s="88"/>
      <c r="G699" s="90"/>
      <c r="H699" s="91">
        <f t="shared" si="11"/>
        <v>0</v>
      </c>
      <c r="I699" s="71"/>
      <c r="J699" s="24"/>
      <c r="K699" s="127"/>
    </row>
    <row r="700" spans="1:11" x14ac:dyDescent="0.25">
      <c r="A700" s="22"/>
      <c r="B700" s="23"/>
      <c r="C700" s="49" t="str">
        <f>IF(ISBLANK($B700),"",IFERROR(VLOOKUP($B700,ESTOQUE!$B$2:$D$97168,2,FALSE),"Produto não cadastrado"))</f>
        <v/>
      </c>
      <c r="D700" s="69" t="str">
        <f>IF(ISBLANK($B700),"",IFERROR(VLOOKUP($B700,ESTOQUE!$B$2:$M$997973,3,FALSE),"Produto não cadastrado"))</f>
        <v/>
      </c>
      <c r="E700" s="89">
        <f>_xlfn.XLOOKUP(B700,ESTOQUE!B:B,ESTOQUE!G:G)</f>
        <v>0</v>
      </c>
      <c r="F700" s="88"/>
      <c r="G700" s="90"/>
      <c r="H700" s="91">
        <f t="shared" si="11"/>
        <v>0</v>
      </c>
      <c r="I700" s="71"/>
      <c r="J700" s="24"/>
      <c r="K700" s="127"/>
    </row>
    <row r="701" spans="1:11" x14ac:dyDescent="0.25">
      <c r="A701" s="22"/>
      <c r="B701" s="23"/>
      <c r="C701" s="49" t="str">
        <f>IF(ISBLANK($B701),"",IFERROR(VLOOKUP($B701,ESTOQUE!$B$2:$D$97168,2,FALSE),"Produto não cadastrado"))</f>
        <v/>
      </c>
      <c r="D701" s="69" t="str">
        <f>IF(ISBLANK($B701),"",IFERROR(VLOOKUP($B701,ESTOQUE!$B$2:$M$997973,3,FALSE),"Produto não cadastrado"))</f>
        <v/>
      </c>
      <c r="E701" s="89">
        <f>_xlfn.XLOOKUP(B701,ESTOQUE!B:B,ESTOQUE!G:G)</f>
        <v>0</v>
      </c>
      <c r="F701" s="88"/>
      <c r="G701" s="90"/>
      <c r="H701" s="91">
        <f t="shared" si="11"/>
        <v>0</v>
      </c>
      <c r="I701" s="71"/>
      <c r="J701" s="24"/>
      <c r="K701" s="127"/>
    </row>
    <row r="702" spans="1:11" x14ac:dyDescent="0.25">
      <c r="A702" s="22"/>
      <c r="B702" s="23"/>
      <c r="C702" s="49" t="str">
        <f>IF(ISBLANK($B702),"",IFERROR(VLOOKUP($B702,ESTOQUE!$B$2:$D$97168,2,FALSE),"Produto não cadastrado"))</f>
        <v/>
      </c>
      <c r="D702" s="69" t="str">
        <f>IF(ISBLANK($B702),"",IFERROR(VLOOKUP($B702,ESTOQUE!$B$2:$M$997973,3,FALSE),"Produto não cadastrado"))</f>
        <v/>
      </c>
      <c r="E702" s="89">
        <f>_xlfn.XLOOKUP(B702,ESTOQUE!B:B,ESTOQUE!G:G)</f>
        <v>0</v>
      </c>
      <c r="F702" s="88"/>
      <c r="G702" s="90"/>
      <c r="H702" s="91">
        <f t="shared" si="11"/>
        <v>0</v>
      </c>
      <c r="I702" s="71"/>
      <c r="J702" s="24"/>
      <c r="K702" s="127"/>
    </row>
    <row r="703" spans="1:11" x14ac:dyDescent="0.25">
      <c r="A703" s="22"/>
      <c r="B703" s="23"/>
      <c r="C703" s="49" t="str">
        <f>IF(ISBLANK($B703),"",IFERROR(VLOOKUP($B703,ESTOQUE!$B$2:$D$97168,2,FALSE),"Produto não cadastrado"))</f>
        <v/>
      </c>
      <c r="D703" s="69" t="str">
        <f>IF(ISBLANK($B703),"",IFERROR(VLOOKUP($B703,ESTOQUE!$B$2:$M$997973,3,FALSE),"Produto não cadastrado"))</f>
        <v/>
      </c>
      <c r="E703" s="89">
        <f>_xlfn.XLOOKUP(B703,ESTOQUE!B:B,ESTOQUE!G:G)</f>
        <v>0</v>
      </c>
      <c r="F703" s="88"/>
      <c r="G703" s="90"/>
      <c r="H703" s="91">
        <f t="shared" si="11"/>
        <v>0</v>
      </c>
      <c r="I703" s="71"/>
      <c r="J703" s="24"/>
      <c r="K703" s="127"/>
    </row>
    <row r="704" spans="1:11" x14ac:dyDescent="0.25">
      <c r="A704" s="22"/>
      <c r="B704" s="23"/>
      <c r="C704" s="49" t="str">
        <f>IF(ISBLANK($B704),"",IFERROR(VLOOKUP($B704,ESTOQUE!$B$2:$D$97168,2,FALSE),"Produto não cadastrado"))</f>
        <v/>
      </c>
      <c r="D704" s="69" t="str">
        <f>IF(ISBLANK($B704),"",IFERROR(VLOOKUP($B704,ESTOQUE!$B$2:$M$997973,3,FALSE),"Produto não cadastrado"))</f>
        <v/>
      </c>
      <c r="E704" s="89">
        <f>_xlfn.XLOOKUP(B704,ESTOQUE!B:B,ESTOQUE!G:G)</f>
        <v>0</v>
      </c>
      <c r="F704" s="88"/>
      <c r="G704" s="90"/>
      <c r="H704" s="91">
        <f t="shared" si="11"/>
        <v>0</v>
      </c>
      <c r="I704" s="71"/>
      <c r="J704" s="24"/>
      <c r="K704" s="127"/>
    </row>
    <row r="705" spans="1:11" x14ac:dyDescent="0.25">
      <c r="A705" s="22"/>
      <c r="B705" s="23"/>
      <c r="C705" s="49" t="str">
        <f>IF(ISBLANK($B705),"",IFERROR(VLOOKUP($B705,ESTOQUE!$B$2:$D$97168,2,FALSE),"Produto não cadastrado"))</f>
        <v/>
      </c>
      <c r="D705" s="69" t="str">
        <f>IF(ISBLANK($B705),"",IFERROR(VLOOKUP($B705,ESTOQUE!$B$2:$M$997973,3,FALSE),"Produto não cadastrado"))</f>
        <v/>
      </c>
      <c r="E705" s="89">
        <f>_xlfn.XLOOKUP(B705,ESTOQUE!B:B,ESTOQUE!G:G)</f>
        <v>0</v>
      </c>
      <c r="F705" s="88"/>
      <c r="G705" s="90"/>
      <c r="H705" s="91">
        <f t="shared" si="11"/>
        <v>0</v>
      </c>
      <c r="I705" s="71"/>
      <c r="J705" s="24"/>
      <c r="K705" s="127"/>
    </row>
    <row r="706" spans="1:11" x14ac:dyDescent="0.25">
      <c r="A706" s="22"/>
      <c r="B706" s="23"/>
      <c r="C706" s="49" t="str">
        <f>IF(ISBLANK($B706),"",IFERROR(VLOOKUP($B706,ESTOQUE!$B$2:$D$97168,2,FALSE),"Produto não cadastrado"))</f>
        <v/>
      </c>
      <c r="D706" s="69" t="str">
        <f>IF(ISBLANK($B706),"",IFERROR(VLOOKUP($B706,ESTOQUE!$B$2:$M$997973,3,FALSE),"Produto não cadastrado"))</f>
        <v/>
      </c>
      <c r="E706" s="89">
        <f>_xlfn.XLOOKUP(B706,ESTOQUE!B:B,ESTOQUE!G:G)</f>
        <v>0</v>
      </c>
      <c r="F706" s="88"/>
      <c r="G706" s="90"/>
      <c r="H706" s="91">
        <f t="shared" si="11"/>
        <v>0</v>
      </c>
      <c r="I706" s="71"/>
      <c r="J706" s="24"/>
      <c r="K706" s="127"/>
    </row>
    <row r="707" spans="1:11" x14ac:dyDescent="0.25">
      <c r="A707" s="22"/>
      <c r="B707" s="23"/>
      <c r="C707" s="49" t="str">
        <f>IF(ISBLANK($B707),"",IFERROR(VLOOKUP($B707,ESTOQUE!$B$2:$D$97168,2,FALSE),"Produto não cadastrado"))</f>
        <v/>
      </c>
      <c r="D707" s="69" t="str">
        <f>IF(ISBLANK($B707),"",IFERROR(VLOOKUP($B707,ESTOQUE!$B$2:$M$997973,3,FALSE),"Produto não cadastrado"))</f>
        <v/>
      </c>
      <c r="E707" s="89">
        <f>_xlfn.XLOOKUP(B707,ESTOQUE!B:B,ESTOQUE!G:G)</f>
        <v>0</v>
      </c>
      <c r="F707" s="88"/>
      <c r="G707" s="90"/>
      <c r="H707" s="91">
        <f t="shared" si="11"/>
        <v>0</v>
      </c>
      <c r="I707" s="71"/>
      <c r="J707" s="24"/>
      <c r="K707" s="127"/>
    </row>
    <row r="708" spans="1:11" x14ac:dyDescent="0.25">
      <c r="A708" s="22"/>
      <c r="B708" s="23"/>
      <c r="C708" s="49" t="str">
        <f>IF(ISBLANK($B708),"",IFERROR(VLOOKUP($B708,ESTOQUE!$B$2:$D$97168,2,FALSE),"Produto não cadastrado"))</f>
        <v/>
      </c>
      <c r="D708" s="69" t="str">
        <f>IF(ISBLANK($B708),"",IFERROR(VLOOKUP($B708,ESTOQUE!$B$2:$M$997973,3,FALSE),"Produto não cadastrado"))</f>
        <v/>
      </c>
      <c r="E708" s="89">
        <f>_xlfn.XLOOKUP(B708,ESTOQUE!B:B,ESTOQUE!G:G)</f>
        <v>0</v>
      </c>
      <c r="F708" s="88"/>
      <c r="G708" s="90"/>
      <c r="H708" s="91">
        <f t="shared" si="11"/>
        <v>0</v>
      </c>
      <c r="I708" s="71"/>
      <c r="J708" s="24"/>
      <c r="K708" s="127"/>
    </row>
    <row r="709" spans="1:11" x14ac:dyDescent="0.25">
      <c r="A709" s="22"/>
      <c r="B709" s="23"/>
      <c r="C709" s="49" t="str">
        <f>IF(ISBLANK($B709),"",IFERROR(VLOOKUP($B709,ESTOQUE!$B$2:$D$97168,2,FALSE),"Produto não cadastrado"))</f>
        <v/>
      </c>
      <c r="D709" s="69" t="str">
        <f>IF(ISBLANK($B709),"",IFERROR(VLOOKUP($B709,ESTOQUE!$B$2:$M$997973,3,FALSE),"Produto não cadastrado"))</f>
        <v/>
      </c>
      <c r="E709" s="89">
        <f>_xlfn.XLOOKUP(B709,ESTOQUE!B:B,ESTOQUE!G:G)</f>
        <v>0</v>
      </c>
      <c r="F709" s="88"/>
      <c r="G709" s="90"/>
      <c r="H709" s="91">
        <f t="shared" si="11"/>
        <v>0</v>
      </c>
      <c r="I709" s="71"/>
      <c r="J709" s="24"/>
      <c r="K709" s="127"/>
    </row>
    <row r="710" spans="1:11" x14ac:dyDescent="0.25">
      <c r="A710" s="22"/>
      <c r="B710" s="23"/>
      <c r="C710" s="49" t="str">
        <f>IF(ISBLANK($B710),"",IFERROR(VLOOKUP($B710,ESTOQUE!$B$2:$D$97168,2,FALSE),"Produto não cadastrado"))</f>
        <v/>
      </c>
      <c r="D710" s="69" t="str">
        <f>IF(ISBLANK($B710),"",IFERROR(VLOOKUP($B710,ESTOQUE!$B$2:$M$997973,3,FALSE),"Produto não cadastrado"))</f>
        <v/>
      </c>
      <c r="E710" s="89">
        <f>_xlfn.XLOOKUP(B710,ESTOQUE!B:B,ESTOQUE!G:G)</f>
        <v>0</v>
      </c>
      <c r="F710" s="88"/>
      <c r="G710" s="90"/>
      <c r="H710" s="91">
        <f t="shared" si="11"/>
        <v>0</v>
      </c>
      <c r="I710" s="71"/>
      <c r="J710" s="24"/>
      <c r="K710" s="127"/>
    </row>
    <row r="711" spans="1:11" x14ac:dyDescent="0.25">
      <c r="A711" s="22"/>
      <c r="B711" s="23"/>
      <c r="C711" s="49" t="str">
        <f>IF(ISBLANK($B711),"",IFERROR(VLOOKUP($B711,ESTOQUE!$B$2:$D$97168,2,FALSE),"Produto não cadastrado"))</f>
        <v/>
      </c>
      <c r="D711" s="69" t="str">
        <f>IF(ISBLANK($B711),"",IFERROR(VLOOKUP($B711,ESTOQUE!$B$2:$M$997973,3,FALSE),"Produto não cadastrado"))</f>
        <v/>
      </c>
      <c r="E711" s="89">
        <f>_xlfn.XLOOKUP(B711,ESTOQUE!B:B,ESTOQUE!G:G)</f>
        <v>0</v>
      </c>
      <c r="F711" s="88"/>
      <c r="G711" s="90"/>
      <c r="H711" s="91">
        <f t="shared" si="11"/>
        <v>0</v>
      </c>
      <c r="I711" s="71"/>
      <c r="J711" s="24"/>
      <c r="K711" s="127"/>
    </row>
    <row r="712" spans="1:11" x14ac:dyDescent="0.25">
      <c r="A712" s="22"/>
      <c r="B712" s="23"/>
      <c r="C712" s="49" t="str">
        <f>IF(ISBLANK($B712),"",IFERROR(VLOOKUP($B712,ESTOQUE!$B$2:$D$97168,2,FALSE),"Produto não cadastrado"))</f>
        <v/>
      </c>
      <c r="D712" s="69" t="str">
        <f>IF(ISBLANK($B712),"",IFERROR(VLOOKUP($B712,ESTOQUE!$B$2:$M$997973,3,FALSE),"Produto não cadastrado"))</f>
        <v/>
      </c>
      <c r="E712" s="89">
        <f>_xlfn.XLOOKUP(B712,ESTOQUE!B:B,ESTOQUE!G:G)</f>
        <v>0</v>
      </c>
      <c r="F712" s="88"/>
      <c r="G712" s="90"/>
      <c r="H712" s="91">
        <f t="shared" si="11"/>
        <v>0</v>
      </c>
      <c r="I712" s="71"/>
      <c r="J712" s="24"/>
      <c r="K712" s="127"/>
    </row>
    <row r="713" spans="1:11" x14ac:dyDescent="0.25">
      <c r="A713" s="22"/>
      <c r="B713" s="23"/>
      <c r="C713" s="49" t="str">
        <f>IF(ISBLANK($B713),"",IFERROR(VLOOKUP($B713,ESTOQUE!$B$2:$D$97168,2,FALSE),"Produto não cadastrado"))</f>
        <v/>
      </c>
      <c r="D713" s="69" t="str">
        <f>IF(ISBLANK($B713),"",IFERROR(VLOOKUP($B713,ESTOQUE!$B$2:$M$997973,3,FALSE),"Produto não cadastrado"))</f>
        <v/>
      </c>
      <c r="E713" s="89">
        <f>_xlfn.XLOOKUP(B713,ESTOQUE!B:B,ESTOQUE!G:G)</f>
        <v>0</v>
      </c>
      <c r="F713" s="88"/>
      <c r="G713" s="90"/>
      <c r="H713" s="91">
        <f t="shared" si="11"/>
        <v>0</v>
      </c>
      <c r="I713" s="71"/>
      <c r="J713" s="24"/>
      <c r="K713" s="127"/>
    </row>
    <row r="714" spans="1:11" x14ac:dyDescent="0.25">
      <c r="A714" s="22"/>
      <c r="B714" s="23"/>
      <c r="C714" s="49" t="str">
        <f>IF(ISBLANK($B714),"",IFERROR(VLOOKUP($B714,ESTOQUE!$B$2:$D$97168,2,FALSE),"Produto não cadastrado"))</f>
        <v/>
      </c>
      <c r="D714" s="69" t="str">
        <f>IF(ISBLANK($B714),"",IFERROR(VLOOKUP($B714,ESTOQUE!$B$2:$M$997973,3,FALSE),"Produto não cadastrado"))</f>
        <v/>
      </c>
      <c r="E714" s="89">
        <f>_xlfn.XLOOKUP(B714,ESTOQUE!B:B,ESTOQUE!G:G)</f>
        <v>0</v>
      </c>
      <c r="F714" s="88"/>
      <c r="G714" s="90"/>
      <c r="H714" s="91">
        <f t="shared" si="11"/>
        <v>0</v>
      </c>
      <c r="I714" s="71"/>
      <c r="J714" s="24"/>
      <c r="K714" s="127"/>
    </row>
    <row r="715" spans="1:11" x14ac:dyDescent="0.25">
      <c r="A715" s="22"/>
      <c r="B715" s="23"/>
      <c r="C715" s="49" t="str">
        <f>IF(ISBLANK($B715),"",IFERROR(VLOOKUP($B715,ESTOQUE!$B$2:$D$97168,2,FALSE),"Produto não cadastrado"))</f>
        <v/>
      </c>
      <c r="D715" s="69" t="str">
        <f>IF(ISBLANK($B715),"",IFERROR(VLOOKUP($B715,ESTOQUE!$B$2:$M$997973,3,FALSE),"Produto não cadastrado"))</f>
        <v/>
      </c>
      <c r="E715" s="89">
        <f>_xlfn.XLOOKUP(B715,ESTOQUE!B:B,ESTOQUE!G:G)</f>
        <v>0</v>
      </c>
      <c r="F715" s="88"/>
      <c r="G715" s="90"/>
      <c r="H715" s="91">
        <f t="shared" si="11"/>
        <v>0</v>
      </c>
      <c r="I715" s="71"/>
      <c r="J715" s="24"/>
      <c r="K715" s="127"/>
    </row>
    <row r="716" spans="1:11" x14ac:dyDescent="0.25">
      <c r="A716" s="22"/>
      <c r="B716" s="23"/>
      <c r="C716" s="49" t="str">
        <f>IF(ISBLANK($B716),"",IFERROR(VLOOKUP($B716,ESTOQUE!$B$2:$D$97168,2,FALSE),"Produto não cadastrado"))</f>
        <v/>
      </c>
      <c r="D716" s="69" t="str">
        <f>IF(ISBLANK($B716),"",IFERROR(VLOOKUP($B716,ESTOQUE!$B$2:$M$997973,3,FALSE),"Produto não cadastrado"))</f>
        <v/>
      </c>
      <c r="E716" s="89">
        <f>_xlfn.XLOOKUP(B716,ESTOQUE!B:B,ESTOQUE!G:G)</f>
        <v>0</v>
      </c>
      <c r="F716" s="88"/>
      <c r="G716" s="90"/>
      <c r="H716" s="91">
        <f t="shared" si="11"/>
        <v>0</v>
      </c>
      <c r="I716" s="71"/>
      <c r="J716" s="24"/>
      <c r="K716" s="127"/>
    </row>
    <row r="717" spans="1:11" x14ac:dyDescent="0.25">
      <c r="A717" s="22"/>
      <c r="B717" s="23"/>
      <c r="C717" s="49" t="str">
        <f>IF(ISBLANK($B717),"",IFERROR(VLOOKUP($B717,ESTOQUE!$B$2:$D$97168,2,FALSE),"Produto não cadastrado"))</f>
        <v/>
      </c>
      <c r="D717" s="69" t="str">
        <f>IF(ISBLANK($B717),"",IFERROR(VLOOKUP($B717,ESTOQUE!$B$2:$M$997973,3,FALSE),"Produto não cadastrado"))</f>
        <v/>
      </c>
      <c r="E717" s="89">
        <f>_xlfn.XLOOKUP(B717,ESTOQUE!B:B,ESTOQUE!G:G)</f>
        <v>0</v>
      </c>
      <c r="F717" s="88"/>
      <c r="G717" s="90"/>
      <c r="H717" s="91">
        <f t="shared" si="11"/>
        <v>0</v>
      </c>
      <c r="I717" s="71"/>
      <c r="J717" s="24"/>
      <c r="K717" s="127"/>
    </row>
    <row r="718" spans="1:11" x14ac:dyDescent="0.25">
      <c r="A718" s="22"/>
      <c r="B718" s="23"/>
      <c r="C718" s="49" t="str">
        <f>IF(ISBLANK($B718),"",IFERROR(VLOOKUP($B718,ESTOQUE!$B$2:$D$97168,2,FALSE),"Produto não cadastrado"))</f>
        <v/>
      </c>
      <c r="D718" s="69" t="str">
        <f>IF(ISBLANK($B718),"",IFERROR(VLOOKUP($B718,ESTOQUE!$B$2:$M$997973,3,FALSE),"Produto não cadastrado"))</f>
        <v/>
      </c>
      <c r="E718" s="89">
        <f>_xlfn.XLOOKUP(B718,ESTOQUE!B:B,ESTOQUE!G:G)</f>
        <v>0</v>
      </c>
      <c r="F718" s="88"/>
      <c r="G718" s="90"/>
      <c r="H718" s="91">
        <f t="shared" si="11"/>
        <v>0</v>
      </c>
      <c r="I718" s="71"/>
      <c r="J718" s="24"/>
      <c r="K718" s="127"/>
    </row>
    <row r="719" spans="1:11" x14ac:dyDescent="0.25">
      <c r="A719" s="22"/>
      <c r="B719" s="23"/>
      <c r="C719" s="49" t="str">
        <f>IF(ISBLANK($B719),"",IFERROR(VLOOKUP($B719,ESTOQUE!$B$2:$D$97168,2,FALSE),"Produto não cadastrado"))</f>
        <v/>
      </c>
      <c r="D719" s="69" t="str">
        <f>IF(ISBLANK($B719),"",IFERROR(VLOOKUP($B719,ESTOQUE!$B$2:$M$997973,3,FALSE),"Produto não cadastrado"))</f>
        <v/>
      </c>
      <c r="E719" s="89">
        <f>_xlfn.XLOOKUP(B719,ESTOQUE!B:B,ESTOQUE!G:G)</f>
        <v>0</v>
      </c>
      <c r="F719" s="88"/>
      <c r="G719" s="90"/>
      <c r="H719" s="91">
        <f t="shared" si="11"/>
        <v>0</v>
      </c>
      <c r="I719" s="71"/>
      <c r="J719" s="24"/>
      <c r="K719" s="127"/>
    </row>
    <row r="720" spans="1:11" x14ac:dyDescent="0.25">
      <c r="A720" s="22"/>
      <c r="B720" s="23"/>
      <c r="C720" s="49" t="str">
        <f>IF(ISBLANK($B720),"",IFERROR(VLOOKUP($B720,ESTOQUE!$B$2:$D$97168,2,FALSE),"Produto não cadastrado"))</f>
        <v/>
      </c>
      <c r="D720" s="69" t="str">
        <f>IF(ISBLANK($B720),"",IFERROR(VLOOKUP($B720,ESTOQUE!$B$2:$M$997973,3,FALSE),"Produto não cadastrado"))</f>
        <v/>
      </c>
      <c r="E720" s="89">
        <f>_xlfn.XLOOKUP(B720,ESTOQUE!B:B,ESTOQUE!G:G)</f>
        <v>0</v>
      </c>
      <c r="F720" s="88"/>
      <c r="G720" s="90"/>
      <c r="H720" s="91">
        <f t="shared" si="11"/>
        <v>0</v>
      </c>
      <c r="I720" s="71"/>
      <c r="J720" s="24"/>
      <c r="K720" s="127"/>
    </row>
    <row r="721" spans="1:11" x14ac:dyDescent="0.25">
      <c r="A721" s="22"/>
      <c r="B721" s="23"/>
      <c r="C721" s="49" t="str">
        <f>IF(ISBLANK($B721),"",IFERROR(VLOOKUP($B721,ESTOQUE!$B$2:$D$97168,2,FALSE),"Produto não cadastrado"))</f>
        <v/>
      </c>
      <c r="D721" s="69" t="str">
        <f>IF(ISBLANK($B721),"",IFERROR(VLOOKUP($B721,ESTOQUE!$B$2:$M$997973,3,FALSE),"Produto não cadastrado"))</f>
        <v/>
      </c>
      <c r="E721" s="89">
        <f>_xlfn.XLOOKUP(B721,ESTOQUE!B:B,ESTOQUE!G:G)</f>
        <v>0</v>
      </c>
      <c r="F721" s="88"/>
      <c r="G721" s="90"/>
      <c r="H721" s="91">
        <f t="shared" si="11"/>
        <v>0</v>
      </c>
      <c r="I721" s="71"/>
      <c r="J721" s="24"/>
      <c r="K721" s="127"/>
    </row>
    <row r="722" spans="1:11" x14ac:dyDescent="0.25">
      <c r="A722" s="22"/>
      <c r="B722" s="23"/>
      <c r="C722" s="49" t="str">
        <f>IF(ISBLANK($B722),"",IFERROR(VLOOKUP($B722,ESTOQUE!$B$2:$D$97168,2,FALSE),"Produto não cadastrado"))</f>
        <v/>
      </c>
      <c r="D722" s="69" t="str">
        <f>IF(ISBLANK($B722),"",IFERROR(VLOOKUP($B722,ESTOQUE!$B$2:$M$997973,3,FALSE),"Produto não cadastrado"))</f>
        <v/>
      </c>
      <c r="E722" s="89">
        <f>_xlfn.XLOOKUP(B722,ESTOQUE!B:B,ESTOQUE!G:G)</f>
        <v>0</v>
      </c>
      <c r="F722" s="88"/>
      <c r="G722" s="90"/>
      <c r="H722" s="91">
        <f t="shared" si="11"/>
        <v>0</v>
      </c>
      <c r="I722" s="71"/>
      <c r="J722" s="24"/>
      <c r="K722" s="127"/>
    </row>
    <row r="723" spans="1:11" x14ac:dyDescent="0.25">
      <c r="A723" s="22"/>
      <c r="B723" s="23"/>
      <c r="C723" s="49" t="str">
        <f>IF(ISBLANK($B723),"",IFERROR(VLOOKUP($B723,ESTOQUE!$B$2:$D$97168,2,FALSE),"Produto não cadastrado"))</f>
        <v/>
      </c>
      <c r="D723" s="69" t="str">
        <f>IF(ISBLANK($B723),"",IFERROR(VLOOKUP($B723,ESTOQUE!$B$2:$M$997973,3,FALSE),"Produto não cadastrado"))</f>
        <v/>
      </c>
      <c r="E723" s="89">
        <f>_xlfn.XLOOKUP(B723,ESTOQUE!B:B,ESTOQUE!G:G)</f>
        <v>0</v>
      </c>
      <c r="F723" s="88"/>
      <c r="G723" s="90"/>
      <c r="H723" s="91">
        <f t="shared" si="11"/>
        <v>0</v>
      </c>
      <c r="I723" s="71"/>
      <c r="J723" s="24"/>
      <c r="K723" s="127"/>
    </row>
    <row r="724" spans="1:11" x14ac:dyDescent="0.25">
      <c r="A724" s="22"/>
      <c r="B724" s="23"/>
      <c r="C724" s="49" t="str">
        <f>IF(ISBLANK($B724),"",IFERROR(VLOOKUP($B724,ESTOQUE!$B$2:$D$97168,2,FALSE),"Produto não cadastrado"))</f>
        <v/>
      </c>
      <c r="D724" s="69" t="str">
        <f>IF(ISBLANK($B724),"",IFERROR(VLOOKUP($B724,ESTOQUE!$B$2:$M$997973,3,FALSE),"Produto não cadastrado"))</f>
        <v/>
      </c>
      <c r="E724" s="89">
        <f>_xlfn.XLOOKUP(B724,ESTOQUE!B:B,ESTOQUE!G:G)</f>
        <v>0</v>
      </c>
      <c r="F724" s="88"/>
      <c r="G724" s="90"/>
      <c r="H724" s="91">
        <f t="shared" si="11"/>
        <v>0</v>
      </c>
      <c r="I724" s="71"/>
      <c r="J724" s="24"/>
      <c r="K724" s="127"/>
    </row>
    <row r="725" spans="1:11" x14ac:dyDescent="0.25">
      <c r="A725" s="22"/>
      <c r="B725" s="23"/>
      <c r="C725" s="49" t="str">
        <f>IF(ISBLANK($B725),"",IFERROR(VLOOKUP($B725,ESTOQUE!$B$2:$D$97168,2,FALSE),"Produto não cadastrado"))</f>
        <v/>
      </c>
      <c r="D725" s="69" t="str">
        <f>IF(ISBLANK($B725),"",IFERROR(VLOOKUP($B725,ESTOQUE!$B$2:$M$997973,3,FALSE),"Produto não cadastrado"))</f>
        <v/>
      </c>
      <c r="E725" s="89">
        <f>_xlfn.XLOOKUP(B725,ESTOQUE!B:B,ESTOQUE!G:G)</f>
        <v>0</v>
      </c>
      <c r="F725" s="88"/>
      <c r="G725" s="90"/>
      <c r="H725" s="91">
        <f t="shared" si="11"/>
        <v>0</v>
      </c>
      <c r="I725" s="71"/>
      <c r="J725" s="24"/>
      <c r="K725" s="127"/>
    </row>
    <row r="726" spans="1:11" x14ac:dyDescent="0.25">
      <c r="A726" s="22"/>
      <c r="B726" s="23"/>
      <c r="C726" s="49" t="str">
        <f>IF(ISBLANK($B726),"",IFERROR(VLOOKUP($B726,ESTOQUE!$B$2:$D$97168,2,FALSE),"Produto não cadastrado"))</f>
        <v/>
      </c>
      <c r="D726" s="69" t="str">
        <f>IF(ISBLANK($B726),"",IFERROR(VLOOKUP($B726,ESTOQUE!$B$2:$M$997973,3,FALSE),"Produto não cadastrado"))</f>
        <v/>
      </c>
      <c r="E726" s="89">
        <f>_xlfn.XLOOKUP(B726,ESTOQUE!B:B,ESTOQUE!G:G)</f>
        <v>0</v>
      </c>
      <c r="F726" s="88"/>
      <c r="G726" s="90"/>
      <c r="H726" s="91">
        <f t="shared" si="11"/>
        <v>0</v>
      </c>
      <c r="I726" s="71"/>
      <c r="J726" s="24"/>
      <c r="K726" s="127"/>
    </row>
    <row r="727" spans="1:11" x14ac:dyDescent="0.25">
      <c r="A727" s="22"/>
      <c r="B727" s="23"/>
      <c r="C727" s="49" t="str">
        <f>IF(ISBLANK($B727),"",IFERROR(VLOOKUP($B727,ESTOQUE!$B$2:$D$97168,2,FALSE),"Produto não cadastrado"))</f>
        <v/>
      </c>
      <c r="D727" s="69" t="str">
        <f>IF(ISBLANK($B727),"",IFERROR(VLOOKUP($B727,ESTOQUE!$B$2:$M$997973,3,FALSE),"Produto não cadastrado"))</f>
        <v/>
      </c>
      <c r="E727" s="89">
        <f>_xlfn.XLOOKUP(B727,ESTOQUE!B:B,ESTOQUE!G:G)</f>
        <v>0</v>
      </c>
      <c r="F727" s="88"/>
      <c r="G727" s="90"/>
      <c r="H727" s="91">
        <f t="shared" si="11"/>
        <v>0</v>
      </c>
      <c r="I727" s="71"/>
      <c r="J727" s="24"/>
      <c r="K727" s="127"/>
    </row>
    <row r="728" spans="1:11" x14ac:dyDescent="0.25">
      <c r="A728" s="22"/>
      <c r="B728" s="23"/>
      <c r="C728" s="49" t="str">
        <f>IF(ISBLANK($B728),"",IFERROR(VLOOKUP($B728,ESTOQUE!$B$2:$D$97168,2,FALSE),"Produto não cadastrado"))</f>
        <v/>
      </c>
      <c r="D728" s="69" t="str">
        <f>IF(ISBLANK($B728),"",IFERROR(VLOOKUP($B728,ESTOQUE!$B$2:$M$997973,3,FALSE),"Produto não cadastrado"))</f>
        <v/>
      </c>
      <c r="E728" s="89">
        <f>_xlfn.XLOOKUP(B728,ESTOQUE!B:B,ESTOQUE!G:G)</f>
        <v>0</v>
      </c>
      <c r="F728" s="88"/>
      <c r="G728" s="90"/>
      <c r="H728" s="91">
        <f t="shared" si="11"/>
        <v>0</v>
      </c>
      <c r="I728" s="71"/>
      <c r="J728" s="24"/>
      <c r="K728" s="127"/>
    </row>
    <row r="729" spans="1:11" x14ac:dyDescent="0.25">
      <c r="A729" s="22"/>
      <c r="B729" s="23"/>
      <c r="C729" s="49" t="str">
        <f>IF(ISBLANK($B729),"",IFERROR(VLOOKUP($B729,ESTOQUE!$B$2:$D$97168,2,FALSE),"Produto não cadastrado"))</f>
        <v/>
      </c>
      <c r="D729" s="69" t="str">
        <f>IF(ISBLANK($B729),"",IFERROR(VLOOKUP($B729,ESTOQUE!$B$2:$M$997973,3,FALSE),"Produto não cadastrado"))</f>
        <v/>
      </c>
      <c r="E729" s="89">
        <f>_xlfn.XLOOKUP(B729,ESTOQUE!B:B,ESTOQUE!G:G)</f>
        <v>0</v>
      </c>
      <c r="F729" s="88"/>
      <c r="G729" s="90"/>
      <c r="H729" s="91">
        <f t="shared" si="11"/>
        <v>0</v>
      </c>
      <c r="I729" s="71"/>
      <c r="J729" s="24"/>
      <c r="K729" s="127"/>
    </row>
    <row r="730" spans="1:11" x14ac:dyDescent="0.25">
      <c r="A730" s="22"/>
      <c r="B730" s="23"/>
      <c r="C730" s="49" t="str">
        <f>IF(ISBLANK($B730),"",IFERROR(VLOOKUP($B730,ESTOQUE!$B$2:$D$97168,2,FALSE),"Produto não cadastrado"))</f>
        <v/>
      </c>
      <c r="D730" s="69" t="str">
        <f>IF(ISBLANK($B730),"",IFERROR(VLOOKUP($B730,ESTOQUE!$B$2:$M$997973,3,FALSE),"Produto não cadastrado"))</f>
        <v/>
      </c>
      <c r="E730" s="89">
        <f>_xlfn.XLOOKUP(B730,ESTOQUE!B:B,ESTOQUE!G:G)</f>
        <v>0</v>
      </c>
      <c r="F730" s="88"/>
      <c r="G730" s="90"/>
      <c r="H730" s="91">
        <f t="shared" si="11"/>
        <v>0</v>
      </c>
      <c r="I730" s="71"/>
      <c r="J730" s="24"/>
      <c r="K730" s="127"/>
    </row>
    <row r="731" spans="1:11" x14ac:dyDescent="0.25">
      <c r="A731" s="22"/>
      <c r="B731" s="23"/>
      <c r="C731" s="49" t="str">
        <f>IF(ISBLANK($B731),"",IFERROR(VLOOKUP($B731,ESTOQUE!$B$2:$D$97168,2,FALSE),"Produto não cadastrado"))</f>
        <v/>
      </c>
      <c r="D731" s="69" t="str">
        <f>IF(ISBLANK($B731),"",IFERROR(VLOOKUP($B731,ESTOQUE!$B$2:$M$997973,3,FALSE),"Produto não cadastrado"))</f>
        <v/>
      </c>
      <c r="E731" s="89">
        <f>_xlfn.XLOOKUP(B731,ESTOQUE!B:B,ESTOQUE!G:G)</f>
        <v>0</v>
      </c>
      <c r="F731" s="88"/>
      <c r="G731" s="90"/>
      <c r="H731" s="91">
        <f t="shared" si="11"/>
        <v>0</v>
      </c>
      <c r="I731" s="71"/>
      <c r="J731" s="24"/>
      <c r="K731" s="127"/>
    </row>
    <row r="732" spans="1:11" x14ac:dyDescent="0.25">
      <c r="A732" s="22"/>
      <c r="B732" s="23"/>
      <c r="C732" s="49" t="str">
        <f>IF(ISBLANK($B732),"",IFERROR(VLOOKUP($B732,ESTOQUE!$B$2:$D$97168,2,FALSE),"Produto não cadastrado"))</f>
        <v/>
      </c>
      <c r="D732" s="69" t="str">
        <f>IF(ISBLANK($B732),"",IFERROR(VLOOKUP($B732,ESTOQUE!$B$2:$M$997973,3,FALSE),"Produto não cadastrado"))</f>
        <v/>
      </c>
      <c r="E732" s="89">
        <f>_xlfn.XLOOKUP(B732,ESTOQUE!B:B,ESTOQUE!G:G)</f>
        <v>0</v>
      </c>
      <c r="F732" s="88"/>
      <c r="G732" s="90"/>
      <c r="H732" s="91">
        <f t="shared" si="11"/>
        <v>0</v>
      </c>
      <c r="I732" s="71"/>
      <c r="J732" s="24"/>
      <c r="K732" s="127"/>
    </row>
    <row r="733" spans="1:11" x14ac:dyDescent="0.25">
      <c r="A733" s="22"/>
      <c r="B733" s="23"/>
      <c r="C733" s="49" t="str">
        <f>IF(ISBLANK($B733),"",IFERROR(VLOOKUP($B733,ESTOQUE!$B$2:$D$97168,2,FALSE),"Produto não cadastrado"))</f>
        <v/>
      </c>
      <c r="D733" s="69" t="str">
        <f>IF(ISBLANK($B733),"",IFERROR(VLOOKUP($B733,ESTOQUE!$B$2:$M$997973,3,FALSE),"Produto não cadastrado"))</f>
        <v/>
      </c>
      <c r="E733" s="89">
        <f>_xlfn.XLOOKUP(B733,ESTOQUE!B:B,ESTOQUE!G:G)</f>
        <v>0</v>
      </c>
      <c r="F733" s="88"/>
      <c r="G733" s="90"/>
      <c r="H733" s="91">
        <f t="shared" si="11"/>
        <v>0</v>
      </c>
      <c r="I733" s="71"/>
      <c r="J733" s="24"/>
      <c r="K733" s="127"/>
    </row>
    <row r="734" spans="1:11" x14ac:dyDescent="0.25">
      <c r="A734" s="22"/>
      <c r="B734" s="23"/>
      <c r="C734" s="49" t="str">
        <f>IF(ISBLANK($B734),"",IFERROR(VLOOKUP($B734,ESTOQUE!$B$2:$D$97168,2,FALSE),"Produto não cadastrado"))</f>
        <v/>
      </c>
      <c r="D734" s="69" t="str">
        <f>IF(ISBLANK($B734),"",IFERROR(VLOOKUP($B734,ESTOQUE!$B$2:$M$997973,3,FALSE),"Produto não cadastrado"))</f>
        <v/>
      </c>
      <c r="E734" s="89">
        <f>_xlfn.XLOOKUP(B734,ESTOQUE!B:B,ESTOQUE!G:G)</f>
        <v>0</v>
      </c>
      <c r="F734" s="88"/>
      <c r="G734" s="90"/>
      <c r="H734" s="91">
        <f t="shared" si="11"/>
        <v>0</v>
      </c>
      <c r="I734" s="71"/>
      <c r="J734" s="24"/>
      <c r="K734" s="127"/>
    </row>
    <row r="735" spans="1:11" x14ac:dyDescent="0.25">
      <c r="A735" s="22"/>
      <c r="B735" s="23"/>
      <c r="C735" s="49" t="str">
        <f>IF(ISBLANK($B735),"",IFERROR(VLOOKUP($B735,ESTOQUE!$B$2:$D$97168,2,FALSE),"Produto não cadastrado"))</f>
        <v/>
      </c>
      <c r="D735" s="69" t="str">
        <f>IF(ISBLANK($B735),"",IFERROR(VLOOKUP($B735,ESTOQUE!$B$2:$M$997973,3,FALSE),"Produto não cadastrado"))</f>
        <v/>
      </c>
      <c r="E735" s="89">
        <f>_xlfn.XLOOKUP(B735,ESTOQUE!B:B,ESTOQUE!G:G)</f>
        <v>0</v>
      </c>
      <c r="F735" s="88"/>
      <c r="G735" s="90"/>
      <c r="H735" s="91">
        <f t="shared" si="11"/>
        <v>0</v>
      </c>
      <c r="I735" s="71"/>
      <c r="J735" s="24"/>
      <c r="K735" s="127"/>
    </row>
    <row r="736" spans="1:11" x14ac:dyDescent="0.25">
      <c r="A736" s="22"/>
      <c r="B736" s="23"/>
      <c r="C736" s="49" t="str">
        <f>IF(ISBLANK($B736),"",IFERROR(VLOOKUP($B736,ESTOQUE!$B$2:$D$97168,2,FALSE),"Produto não cadastrado"))</f>
        <v/>
      </c>
      <c r="D736" s="69" t="str">
        <f>IF(ISBLANK($B736),"",IFERROR(VLOOKUP($B736,ESTOQUE!$B$2:$M$997973,3,FALSE),"Produto não cadastrado"))</f>
        <v/>
      </c>
      <c r="E736" s="89">
        <f>_xlfn.XLOOKUP(B736,ESTOQUE!B:B,ESTOQUE!G:G)</f>
        <v>0</v>
      </c>
      <c r="F736" s="88"/>
      <c r="G736" s="90"/>
      <c r="H736" s="91">
        <f t="shared" si="11"/>
        <v>0</v>
      </c>
      <c r="I736" s="71"/>
      <c r="J736" s="24"/>
      <c r="K736" s="127"/>
    </row>
    <row r="737" spans="1:11" x14ac:dyDescent="0.25">
      <c r="A737" s="22"/>
      <c r="B737" s="23"/>
      <c r="C737" s="49" t="str">
        <f>IF(ISBLANK($B737),"",IFERROR(VLOOKUP($B737,ESTOQUE!$B$2:$D$97168,2,FALSE),"Produto não cadastrado"))</f>
        <v/>
      </c>
      <c r="D737" s="69" t="str">
        <f>IF(ISBLANK($B737),"",IFERROR(VLOOKUP($B737,ESTOQUE!$B$2:$M$997973,3,FALSE),"Produto não cadastrado"))</f>
        <v/>
      </c>
      <c r="E737" s="89">
        <f>_xlfn.XLOOKUP(B737,ESTOQUE!B:B,ESTOQUE!G:G)</f>
        <v>0</v>
      </c>
      <c r="F737" s="88"/>
      <c r="G737" s="90"/>
      <c r="H737" s="91">
        <f t="shared" si="11"/>
        <v>0</v>
      </c>
      <c r="I737" s="71"/>
      <c r="J737" s="24"/>
      <c r="K737" s="127"/>
    </row>
    <row r="738" spans="1:11" x14ac:dyDescent="0.25">
      <c r="A738" s="22"/>
      <c r="B738" s="23"/>
      <c r="C738" s="49" t="str">
        <f>IF(ISBLANK($B738),"",IFERROR(VLOOKUP($B738,ESTOQUE!$B$2:$D$97168,2,FALSE),"Produto não cadastrado"))</f>
        <v/>
      </c>
      <c r="D738" s="69" t="str">
        <f>IF(ISBLANK($B738),"",IFERROR(VLOOKUP($B738,ESTOQUE!$B$2:$M$997973,3,FALSE),"Produto não cadastrado"))</f>
        <v/>
      </c>
      <c r="E738" s="89">
        <f>_xlfn.XLOOKUP(B738,ESTOQUE!B:B,ESTOQUE!G:G)</f>
        <v>0</v>
      </c>
      <c r="F738" s="88"/>
      <c r="G738" s="90"/>
      <c r="H738" s="91">
        <f t="shared" si="11"/>
        <v>0</v>
      </c>
      <c r="I738" s="71"/>
      <c r="J738" s="24"/>
      <c r="K738" s="127"/>
    </row>
    <row r="739" spans="1:11" x14ac:dyDescent="0.25">
      <c r="A739" s="22"/>
      <c r="B739" s="23"/>
      <c r="C739" s="49" t="str">
        <f>IF(ISBLANK($B739),"",IFERROR(VLOOKUP($B739,ESTOQUE!$B$2:$D$97168,2,FALSE),"Produto não cadastrado"))</f>
        <v/>
      </c>
      <c r="D739" s="69" t="str">
        <f>IF(ISBLANK($B739),"",IFERROR(VLOOKUP($B739,ESTOQUE!$B$2:$M$997973,3,FALSE),"Produto não cadastrado"))</f>
        <v/>
      </c>
      <c r="E739" s="89">
        <f>_xlfn.XLOOKUP(B739,ESTOQUE!B:B,ESTOQUE!G:G)</f>
        <v>0</v>
      </c>
      <c r="F739" s="88"/>
      <c r="G739" s="90"/>
      <c r="H739" s="91">
        <f t="shared" si="11"/>
        <v>0</v>
      </c>
      <c r="I739" s="71"/>
      <c r="J739" s="24"/>
      <c r="K739" s="127"/>
    </row>
    <row r="740" spans="1:11" x14ac:dyDescent="0.25">
      <c r="A740" s="22"/>
      <c r="B740" s="23"/>
      <c r="C740" s="49" t="str">
        <f>IF(ISBLANK($B740),"",IFERROR(VLOOKUP($B740,ESTOQUE!$B$2:$D$97168,2,FALSE),"Produto não cadastrado"))</f>
        <v/>
      </c>
      <c r="D740" s="69" t="str">
        <f>IF(ISBLANK($B740),"",IFERROR(VLOOKUP($B740,ESTOQUE!$B$2:$M$997973,3,FALSE),"Produto não cadastrado"))</f>
        <v/>
      </c>
      <c r="E740" s="89">
        <f>_xlfn.XLOOKUP(B740,ESTOQUE!B:B,ESTOQUE!G:G)</f>
        <v>0</v>
      </c>
      <c r="F740" s="88"/>
      <c r="G740" s="90"/>
      <c r="H740" s="91">
        <f t="shared" si="11"/>
        <v>0</v>
      </c>
      <c r="I740" s="71"/>
      <c r="J740" s="24"/>
      <c r="K740" s="127"/>
    </row>
    <row r="741" spans="1:11" x14ac:dyDescent="0.25">
      <c r="A741" s="22"/>
      <c r="B741" s="23"/>
      <c r="C741" s="49" t="str">
        <f>IF(ISBLANK($B741),"",IFERROR(VLOOKUP($B741,ESTOQUE!$B$2:$D$97168,2,FALSE),"Produto não cadastrado"))</f>
        <v/>
      </c>
      <c r="D741" s="69" t="str">
        <f>IF(ISBLANK($B741),"",IFERROR(VLOOKUP($B741,ESTOQUE!$B$2:$M$997973,3,FALSE),"Produto não cadastrado"))</f>
        <v/>
      </c>
      <c r="E741" s="89">
        <f>_xlfn.XLOOKUP(B741,ESTOQUE!B:B,ESTOQUE!G:G)</f>
        <v>0</v>
      </c>
      <c r="F741" s="88"/>
      <c r="G741" s="90"/>
      <c r="H741" s="91">
        <f t="shared" si="11"/>
        <v>0</v>
      </c>
      <c r="I741" s="71"/>
      <c r="J741" s="24"/>
      <c r="K741" s="127"/>
    </row>
    <row r="742" spans="1:11" x14ac:dyDescent="0.25">
      <c r="A742" s="22"/>
      <c r="B742" s="23"/>
      <c r="C742" s="49" t="str">
        <f>IF(ISBLANK($B742),"",IFERROR(VLOOKUP($B742,ESTOQUE!$B$2:$D$97168,2,FALSE),"Produto não cadastrado"))</f>
        <v/>
      </c>
      <c r="D742" s="69" t="str">
        <f>IF(ISBLANK($B742),"",IFERROR(VLOOKUP($B742,ESTOQUE!$B$2:$M$997973,3,FALSE),"Produto não cadastrado"))</f>
        <v/>
      </c>
      <c r="E742" s="89">
        <f>_xlfn.XLOOKUP(B742,ESTOQUE!B:B,ESTOQUE!G:G)</f>
        <v>0</v>
      </c>
      <c r="F742" s="88"/>
      <c r="G742" s="90"/>
      <c r="H742" s="91">
        <f t="shared" si="11"/>
        <v>0</v>
      </c>
      <c r="I742" s="71"/>
      <c r="J742" s="24"/>
      <c r="K742" s="127"/>
    </row>
    <row r="743" spans="1:11" x14ac:dyDescent="0.25">
      <c r="A743" s="22"/>
      <c r="B743" s="23"/>
      <c r="C743" s="49" t="str">
        <f>IF(ISBLANK($B743),"",IFERROR(VLOOKUP($B743,ESTOQUE!$B$2:$D$97168,2,FALSE),"Produto não cadastrado"))</f>
        <v/>
      </c>
      <c r="D743" s="69" t="str">
        <f>IF(ISBLANK($B743),"",IFERROR(VLOOKUP($B743,ESTOQUE!$B$2:$M$997973,3,FALSE),"Produto não cadastrado"))</f>
        <v/>
      </c>
      <c r="E743" s="89">
        <f>_xlfn.XLOOKUP(B743,ESTOQUE!B:B,ESTOQUE!G:G)</f>
        <v>0</v>
      </c>
      <c r="F743" s="88"/>
      <c r="G743" s="90"/>
      <c r="H743" s="91">
        <f t="shared" si="11"/>
        <v>0</v>
      </c>
      <c r="I743" s="71"/>
      <c r="J743" s="24"/>
      <c r="K743" s="127"/>
    </row>
    <row r="744" spans="1:11" x14ac:dyDescent="0.25">
      <c r="A744" s="22"/>
      <c r="B744" s="23"/>
      <c r="C744" s="49" t="str">
        <f>IF(ISBLANK($B744),"",IFERROR(VLOOKUP($B744,ESTOQUE!$B$2:$D$97168,2,FALSE),"Produto não cadastrado"))</f>
        <v/>
      </c>
      <c r="D744" s="69" t="str">
        <f>IF(ISBLANK($B744),"",IFERROR(VLOOKUP($B744,ESTOQUE!$B$2:$M$997973,3,FALSE),"Produto não cadastrado"))</f>
        <v/>
      </c>
      <c r="E744" s="89">
        <f>_xlfn.XLOOKUP(B744,ESTOQUE!B:B,ESTOQUE!G:G)</f>
        <v>0</v>
      </c>
      <c r="F744" s="88"/>
      <c r="G744" s="90"/>
      <c r="H744" s="91">
        <f t="shared" si="11"/>
        <v>0</v>
      </c>
      <c r="I744" s="71"/>
      <c r="J744" s="24"/>
      <c r="K744" s="127"/>
    </row>
    <row r="745" spans="1:11" x14ac:dyDescent="0.25">
      <c r="A745" s="22"/>
      <c r="B745" s="23"/>
      <c r="C745" s="49" t="str">
        <f>IF(ISBLANK($B745),"",IFERROR(VLOOKUP($B745,ESTOQUE!$B$2:$D$97168,2,FALSE),"Produto não cadastrado"))</f>
        <v/>
      </c>
      <c r="D745" s="69" t="str">
        <f>IF(ISBLANK($B745),"",IFERROR(VLOOKUP($B745,ESTOQUE!$B$2:$M$997973,3,FALSE),"Produto não cadastrado"))</f>
        <v/>
      </c>
      <c r="E745" s="89">
        <f>_xlfn.XLOOKUP(B745,ESTOQUE!B:B,ESTOQUE!G:G)</f>
        <v>0</v>
      </c>
      <c r="F745" s="88"/>
      <c r="G745" s="90"/>
      <c r="H745" s="91">
        <f t="shared" si="11"/>
        <v>0</v>
      </c>
      <c r="I745" s="71"/>
      <c r="J745" s="24"/>
      <c r="K745" s="127"/>
    </row>
    <row r="746" spans="1:11" x14ac:dyDescent="0.25">
      <c r="A746" s="22"/>
      <c r="B746" s="23"/>
      <c r="C746" s="49" t="str">
        <f>IF(ISBLANK($B746),"",IFERROR(VLOOKUP($B746,ESTOQUE!$B$2:$D$97168,2,FALSE),"Produto não cadastrado"))</f>
        <v/>
      </c>
      <c r="D746" s="69" t="str">
        <f>IF(ISBLANK($B746),"",IFERROR(VLOOKUP($B746,ESTOQUE!$B$2:$M$997973,3,FALSE),"Produto não cadastrado"))</f>
        <v/>
      </c>
      <c r="E746" s="89">
        <f>_xlfn.XLOOKUP(B746,ESTOQUE!B:B,ESTOQUE!G:G)</f>
        <v>0</v>
      </c>
      <c r="F746" s="88"/>
      <c r="G746" s="90"/>
      <c r="H746" s="91">
        <f t="shared" si="11"/>
        <v>0</v>
      </c>
      <c r="I746" s="71"/>
      <c r="J746" s="24"/>
      <c r="K746" s="127"/>
    </row>
    <row r="747" spans="1:11" x14ac:dyDescent="0.25">
      <c r="A747" s="22"/>
      <c r="B747" s="23"/>
      <c r="C747" s="49" t="str">
        <f>IF(ISBLANK($B747),"",IFERROR(VLOOKUP($B747,ESTOQUE!$B$2:$D$97168,2,FALSE),"Produto não cadastrado"))</f>
        <v/>
      </c>
      <c r="D747" s="69" t="str">
        <f>IF(ISBLANK($B747),"",IFERROR(VLOOKUP($B747,ESTOQUE!$B$2:$M$997973,3,FALSE),"Produto não cadastrado"))</f>
        <v/>
      </c>
      <c r="E747" s="89">
        <f>_xlfn.XLOOKUP(B747,ESTOQUE!B:B,ESTOQUE!G:G)</f>
        <v>0</v>
      </c>
      <c r="F747" s="88"/>
      <c r="G747" s="90"/>
      <c r="H747" s="91">
        <f t="shared" si="11"/>
        <v>0</v>
      </c>
      <c r="I747" s="71"/>
      <c r="J747" s="24"/>
      <c r="K747" s="127"/>
    </row>
    <row r="748" spans="1:11" x14ac:dyDescent="0.25">
      <c r="A748" s="22"/>
      <c r="B748" s="23"/>
      <c r="C748" s="49" t="str">
        <f>IF(ISBLANK($B748),"",IFERROR(VLOOKUP($B748,ESTOQUE!$B$2:$D$97168,2,FALSE),"Produto não cadastrado"))</f>
        <v/>
      </c>
      <c r="D748" s="69" t="str">
        <f>IF(ISBLANK($B748),"",IFERROR(VLOOKUP($B748,ESTOQUE!$B$2:$M$997973,3,FALSE),"Produto não cadastrado"))</f>
        <v/>
      </c>
      <c r="E748" s="89">
        <f>_xlfn.XLOOKUP(B748,ESTOQUE!B:B,ESTOQUE!G:G)</f>
        <v>0</v>
      </c>
      <c r="F748" s="88"/>
      <c r="G748" s="90"/>
      <c r="H748" s="91">
        <f t="shared" si="11"/>
        <v>0</v>
      </c>
      <c r="I748" s="71"/>
      <c r="J748" s="24"/>
      <c r="K748" s="127"/>
    </row>
    <row r="749" spans="1:11" x14ac:dyDescent="0.25">
      <c r="A749" s="22"/>
      <c r="B749" s="23"/>
      <c r="C749" s="49" t="str">
        <f>IF(ISBLANK($B749),"",IFERROR(VLOOKUP($B749,ESTOQUE!$B$2:$D$97168,2,FALSE),"Produto não cadastrado"))</f>
        <v/>
      </c>
      <c r="D749" s="69" t="str">
        <f>IF(ISBLANK($B749),"",IFERROR(VLOOKUP($B749,ESTOQUE!$B$2:$M$997973,3,FALSE),"Produto não cadastrado"))</f>
        <v/>
      </c>
      <c r="E749" s="89">
        <f>_xlfn.XLOOKUP(B749,ESTOQUE!B:B,ESTOQUE!G:G)</f>
        <v>0</v>
      </c>
      <c r="F749" s="88"/>
      <c r="G749" s="90"/>
      <c r="H749" s="91">
        <f t="shared" si="11"/>
        <v>0</v>
      </c>
      <c r="I749" s="71"/>
      <c r="J749" s="24"/>
      <c r="K749" s="127"/>
    </row>
    <row r="750" spans="1:11" x14ac:dyDescent="0.25">
      <c r="A750" s="22"/>
      <c r="B750" s="23"/>
      <c r="C750" s="49" t="str">
        <f>IF(ISBLANK($B750),"",IFERROR(VLOOKUP($B750,ESTOQUE!$B$2:$D$97168,2,FALSE),"Produto não cadastrado"))</f>
        <v/>
      </c>
      <c r="D750" s="69" t="str">
        <f>IF(ISBLANK($B750),"",IFERROR(VLOOKUP($B750,ESTOQUE!$B$2:$M$997973,3,FALSE),"Produto não cadastrado"))</f>
        <v/>
      </c>
      <c r="E750" s="89">
        <f>_xlfn.XLOOKUP(B750,ESTOQUE!B:B,ESTOQUE!G:G)</f>
        <v>0</v>
      </c>
      <c r="F750" s="88"/>
      <c r="G750" s="90"/>
      <c r="H750" s="91">
        <f t="shared" si="11"/>
        <v>0</v>
      </c>
      <c r="I750" s="71"/>
      <c r="J750" s="24"/>
      <c r="K750" s="127"/>
    </row>
    <row r="751" spans="1:11" x14ac:dyDescent="0.25">
      <c r="A751" s="22"/>
      <c r="B751" s="23"/>
      <c r="C751" s="49" t="str">
        <f>IF(ISBLANK($B751),"",IFERROR(VLOOKUP($B751,ESTOQUE!$B$2:$D$97168,2,FALSE),"Produto não cadastrado"))</f>
        <v/>
      </c>
      <c r="D751" s="69" t="str">
        <f>IF(ISBLANK($B751),"",IFERROR(VLOOKUP($B751,ESTOQUE!$B$2:$M$997973,3,FALSE),"Produto não cadastrado"))</f>
        <v/>
      </c>
      <c r="E751" s="89">
        <f>_xlfn.XLOOKUP(B751,ESTOQUE!B:B,ESTOQUE!G:G)</f>
        <v>0</v>
      </c>
      <c r="F751" s="88"/>
      <c r="G751" s="90"/>
      <c r="H751" s="91">
        <f t="shared" si="11"/>
        <v>0</v>
      </c>
      <c r="I751" s="71"/>
      <c r="J751" s="24"/>
      <c r="K751" s="127"/>
    </row>
    <row r="752" spans="1:11" x14ac:dyDescent="0.25">
      <c r="A752" s="22"/>
      <c r="B752" s="23"/>
      <c r="C752" s="49" t="str">
        <f>IF(ISBLANK($B752),"",IFERROR(VLOOKUP($B752,ESTOQUE!$B$2:$D$97168,2,FALSE),"Produto não cadastrado"))</f>
        <v/>
      </c>
      <c r="D752" s="69" t="str">
        <f>IF(ISBLANK($B752),"",IFERROR(VLOOKUP($B752,ESTOQUE!$B$2:$M$997973,3,FALSE),"Produto não cadastrado"))</f>
        <v/>
      </c>
      <c r="E752" s="89">
        <f>_xlfn.XLOOKUP(B752,ESTOQUE!B:B,ESTOQUE!G:G)</f>
        <v>0</v>
      </c>
      <c r="F752" s="88"/>
      <c r="G752" s="90"/>
      <c r="H752" s="91">
        <f t="shared" si="11"/>
        <v>0</v>
      </c>
      <c r="I752" s="71"/>
      <c r="J752" s="24"/>
      <c r="K752" s="127"/>
    </row>
    <row r="753" spans="1:11" x14ac:dyDescent="0.25">
      <c r="A753" s="22"/>
      <c r="B753" s="23"/>
      <c r="C753" s="49" t="str">
        <f>IF(ISBLANK($B753),"",IFERROR(VLOOKUP($B753,ESTOQUE!$B$2:$D$97168,2,FALSE),"Produto não cadastrado"))</f>
        <v/>
      </c>
      <c r="D753" s="69" t="str">
        <f>IF(ISBLANK($B753),"",IFERROR(VLOOKUP($B753,ESTOQUE!$B$2:$M$997973,3,FALSE),"Produto não cadastrado"))</f>
        <v/>
      </c>
      <c r="E753" s="89">
        <f>_xlfn.XLOOKUP(B753,ESTOQUE!B:B,ESTOQUE!G:G)</f>
        <v>0</v>
      </c>
      <c r="F753" s="88"/>
      <c r="G753" s="90"/>
      <c r="H753" s="91">
        <f t="shared" si="11"/>
        <v>0</v>
      </c>
      <c r="I753" s="71"/>
      <c r="J753" s="24"/>
      <c r="K753" s="127"/>
    </row>
    <row r="754" spans="1:11" x14ac:dyDescent="0.25">
      <c r="A754" s="22"/>
      <c r="B754" s="23"/>
      <c r="C754" s="49" t="str">
        <f>IF(ISBLANK($B754),"",IFERROR(VLOOKUP($B754,ESTOQUE!$B$2:$D$97168,2,FALSE),"Produto não cadastrado"))</f>
        <v/>
      </c>
      <c r="D754" s="69" t="str">
        <f>IF(ISBLANK($B754),"",IFERROR(VLOOKUP($B754,ESTOQUE!$B$2:$M$997973,3,FALSE),"Produto não cadastrado"))</f>
        <v/>
      </c>
      <c r="E754" s="89">
        <f>_xlfn.XLOOKUP(B754,ESTOQUE!B:B,ESTOQUE!G:G)</f>
        <v>0</v>
      </c>
      <c r="F754" s="88"/>
      <c r="G754" s="90"/>
      <c r="H754" s="91">
        <f t="shared" si="11"/>
        <v>0</v>
      </c>
      <c r="I754" s="71"/>
      <c r="J754" s="24"/>
      <c r="K754" s="127"/>
    </row>
    <row r="755" spans="1:11" x14ac:dyDescent="0.25">
      <c r="A755" s="22"/>
      <c r="B755" s="23"/>
      <c r="C755" s="49" t="str">
        <f>IF(ISBLANK($B755),"",IFERROR(VLOOKUP($B755,ESTOQUE!$B$2:$D$97168,2,FALSE),"Produto não cadastrado"))</f>
        <v/>
      </c>
      <c r="D755" s="69" t="str">
        <f>IF(ISBLANK($B755),"",IFERROR(VLOOKUP($B755,ESTOQUE!$B$2:$M$997973,3,FALSE),"Produto não cadastrado"))</f>
        <v/>
      </c>
      <c r="E755" s="89">
        <f>_xlfn.XLOOKUP(B755,ESTOQUE!B:B,ESTOQUE!G:G)</f>
        <v>0</v>
      </c>
      <c r="F755" s="88"/>
      <c r="G755" s="90"/>
      <c r="H755" s="91">
        <f t="shared" si="11"/>
        <v>0</v>
      </c>
      <c r="I755" s="71"/>
      <c r="J755" s="24"/>
      <c r="K755" s="127"/>
    </row>
    <row r="756" spans="1:11" x14ac:dyDescent="0.25">
      <c r="A756" s="22"/>
      <c r="B756" s="23"/>
      <c r="C756" s="49" t="str">
        <f>IF(ISBLANK($B756),"",IFERROR(VLOOKUP($B756,ESTOQUE!$B$2:$D$97168,2,FALSE),"Produto não cadastrado"))</f>
        <v/>
      </c>
      <c r="D756" s="69" t="str">
        <f>IF(ISBLANK($B756),"",IFERROR(VLOOKUP($B756,ESTOQUE!$B$2:$M$997973,3,FALSE),"Produto não cadastrado"))</f>
        <v/>
      </c>
      <c r="E756" s="89">
        <f>_xlfn.XLOOKUP(B756,ESTOQUE!B:B,ESTOQUE!G:G)</f>
        <v>0</v>
      </c>
      <c r="F756" s="88"/>
      <c r="G756" s="90"/>
      <c r="H756" s="91">
        <f t="shared" si="11"/>
        <v>0</v>
      </c>
      <c r="I756" s="71"/>
      <c r="J756" s="24"/>
      <c r="K756" s="127"/>
    </row>
    <row r="757" spans="1:11" x14ac:dyDescent="0.25">
      <c r="A757" s="22"/>
      <c r="B757" s="23"/>
      <c r="C757" s="49" t="str">
        <f>IF(ISBLANK($B757),"",IFERROR(VLOOKUP($B757,ESTOQUE!$B$2:$D$97168,2,FALSE),"Produto não cadastrado"))</f>
        <v/>
      </c>
      <c r="D757" s="69" t="str">
        <f>IF(ISBLANK($B757),"",IFERROR(VLOOKUP($B757,ESTOQUE!$B$2:$M$997973,3,FALSE),"Produto não cadastrado"))</f>
        <v/>
      </c>
      <c r="E757" s="89">
        <f>_xlfn.XLOOKUP(B757,ESTOQUE!B:B,ESTOQUE!G:G)</f>
        <v>0</v>
      </c>
      <c r="F757" s="88"/>
      <c r="G757" s="90"/>
      <c r="H757" s="91">
        <f t="shared" ref="H757:H774" si="12">F757*G757</f>
        <v>0</v>
      </c>
      <c r="I757" s="71"/>
      <c r="J757" s="24"/>
      <c r="K757" s="127"/>
    </row>
    <row r="758" spans="1:11" x14ac:dyDescent="0.25">
      <c r="A758" s="22"/>
      <c r="B758" s="23"/>
      <c r="C758" s="49" t="str">
        <f>IF(ISBLANK($B758),"",IFERROR(VLOOKUP($B758,ESTOQUE!$B$2:$D$97168,2,FALSE),"Produto não cadastrado"))</f>
        <v/>
      </c>
      <c r="D758" s="69" t="str">
        <f>IF(ISBLANK($B758),"",IFERROR(VLOOKUP($B758,ESTOQUE!$B$2:$M$997973,3,FALSE),"Produto não cadastrado"))</f>
        <v/>
      </c>
      <c r="E758" s="89">
        <f>_xlfn.XLOOKUP(B758,ESTOQUE!B:B,ESTOQUE!G:G)</f>
        <v>0</v>
      </c>
      <c r="F758" s="88"/>
      <c r="G758" s="90"/>
      <c r="H758" s="91">
        <f t="shared" si="12"/>
        <v>0</v>
      </c>
      <c r="I758" s="71"/>
      <c r="J758" s="24"/>
      <c r="K758" s="127"/>
    </row>
    <row r="759" spans="1:11" x14ac:dyDescent="0.25">
      <c r="A759" s="22"/>
      <c r="B759" s="23"/>
      <c r="C759" s="49" t="str">
        <f>IF(ISBLANK($B759),"",IFERROR(VLOOKUP($B759,ESTOQUE!$B$2:$D$97168,2,FALSE),"Produto não cadastrado"))</f>
        <v/>
      </c>
      <c r="D759" s="69" t="str">
        <f>IF(ISBLANK($B759),"",IFERROR(VLOOKUP($B759,ESTOQUE!$B$2:$M$997973,3,FALSE),"Produto não cadastrado"))</f>
        <v/>
      </c>
      <c r="E759" s="89">
        <f>_xlfn.XLOOKUP(B759,ESTOQUE!B:B,ESTOQUE!G:G)</f>
        <v>0</v>
      </c>
      <c r="F759" s="88"/>
      <c r="G759" s="90"/>
      <c r="H759" s="91">
        <f t="shared" si="12"/>
        <v>0</v>
      </c>
      <c r="I759" s="71"/>
      <c r="J759" s="24"/>
      <c r="K759" s="127"/>
    </row>
    <row r="760" spans="1:11" x14ac:dyDescent="0.25">
      <c r="A760" s="22"/>
      <c r="B760" s="23"/>
      <c r="C760" s="49" t="str">
        <f>IF(ISBLANK($B760),"",IFERROR(VLOOKUP($B760,ESTOQUE!$B$2:$D$97168,2,FALSE),"Produto não cadastrado"))</f>
        <v/>
      </c>
      <c r="D760" s="69" t="str">
        <f>IF(ISBLANK($B760),"",IFERROR(VLOOKUP($B760,ESTOQUE!$B$2:$M$997973,3,FALSE),"Produto não cadastrado"))</f>
        <v/>
      </c>
      <c r="E760" s="89">
        <f>_xlfn.XLOOKUP(B760,ESTOQUE!B:B,ESTOQUE!G:G)</f>
        <v>0</v>
      </c>
      <c r="F760" s="88"/>
      <c r="G760" s="90"/>
      <c r="H760" s="91">
        <f t="shared" si="12"/>
        <v>0</v>
      </c>
      <c r="I760" s="71"/>
      <c r="J760" s="24"/>
      <c r="K760" s="127"/>
    </row>
    <row r="761" spans="1:11" x14ac:dyDescent="0.25">
      <c r="A761" s="22"/>
      <c r="B761" s="23"/>
      <c r="C761" s="49" t="str">
        <f>IF(ISBLANK($B761),"",IFERROR(VLOOKUP($B761,ESTOQUE!$B$2:$D$97168,2,FALSE),"Produto não cadastrado"))</f>
        <v/>
      </c>
      <c r="D761" s="69" t="str">
        <f>IF(ISBLANK($B761),"",IFERROR(VLOOKUP($B761,ESTOQUE!$B$2:$M$997973,3,FALSE),"Produto não cadastrado"))</f>
        <v/>
      </c>
      <c r="E761" s="89">
        <f>_xlfn.XLOOKUP(B761,ESTOQUE!B:B,ESTOQUE!G:G)</f>
        <v>0</v>
      </c>
      <c r="F761" s="88"/>
      <c r="G761" s="90"/>
      <c r="H761" s="91">
        <f t="shared" si="12"/>
        <v>0</v>
      </c>
      <c r="I761" s="71"/>
      <c r="J761" s="24"/>
      <c r="K761" s="127"/>
    </row>
    <row r="762" spans="1:11" x14ac:dyDescent="0.25">
      <c r="A762" s="22"/>
      <c r="B762" s="23"/>
      <c r="C762" s="49" t="str">
        <f>IF(ISBLANK($B762),"",IFERROR(VLOOKUP($B762,ESTOQUE!$B$2:$D$97168,2,FALSE),"Produto não cadastrado"))</f>
        <v/>
      </c>
      <c r="D762" s="69" t="str">
        <f>IF(ISBLANK($B762),"",IFERROR(VLOOKUP($B762,ESTOQUE!$B$2:$M$997973,3,FALSE),"Produto não cadastrado"))</f>
        <v/>
      </c>
      <c r="E762" s="89">
        <f>_xlfn.XLOOKUP(B762,ESTOQUE!B:B,ESTOQUE!G:G)</f>
        <v>0</v>
      </c>
      <c r="F762" s="88"/>
      <c r="G762" s="90"/>
      <c r="H762" s="91">
        <f t="shared" si="12"/>
        <v>0</v>
      </c>
      <c r="I762" s="71"/>
      <c r="J762" s="24"/>
      <c r="K762" s="127"/>
    </row>
    <row r="763" spans="1:11" x14ac:dyDescent="0.25">
      <c r="A763" s="22"/>
      <c r="B763" s="23"/>
      <c r="C763" s="49" t="str">
        <f>IF(ISBLANK($B763),"",IFERROR(VLOOKUP($B763,ESTOQUE!$B$2:$D$97168,2,FALSE),"Produto não cadastrado"))</f>
        <v/>
      </c>
      <c r="D763" s="69" t="str">
        <f>IF(ISBLANK($B763),"",IFERROR(VLOOKUP($B763,ESTOQUE!$B$2:$M$997973,3,FALSE),"Produto não cadastrado"))</f>
        <v/>
      </c>
      <c r="E763" s="89">
        <f>_xlfn.XLOOKUP(B763,ESTOQUE!B:B,ESTOQUE!G:G)</f>
        <v>0</v>
      </c>
      <c r="F763" s="88"/>
      <c r="G763" s="90"/>
      <c r="H763" s="91">
        <f t="shared" si="12"/>
        <v>0</v>
      </c>
      <c r="I763" s="71"/>
      <c r="J763" s="24"/>
      <c r="K763" s="127"/>
    </row>
    <row r="764" spans="1:11" x14ac:dyDescent="0.25">
      <c r="A764" s="22"/>
      <c r="B764" s="23"/>
      <c r="C764" s="49" t="str">
        <f>IF(ISBLANK($B764),"",IFERROR(VLOOKUP($B764,ESTOQUE!$B$2:$D$97168,2,FALSE),"Produto não cadastrado"))</f>
        <v/>
      </c>
      <c r="D764" s="69" t="str">
        <f>IF(ISBLANK($B764),"",IFERROR(VLOOKUP($B764,ESTOQUE!$B$2:$M$997973,3,FALSE),"Produto não cadastrado"))</f>
        <v/>
      </c>
      <c r="E764" s="89">
        <f>_xlfn.XLOOKUP(B764,ESTOQUE!B:B,ESTOQUE!G:G)</f>
        <v>0</v>
      </c>
      <c r="F764" s="88"/>
      <c r="G764" s="90"/>
      <c r="H764" s="91">
        <f t="shared" si="12"/>
        <v>0</v>
      </c>
      <c r="I764" s="71"/>
      <c r="J764" s="24"/>
      <c r="K764" s="127"/>
    </row>
    <row r="765" spans="1:11" x14ac:dyDescent="0.25">
      <c r="A765" s="22"/>
      <c r="B765" s="23"/>
      <c r="C765" s="49" t="str">
        <f>IF(ISBLANK($B765),"",IFERROR(VLOOKUP($B765,ESTOQUE!$B$2:$D$97168,2,FALSE),"Produto não cadastrado"))</f>
        <v/>
      </c>
      <c r="D765" s="69" t="str">
        <f>IF(ISBLANK($B765),"",IFERROR(VLOOKUP($B765,ESTOQUE!$B$2:$M$997973,3,FALSE),"Produto não cadastrado"))</f>
        <v/>
      </c>
      <c r="E765" s="89">
        <f>_xlfn.XLOOKUP(B765,ESTOQUE!B:B,ESTOQUE!G:G)</f>
        <v>0</v>
      </c>
      <c r="F765" s="88"/>
      <c r="G765" s="90"/>
      <c r="H765" s="91">
        <f t="shared" si="12"/>
        <v>0</v>
      </c>
      <c r="I765" s="71"/>
      <c r="J765" s="24"/>
      <c r="K765" s="127"/>
    </row>
    <row r="766" spans="1:11" x14ac:dyDescent="0.25">
      <c r="A766" s="22"/>
      <c r="B766" s="23"/>
      <c r="C766" s="49" t="str">
        <f>IF(ISBLANK($B766),"",IFERROR(VLOOKUP($B766,ESTOQUE!$B$2:$D$97168,2,FALSE),"Produto não cadastrado"))</f>
        <v/>
      </c>
      <c r="D766" s="69" t="str">
        <f>IF(ISBLANK($B766),"",IFERROR(VLOOKUP($B766,ESTOQUE!$B$2:$M$997973,3,FALSE),"Produto não cadastrado"))</f>
        <v/>
      </c>
      <c r="E766" s="89">
        <f>_xlfn.XLOOKUP(B766,ESTOQUE!B:B,ESTOQUE!G:G)</f>
        <v>0</v>
      </c>
      <c r="F766" s="88"/>
      <c r="G766" s="90"/>
      <c r="H766" s="91">
        <f t="shared" si="12"/>
        <v>0</v>
      </c>
      <c r="I766" s="71"/>
      <c r="J766" s="24"/>
      <c r="K766" s="127"/>
    </row>
    <row r="767" spans="1:11" x14ac:dyDescent="0.25">
      <c r="A767" s="22"/>
      <c r="B767" s="23"/>
      <c r="C767" s="49" t="str">
        <f>IF(ISBLANK($B767),"",IFERROR(VLOOKUP($B767,ESTOQUE!$B$2:$D$97168,2,FALSE),"Produto não cadastrado"))</f>
        <v/>
      </c>
      <c r="D767" s="69" t="str">
        <f>IF(ISBLANK($B767),"",IFERROR(VLOOKUP($B767,ESTOQUE!$B$2:$M$997973,3,FALSE),"Produto não cadastrado"))</f>
        <v/>
      </c>
      <c r="E767" s="89">
        <f>_xlfn.XLOOKUP(B767,ESTOQUE!B:B,ESTOQUE!G:G)</f>
        <v>0</v>
      </c>
      <c r="F767" s="88"/>
      <c r="G767" s="90"/>
      <c r="H767" s="91">
        <f t="shared" si="12"/>
        <v>0</v>
      </c>
      <c r="I767" s="71"/>
      <c r="J767" s="24"/>
      <c r="K767" s="127"/>
    </row>
    <row r="768" spans="1:11" x14ac:dyDescent="0.25">
      <c r="A768" s="22"/>
      <c r="B768" s="23"/>
      <c r="C768" s="49" t="str">
        <f>IF(ISBLANK($B768),"",IFERROR(VLOOKUP($B768,ESTOQUE!$B$2:$D$97168,2,FALSE),"Produto não cadastrado"))</f>
        <v/>
      </c>
      <c r="D768" s="69" t="str">
        <f>IF(ISBLANK($B768),"",IFERROR(VLOOKUP($B768,ESTOQUE!$B$2:$M$997973,3,FALSE),"Produto não cadastrado"))</f>
        <v/>
      </c>
      <c r="E768" s="89">
        <f>_xlfn.XLOOKUP(B768,ESTOQUE!B:B,ESTOQUE!G:G)</f>
        <v>0</v>
      </c>
      <c r="F768" s="88"/>
      <c r="G768" s="90"/>
      <c r="H768" s="91">
        <f t="shared" si="12"/>
        <v>0</v>
      </c>
      <c r="I768" s="71"/>
      <c r="J768" s="24"/>
      <c r="K768" s="127"/>
    </row>
    <row r="769" spans="1:11" x14ac:dyDescent="0.25">
      <c r="A769" s="22"/>
      <c r="B769" s="23"/>
      <c r="C769" s="49" t="str">
        <f>IF(ISBLANK($B769),"",IFERROR(VLOOKUP($B769,ESTOQUE!$B$2:$D$97168,2,FALSE),"Produto não cadastrado"))</f>
        <v/>
      </c>
      <c r="D769" s="69" t="str">
        <f>IF(ISBLANK($B769),"",IFERROR(VLOOKUP($B769,ESTOQUE!$B$2:$M$997973,3,FALSE),"Produto não cadastrado"))</f>
        <v/>
      </c>
      <c r="E769" s="89">
        <f>_xlfn.XLOOKUP(B769,ESTOQUE!B:B,ESTOQUE!G:G)</f>
        <v>0</v>
      </c>
      <c r="F769" s="88"/>
      <c r="G769" s="90"/>
      <c r="H769" s="91">
        <f t="shared" si="12"/>
        <v>0</v>
      </c>
      <c r="I769" s="71"/>
      <c r="J769" s="24"/>
      <c r="K769" s="127"/>
    </row>
    <row r="770" spans="1:11" x14ac:dyDescent="0.25">
      <c r="A770" s="22"/>
      <c r="B770" s="23"/>
      <c r="C770" s="49" t="str">
        <f>IF(ISBLANK($B770),"",IFERROR(VLOOKUP($B770,ESTOQUE!$B$2:$D$97168,2,FALSE),"Produto não cadastrado"))</f>
        <v/>
      </c>
      <c r="D770" s="69" t="str">
        <f>IF(ISBLANK($B770),"",IFERROR(VLOOKUP($B770,ESTOQUE!$B$2:$M$997973,3,FALSE),"Produto não cadastrado"))</f>
        <v/>
      </c>
      <c r="E770" s="89">
        <f>_xlfn.XLOOKUP(B770,ESTOQUE!B:B,ESTOQUE!G:G)</f>
        <v>0</v>
      </c>
      <c r="F770" s="88"/>
      <c r="G770" s="90"/>
      <c r="H770" s="91">
        <f t="shared" si="12"/>
        <v>0</v>
      </c>
      <c r="I770" s="71"/>
      <c r="J770" s="24"/>
      <c r="K770" s="127"/>
    </row>
    <row r="771" spans="1:11" x14ac:dyDescent="0.25">
      <c r="A771" s="22"/>
      <c r="B771" s="23"/>
      <c r="C771" s="49" t="str">
        <f>IF(ISBLANK($B771),"",IFERROR(VLOOKUP($B771,ESTOQUE!$B$2:$D$97168,2,FALSE),"Produto não cadastrado"))</f>
        <v/>
      </c>
      <c r="D771" s="69" t="str">
        <f>IF(ISBLANK($B771),"",IFERROR(VLOOKUP($B771,ESTOQUE!$B$2:$M$997973,3,FALSE),"Produto não cadastrado"))</f>
        <v/>
      </c>
      <c r="E771" s="89">
        <f>_xlfn.XLOOKUP(B771,ESTOQUE!B:B,ESTOQUE!G:G)</f>
        <v>0</v>
      </c>
      <c r="F771" s="88"/>
      <c r="G771" s="90"/>
      <c r="H771" s="91">
        <f t="shared" si="12"/>
        <v>0</v>
      </c>
      <c r="I771" s="71"/>
      <c r="J771" s="24"/>
      <c r="K771" s="127"/>
    </row>
    <row r="772" spans="1:11" x14ac:dyDescent="0.25">
      <c r="A772" s="22"/>
      <c r="B772" s="23"/>
      <c r="C772" s="49" t="str">
        <f>IF(ISBLANK($B772),"",IFERROR(VLOOKUP($B772,ESTOQUE!$B$2:$D$97168,2,FALSE),"Produto não cadastrado"))</f>
        <v/>
      </c>
      <c r="D772" s="69" t="str">
        <f>IF(ISBLANK($B772),"",IFERROR(VLOOKUP($B772,ESTOQUE!$B$2:$M$997973,3,FALSE),"Produto não cadastrado"))</f>
        <v/>
      </c>
      <c r="E772" s="89">
        <f>_xlfn.XLOOKUP(B772,ESTOQUE!B:B,ESTOQUE!G:G)</f>
        <v>0</v>
      </c>
      <c r="F772" s="88"/>
      <c r="G772" s="90"/>
      <c r="H772" s="91">
        <f t="shared" si="12"/>
        <v>0</v>
      </c>
      <c r="I772" s="71"/>
      <c r="J772" s="24"/>
      <c r="K772" s="127"/>
    </row>
    <row r="773" spans="1:11" x14ac:dyDescent="0.25">
      <c r="A773" s="22"/>
      <c r="B773" s="23"/>
      <c r="C773" s="49" t="str">
        <f>IF(ISBLANK($B773),"",IFERROR(VLOOKUP($B773,ESTOQUE!$B$2:$D$97168,2,FALSE),"Produto não cadastrado"))</f>
        <v/>
      </c>
      <c r="D773" s="69" t="str">
        <f>IF(ISBLANK($B773),"",IFERROR(VLOOKUP($B773,ESTOQUE!$B$2:$M$997973,3,FALSE),"Produto não cadastrado"))</f>
        <v/>
      </c>
      <c r="E773" s="89">
        <f>_xlfn.XLOOKUP(B773,ESTOQUE!B:B,ESTOQUE!G:G)</f>
        <v>0</v>
      </c>
      <c r="F773" s="88"/>
      <c r="G773" s="90"/>
      <c r="H773" s="91">
        <f t="shared" si="12"/>
        <v>0</v>
      </c>
      <c r="I773" s="71"/>
      <c r="J773" s="24"/>
      <c r="K773" s="127"/>
    </row>
    <row r="774" spans="1:11" x14ac:dyDescent="0.25">
      <c r="A774" s="22"/>
      <c r="B774" s="23"/>
      <c r="C774" s="49" t="str">
        <f>IF(ISBLANK($B774),"",IFERROR(VLOOKUP($B774,ESTOQUE!$B$2:$D$97168,2,FALSE),"Produto não cadastrado"))</f>
        <v/>
      </c>
      <c r="D774" s="69" t="str">
        <f>IF(ISBLANK($B774),"",IFERROR(VLOOKUP($B774,ESTOQUE!$B$2:$M$997973,3,FALSE),"Produto não cadastrado"))</f>
        <v/>
      </c>
      <c r="E774" s="89">
        <f>_xlfn.XLOOKUP(B774,ESTOQUE!B:B,ESTOQUE!G:G)</f>
        <v>0</v>
      </c>
      <c r="F774" s="88"/>
      <c r="G774" s="90"/>
      <c r="H774" s="91">
        <f t="shared" si="12"/>
        <v>0</v>
      </c>
      <c r="I774" s="71"/>
      <c r="J774" s="24"/>
      <c r="K774" s="127"/>
    </row>
    <row r="775" spans="1:11" hidden="1" x14ac:dyDescent="0.25"/>
  </sheetData>
  <sheetProtection formatCells="0" formatColumns="0" formatRows="0" insertColumns="0" insertRows="0" insertHyperlinks="0" deleteColumns="0" deleteRows="0" sort="0" autoFilter="0" pivotTables="0"/>
  <autoFilter ref="A2:K774" xr:uid="{00000000-0009-0000-0000-000001000000}">
    <sortState xmlns:xlrd2="http://schemas.microsoft.com/office/spreadsheetml/2017/richdata2" ref="A3:K774">
      <sortCondition ref="A2:A774"/>
    </sortState>
  </autoFilter>
  <phoneticPr fontId="10" type="noConversion"/>
  <conditionalFormatting sqref="D10">
    <cfRule type="duplicateValues" dxfId="23" priority="1"/>
  </conditionalFormatting>
  <pageMargins left="0.25" right="0.25" top="0.75" bottom="0.75" header="0.3" footer="0.3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 fitToPage="1"/>
  </sheetPr>
  <dimension ref="A1:U378"/>
  <sheetViews>
    <sheetView showGridLines="0" zoomScale="85" zoomScaleNormal="85" zoomScaleSheetLayoutView="8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H8" sqref="H8"/>
    </sheetView>
  </sheetViews>
  <sheetFormatPr defaultColWidth="9.28515625" defaultRowHeight="19.5" customHeight="1" thickBottom="1" x14ac:dyDescent="0.3"/>
  <cols>
    <col min="1" max="1" width="0.28515625" style="31" customWidth="1"/>
    <col min="2" max="2" width="9" style="18" customWidth="1"/>
    <col min="3" max="3" width="14.7109375" style="123" customWidth="1"/>
    <col min="4" max="4" width="47.5703125" style="122" customWidth="1"/>
    <col min="5" max="5" width="11.5703125" style="123" customWidth="1"/>
    <col min="6" max="6" width="13.85546875" style="123" customWidth="1"/>
    <col min="7" max="7" width="10.42578125" style="123" customWidth="1"/>
    <col min="8" max="8" width="10.42578125" style="124" customWidth="1"/>
    <col min="9" max="9" width="10.28515625" style="123" customWidth="1"/>
    <col min="10" max="10" width="20.28515625" style="67" customWidth="1"/>
    <col min="11" max="11" width="13.7109375" style="67" customWidth="1"/>
    <col min="12" max="12" width="18.28515625" style="10" customWidth="1"/>
    <col min="13" max="13" width="4.28515625" style="17" customWidth="1"/>
    <col min="14" max="14" width="61.5703125" style="11" customWidth="1"/>
    <col min="15" max="15" width="11.28515625" style="11" customWidth="1"/>
    <col min="16" max="16" width="9.5703125" style="11" customWidth="1"/>
    <col min="17" max="17" width="12.5703125" style="11" customWidth="1"/>
    <col min="18" max="18" width="14.42578125" style="11" customWidth="1"/>
    <col min="19" max="19" width="19.7109375" style="11" customWidth="1"/>
    <col min="20" max="20" width="22.5703125" style="11" customWidth="1"/>
    <col min="21" max="21" width="19.42578125" style="11" customWidth="1"/>
    <col min="22" max="31" width="9.28515625" style="11" customWidth="1"/>
    <col min="32" max="16384" width="9.28515625" style="11"/>
  </cols>
  <sheetData>
    <row r="1" spans="1:21" ht="22.35" customHeight="1" thickBot="1" x14ac:dyDescent="0.3">
      <c r="A1" s="30"/>
      <c r="B1" s="13" t="s">
        <v>0</v>
      </c>
      <c r="C1" s="14" t="s">
        <v>1</v>
      </c>
      <c r="D1" s="85" t="s">
        <v>2</v>
      </c>
      <c r="E1" s="14" t="s">
        <v>3</v>
      </c>
      <c r="F1" s="14" t="s">
        <v>4</v>
      </c>
      <c r="G1" s="14" t="s">
        <v>5</v>
      </c>
      <c r="H1" s="125" t="s">
        <v>6</v>
      </c>
      <c r="I1" s="14" t="s">
        <v>7</v>
      </c>
      <c r="J1" s="15" t="s">
        <v>8</v>
      </c>
      <c r="K1" s="15" t="s">
        <v>9</v>
      </c>
      <c r="L1" s="16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16</v>
      </c>
      <c r="T1" s="25" t="s">
        <v>17</v>
      </c>
      <c r="U1" s="28" t="s">
        <v>18</v>
      </c>
    </row>
    <row r="2" spans="1:21" ht="16.350000000000001" customHeight="1" x14ac:dyDescent="0.25">
      <c r="A2" s="30"/>
      <c r="B2" s="33">
        <v>1</v>
      </c>
      <c r="C2" s="116" t="s">
        <v>19</v>
      </c>
      <c r="D2" s="111" t="s">
        <v>20</v>
      </c>
      <c r="E2" s="112">
        <v>10468</v>
      </c>
      <c r="F2" s="113" t="s">
        <v>21</v>
      </c>
      <c r="G2" s="114" t="s">
        <v>22</v>
      </c>
      <c r="H2" s="115">
        <v>80</v>
      </c>
      <c r="I2" s="115">
        <v>300</v>
      </c>
      <c r="J2" s="66">
        <f>Q2</f>
        <v>25</v>
      </c>
      <c r="K2" s="68">
        <f t="shared" ref="K2:K33" si="0">I2-J2</f>
        <v>275</v>
      </c>
      <c r="L2" s="32" t="str">
        <f>IF(J2&lt;H2,"ESTOQUE BAIXO",IF(J2&gt;I2,"ESTOQUE ALTO",IF(J2&gt;=H2,"ESTOQUE NORMAL",)))</f>
        <v>ESTOQUE BAIXO</v>
      </c>
      <c r="M2" s="12">
        <v>1</v>
      </c>
      <c r="N2" s="26" t="str">
        <f t="shared" ref="N2:N30" si="1">D2</f>
        <v>ABAFADOR DE RUIDOS TIPO CONCHA</v>
      </c>
      <c r="O2" s="27">
        <f>SUMIFS(ENTRADA!$F:$F,ENTRADA!$B:$B,ESTOQUE!$B2)</f>
        <v>47</v>
      </c>
      <c r="P2" s="27">
        <f>SUMIFS(SAIDA!$F:$F,SAIDA!$B:$B,ESTOQUE!$B2)</f>
        <v>22</v>
      </c>
      <c r="Q2" s="27">
        <f t="shared" ref="Q2:Q18" si="2">O2-P2</f>
        <v>25</v>
      </c>
      <c r="R2" s="27" t="e">
        <f>Q2=#REF!</f>
        <v>#REF!</v>
      </c>
      <c r="S2" s="93">
        <f>IFERROR(SUMIFS(ENTRADA!$H:$H,ENTRADA!$B:$B,ESTOQUE!$B2)/O2,0)</f>
        <v>0</v>
      </c>
      <c r="T2" s="93">
        <f>Q2*S2</f>
        <v>0</v>
      </c>
      <c r="U2" s="93">
        <f>P2*S2</f>
        <v>0</v>
      </c>
    </row>
    <row r="3" spans="1:21" ht="17.100000000000001" customHeight="1" x14ac:dyDescent="0.25">
      <c r="A3" s="30"/>
      <c r="B3" s="33">
        <v>158</v>
      </c>
      <c r="C3" s="116" t="s">
        <v>19</v>
      </c>
      <c r="D3" s="126" t="s">
        <v>23</v>
      </c>
      <c r="E3" s="116">
        <v>47042</v>
      </c>
      <c r="F3" s="117">
        <v>46373</v>
      </c>
      <c r="G3" s="114" t="s">
        <v>22</v>
      </c>
      <c r="H3" s="115">
        <v>100</v>
      </c>
      <c r="I3" s="142">
        <v>300</v>
      </c>
      <c r="J3" s="66">
        <f>Q3</f>
        <v>0</v>
      </c>
      <c r="K3" s="68">
        <f t="shared" si="0"/>
        <v>300</v>
      </c>
      <c r="L3" s="32" t="str">
        <f>IF(J3&lt;H3,"ESTOQUE BAIXO",IF(J3&gt;I3,"ESTOQUE ALTO",IF(J3&gt;=H3,"ESTOQUE NORMAL",)))</f>
        <v>ESTOQUE BAIXO</v>
      </c>
      <c r="M3" s="12">
        <v>3</v>
      </c>
      <c r="N3" s="26" t="str">
        <f t="shared" si="1"/>
        <v>AVENTAL DE PVC</v>
      </c>
      <c r="O3" s="27">
        <f>SUMIFS(ENTRADA!$F:$F,ENTRADA!$B:$B,ESTOQUE!$B3)</f>
        <v>0</v>
      </c>
      <c r="P3" s="27">
        <f>SUMIFS(SAIDA!$F:$F,SAIDA!$B:$B,ESTOQUE!$B3)</f>
        <v>0</v>
      </c>
      <c r="Q3" s="27">
        <f t="shared" si="2"/>
        <v>0</v>
      </c>
      <c r="R3" s="27" t="e">
        <f>Q3=#REF!</f>
        <v>#REF!</v>
      </c>
      <c r="S3" s="93">
        <f>IFERROR(SUMIFS(ENTRADA!$H:$H,ENTRADA!$B:$B,ESTOQUE!$B3)/O3,0)</f>
        <v>0</v>
      </c>
      <c r="T3" s="93">
        <f t="shared" ref="T3:T74" si="3">Q3*S3</f>
        <v>0</v>
      </c>
      <c r="U3" s="93">
        <f t="shared" ref="U3:U74" si="4">P3*S3</f>
        <v>0</v>
      </c>
    </row>
    <row r="4" spans="1:21" ht="17.100000000000001" customHeight="1" x14ac:dyDescent="0.25">
      <c r="A4" s="30"/>
      <c r="B4" s="34">
        <v>190</v>
      </c>
      <c r="C4" s="116" t="s">
        <v>19</v>
      </c>
      <c r="D4" s="111" t="s">
        <v>24</v>
      </c>
      <c r="E4" s="116" t="s">
        <v>25</v>
      </c>
      <c r="F4" s="117" t="s">
        <v>25</v>
      </c>
      <c r="G4" s="114" t="s">
        <v>22</v>
      </c>
      <c r="H4" s="115">
        <v>50</v>
      </c>
      <c r="I4" s="142">
        <v>100</v>
      </c>
      <c r="J4" s="66">
        <f>Q4</f>
        <v>144</v>
      </c>
      <c r="K4" s="68">
        <f t="shared" si="0"/>
        <v>-44</v>
      </c>
      <c r="L4" s="32" t="str">
        <f>IF(J4&lt;H4,"ESTOQUE BAIXO",IF(J4&gt;I4,"ESTOQUE ALTO",IF(J4&gt;=H4,"ESTOQUE NORMAL",)))</f>
        <v>ESTOQUE ALTO</v>
      </c>
      <c r="M4" s="12"/>
      <c r="N4" s="26" t="str">
        <f t="shared" si="1"/>
        <v>AVENTAL DE RASPA TAM 120X60</v>
      </c>
      <c r="O4" s="27">
        <f>SUMIFS(ENTRADA!$F:$F,ENTRADA!$B:$B,ESTOQUE!$B4)</f>
        <v>231</v>
      </c>
      <c r="P4" s="27">
        <f>SUMIFS(SAIDA!$F:$F,SAIDA!$B:$B,ESTOQUE!$B4)</f>
        <v>87</v>
      </c>
      <c r="Q4" s="27">
        <f t="shared" si="2"/>
        <v>144</v>
      </c>
      <c r="R4" s="27" t="e">
        <f>Q4=#REF!</f>
        <v>#REF!</v>
      </c>
      <c r="S4" s="93">
        <f>IFERROR(SUMIFS(ENTRADA!$H:$H,ENTRADA!$B:$B,ESTOQUE!$B4)/O4,0)</f>
        <v>0</v>
      </c>
      <c r="T4" s="93">
        <f t="shared" si="3"/>
        <v>0</v>
      </c>
      <c r="U4" s="93">
        <f t="shared" si="4"/>
        <v>0</v>
      </c>
    </row>
    <row r="5" spans="1:21" ht="15" x14ac:dyDescent="0.25">
      <c r="A5" s="30"/>
      <c r="B5" s="33">
        <v>2</v>
      </c>
      <c r="C5" s="116" t="s">
        <v>19</v>
      </c>
      <c r="D5" s="111" t="s">
        <v>26</v>
      </c>
      <c r="E5" s="116">
        <v>42248</v>
      </c>
      <c r="F5" s="117">
        <v>47065</v>
      </c>
      <c r="G5" s="114" t="s">
        <v>22</v>
      </c>
      <c r="H5" s="115">
        <v>60</v>
      </c>
      <c r="I5" s="115">
        <v>100</v>
      </c>
      <c r="J5" s="66">
        <v>16</v>
      </c>
      <c r="K5" s="68">
        <f t="shared" si="0"/>
        <v>84</v>
      </c>
      <c r="L5" s="32" t="str">
        <f>IF(J5&lt;H5,"ESTOQUE BAIXO",IF(J5&gt;I5,"ESTOQUE ALTO",IF(J5&gt;=H5,"ESTOQUE NORMAL",)))</f>
        <v>ESTOQUE BAIXO</v>
      </c>
      <c r="M5" s="12">
        <v>6</v>
      </c>
      <c r="N5" s="26" t="str">
        <f t="shared" si="1"/>
        <v>AVENTAL DE RASPA TAM 1X60MT</v>
      </c>
      <c r="O5" s="27">
        <f>SUMIFS(ENTRADA!$F:$F,ENTRADA!$B:$B,ESTOQUE!$B5)</f>
        <v>20</v>
      </c>
      <c r="P5" s="27">
        <f>SUMIFS(SAIDA!$F:$F,SAIDA!$B:$B,ESTOQUE!$B5)</f>
        <v>76</v>
      </c>
      <c r="Q5" s="27">
        <f t="shared" si="2"/>
        <v>-56</v>
      </c>
      <c r="R5" s="27" t="e">
        <f>Q5=#REF!</f>
        <v>#REF!</v>
      </c>
      <c r="S5" s="93">
        <f>IFERROR(SUMIFS(ENTRADA!$H:$H,ENTRADA!$B:$B,ESTOQUE!$B5)/O5,0)</f>
        <v>49</v>
      </c>
      <c r="T5" s="93">
        <f t="shared" si="3"/>
        <v>-2744</v>
      </c>
      <c r="U5" s="93">
        <f t="shared" si="4"/>
        <v>3724</v>
      </c>
    </row>
    <row r="6" spans="1:21" ht="17.100000000000001" customHeight="1" x14ac:dyDescent="0.25">
      <c r="A6" s="30"/>
      <c r="B6" s="34">
        <v>3</v>
      </c>
      <c r="C6" s="116" t="s">
        <v>19</v>
      </c>
      <c r="D6" s="111" t="s">
        <v>27</v>
      </c>
      <c r="E6" s="116">
        <v>33301</v>
      </c>
      <c r="F6" s="117">
        <v>46944</v>
      </c>
      <c r="G6" s="114" t="s">
        <v>22</v>
      </c>
      <c r="H6" s="115">
        <v>50</v>
      </c>
      <c r="I6" s="115">
        <v>100</v>
      </c>
      <c r="J6" s="66">
        <f t="shared" ref="J6:J37" si="5">Q6</f>
        <v>0</v>
      </c>
      <c r="K6" s="68">
        <f t="shared" si="0"/>
        <v>100</v>
      </c>
      <c r="L6" s="32" t="str">
        <f>IF(J6&lt;H6,"ESTOQUE BAIXO",IF(J6&gt;I6,"ESTOQUE ALTO",IF(J6&gt;=H6,"ESTOQUE NORMAL",)))</f>
        <v>ESTOQUE BAIXO</v>
      </c>
      <c r="M6" s="12">
        <v>7</v>
      </c>
      <c r="N6" s="26" t="str">
        <f t="shared" si="1"/>
        <v xml:space="preserve">AVENTAL IMPERMEAVEL </v>
      </c>
      <c r="O6" s="27">
        <f>SUMIFS(ENTRADA!$F:$F,ENTRADA!$B:$B,ESTOQUE!$B6)</f>
        <v>0</v>
      </c>
      <c r="P6" s="27">
        <f>SUMIFS(SAIDA!$F:$F,SAIDA!$B:$B,ESTOQUE!$B6)</f>
        <v>0</v>
      </c>
      <c r="Q6" s="27">
        <f t="shared" si="2"/>
        <v>0</v>
      </c>
      <c r="R6" s="27" t="e">
        <f>Q6=#REF!</f>
        <v>#REF!</v>
      </c>
      <c r="S6" s="93">
        <f>IFERROR(SUMIFS(ENTRADA!$H:$H,ENTRADA!$B:$B,ESTOQUE!$B6)/O6,0)</f>
        <v>0</v>
      </c>
      <c r="T6" s="93">
        <f t="shared" si="3"/>
        <v>0</v>
      </c>
      <c r="U6" s="93">
        <f t="shared" si="4"/>
        <v>0</v>
      </c>
    </row>
    <row r="7" spans="1:21" ht="17.100000000000001" customHeight="1" x14ac:dyDescent="0.25">
      <c r="A7" s="30"/>
      <c r="B7" s="33">
        <v>228</v>
      </c>
      <c r="C7" s="116" t="s">
        <v>19</v>
      </c>
      <c r="D7" s="126" t="s">
        <v>28</v>
      </c>
      <c r="E7" s="116" t="s">
        <v>25</v>
      </c>
      <c r="F7" s="114" t="s">
        <v>25</v>
      </c>
      <c r="G7" s="114" t="s">
        <v>22</v>
      </c>
      <c r="H7" s="115">
        <v>1</v>
      </c>
      <c r="I7" s="142">
        <v>1000</v>
      </c>
      <c r="J7" s="66">
        <f>Q7</f>
        <v>137</v>
      </c>
      <c r="K7" s="68">
        <f t="shared" si="0"/>
        <v>863</v>
      </c>
      <c r="L7" s="32" t="str">
        <f>IF(J7&lt;H7,"ESTOQUE BAIXO",IF(J7&gt;I7,"ESTOQUE ALTO",IF(J7&gt;H7,"ESTOQUE NORMAL",)))</f>
        <v>ESTOQUE NORMAL</v>
      </c>
      <c r="M7" s="12">
        <v>8</v>
      </c>
      <c r="N7" s="26" t="str">
        <f t="shared" si="1"/>
        <v xml:space="preserve">BALACLAVA  </v>
      </c>
      <c r="O7" s="27">
        <f>SUMIFS(ENTRADA!$F:$F,ENTRADA!$B:$B,ESTOQUE!$B7)</f>
        <v>838</v>
      </c>
      <c r="P7" s="27">
        <f>SUMIFS(SAIDA!$F:$F,SAIDA!$B:$B,ESTOQUE!$B7)</f>
        <v>701</v>
      </c>
      <c r="Q7" s="27">
        <f t="shared" si="2"/>
        <v>137</v>
      </c>
      <c r="R7" s="27" t="e">
        <f>Q7=#REF!</f>
        <v>#REF!</v>
      </c>
      <c r="S7" s="93">
        <f>IFERROR(SUMIFS(ENTRADA!$H:$H,ENTRADA!$B:$B,ESTOQUE!$B7)/O7,0)</f>
        <v>5.6384248210023866</v>
      </c>
      <c r="T7" s="93">
        <f t="shared" si="3"/>
        <v>772.46420047732693</v>
      </c>
      <c r="U7" s="93">
        <f t="shared" si="4"/>
        <v>3952.5357995226732</v>
      </c>
    </row>
    <row r="8" spans="1:21" ht="17.100000000000001" customHeight="1" x14ac:dyDescent="0.25">
      <c r="A8" s="30"/>
      <c r="B8" s="34">
        <v>4</v>
      </c>
      <c r="C8" s="116" t="s">
        <v>19</v>
      </c>
      <c r="D8" s="111" t="s">
        <v>29</v>
      </c>
      <c r="E8" s="116">
        <v>42495</v>
      </c>
      <c r="F8" s="117">
        <v>45307</v>
      </c>
      <c r="G8" s="114" t="s">
        <v>22</v>
      </c>
      <c r="H8" s="115">
        <v>20</v>
      </c>
      <c r="I8" s="115">
        <v>50</v>
      </c>
      <c r="J8" s="66">
        <f t="shared" si="5"/>
        <v>0</v>
      </c>
      <c r="K8" s="68">
        <f t="shared" si="0"/>
        <v>50</v>
      </c>
      <c r="L8" s="32" t="str">
        <f>IF(J8&lt;H8,"ESTOQUE BAIXO",IF(J8&gt;I8,"ESTOQUE ALTO",IF(J8&gt;=H8,"ESTOQUE NORMAL",)))</f>
        <v>ESTOQUE BAIXO</v>
      </c>
      <c r="M8" s="12"/>
      <c r="N8" s="26" t="str">
        <f t="shared" si="1"/>
        <v>BLUSÃO DE RASPA MANGA LONGA</v>
      </c>
      <c r="O8" s="27">
        <f>SUMIFS(ENTRADA!$F:$F,ENTRADA!$B:$B,ESTOQUE!$B8)</f>
        <v>26</v>
      </c>
      <c r="P8" s="27">
        <f>SUMIFS(SAIDA!$F:$F,SAIDA!$B:$B,ESTOQUE!$B8)</f>
        <v>26</v>
      </c>
      <c r="Q8" s="27">
        <f t="shared" si="2"/>
        <v>0</v>
      </c>
      <c r="R8" s="27" t="e">
        <f>Q8=#REF!</f>
        <v>#REF!</v>
      </c>
      <c r="S8" s="93">
        <f>IFERROR(SUMIFS(ENTRADA!$H:$H,ENTRADA!$B:$B,ESTOQUE!$B8)/O8,0)</f>
        <v>3.5315384615384611</v>
      </c>
      <c r="T8" s="93">
        <f t="shared" si="3"/>
        <v>0</v>
      </c>
      <c r="U8" s="93">
        <f t="shared" si="4"/>
        <v>91.82</v>
      </c>
    </row>
    <row r="9" spans="1:21" ht="17.100000000000001" customHeight="1" x14ac:dyDescent="0.25">
      <c r="A9" s="30"/>
      <c r="B9" s="33">
        <v>268</v>
      </c>
      <c r="C9" s="116" t="s">
        <v>19</v>
      </c>
      <c r="D9" s="120" t="s">
        <v>298</v>
      </c>
      <c r="E9" s="116">
        <v>36025</v>
      </c>
      <c r="F9" s="117">
        <v>47317</v>
      </c>
      <c r="G9" s="114" t="s">
        <v>31</v>
      </c>
      <c r="H9" s="115">
        <v>5</v>
      </c>
      <c r="I9" s="142">
        <v>20</v>
      </c>
      <c r="J9" s="66">
        <f t="shared" si="5"/>
        <v>17</v>
      </c>
      <c r="K9" s="68">
        <f t="shared" si="0"/>
        <v>3</v>
      </c>
      <c r="L9" s="32" t="str">
        <f>IF(J9&lt;H9,"ESTOQUE BAIXO",IF(J9&gt;I9,"ESTOQUE ALTO",IF(J9&gt;H9,"ESTOQUE NORMAL",)))</f>
        <v>ESTOQUE NORMAL</v>
      </c>
      <c r="M9" s="12"/>
      <c r="N9" s="26" t="str">
        <f t="shared" si="1"/>
        <v>BOTA PVC CANO CURTO N  39</v>
      </c>
      <c r="O9" s="27">
        <f>SUMIFS(ENTRADA!$F:$F,ENTRADA!$B:$B,ESTOQUE!$B9)</f>
        <v>19</v>
      </c>
      <c r="P9" s="27">
        <f>SUMIFS(SAIDA!$F:$F,SAIDA!$B:$B,ESTOQUE!$B9)</f>
        <v>2</v>
      </c>
      <c r="Q9" s="27">
        <f t="shared" si="2"/>
        <v>17</v>
      </c>
      <c r="R9" s="27" t="e">
        <f>Q9=#REF!</f>
        <v>#REF!</v>
      </c>
      <c r="S9" s="93">
        <f>IFERROR(SUMIFS(ENTRADA!$H:$H,ENTRADA!$B:$B,ESTOQUE!$B9)/O9,0)</f>
        <v>0</v>
      </c>
      <c r="T9" s="93">
        <f t="shared" si="3"/>
        <v>0</v>
      </c>
      <c r="U9" s="93">
        <f t="shared" si="4"/>
        <v>0</v>
      </c>
    </row>
    <row r="10" spans="1:21" ht="17.100000000000001" customHeight="1" x14ac:dyDescent="0.25">
      <c r="A10" s="30"/>
      <c r="B10" s="34">
        <v>171</v>
      </c>
      <c r="C10" s="116" t="s">
        <v>19</v>
      </c>
      <c r="D10" s="111" t="s">
        <v>30</v>
      </c>
      <c r="E10" s="116">
        <v>36025</v>
      </c>
      <c r="F10" s="117">
        <v>47317</v>
      </c>
      <c r="G10" s="114" t="s">
        <v>31</v>
      </c>
      <c r="H10" s="115">
        <v>5</v>
      </c>
      <c r="I10" s="142">
        <v>20</v>
      </c>
      <c r="J10" s="66">
        <f t="shared" si="5"/>
        <v>15</v>
      </c>
      <c r="K10" s="68">
        <f t="shared" si="0"/>
        <v>5</v>
      </c>
      <c r="L10" s="32" t="str">
        <f t="shared" ref="L10:L41" si="6">IF(J10&lt;H10,"ESTOQUE BAIXO",IF(J10&gt;I10,"ESTOQUE ALTO",IF(J10&gt;=H10,"ESTOQUE NORMAL",)))</f>
        <v>ESTOQUE NORMAL</v>
      </c>
      <c r="M10" s="12"/>
      <c r="N10" s="26" t="str">
        <f t="shared" si="1"/>
        <v>BOTA PVC CANO CURTO Nº 40</v>
      </c>
      <c r="O10" s="27">
        <f>SUMIFS(ENTRADA!$F:$F,ENTRADA!$B:$B,ESTOQUE!$B10)</f>
        <v>27</v>
      </c>
      <c r="P10" s="27">
        <f>SUMIFS(SAIDA!$F:$F,SAIDA!$B:$B,ESTOQUE!$B10)</f>
        <v>12</v>
      </c>
      <c r="Q10" s="27">
        <f t="shared" si="2"/>
        <v>15</v>
      </c>
      <c r="R10" s="27" t="e">
        <f>Q10=#REF!</f>
        <v>#REF!</v>
      </c>
      <c r="S10" s="93">
        <f>IFERROR(SUMIFS(ENTRADA!$H:$H,ENTRADA!$B:$B,ESTOQUE!$B10)/O10,0)</f>
        <v>0</v>
      </c>
      <c r="T10" s="93">
        <f t="shared" si="3"/>
        <v>0</v>
      </c>
      <c r="U10" s="93">
        <f t="shared" si="4"/>
        <v>0</v>
      </c>
    </row>
    <row r="11" spans="1:21" ht="17.100000000000001" customHeight="1" x14ac:dyDescent="0.25">
      <c r="A11" s="30"/>
      <c r="B11" s="33">
        <v>172</v>
      </c>
      <c r="C11" s="116" t="s">
        <v>19</v>
      </c>
      <c r="D11" s="111" t="s">
        <v>32</v>
      </c>
      <c r="E11" s="116">
        <v>36025</v>
      </c>
      <c r="F11" s="117">
        <v>47317</v>
      </c>
      <c r="G11" s="114" t="s">
        <v>31</v>
      </c>
      <c r="H11" s="115">
        <v>5</v>
      </c>
      <c r="I11" s="142">
        <v>20</v>
      </c>
      <c r="J11" s="66">
        <f t="shared" si="5"/>
        <v>1</v>
      </c>
      <c r="K11" s="68">
        <f t="shared" si="0"/>
        <v>19</v>
      </c>
      <c r="L11" s="32" t="str">
        <f t="shared" si="6"/>
        <v>ESTOQUE BAIXO</v>
      </c>
      <c r="M11" s="12"/>
      <c r="N11" s="26" t="str">
        <f t="shared" si="1"/>
        <v>BOTA PVC CANO CURTO Nº 41</v>
      </c>
      <c r="O11" s="27">
        <f>SUMIFS(ENTRADA!$F:$F,ENTRADA!$B:$B,ESTOQUE!$B11)</f>
        <v>9</v>
      </c>
      <c r="P11" s="27">
        <f>SUMIFS(SAIDA!$F:$F,SAIDA!$B:$B,ESTOQUE!$B11)</f>
        <v>8</v>
      </c>
      <c r="Q11" s="27">
        <f t="shared" si="2"/>
        <v>1</v>
      </c>
      <c r="R11" s="27" t="e">
        <f>Q11=#REF!</f>
        <v>#REF!</v>
      </c>
      <c r="S11" s="93">
        <f>IFERROR(SUMIFS(ENTRADA!$H:$H,ENTRADA!$B:$B,ESTOQUE!$B11)/O11,0)</f>
        <v>0</v>
      </c>
      <c r="T11" s="93">
        <f t="shared" si="3"/>
        <v>0</v>
      </c>
      <c r="U11" s="93">
        <f t="shared" si="4"/>
        <v>0</v>
      </c>
    </row>
    <row r="12" spans="1:21" ht="17.100000000000001" customHeight="1" x14ac:dyDescent="0.25">
      <c r="A12" s="30"/>
      <c r="B12" s="34">
        <v>173</v>
      </c>
      <c r="C12" s="116" t="s">
        <v>19</v>
      </c>
      <c r="D12" s="111" t="s">
        <v>33</v>
      </c>
      <c r="E12" s="116">
        <v>36025</v>
      </c>
      <c r="F12" s="117">
        <v>47317</v>
      </c>
      <c r="G12" s="114" t="s">
        <v>31</v>
      </c>
      <c r="H12" s="115">
        <v>5</v>
      </c>
      <c r="I12" s="142">
        <v>20</v>
      </c>
      <c r="J12" s="66">
        <f t="shared" si="5"/>
        <v>0</v>
      </c>
      <c r="K12" s="68">
        <f t="shared" si="0"/>
        <v>20</v>
      </c>
      <c r="L12" s="32" t="str">
        <f t="shared" si="6"/>
        <v>ESTOQUE BAIXO</v>
      </c>
      <c r="M12" s="12"/>
      <c r="N12" s="26" t="str">
        <f t="shared" si="1"/>
        <v>BOTA PVC CANO CURTO Nº 42</v>
      </c>
      <c r="O12" s="27">
        <f>SUMIFS(ENTRADA!$F:$F,ENTRADA!$B:$B,ESTOQUE!$B12)</f>
        <v>10</v>
      </c>
      <c r="P12" s="27">
        <f>SUMIFS(SAIDA!$F:$F,SAIDA!$B:$B,ESTOQUE!$B12)</f>
        <v>10</v>
      </c>
      <c r="Q12" s="27">
        <f t="shared" si="2"/>
        <v>0</v>
      </c>
      <c r="R12" s="27" t="e">
        <f>Q12=#REF!</f>
        <v>#REF!</v>
      </c>
      <c r="S12" s="93">
        <f>IFERROR(SUMIFS(ENTRADA!$H:$H,ENTRADA!$B:$B,ESTOQUE!$B12)/O12,0)</f>
        <v>0</v>
      </c>
      <c r="T12" s="93">
        <f t="shared" si="3"/>
        <v>0</v>
      </c>
      <c r="U12" s="93">
        <f t="shared" si="4"/>
        <v>0</v>
      </c>
    </row>
    <row r="13" spans="1:21" ht="17.100000000000001" customHeight="1" x14ac:dyDescent="0.25">
      <c r="A13" s="30"/>
      <c r="B13" s="33">
        <v>174</v>
      </c>
      <c r="C13" s="116" t="s">
        <v>19</v>
      </c>
      <c r="D13" s="111" t="s">
        <v>34</v>
      </c>
      <c r="E13" s="116">
        <v>36025</v>
      </c>
      <c r="F13" s="117">
        <v>47317</v>
      </c>
      <c r="G13" s="114" t="s">
        <v>31</v>
      </c>
      <c r="H13" s="115">
        <v>5</v>
      </c>
      <c r="I13" s="142">
        <v>20</v>
      </c>
      <c r="J13" s="66">
        <f t="shared" si="5"/>
        <v>9</v>
      </c>
      <c r="K13" s="68">
        <f t="shared" si="0"/>
        <v>11</v>
      </c>
      <c r="L13" s="32" t="str">
        <f t="shared" si="6"/>
        <v>ESTOQUE NORMAL</v>
      </c>
      <c r="M13" s="12"/>
      <c r="N13" s="26" t="str">
        <f t="shared" si="1"/>
        <v>BOTA PVC CANO CURTO Nº 43</v>
      </c>
      <c r="O13" s="27">
        <f>SUMIFS(ENTRADA!$F:$F,ENTRADA!$B:$B,ESTOQUE!$B13)</f>
        <v>19</v>
      </c>
      <c r="P13" s="27">
        <f>SUMIFS(SAIDA!$F:$F,SAIDA!$B:$B,ESTOQUE!$B13)</f>
        <v>10</v>
      </c>
      <c r="Q13" s="27">
        <f t="shared" si="2"/>
        <v>9</v>
      </c>
      <c r="R13" s="27" t="e">
        <f>Q13=#REF!</f>
        <v>#REF!</v>
      </c>
      <c r="S13" s="93">
        <f>IFERROR(SUMIFS(ENTRADA!$H:$H,ENTRADA!$B:$B,ESTOQUE!$B13)/O13,0)</f>
        <v>0</v>
      </c>
      <c r="T13" s="93">
        <f t="shared" si="3"/>
        <v>0</v>
      </c>
      <c r="U13" s="93">
        <f t="shared" si="4"/>
        <v>0</v>
      </c>
    </row>
    <row r="14" spans="1:21" ht="17.100000000000001" customHeight="1" x14ac:dyDescent="0.25">
      <c r="A14" s="30"/>
      <c r="B14" s="34">
        <v>5</v>
      </c>
      <c r="C14" s="116" t="s">
        <v>19</v>
      </c>
      <c r="D14" s="111" t="s">
        <v>35</v>
      </c>
      <c r="E14" s="116">
        <v>39184</v>
      </c>
      <c r="F14" s="117">
        <v>47394</v>
      </c>
      <c r="G14" s="114" t="s">
        <v>31</v>
      </c>
      <c r="H14" s="115">
        <v>10</v>
      </c>
      <c r="I14" s="115">
        <v>100</v>
      </c>
      <c r="J14" s="66">
        <f t="shared" si="5"/>
        <v>0</v>
      </c>
      <c r="K14" s="68">
        <f t="shared" si="0"/>
        <v>100</v>
      </c>
      <c r="L14" s="32" t="str">
        <f t="shared" si="6"/>
        <v>ESTOQUE BAIXO</v>
      </c>
      <c r="N14" s="26" t="str">
        <f t="shared" si="1"/>
        <v>BOTA PVC CANO LONGO Nº 37</v>
      </c>
      <c r="O14" s="27">
        <f>SUMIFS(ENTRADA!$F:$F,ENTRADA!$B:$B,ESTOQUE!$B14)</f>
        <v>0</v>
      </c>
      <c r="P14" s="27">
        <f>SUMIFS(SAIDA!$F:$F,SAIDA!$B:$B,ESTOQUE!$B14)</f>
        <v>0</v>
      </c>
      <c r="Q14" s="27">
        <f t="shared" si="2"/>
        <v>0</v>
      </c>
      <c r="R14" s="27" t="e">
        <f>Q14=#REF!</f>
        <v>#REF!</v>
      </c>
      <c r="S14" s="93">
        <f>IFERROR(SUMIFS(ENTRADA!$H:$H,ENTRADA!$B:$B,ESTOQUE!$B14)/O14,0)</f>
        <v>0</v>
      </c>
      <c r="T14" s="93">
        <f t="shared" ref="T14" si="7">Q14*S14</f>
        <v>0</v>
      </c>
      <c r="U14" s="93">
        <f t="shared" ref="U14" si="8">P14*S14</f>
        <v>0</v>
      </c>
    </row>
    <row r="15" spans="1:21" ht="17.100000000000001" customHeight="1" x14ac:dyDescent="0.25">
      <c r="A15" s="30"/>
      <c r="B15" s="33">
        <v>6</v>
      </c>
      <c r="C15" s="116" t="s">
        <v>19</v>
      </c>
      <c r="D15" s="111" t="s">
        <v>36</v>
      </c>
      <c r="E15" s="116">
        <v>39184</v>
      </c>
      <c r="F15" s="117">
        <v>47394</v>
      </c>
      <c r="G15" s="114" t="s">
        <v>31</v>
      </c>
      <c r="H15" s="115">
        <v>30</v>
      </c>
      <c r="I15" s="115">
        <v>100</v>
      </c>
      <c r="J15" s="66">
        <f t="shared" si="5"/>
        <v>4</v>
      </c>
      <c r="K15" s="68">
        <f t="shared" si="0"/>
        <v>96</v>
      </c>
      <c r="L15" s="32" t="str">
        <f t="shared" si="6"/>
        <v>ESTOQUE BAIXO</v>
      </c>
      <c r="M15" s="12"/>
      <c r="N15" s="26" t="str">
        <f t="shared" si="1"/>
        <v>BOTA PVC CANO LONGO Nº 38</v>
      </c>
      <c r="O15" s="27">
        <f>SUMIFS(ENTRADA!$F:$F,ENTRADA!$B:$B,ESTOQUE!$B15)</f>
        <v>11</v>
      </c>
      <c r="P15" s="27">
        <f>SUMIFS(SAIDA!$F:$F,SAIDA!$B:$B,ESTOQUE!$B15)</f>
        <v>7</v>
      </c>
      <c r="Q15" s="27">
        <f t="shared" si="2"/>
        <v>4</v>
      </c>
      <c r="R15" s="27" t="e">
        <f>Q15=#REF!</f>
        <v>#REF!</v>
      </c>
      <c r="S15" s="93">
        <f>IFERROR(SUMIFS(ENTRADA!$H:$H,ENTRADA!$B:$B,ESTOQUE!$B15)/O15,0)</f>
        <v>0</v>
      </c>
      <c r="T15" s="93">
        <f t="shared" si="3"/>
        <v>0</v>
      </c>
      <c r="U15" s="93">
        <f t="shared" si="4"/>
        <v>0</v>
      </c>
    </row>
    <row r="16" spans="1:21" ht="17.100000000000001" customHeight="1" x14ac:dyDescent="0.25">
      <c r="A16" s="30"/>
      <c r="B16" s="34">
        <v>7</v>
      </c>
      <c r="C16" s="116" t="s">
        <v>19</v>
      </c>
      <c r="D16" s="111" t="s">
        <v>37</v>
      </c>
      <c r="E16" s="116">
        <v>39184</v>
      </c>
      <c r="F16" s="117">
        <v>47394</v>
      </c>
      <c r="G16" s="114" t="s">
        <v>31</v>
      </c>
      <c r="H16" s="115">
        <v>100</v>
      </c>
      <c r="I16" s="115">
        <v>250</v>
      </c>
      <c r="J16" s="66">
        <f t="shared" si="5"/>
        <v>0</v>
      </c>
      <c r="K16" s="68">
        <f t="shared" si="0"/>
        <v>250</v>
      </c>
      <c r="L16" s="32" t="str">
        <f t="shared" si="6"/>
        <v>ESTOQUE BAIXO</v>
      </c>
      <c r="M16" s="12">
        <v>10</v>
      </c>
      <c r="N16" s="26" t="str">
        <f t="shared" si="1"/>
        <v>BOTA PVC CANO LONGO Nº 39</v>
      </c>
      <c r="O16" s="27">
        <f>SUMIFS(ENTRADA!$F:$F,ENTRADA!$B:$B,ESTOQUE!$B16)</f>
        <v>21</v>
      </c>
      <c r="P16" s="27">
        <f>SUMIFS(SAIDA!$F:$F,SAIDA!$B:$B,ESTOQUE!$B16)</f>
        <v>21</v>
      </c>
      <c r="Q16" s="27">
        <f t="shared" si="2"/>
        <v>0</v>
      </c>
      <c r="R16" s="27" t="e">
        <f>Q16=#REF!</f>
        <v>#REF!</v>
      </c>
      <c r="S16" s="93">
        <f>IFERROR(SUMIFS(ENTRADA!$H:$H,ENTRADA!$B:$B,ESTOQUE!$B16)/O16,0)</f>
        <v>10.723809523809523</v>
      </c>
      <c r="T16" s="93">
        <f t="shared" si="3"/>
        <v>0</v>
      </c>
      <c r="U16" s="93">
        <f t="shared" si="4"/>
        <v>225.2</v>
      </c>
    </row>
    <row r="17" spans="1:21" ht="17.100000000000001" customHeight="1" x14ac:dyDescent="0.25">
      <c r="A17" s="30"/>
      <c r="B17" s="33">
        <v>8</v>
      </c>
      <c r="C17" s="116" t="s">
        <v>19</v>
      </c>
      <c r="D17" s="111" t="s">
        <v>38</v>
      </c>
      <c r="E17" s="116">
        <v>39184</v>
      </c>
      <c r="F17" s="117">
        <v>47394</v>
      </c>
      <c r="G17" s="114" t="s">
        <v>31</v>
      </c>
      <c r="H17" s="115">
        <v>100</v>
      </c>
      <c r="I17" s="115">
        <v>250</v>
      </c>
      <c r="J17" s="66">
        <f t="shared" si="5"/>
        <v>0</v>
      </c>
      <c r="K17" s="68">
        <f t="shared" si="0"/>
        <v>250</v>
      </c>
      <c r="L17" s="32" t="str">
        <f t="shared" si="6"/>
        <v>ESTOQUE BAIXO</v>
      </c>
      <c r="M17" s="12">
        <v>11</v>
      </c>
      <c r="N17" s="26" t="str">
        <f t="shared" si="1"/>
        <v>BOTA PVC CANO LONGO Nº 40</v>
      </c>
      <c r="O17" s="27">
        <f>SUMIFS(ENTRADA!$F:$F,ENTRADA!$B:$B,ESTOQUE!$B17)</f>
        <v>15</v>
      </c>
      <c r="P17" s="27">
        <f>SUMIFS(SAIDA!$F:$F,SAIDA!$B:$B,ESTOQUE!$B17)</f>
        <v>15</v>
      </c>
      <c r="Q17" s="27">
        <f t="shared" si="2"/>
        <v>0</v>
      </c>
      <c r="R17" s="27" t="e">
        <f>Q17=#REF!</f>
        <v>#REF!</v>
      </c>
      <c r="S17" s="93">
        <f>IFERROR(SUMIFS(ENTRADA!$H:$H,ENTRADA!$B:$B,ESTOQUE!$B17)/O17,0)</f>
        <v>0</v>
      </c>
      <c r="T17" s="93">
        <f t="shared" si="3"/>
        <v>0</v>
      </c>
      <c r="U17" s="93">
        <f t="shared" si="4"/>
        <v>0</v>
      </c>
    </row>
    <row r="18" spans="1:21" ht="22.5" customHeight="1" x14ac:dyDescent="0.25">
      <c r="A18" s="30"/>
      <c r="B18" s="34">
        <v>9</v>
      </c>
      <c r="C18" s="116" t="s">
        <v>19</v>
      </c>
      <c r="D18" s="111" t="s">
        <v>39</v>
      </c>
      <c r="E18" s="116">
        <v>39184</v>
      </c>
      <c r="F18" s="117">
        <v>47394</v>
      </c>
      <c r="G18" s="114" t="s">
        <v>31</v>
      </c>
      <c r="H18" s="115">
        <v>100</v>
      </c>
      <c r="I18" s="115">
        <v>250</v>
      </c>
      <c r="J18" s="66">
        <f t="shared" si="5"/>
        <v>0</v>
      </c>
      <c r="K18" s="68">
        <f t="shared" si="0"/>
        <v>250</v>
      </c>
      <c r="L18" s="32" t="str">
        <f t="shared" si="6"/>
        <v>ESTOQUE BAIXO</v>
      </c>
      <c r="M18" s="12">
        <v>14</v>
      </c>
      <c r="N18" s="26" t="str">
        <f t="shared" si="1"/>
        <v>BOTA PVC CANO LONGO Nº 41</v>
      </c>
      <c r="O18" s="27">
        <f>SUMIFS(ENTRADA!$F:$F,ENTRADA!$B:$B,ESTOQUE!$B18)</f>
        <v>16</v>
      </c>
      <c r="P18" s="27">
        <f>SUMIFS(SAIDA!$F:$F,SAIDA!$B:$B,ESTOQUE!$B18)</f>
        <v>16</v>
      </c>
      <c r="Q18" s="27">
        <f t="shared" si="2"/>
        <v>0</v>
      </c>
      <c r="R18" s="27" t="e">
        <f>Q18=#REF!</f>
        <v>#REF!</v>
      </c>
      <c r="S18" s="93">
        <f>IFERROR(SUMIFS(ENTRADA!$H:$H,ENTRADA!$B:$B,ESTOQUE!$B18)/O18,0)</f>
        <v>0</v>
      </c>
      <c r="T18" s="93">
        <f t="shared" si="3"/>
        <v>0</v>
      </c>
      <c r="U18" s="93">
        <f t="shared" si="4"/>
        <v>0</v>
      </c>
    </row>
    <row r="19" spans="1:21" ht="17.100000000000001" customHeight="1" x14ac:dyDescent="0.25">
      <c r="A19" s="30"/>
      <c r="B19" s="33">
        <v>10</v>
      </c>
      <c r="C19" s="116" t="s">
        <v>19</v>
      </c>
      <c r="D19" s="111" t="s">
        <v>40</v>
      </c>
      <c r="E19" s="116">
        <v>39184</v>
      </c>
      <c r="F19" s="117">
        <v>47394</v>
      </c>
      <c r="G19" s="114" t="s">
        <v>31</v>
      </c>
      <c r="H19" s="115">
        <v>100</v>
      </c>
      <c r="I19" s="115">
        <v>250</v>
      </c>
      <c r="J19" s="66">
        <f t="shared" si="5"/>
        <v>0</v>
      </c>
      <c r="K19" s="68">
        <f t="shared" si="0"/>
        <v>250</v>
      </c>
      <c r="L19" s="32" t="str">
        <f t="shared" si="6"/>
        <v>ESTOQUE BAIXO</v>
      </c>
      <c r="M19" s="12"/>
      <c r="N19" s="26" t="str">
        <f t="shared" si="1"/>
        <v>BOTA PVC CANO LONGO Nº 42</v>
      </c>
      <c r="O19" s="27">
        <f>SUMIFS(ENTRADA!$F:$F,ENTRADA!$B:$B,ESTOQUE!$B19)</f>
        <v>65</v>
      </c>
      <c r="P19" s="27">
        <f>SUMIFS(SAIDA!$F:$F,SAIDA!$B:$B,ESTOQUE!$B19)</f>
        <v>65</v>
      </c>
      <c r="Q19" s="27">
        <f t="shared" ref="Q19:Q48" si="9">O19-P19</f>
        <v>0</v>
      </c>
      <c r="R19" s="27" t="e">
        <f>Q19=#REF!</f>
        <v>#REF!</v>
      </c>
      <c r="S19" s="93">
        <f>IFERROR(SUMIFS(ENTRADA!$H:$H,ENTRADA!$B:$B,ESTOQUE!$B19)/O19,0)</f>
        <v>6.9292307692307693</v>
      </c>
      <c r="T19" s="93">
        <f t="shared" si="3"/>
        <v>0</v>
      </c>
      <c r="U19" s="93">
        <f t="shared" si="4"/>
        <v>450.4</v>
      </c>
    </row>
    <row r="20" spans="1:21" ht="17.100000000000001" customHeight="1" x14ac:dyDescent="0.25">
      <c r="A20" s="30"/>
      <c r="B20" s="34">
        <v>11</v>
      </c>
      <c r="C20" s="116" t="s">
        <v>19</v>
      </c>
      <c r="D20" s="111" t="s">
        <v>41</v>
      </c>
      <c r="E20" s="116">
        <v>39184</v>
      </c>
      <c r="F20" s="117">
        <v>47394</v>
      </c>
      <c r="G20" s="114" t="s">
        <v>31</v>
      </c>
      <c r="H20" s="115">
        <v>100</v>
      </c>
      <c r="I20" s="115">
        <v>250</v>
      </c>
      <c r="J20" s="66">
        <f t="shared" si="5"/>
        <v>0</v>
      </c>
      <c r="K20" s="68">
        <f t="shared" si="0"/>
        <v>250</v>
      </c>
      <c r="L20" s="32" t="str">
        <f t="shared" si="6"/>
        <v>ESTOQUE BAIXO</v>
      </c>
      <c r="M20" s="12"/>
      <c r="N20" s="26" t="str">
        <f t="shared" si="1"/>
        <v>BOTA PVC CANO LONGO Nº 43</v>
      </c>
      <c r="O20" s="27">
        <f>SUMIFS(ENTRADA!$F:$F,ENTRADA!$B:$B,ESTOQUE!$B20)</f>
        <v>33</v>
      </c>
      <c r="P20" s="27">
        <f>SUMIFS(SAIDA!$F:$F,SAIDA!$B:$B,ESTOQUE!$B20)</f>
        <v>33</v>
      </c>
      <c r="Q20" s="27">
        <f t="shared" si="9"/>
        <v>0</v>
      </c>
      <c r="R20" s="27" t="e">
        <f>Q20=#REF!</f>
        <v>#REF!</v>
      </c>
      <c r="S20" s="93">
        <f>IFERROR(SUMIFS(ENTRADA!$H:$H,ENTRADA!$B:$B,ESTOQUE!$B20)/O20,0)</f>
        <v>20.472727272727269</v>
      </c>
      <c r="T20" s="93">
        <f t="shared" si="3"/>
        <v>0</v>
      </c>
      <c r="U20" s="93">
        <f t="shared" si="4"/>
        <v>675.59999999999991</v>
      </c>
    </row>
    <row r="21" spans="1:21" ht="17.100000000000001" customHeight="1" x14ac:dyDescent="0.25">
      <c r="A21" s="30"/>
      <c r="B21" s="33">
        <v>12</v>
      </c>
      <c r="C21" s="116" t="s">
        <v>19</v>
      </c>
      <c r="D21" s="111" t="s">
        <v>42</v>
      </c>
      <c r="E21" s="116">
        <v>39184</v>
      </c>
      <c r="F21" s="117">
        <v>47394</v>
      </c>
      <c r="G21" s="114" t="s">
        <v>31</v>
      </c>
      <c r="H21" s="115">
        <v>100</v>
      </c>
      <c r="I21" s="115">
        <v>250</v>
      </c>
      <c r="J21" s="66">
        <f t="shared" si="5"/>
        <v>0</v>
      </c>
      <c r="K21" s="68">
        <f t="shared" si="0"/>
        <v>250</v>
      </c>
      <c r="L21" s="32" t="str">
        <f t="shared" si="6"/>
        <v>ESTOQUE BAIXO</v>
      </c>
      <c r="M21" s="12"/>
      <c r="N21" s="26" t="str">
        <f t="shared" si="1"/>
        <v>BOTA PVC CANO LONGO Nº 44</v>
      </c>
      <c r="O21" s="27">
        <f>SUMIFS(ENTRADA!$F:$F,ENTRADA!$B:$B,ESTOQUE!$B21)</f>
        <v>16</v>
      </c>
      <c r="P21" s="27">
        <f>SUMIFS(SAIDA!$F:$F,SAIDA!$B:$B,ESTOQUE!$B21)</f>
        <v>16</v>
      </c>
      <c r="Q21" s="27">
        <f t="shared" si="9"/>
        <v>0</v>
      </c>
      <c r="R21" s="27" t="e">
        <f>Q21=#REF!</f>
        <v>#REF!</v>
      </c>
      <c r="S21" s="93">
        <f>IFERROR(SUMIFS(ENTRADA!$H:$H,ENTRADA!$B:$B,ESTOQUE!$B21)/O21,0)</f>
        <v>3.5187499999999998</v>
      </c>
      <c r="T21" s="93">
        <f t="shared" si="3"/>
        <v>0</v>
      </c>
      <c r="U21" s="93">
        <f t="shared" si="4"/>
        <v>56.3</v>
      </c>
    </row>
    <row r="22" spans="1:21" ht="17.100000000000001" customHeight="1" x14ac:dyDescent="0.25">
      <c r="A22" s="30"/>
      <c r="B22" s="34">
        <v>13</v>
      </c>
      <c r="C22" s="116" t="s">
        <v>19</v>
      </c>
      <c r="D22" s="111" t="s">
        <v>43</v>
      </c>
      <c r="E22" s="116">
        <v>39184</v>
      </c>
      <c r="F22" s="117">
        <v>47394</v>
      </c>
      <c r="G22" s="114" t="s">
        <v>31</v>
      </c>
      <c r="H22" s="115">
        <v>50</v>
      </c>
      <c r="I22" s="115">
        <v>250</v>
      </c>
      <c r="J22" s="66">
        <f t="shared" si="5"/>
        <v>6</v>
      </c>
      <c r="K22" s="68">
        <f t="shared" si="0"/>
        <v>244</v>
      </c>
      <c r="L22" s="32" t="str">
        <f t="shared" si="6"/>
        <v>ESTOQUE BAIXO</v>
      </c>
      <c r="M22" s="12"/>
      <c r="N22" s="26" t="str">
        <f t="shared" si="1"/>
        <v>BOTA PVC CANO LONGO Nº 45</v>
      </c>
      <c r="O22" s="27">
        <f>SUMIFS(ENTRADA!$F:$F,ENTRADA!$B:$B,ESTOQUE!$B22)</f>
        <v>26</v>
      </c>
      <c r="P22" s="27">
        <f>SUMIFS(SAIDA!$F:$F,SAIDA!$B:$B,ESTOQUE!$B22)</f>
        <v>20</v>
      </c>
      <c r="Q22" s="27">
        <f t="shared" si="9"/>
        <v>6</v>
      </c>
      <c r="R22" s="27" t="e">
        <f>Q22=#REF!</f>
        <v>#REF!</v>
      </c>
      <c r="S22" s="93">
        <f>IFERROR(SUMIFS(ENTRADA!$H:$H,ENTRADA!$B:$B,ESTOQUE!$B22)/O22,0)</f>
        <v>21.653846153846153</v>
      </c>
      <c r="T22" s="93">
        <f t="shared" si="3"/>
        <v>129.92307692307691</v>
      </c>
      <c r="U22" s="93">
        <f t="shared" si="4"/>
        <v>433.07692307692309</v>
      </c>
    </row>
    <row r="23" spans="1:21" ht="17.100000000000001" customHeight="1" x14ac:dyDescent="0.25">
      <c r="A23" s="30"/>
      <c r="B23" s="33">
        <v>14</v>
      </c>
      <c r="C23" s="116" t="s">
        <v>19</v>
      </c>
      <c r="D23" s="111" t="s">
        <v>44</v>
      </c>
      <c r="E23" s="116">
        <v>39184</v>
      </c>
      <c r="F23" s="117">
        <v>47394</v>
      </c>
      <c r="G23" s="114" t="s">
        <v>31</v>
      </c>
      <c r="H23" s="115">
        <v>20</v>
      </c>
      <c r="I23" s="115">
        <v>250</v>
      </c>
      <c r="J23" s="66">
        <f t="shared" si="5"/>
        <v>10</v>
      </c>
      <c r="K23" s="68">
        <f t="shared" si="0"/>
        <v>240</v>
      </c>
      <c r="L23" s="32" t="str">
        <f t="shared" si="6"/>
        <v>ESTOQUE BAIXO</v>
      </c>
      <c r="M23" s="12"/>
      <c r="N23" s="26" t="str">
        <f t="shared" si="1"/>
        <v>BOTA PVC CANO LONGO Nº 46</v>
      </c>
      <c r="O23" s="27">
        <f>SUMIFS(ENTRADA!$F:$F,ENTRADA!$B:$B,ESTOQUE!$B23)</f>
        <v>13</v>
      </c>
      <c r="P23" s="27">
        <f>SUMIFS(SAIDA!$F:$F,SAIDA!$B:$B,ESTOQUE!$B23)</f>
        <v>3</v>
      </c>
      <c r="Q23" s="27">
        <f t="shared" si="9"/>
        <v>10</v>
      </c>
      <c r="R23" s="27" t="e">
        <f>Q23=#REF!</f>
        <v>#REF!</v>
      </c>
      <c r="S23" s="93">
        <f>IFERROR(SUMIFS(ENTRADA!$H:$H,ENTRADA!$B:$B,ESTOQUE!$B23)/O23,0)</f>
        <v>4.3307692307692305</v>
      </c>
      <c r="T23" s="93">
        <f t="shared" ref="T23:T25" si="10">Q23*S23</f>
        <v>43.307692307692307</v>
      </c>
      <c r="U23" s="93">
        <f t="shared" ref="U23:U25" si="11">P23*S23</f>
        <v>12.992307692307691</v>
      </c>
    </row>
    <row r="24" spans="1:21" ht="17.100000000000001" customHeight="1" x14ac:dyDescent="0.25">
      <c r="A24" s="30"/>
      <c r="B24" s="34">
        <v>165</v>
      </c>
      <c r="C24" s="116" t="s">
        <v>19</v>
      </c>
      <c r="D24" s="111" t="s">
        <v>45</v>
      </c>
      <c r="E24" s="116">
        <v>39184</v>
      </c>
      <c r="F24" s="117">
        <v>47394</v>
      </c>
      <c r="G24" s="114" t="s">
        <v>31</v>
      </c>
      <c r="H24" s="115">
        <v>10</v>
      </c>
      <c r="I24" s="142">
        <v>250</v>
      </c>
      <c r="J24" s="66">
        <f t="shared" si="5"/>
        <v>0</v>
      </c>
      <c r="K24" s="68">
        <f t="shared" si="0"/>
        <v>250</v>
      </c>
      <c r="L24" s="32" t="str">
        <f t="shared" si="6"/>
        <v>ESTOQUE BAIXO</v>
      </c>
      <c r="M24" s="12"/>
      <c r="N24" s="26" t="str">
        <f t="shared" si="1"/>
        <v>BOTA PVC CANO LONGO Nº 47</v>
      </c>
      <c r="O24" s="27">
        <f>SUMIFS(ENTRADA!$F:$F,ENTRADA!$B:$B,ESTOQUE!$B24)</f>
        <v>0</v>
      </c>
      <c r="P24" s="27">
        <f>SUMIFS(SAIDA!$F:$F,SAIDA!$B:$B,ESTOQUE!$B24)</f>
        <v>0</v>
      </c>
      <c r="Q24" s="27">
        <f t="shared" si="9"/>
        <v>0</v>
      </c>
      <c r="R24" s="27" t="e">
        <f>Q24=#REF!</f>
        <v>#REF!</v>
      </c>
      <c r="S24" s="93">
        <f>IFERROR(SUMIFS(ENTRADA!$H:$H,ENTRADA!$B:$B,ESTOQUE!$B24)/O24,0)</f>
        <v>0</v>
      </c>
      <c r="T24" s="93">
        <f t="shared" si="10"/>
        <v>0</v>
      </c>
      <c r="U24" s="93">
        <f t="shared" si="11"/>
        <v>0</v>
      </c>
    </row>
    <row r="25" spans="1:21" ht="17.100000000000001" customHeight="1" x14ac:dyDescent="0.25">
      <c r="A25" s="30"/>
      <c r="B25" s="33">
        <v>15</v>
      </c>
      <c r="C25" s="116" t="s">
        <v>19</v>
      </c>
      <c r="D25" s="111" t="s">
        <v>46</v>
      </c>
      <c r="E25" s="116">
        <v>39184</v>
      </c>
      <c r="F25" s="117">
        <v>47394</v>
      </c>
      <c r="G25" s="114" t="s">
        <v>31</v>
      </c>
      <c r="H25" s="115">
        <v>10</v>
      </c>
      <c r="I25" s="115">
        <v>250</v>
      </c>
      <c r="J25" s="66">
        <f t="shared" si="5"/>
        <v>0</v>
      </c>
      <c r="K25" s="68">
        <f t="shared" si="0"/>
        <v>250</v>
      </c>
      <c r="L25" s="32" t="str">
        <f t="shared" si="6"/>
        <v>ESTOQUE BAIXO</v>
      </c>
      <c r="M25" s="12"/>
      <c r="N25" s="26" t="str">
        <f t="shared" si="1"/>
        <v>BOTA PVC CANO LONGO Nº 48</v>
      </c>
      <c r="O25" s="27">
        <f>SUMIFS(ENTRADA!$F:$F,ENTRADA!$B:$B,ESTOQUE!$B25)</f>
        <v>0</v>
      </c>
      <c r="P25" s="27">
        <f>SUMIFS(SAIDA!$F:$F,SAIDA!$B:$B,ESTOQUE!$B25)</f>
        <v>0</v>
      </c>
      <c r="Q25" s="27">
        <f t="shared" si="9"/>
        <v>0</v>
      </c>
      <c r="R25" s="27" t="e">
        <f>Q25=#REF!</f>
        <v>#REF!</v>
      </c>
      <c r="S25" s="93">
        <f>IFERROR(SUMIFS(ENTRADA!$H:$H,ENTRADA!$B:$B,ESTOQUE!$B25)/O25,0)</f>
        <v>0</v>
      </c>
      <c r="T25" s="93">
        <f t="shared" si="10"/>
        <v>0</v>
      </c>
      <c r="U25" s="93">
        <f t="shared" si="11"/>
        <v>0</v>
      </c>
    </row>
    <row r="26" spans="1:21" ht="17.100000000000001" customHeight="1" x14ac:dyDescent="0.25">
      <c r="A26" s="30"/>
      <c r="B26" s="34">
        <v>166</v>
      </c>
      <c r="C26" s="116" t="s">
        <v>19</v>
      </c>
      <c r="D26" s="111" t="s">
        <v>47</v>
      </c>
      <c r="E26" s="116">
        <v>36025</v>
      </c>
      <c r="F26" s="117">
        <v>47317</v>
      </c>
      <c r="G26" s="114" t="s">
        <v>31</v>
      </c>
      <c r="H26" s="115">
        <v>10</v>
      </c>
      <c r="I26" s="142">
        <v>20</v>
      </c>
      <c r="J26" s="66">
        <f t="shared" si="5"/>
        <v>0</v>
      </c>
      <c r="K26" s="68">
        <f t="shared" si="0"/>
        <v>20</v>
      </c>
      <c r="L26" s="32" t="str">
        <f t="shared" si="6"/>
        <v>ESTOQUE BAIXO</v>
      </c>
      <c r="M26" s="12"/>
      <c r="N26" s="26" t="str">
        <f t="shared" si="1"/>
        <v>BOTA PVC CANO MEDIO Nº 34</v>
      </c>
      <c r="O26" s="27">
        <f>SUMIFS(ENTRADA!$F:$F,ENTRADA!$B:$B,ESTOQUE!$B26)</f>
        <v>0</v>
      </c>
      <c r="P26" s="27">
        <f>SUMIFS(SAIDA!$F:$F,SAIDA!$B:$B,ESTOQUE!$B26)</f>
        <v>0</v>
      </c>
      <c r="Q26" s="27">
        <f t="shared" si="9"/>
        <v>0</v>
      </c>
      <c r="R26" s="27" t="e">
        <f>Q26=#REF!</f>
        <v>#REF!</v>
      </c>
      <c r="S26" s="93">
        <f>IFERROR(SUMIFS(ENTRADA!$H:$H,ENTRADA!$B:$B,ESTOQUE!$B26)/O26,0)</f>
        <v>0</v>
      </c>
      <c r="T26" s="93">
        <f t="shared" si="3"/>
        <v>0</v>
      </c>
      <c r="U26" s="93">
        <f t="shared" si="4"/>
        <v>0</v>
      </c>
    </row>
    <row r="27" spans="1:21" ht="17.100000000000001" customHeight="1" x14ac:dyDescent="0.25">
      <c r="A27" s="30"/>
      <c r="B27" s="34">
        <v>167</v>
      </c>
      <c r="C27" s="116" t="s">
        <v>19</v>
      </c>
      <c r="D27" s="111" t="s">
        <v>48</v>
      </c>
      <c r="E27" s="116">
        <v>36025</v>
      </c>
      <c r="F27" s="117">
        <v>47317</v>
      </c>
      <c r="G27" s="114" t="s">
        <v>31</v>
      </c>
      <c r="H27" s="115">
        <v>10</v>
      </c>
      <c r="I27" s="142">
        <v>20</v>
      </c>
      <c r="J27" s="66">
        <f t="shared" si="5"/>
        <v>0</v>
      </c>
      <c r="K27" s="68">
        <f t="shared" si="0"/>
        <v>20</v>
      </c>
      <c r="L27" s="32" t="str">
        <f t="shared" si="6"/>
        <v>ESTOQUE BAIXO</v>
      </c>
      <c r="M27" s="12">
        <v>15</v>
      </c>
      <c r="N27" s="26" t="str">
        <f t="shared" si="1"/>
        <v>BOTA PVC CANO MEDIO Nº 35</v>
      </c>
      <c r="O27" s="27">
        <f>SUMIFS(ENTRADA!$F:$F,ENTRADA!$B:$B,ESTOQUE!$B27)</f>
        <v>0</v>
      </c>
      <c r="P27" s="27">
        <f>SUMIFS(SAIDA!$F:$F,SAIDA!$B:$B,ESTOQUE!$B27)</f>
        <v>0</v>
      </c>
      <c r="Q27" s="27">
        <f t="shared" si="9"/>
        <v>0</v>
      </c>
      <c r="R27" s="27" t="e">
        <f>Q27=#REF!</f>
        <v>#REF!</v>
      </c>
      <c r="S27" s="93">
        <f>IFERROR(SUMIFS(ENTRADA!$H:$H,ENTRADA!$B:$B,ESTOQUE!$B27)/O27,0)</f>
        <v>0</v>
      </c>
      <c r="T27" s="93">
        <f t="shared" si="3"/>
        <v>0</v>
      </c>
      <c r="U27" s="93">
        <f t="shared" si="4"/>
        <v>0</v>
      </c>
    </row>
    <row r="28" spans="1:21" ht="17.100000000000001" customHeight="1" x14ac:dyDescent="0.25">
      <c r="A28" s="30"/>
      <c r="B28" s="34">
        <v>168</v>
      </c>
      <c r="C28" s="116" t="s">
        <v>19</v>
      </c>
      <c r="D28" s="111" t="s">
        <v>49</v>
      </c>
      <c r="E28" s="116">
        <v>36025</v>
      </c>
      <c r="F28" s="117">
        <v>47317</v>
      </c>
      <c r="G28" s="114" t="s">
        <v>31</v>
      </c>
      <c r="H28" s="115">
        <v>10</v>
      </c>
      <c r="I28" s="142">
        <v>20</v>
      </c>
      <c r="J28" s="66">
        <f t="shared" si="5"/>
        <v>0</v>
      </c>
      <c r="K28" s="68">
        <f t="shared" si="0"/>
        <v>20</v>
      </c>
      <c r="L28" s="32" t="str">
        <f t="shared" si="6"/>
        <v>ESTOQUE BAIXO</v>
      </c>
      <c r="M28" s="12">
        <v>16</v>
      </c>
      <c r="N28" s="26" t="str">
        <f t="shared" si="1"/>
        <v>BOTA PVC CANO MEDIO Nº 36</v>
      </c>
      <c r="O28" s="27">
        <f>SUMIFS(ENTRADA!$F:$F,ENTRADA!$B:$B,ESTOQUE!$B28)</f>
        <v>6</v>
      </c>
      <c r="P28" s="27">
        <f>SUMIFS(SAIDA!$F:$F,SAIDA!$B:$B,ESTOQUE!$B28)</f>
        <v>6</v>
      </c>
      <c r="Q28" s="27">
        <f t="shared" si="9"/>
        <v>0</v>
      </c>
      <c r="R28" s="27" t="e">
        <f>Q28=#REF!</f>
        <v>#REF!</v>
      </c>
      <c r="S28" s="93">
        <f>IFERROR(SUMIFS(ENTRADA!$H:$H,ENTRADA!$B:$B,ESTOQUE!$B28)/O28,0)</f>
        <v>0</v>
      </c>
      <c r="T28" s="93">
        <f t="shared" si="3"/>
        <v>0</v>
      </c>
      <c r="U28" s="93">
        <f t="shared" si="4"/>
        <v>0</v>
      </c>
    </row>
    <row r="29" spans="1:21" ht="17.100000000000001" customHeight="1" x14ac:dyDescent="0.25">
      <c r="A29" s="30"/>
      <c r="B29" s="33">
        <v>16</v>
      </c>
      <c r="C29" s="116" t="s">
        <v>19</v>
      </c>
      <c r="D29" s="111" t="s">
        <v>50</v>
      </c>
      <c r="E29" s="116">
        <v>36025</v>
      </c>
      <c r="F29" s="117">
        <v>47317</v>
      </c>
      <c r="G29" s="114" t="s">
        <v>31</v>
      </c>
      <c r="H29" s="115">
        <v>10</v>
      </c>
      <c r="I29" s="115">
        <v>20</v>
      </c>
      <c r="J29" s="66">
        <f t="shared" si="5"/>
        <v>0</v>
      </c>
      <c r="K29" s="68">
        <f t="shared" si="0"/>
        <v>20</v>
      </c>
      <c r="L29" s="32" t="str">
        <f t="shared" si="6"/>
        <v>ESTOQUE BAIXO</v>
      </c>
      <c r="M29" s="12">
        <v>17</v>
      </c>
      <c r="N29" s="26" t="str">
        <f t="shared" si="1"/>
        <v>BOTA PVC CANO MEDIO Nº 37</v>
      </c>
      <c r="O29" s="27">
        <f>SUMIFS(ENTRADA!$F:$F,ENTRADA!$B:$B,ESTOQUE!$B29)</f>
        <v>5</v>
      </c>
      <c r="P29" s="27">
        <f>SUMIFS(SAIDA!$F:$F,SAIDA!$B:$B,ESTOQUE!$B29)</f>
        <v>5</v>
      </c>
      <c r="Q29" s="27">
        <f t="shared" si="9"/>
        <v>0</v>
      </c>
      <c r="R29" s="27" t="e">
        <f>Q29=#REF!</f>
        <v>#REF!</v>
      </c>
      <c r="S29" s="93">
        <f>IFERROR(SUMIFS(ENTRADA!$H:$H,ENTRADA!$B:$B,ESTOQUE!$B29)/O29,0)</f>
        <v>34.9</v>
      </c>
      <c r="T29" s="93">
        <f t="shared" si="3"/>
        <v>0</v>
      </c>
      <c r="U29" s="93">
        <f t="shared" si="4"/>
        <v>174.5</v>
      </c>
    </row>
    <row r="30" spans="1:21" ht="17.100000000000001" customHeight="1" x14ac:dyDescent="0.25">
      <c r="A30" s="30"/>
      <c r="B30" s="34">
        <v>17</v>
      </c>
      <c r="C30" s="116" t="s">
        <v>19</v>
      </c>
      <c r="D30" s="131" t="s">
        <v>51</v>
      </c>
      <c r="E30" s="116">
        <v>36025</v>
      </c>
      <c r="F30" s="117">
        <v>47317</v>
      </c>
      <c r="G30" s="114" t="s">
        <v>31</v>
      </c>
      <c r="H30" s="115">
        <v>20</v>
      </c>
      <c r="I30" s="115">
        <v>20</v>
      </c>
      <c r="J30" s="66">
        <f t="shared" si="5"/>
        <v>0</v>
      </c>
      <c r="K30" s="68">
        <f t="shared" si="0"/>
        <v>20</v>
      </c>
      <c r="L30" s="32" t="str">
        <f t="shared" si="6"/>
        <v>ESTOQUE BAIXO</v>
      </c>
      <c r="M30" s="12">
        <v>20</v>
      </c>
      <c r="N30" s="26" t="str">
        <f t="shared" si="1"/>
        <v>BOTA PVC CANO MEDIO Nº 38</v>
      </c>
      <c r="O30" s="27">
        <f>SUMIFS(ENTRADA!$F:$F,ENTRADA!$B:$B,ESTOQUE!$B30)</f>
        <v>3</v>
      </c>
      <c r="P30" s="27">
        <f>SUMIFS(SAIDA!$F:$F,SAIDA!$B:$B,ESTOQUE!$B30)</f>
        <v>3</v>
      </c>
      <c r="Q30" s="27">
        <f t="shared" si="9"/>
        <v>0</v>
      </c>
      <c r="R30" s="27" t="e">
        <f>Q30=#REF!</f>
        <v>#REF!</v>
      </c>
      <c r="S30" s="93">
        <f>IFERROR(SUMIFS(ENTRADA!$H:$H,ENTRADA!$B:$B,ESTOQUE!$B30)/O30,0)</f>
        <v>23.266666666666666</v>
      </c>
      <c r="T30" s="93">
        <f t="shared" si="3"/>
        <v>0</v>
      </c>
      <c r="U30" s="93">
        <f t="shared" si="4"/>
        <v>69.8</v>
      </c>
    </row>
    <row r="31" spans="1:21" ht="17.100000000000001" customHeight="1" x14ac:dyDescent="0.25">
      <c r="A31" s="30"/>
      <c r="B31" s="33">
        <v>18</v>
      </c>
      <c r="C31" s="116" t="s">
        <v>19</v>
      </c>
      <c r="D31" s="111" t="s">
        <v>52</v>
      </c>
      <c r="E31" s="116">
        <v>36025</v>
      </c>
      <c r="F31" s="117">
        <v>47317</v>
      </c>
      <c r="G31" s="114" t="s">
        <v>31</v>
      </c>
      <c r="H31" s="115">
        <v>20</v>
      </c>
      <c r="I31" s="115">
        <v>20</v>
      </c>
      <c r="J31" s="66">
        <f t="shared" si="5"/>
        <v>0</v>
      </c>
      <c r="K31" s="68">
        <f t="shared" si="0"/>
        <v>20</v>
      </c>
      <c r="L31" s="32" t="str">
        <f t="shared" si="6"/>
        <v>ESTOQUE BAIXO</v>
      </c>
      <c r="M31" s="12">
        <v>21</v>
      </c>
      <c r="N31" s="26" t="str">
        <f t="shared" ref="N31:N62" si="12">D31</f>
        <v>BOTA PVC CANO MEDIO Nº 39</v>
      </c>
      <c r="O31" s="27">
        <f>SUMIFS(ENTRADA!$F:$F,ENTRADA!$B:$B,ESTOQUE!$B31)</f>
        <v>1</v>
      </c>
      <c r="P31" s="27">
        <f>SUMIFS(SAIDA!$F:$F,SAIDA!$B:$B,ESTOQUE!$B31)</f>
        <v>1</v>
      </c>
      <c r="Q31" s="27">
        <f t="shared" si="9"/>
        <v>0</v>
      </c>
      <c r="R31" s="27" t="e">
        <f>Q31=#REF!</f>
        <v>#REF!</v>
      </c>
      <c r="S31" s="93">
        <f>IFERROR(SUMIFS(ENTRADA!$H:$H,ENTRADA!$B:$B,ESTOQUE!$B31)/O31,0)</f>
        <v>0</v>
      </c>
      <c r="T31" s="93">
        <f t="shared" si="3"/>
        <v>0</v>
      </c>
      <c r="U31" s="93">
        <f t="shared" si="4"/>
        <v>0</v>
      </c>
    </row>
    <row r="32" spans="1:21" ht="17.100000000000001" customHeight="1" x14ac:dyDescent="0.25">
      <c r="A32" s="30"/>
      <c r="B32" s="34">
        <v>19</v>
      </c>
      <c r="C32" s="116" t="s">
        <v>19</v>
      </c>
      <c r="D32" s="111" t="s">
        <v>53</v>
      </c>
      <c r="E32" s="116">
        <v>36025</v>
      </c>
      <c r="F32" s="117">
        <v>47317</v>
      </c>
      <c r="G32" s="114" t="s">
        <v>31</v>
      </c>
      <c r="H32" s="115">
        <v>20</v>
      </c>
      <c r="I32" s="115">
        <v>20</v>
      </c>
      <c r="J32" s="66">
        <v>0</v>
      </c>
      <c r="K32" s="68">
        <f t="shared" si="0"/>
        <v>20</v>
      </c>
      <c r="L32" s="32" t="str">
        <f t="shared" si="6"/>
        <v>ESTOQUE BAIXO</v>
      </c>
      <c r="M32" s="12"/>
      <c r="N32" s="26" t="str">
        <f t="shared" si="12"/>
        <v>BOTA PVC CANO MEDIO Nº 40</v>
      </c>
      <c r="O32" s="27">
        <f>SUMIFS(ENTRADA!$F:$F,ENTRADA!$B:$B,ESTOQUE!$B32)</f>
        <v>26</v>
      </c>
      <c r="P32" s="27">
        <f>SUMIFS(SAIDA!$F:$F,SAIDA!$B:$B,ESTOQUE!$B32)</f>
        <v>27</v>
      </c>
      <c r="Q32" s="27">
        <f t="shared" si="9"/>
        <v>-1</v>
      </c>
      <c r="R32" s="27" t="e">
        <f>Q32=#REF!</f>
        <v>#REF!</v>
      </c>
      <c r="S32" s="93">
        <f>IFERROR(SUMIFS(ENTRADA!$H:$H,ENTRADA!$B:$B,ESTOQUE!$B32)/O32,0)</f>
        <v>8.0538461538461537</v>
      </c>
      <c r="T32" s="93">
        <f t="shared" ref="T32" si="13">Q32*S32</f>
        <v>-8.0538461538461537</v>
      </c>
      <c r="U32" s="93">
        <f t="shared" ref="U32" si="14">P32*S32</f>
        <v>217.45384615384614</v>
      </c>
    </row>
    <row r="33" spans="1:21" ht="17.100000000000001" customHeight="1" x14ac:dyDescent="0.25">
      <c r="A33" s="30"/>
      <c r="B33" s="33">
        <v>20</v>
      </c>
      <c r="C33" s="116" t="s">
        <v>19</v>
      </c>
      <c r="D33" s="111" t="s">
        <v>54</v>
      </c>
      <c r="E33" s="116">
        <v>36025</v>
      </c>
      <c r="F33" s="117">
        <v>47317</v>
      </c>
      <c r="G33" s="114" t="s">
        <v>31</v>
      </c>
      <c r="H33" s="115">
        <v>20</v>
      </c>
      <c r="I33" s="115">
        <v>20</v>
      </c>
      <c r="J33" s="66">
        <f t="shared" si="5"/>
        <v>14</v>
      </c>
      <c r="K33" s="68">
        <f t="shared" si="0"/>
        <v>6</v>
      </c>
      <c r="L33" s="32" t="str">
        <f t="shared" si="6"/>
        <v>ESTOQUE BAIXO</v>
      </c>
      <c r="M33" s="12"/>
      <c r="N33" s="26" t="str">
        <f t="shared" si="12"/>
        <v>BOTA PVC CANO MEDIO Nº 41</v>
      </c>
      <c r="O33" s="27">
        <f>SUMIFS(ENTRADA!$F:$F,ENTRADA!$B:$B,ESTOQUE!$B33)</f>
        <v>27</v>
      </c>
      <c r="P33" s="27">
        <f>SUMIFS(SAIDA!$F:$F,SAIDA!$B:$B,ESTOQUE!$B33)</f>
        <v>13</v>
      </c>
      <c r="Q33" s="27">
        <f t="shared" si="9"/>
        <v>14</v>
      </c>
      <c r="R33" s="27" t="e">
        <f>Q33=#REF!</f>
        <v>#REF!</v>
      </c>
      <c r="S33" s="93">
        <f>IFERROR(SUMIFS(ENTRADA!$H:$H,ENTRADA!$B:$B,ESTOQUE!$B33)/O33,0)</f>
        <v>18.096296296296295</v>
      </c>
      <c r="T33" s="93">
        <f t="shared" ref="T33:T34" si="15">Q33*S33</f>
        <v>253.34814814814814</v>
      </c>
      <c r="U33" s="93">
        <f t="shared" ref="U33:U34" si="16">P33*S33</f>
        <v>235.25185185185182</v>
      </c>
    </row>
    <row r="34" spans="1:21" ht="17.100000000000001" customHeight="1" x14ac:dyDescent="0.25">
      <c r="A34" s="30">
        <v>0</v>
      </c>
      <c r="B34" s="34">
        <v>21</v>
      </c>
      <c r="C34" s="116" t="s">
        <v>19</v>
      </c>
      <c r="D34" s="111" t="s">
        <v>55</v>
      </c>
      <c r="E34" s="116">
        <v>36025</v>
      </c>
      <c r="F34" s="117">
        <v>47317</v>
      </c>
      <c r="G34" s="114" t="s">
        <v>31</v>
      </c>
      <c r="H34" s="115">
        <v>20</v>
      </c>
      <c r="I34" s="115">
        <v>20</v>
      </c>
      <c r="J34" s="66">
        <f t="shared" si="5"/>
        <v>15</v>
      </c>
      <c r="K34" s="68">
        <f t="shared" ref="K34:K65" si="17">I34-J34</f>
        <v>5</v>
      </c>
      <c r="L34" s="32" t="str">
        <f t="shared" si="6"/>
        <v>ESTOQUE BAIXO</v>
      </c>
      <c r="M34" s="12"/>
      <c r="N34" s="26" t="str">
        <f t="shared" si="12"/>
        <v>BOTA PVC CANO MEDIO Nº 42</v>
      </c>
      <c r="O34" s="27">
        <f>SUMIFS(ENTRADA!$F:$F,ENTRADA!$B:$B,ESTOQUE!$B34)</f>
        <v>26</v>
      </c>
      <c r="P34" s="27">
        <f>SUMIFS(SAIDA!$F:$F,SAIDA!$B:$B,ESTOQUE!$B34)</f>
        <v>11</v>
      </c>
      <c r="Q34" s="27">
        <f t="shared" si="9"/>
        <v>15</v>
      </c>
      <c r="R34" s="27" t="e">
        <f>Q34=#REF!</f>
        <v>#REF!</v>
      </c>
      <c r="S34" s="93">
        <f>IFERROR(SUMIFS(ENTRADA!$H:$H,ENTRADA!$B:$B,ESTOQUE!$B34)/O34,0)</f>
        <v>0</v>
      </c>
      <c r="T34" s="93">
        <f t="shared" si="15"/>
        <v>0</v>
      </c>
      <c r="U34" s="93">
        <f t="shared" si="16"/>
        <v>0</v>
      </c>
    </row>
    <row r="35" spans="1:21" ht="17.100000000000001" customHeight="1" x14ac:dyDescent="0.25">
      <c r="A35" s="30"/>
      <c r="B35" s="33">
        <v>22</v>
      </c>
      <c r="C35" s="116" t="s">
        <v>19</v>
      </c>
      <c r="D35" s="111" t="s">
        <v>56</v>
      </c>
      <c r="E35" s="116">
        <v>36025</v>
      </c>
      <c r="F35" s="117">
        <v>47317</v>
      </c>
      <c r="G35" s="114" t="s">
        <v>31</v>
      </c>
      <c r="H35" s="115">
        <v>20</v>
      </c>
      <c r="I35" s="115">
        <v>20</v>
      </c>
      <c r="J35" s="66">
        <f t="shared" si="5"/>
        <v>0</v>
      </c>
      <c r="K35" s="68">
        <f t="shared" si="17"/>
        <v>20</v>
      </c>
      <c r="L35" s="32" t="str">
        <f t="shared" si="6"/>
        <v>ESTOQUE BAIXO</v>
      </c>
      <c r="M35" s="12">
        <v>22</v>
      </c>
      <c r="N35" s="26" t="str">
        <f t="shared" si="12"/>
        <v>BOTA PVC CANO MEDIO Nº 43</v>
      </c>
      <c r="O35" s="27">
        <f>SUMIFS(ENTRADA!$F:$F,ENTRADA!$B:$B,ESTOQUE!$B35)</f>
        <v>0</v>
      </c>
      <c r="P35" s="27">
        <f>SUMIFS(SAIDA!$F:$F,SAIDA!$B:$B,ESTOQUE!$B35)</f>
        <v>0</v>
      </c>
      <c r="Q35" s="27">
        <f t="shared" si="9"/>
        <v>0</v>
      </c>
      <c r="R35" s="27" t="e">
        <f>Q35=#REF!</f>
        <v>#REF!</v>
      </c>
      <c r="S35" s="93">
        <f>IFERROR(SUMIFS(ENTRADA!$H:$H,ENTRADA!$B:$B,ESTOQUE!$B35)/O35,0)</f>
        <v>0</v>
      </c>
      <c r="T35" s="93">
        <f t="shared" si="3"/>
        <v>0</v>
      </c>
      <c r="U35" s="93">
        <f t="shared" si="4"/>
        <v>0</v>
      </c>
    </row>
    <row r="36" spans="1:21" ht="17.100000000000001" customHeight="1" x14ac:dyDescent="0.25">
      <c r="A36" s="30"/>
      <c r="B36" s="34">
        <v>23</v>
      </c>
      <c r="C36" s="116" t="s">
        <v>19</v>
      </c>
      <c r="D36" s="111" t="s">
        <v>57</v>
      </c>
      <c r="E36" s="116">
        <v>36025</v>
      </c>
      <c r="F36" s="117">
        <v>47317</v>
      </c>
      <c r="G36" s="114" t="s">
        <v>31</v>
      </c>
      <c r="H36" s="115">
        <v>20</v>
      </c>
      <c r="I36" s="115">
        <v>20</v>
      </c>
      <c r="J36" s="66">
        <f t="shared" si="5"/>
        <v>0</v>
      </c>
      <c r="K36" s="68">
        <f t="shared" si="17"/>
        <v>20</v>
      </c>
      <c r="L36" s="32" t="str">
        <f t="shared" si="6"/>
        <v>ESTOQUE BAIXO</v>
      </c>
      <c r="M36" s="12">
        <v>23</v>
      </c>
      <c r="N36" s="26" t="str">
        <f t="shared" si="12"/>
        <v>BOTA PVC CANO MEDIO Nº 44</v>
      </c>
      <c r="O36" s="27">
        <f>SUMIFS(ENTRADA!$F:$F,ENTRADA!$B:$B,ESTOQUE!$B36)</f>
        <v>0</v>
      </c>
      <c r="P36" s="27">
        <f>SUMIFS(SAIDA!$F:$F,SAIDA!$B:$B,ESTOQUE!$B36)</f>
        <v>0</v>
      </c>
      <c r="Q36" s="27">
        <f t="shared" si="9"/>
        <v>0</v>
      </c>
      <c r="R36" s="27" t="e">
        <f>Q36=#REF!</f>
        <v>#REF!</v>
      </c>
      <c r="S36" s="93">
        <f>IFERROR(SUMIFS(ENTRADA!$H:$H,ENTRADA!$B:$B,ESTOQUE!$B36)/O36,0)</f>
        <v>0</v>
      </c>
      <c r="T36" s="93">
        <f t="shared" si="3"/>
        <v>0</v>
      </c>
      <c r="U36" s="93">
        <f t="shared" si="4"/>
        <v>0</v>
      </c>
    </row>
    <row r="37" spans="1:21" ht="17.100000000000001" customHeight="1" x14ac:dyDescent="0.25">
      <c r="A37" s="30"/>
      <c r="B37" s="33">
        <v>24</v>
      </c>
      <c r="C37" s="116" t="s">
        <v>19</v>
      </c>
      <c r="D37" s="111" t="s">
        <v>58</v>
      </c>
      <c r="E37" s="116">
        <v>36025</v>
      </c>
      <c r="F37" s="117">
        <v>47317</v>
      </c>
      <c r="G37" s="114" t="s">
        <v>31</v>
      </c>
      <c r="H37" s="115">
        <v>20</v>
      </c>
      <c r="I37" s="115">
        <v>20</v>
      </c>
      <c r="J37" s="66">
        <f t="shared" si="5"/>
        <v>0</v>
      </c>
      <c r="K37" s="68">
        <f t="shared" si="17"/>
        <v>20</v>
      </c>
      <c r="L37" s="32" t="str">
        <f t="shared" si="6"/>
        <v>ESTOQUE BAIXO</v>
      </c>
      <c r="M37" s="12"/>
      <c r="N37" s="26" t="str">
        <f t="shared" si="12"/>
        <v>BOTA PVC CANO MEDIO Nº 45</v>
      </c>
      <c r="O37" s="27">
        <f>SUMIFS(ENTRADA!$F:$F,ENTRADA!$B:$B,ESTOQUE!$B37)</f>
        <v>0</v>
      </c>
      <c r="P37" s="27">
        <f>SUMIFS(SAIDA!$F:$F,SAIDA!$B:$B,ESTOQUE!$B37)</f>
        <v>0</v>
      </c>
      <c r="Q37" s="27">
        <f t="shared" si="9"/>
        <v>0</v>
      </c>
      <c r="R37" s="27" t="e">
        <f>Q37=#REF!</f>
        <v>#REF!</v>
      </c>
      <c r="S37" s="93">
        <f>IFERROR(SUMIFS(ENTRADA!$H:$H,ENTRADA!$B:$B,ESTOQUE!$B37)/O37,0)</f>
        <v>0</v>
      </c>
      <c r="T37" s="93">
        <f t="shared" ref="T37" si="18">Q37*S37</f>
        <v>0</v>
      </c>
      <c r="U37" s="93">
        <f t="shared" ref="U37" si="19">P37*S37</f>
        <v>0</v>
      </c>
    </row>
    <row r="38" spans="1:21" ht="17.100000000000001" customHeight="1" x14ac:dyDescent="0.25">
      <c r="A38" s="30"/>
      <c r="B38" s="34">
        <v>25</v>
      </c>
      <c r="C38" s="116" t="s">
        <v>19</v>
      </c>
      <c r="D38" s="111" t="s">
        <v>59</v>
      </c>
      <c r="E38" s="116">
        <v>36025</v>
      </c>
      <c r="F38" s="117">
        <v>47317</v>
      </c>
      <c r="G38" s="114" t="s">
        <v>31</v>
      </c>
      <c r="H38" s="115">
        <v>20</v>
      </c>
      <c r="I38" s="115">
        <v>20</v>
      </c>
      <c r="J38" s="66">
        <f t="shared" ref="J38:J69" si="20">Q38</f>
        <v>0</v>
      </c>
      <c r="K38" s="68">
        <f t="shared" si="17"/>
        <v>20</v>
      </c>
      <c r="L38" s="32" t="str">
        <f t="shared" si="6"/>
        <v>ESTOQUE BAIXO</v>
      </c>
      <c r="M38" s="12">
        <v>24</v>
      </c>
      <c r="N38" s="26" t="str">
        <f t="shared" si="12"/>
        <v>BOTA PVC CANO MEDIO Nº 46</v>
      </c>
      <c r="O38" s="27">
        <f>SUMIFS(ENTRADA!$F:$F,ENTRADA!$B:$B,ESTOQUE!$B38)</f>
        <v>0</v>
      </c>
      <c r="P38" s="27">
        <f>SUMIFS(SAIDA!$F:$F,SAIDA!$B:$B,ESTOQUE!$B38)</f>
        <v>0</v>
      </c>
      <c r="Q38" s="27">
        <f t="shared" si="9"/>
        <v>0</v>
      </c>
      <c r="R38" s="27" t="e">
        <f>Q38=#REF!</f>
        <v>#REF!</v>
      </c>
      <c r="S38" s="93">
        <f>IFERROR(SUMIFS(ENTRADA!$H:$H,ENTRADA!$B:$B,ESTOQUE!$B38)/O38,0)</f>
        <v>0</v>
      </c>
      <c r="T38" s="93">
        <f t="shared" si="3"/>
        <v>0</v>
      </c>
      <c r="U38" s="93">
        <f t="shared" si="4"/>
        <v>0</v>
      </c>
    </row>
    <row r="39" spans="1:21" ht="17.100000000000001" customHeight="1" x14ac:dyDescent="0.25">
      <c r="A39" s="30"/>
      <c r="B39" s="33">
        <v>151</v>
      </c>
      <c r="C39" s="116" t="s">
        <v>19</v>
      </c>
      <c r="D39" s="126" t="s">
        <v>60</v>
      </c>
      <c r="E39" s="116" t="s">
        <v>25</v>
      </c>
      <c r="F39" s="117" t="s">
        <v>25</v>
      </c>
      <c r="G39" s="114" t="s">
        <v>31</v>
      </c>
      <c r="H39" s="115">
        <v>5</v>
      </c>
      <c r="I39" s="142">
        <v>10</v>
      </c>
      <c r="J39" s="66">
        <f t="shared" si="20"/>
        <v>0</v>
      </c>
      <c r="K39" s="68">
        <f t="shared" si="17"/>
        <v>10</v>
      </c>
      <c r="L39" s="32" t="str">
        <f t="shared" si="6"/>
        <v>ESTOQUE BAIXO</v>
      </c>
      <c r="M39" s="12">
        <v>25</v>
      </c>
      <c r="N39" s="26" t="str">
        <f t="shared" si="12"/>
        <v>BOTINA BICO PVC Nº 39 NOBUCK</v>
      </c>
      <c r="O39" s="27">
        <f>SUMIFS(ENTRADA!$F:$F,ENTRADA!$B:$B,ESTOQUE!$B39)</f>
        <v>11</v>
      </c>
      <c r="P39" s="27">
        <f>SUMIFS(SAIDA!$F:$F,SAIDA!$B:$B,ESTOQUE!$B39)</f>
        <v>11</v>
      </c>
      <c r="Q39" s="27">
        <f t="shared" si="9"/>
        <v>0</v>
      </c>
      <c r="R39" s="27" t="e">
        <f>Q39=#REF!</f>
        <v>#REF!</v>
      </c>
      <c r="S39" s="93">
        <f>IFERROR(SUMIFS(ENTRADA!$H:$H,ENTRADA!$B:$B,ESTOQUE!$B39)/O39,0)</f>
        <v>0</v>
      </c>
      <c r="T39" s="93">
        <f t="shared" si="3"/>
        <v>0</v>
      </c>
      <c r="U39" s="93">
        <f t="shared" si="4"/>
        <v>0</v>
      </c>
    </row>
    <row r="40" spans="1:21" ht="17.100000000000001" customHeight="1" x14ac:dyDescent="0.25">
      <c r="A40" s="30"/>
      <c r="B40" s="34">
        <v>152</v>
      </c>
      <c r="C40" s="116" t="s">
        <v>19</v>
      </c>
      <c r="D40" s="126" t="s">
        <v>61</v>
      </c>
      <c r="E40" s="116" t="s">
        <v>25</v>
      </c>
      <c r="F40" s="117" t="s">
        <v>25</v>
      </c>
      <c r="G40" s="114" t="s">
        <v>31</v>
      </c>
      <c r="H40" s="115">
        <v>5</v>
      </c>
      <c r="I40" s="142">
        <v>10</v>
      </c>
      <c r="J40" s="66">
        <f t="shared" si="20"/>
        <v>0</v>
      </c>
      <c r="K40" s="68">
        <f t="shared" si="17"/>
        <v>10</v>
      </c>
      <c r="L40" s="32" t="str">
        <f t="shared" si="6"/>
        <v>ESTOQUE BAIXO</v>
      </c>
      <c r="M40" s="12">
        <v>72</v>
      </c>
      <c r="N40" s="26" t="str">
        <f t="shared" si="12"/>
        <v>BOTINA BICO PVC Nº 41 NOBUCK</v>
      </c>
      <c r="O40" s="27">
        <f>SUMIFS(ENTRADA!$F:$F,ENTRADA!$B:$B,ESTOQUE!$B40)</f>
        <v>0</v>
      </c>
      <c r="P40" s="27">
        <f>SUMIFS(SAIDA!$F:$F,SAIDA!$B:$B,ESTOQUE!$B40)</f>
        <v>0</v>
      </c>
      <c r="Q40" s="27">
        <f t="shared" si="9"/>
        <v>0</v>
      </c>
      <c r="R40" s="27" t="e">
        <f>Q40=#REF!</f>
        <v>#REF!</v>
      </c>
      <c r="S40" s="93">
        <f>IFERROR(SUMIFS(ENTRADA!$H:$H,ENTRADA!$B:$B,ESTOQUE!$B40)/O40,0)</f>
        <v>0</v>
      </c>
      <c r="T40" s="93">
        <f t="shared" si="3"/>
        <v>0</v>
      </c>
      <c r="U40" s="93">
        <f t="shared" si="4"/>
        <v>0</v>
      </c>
    </row>
    <row r="41" spans="1:21" ht="17.100000000000001" customHeight="1" x14ac:dyDescent="0.25">
      <c r="A41" s="30"/>
      <c r="B41" s="33">
        <v>153</v>
      </c>
      <c r="C41" s="116" t="s">
        <v>19</v>
      </c>
      <c r="D41" s="126" t="s">
        <v>62</v>
      </c>
      <c r="E41" s="116" t="s">
        <v>25</v>
      </c>
      <c r="F41" s="117" t="s">
        <v>25</v>
      </c>
      <c r="G41" s="114" t="s">
        <v>31</v>
      </c>
      <c r="H41" s="115">
        <v>5</v>
      </c>
      <c r="I41" s="142">
        <v>10</v>
      </c>
      <c r="J41" s="66">
        <f t="shared" si="20"/>
        <v>0</v>
      </c>
      <c r="K41" s="68">
        <f t="shared" si="17"/>
        <v>10</v>
      </c>
      <c r="L41" s="32" t="str">
        <f t="shared" si="6"/>
        <v>ESTOQUE BAIXO</v>
      </c>
      <c r="M41" s="12">
        <v>73</v>
      </c>
      <c r="N41" s="26" t="str">
        <f t="shared" si="12"/>
        <v>BOTINA BICO PVC Nº 42 NOBUCK</v>
      </c>
      <c r="O41" s="27">
        <f>SUMIFS(ENTRADA!$F:$F,ENTRADA!$B:$B,ESTOQUE!$B41)</f>
        <v>0</v>
      </c>
      <c r="P41" s="27">
        <f>SUMIFS(SAIDA!$F:$F,SAIDA!$B:$B,ESTOQUE!$B41)</f>
        <v>0</v>
      </c>
      <c r="Q41" s="27">
        <f t="shared" si="9"/>
        <v>0</v>
      </c>
      <c r="R41" s="27" t="e">
        <f>Q41=#REF!</f>
        <v>#REF!</v>
      </c>
      <c r="S41" s="93">
        <f>IFERROR(SUMIFS(ENTRADA!$H:$H,ENTRADA!$B:$B,ESTOQUE!$B41)/O41,0)</f>
        <v>0</v>
      </c>
      <c r="T41" s="93">
        <f t="shared" si="3"/>
        <v>0</v>
      </c>
      <c r="U41" s="93">
        <f t="shared" si="4"/>
        <v>0</v>
      </c>
    </row>
    <row r="42" spans="1:21" ht="17.100000000000001" customHeight="1" x14ac:dyDescent="0.25">
      <c r="A42" s="30"/>
      <c r="B42" s="34">
        <v>154</v>
      </c>
      <c r="C42" s="116" t="s">
        <v>19</v>
      </c>
      <c r="D42" s="126" t="s">
        <v>63</v>
      </c>
      <c r="E42" s="116" t="s">
        <v>25</v>
      </c>
      <c r="F42" s="117" t="s">
        <v>25</v>
      </c>
      <c r="G42" s="114" t="s">
        <v>31</v>
      </c>
      <c r="H42" s="115">
        <v>5</v>
      </c>
      <c r="I42" s="142">
        <v>10</v>
      </c>
      <c r="J42" s="66">
        <f t="shared" si="20"/>
        <v>0</v>
      </c>
      <c r="K42" s="68">
        <f t="shared" si="17"/>
        <v>10</v>
      </c>
      <c r="L42" s="32" t="str">
        <f t="shared" ref="L42:L64" si="21">IF(J42&lt;H42,"ESTOQUE BAIXO",IF(J42&gt;I42,"ESTOQUE ALTO",IF(J42&gt;=H42,"ESTOQUE NORMAL",)))</f>
        <v>ESTOQUE BAIXO</v>
      </c>
      <c r="M42" s="12">
        <v>74</v>
      </c>
      <c r="N42" s="26" t="str">
        <f t="shared" si="12"/>
        <v>BOTINA BICO PVC Nº 45 NOBUCK</v>
      </c>
      <c r="O42" s="27">
        <f>SUMIFS(ENTRADA!$F:$F,ENTRADA!$B:$B,ESTOQUE!$B42)</f>
        <v>0</v>
      </c>
      <c r="P42" s="27">
        <f>SUMIFS(SAIDA!$F:$F,SAIDA!$B:$B,ESTOQUE!$B42)</f>
        <v>0</v>
      </c>
      <c r="Q42" s="27">
        <f t="shared" si="9"/>
        <v>0</v>
      </c>
      <c r="R42" s="27" t="e">
        <f>Q42=#REF!</f>
        <v>#REF!</v>
      </c>
      <c r="S42" s="93">
        <f>IFERROR(SUMIFS(ENTRADA!$H:$H,ENTRADA!$B:$B,ESTOQUE!$B42)/O42,0)</f>
        <v>0</v>
      </c>
      <c r="T42" s="93">
        <f t="shared" si="3"/>
        <v>0</v>
      </c>
      <c r="U42" s="93">
        <f t="shared" si="4"/>
        <v>0</v>
      </c>
    </row>
    <row r="43" spans="1:21" ht="17.100000000000001" customHeight="1" x14ac:dyDescent="0.25">
      <c r="A43" s="30"/>
      <c r="B43" s="33">
        <v>26</v>
      </c>
      <c r="C43" s="116" t="s">
        <v>19</v>
      </c>
      <c r="D43" s="111" t="s">
        <v>64</v>
      </c>
      <c r="E43" s="116">
        <v>38753</v>
      </c>
      <c r="F43" s="117">
        <v>46239</v>
      </c>
      <c r="G43" s="114" t="s">
        <v>31</v>
      </c>
      <c r="H43" s="115">
        <v>5</v>
      </c>
      <c r="I43" s="115">
        <v>10</v>
      </c>
      <c r="J43" s="66">
        <f t="shared" si="20"/>
        <v>0</v>
      </c>
      <c r="K43" s="68">
        <f t="shared" si="17"/>
        <v>10</v>
      </c>
      <c r="L43" s="32" t="str">
        <f t="shared" si="21"/>
        <v>ESTOQUE BAIXO</v>
      </c>
      <c r="M43" s="12">
        <v>75</v>
      </c>
      <c r="N43" s="26" t="str">
        <f t="shared" si="12"/>
        <v>BOTINA DE ELETRICISTA Nº 36</v>
      </c>
      <c r="O43" s="27">
        <f>SUMIFS(ENTRADA!$F:$F,ENTRADA!$B:$B,ESTOQUE!$B43)</f>
        <v>10</v>
      </c>
      <c r="P43" s="27">
        <f>SUMIFS(SAIDA!$F:$F,SAIDA!$B:$B,ESTOQUE!$B43)</f>
        <v>10</v>
      </c>
      <c r="Q43" s="27">
        <f t="shared" si="9"/>
        <v>0</v>
      </c>
      <c r="R43" s="27" t="e">
        <f>Q43=#REF!</f>
        <v>#REF!</v>
      </c>
      <c r="S43" s="93">
        <f>IFERROR(SUMIFS(ENTRADA!$H:$H,ENTRADA!$B:$B,ESTOQUE!$B43)/O43,0)</f>
        <v>0</v>
      </c>
      <c r="T43" s="93">
        <f t="shared" si="3"/>
        <v>0</v>
      </c>
      <c r="U43" s="93">
        <f t="shared" si="4"/>
        <v>0</v>
      </c>
    </row>
    <row r="44" spans="1:21" ht="17.100000000000001" customHeight="1" x14ac:dyDescent="0.25">
      <c r="A44" s="30"/>
      <c r="B44" s="34">
        <v>27</v>
      </c>
      <c r="C44" s="116" t="s">
        <v>19</v>
      </c>
      <c r="D44" s="111" t="s">
        <v>65</v>
      </c>
      <c r="E44" s="116">
        <v>38753</v>
      </c>
      <c r="F44" s="117">
        <v>46239</v>
      </c>
      <c r="G44" s="114" t="s">
        <v>31</v>
      </c>
      <c r="H44" s="115">
        <v>5</v>
      </c>
      <c r="I44" s="115">
        <v>25</v>
      </c>
      <c r="J44" s="66">
        <f t="shared" si="20"/>
        <v>0</v>
      </c>
      <c r="K44" s="68">
        <f t="shared" si="17"/>
        <v>25</v>
      </c>
      <c r="L44" s="32" t="str">
        <f t="shared" si="21"/>
        <v>ESTOQUE BAIXO</v>
      </c>
      <c r="M44" s="12">
        <v>76</v>
      </c>
      <c r="N44" s="26" t="str">
        <f t="shared" si="12"/>
        <v>BOTINA DE ELETRICISTA Nº 37</v>
      </c>
      <c r="O44" s="27">
        <f>SUMIFS(ENTRADA!$F:$F,ENTRADA!$B:$B,ESTOQUE!$B44)</f>
        <v>11</v>
      </c>
      <c r="P44" s="27">
        <f>SUMIFS(SAIDA!$F:$F,SAIDA!$B:$B,ESTOQUE!$B44)</f>
        <v>11</v>
      </c>
      <c r="Q44" s="27">
        <f t="shared" si="9"/>
        <v>0</v>
      </c>
      <c r="R44" s="27" t="e">
        <f>Q44=#REF!</f>
        <v>#REF!</v>
      </c>
      <c r="S44" s="93">
        <f>IFERROR(SUMIFS(ENTRADA!$H:$H,ENTRADA!$B:$B,ESTOQUE!$B44)/O44,0)</f>
        <v>0</v>
      </c>
      <c r="T44" s="93">
        <f t="shared" si="3"/>
        <v>0</v>
      </c>
      <c r="U44" s="93">
        <f t="shared" si="4"/>
        <v>0</v>
      </c>
    </row>
    <row r="45" spans="1:21" ht="17.100000000000001" customHeight="1" x14ac:dyDescent="0.25">
      <c r="A45" s="30"/>
      <c r="B45" s="33">
        <v>28</v>
      </c>
      <c r="C45" s="116" t="s">
        <v>19</v>
      </c>
      <c r="D45" s="111" t="s">
        <v>66</v>
      </c>
      <c r="E45" s="116">
        <v>38753</v>
      </c>
      <c r="F45" s="117">
        <v>46239</v>
      </c>
      <c r="G45" s="114" t="s">
        <v>31</v>
      </c>
      <c r="H45" s="115">
        <v>5</v>
      </c>
      <c r="I45" s="115">
        <v>25</v>
      </c>
      <c r="J45" s="66">
        <f t="shared" si="20"/>
        <v>0</v>
      </c>
      <c r="K45" s="68">
        <f t="shared" si="17"/>
        <v>25</v>
      </c>
      <c r="L45" s="32" t="str">
        <f t="shared" si="21"/>
        <v>ESTOQUE BAIXO</v>
      </c>
      <c r="M45" s="12"/>
      <c r="N45" s="26" t="str">
        <f t="shared" si="12"/>
        <v>BOTINA DE ELETRICISTA Nº 38</v>
      </c>
      <c r="O45" s="27">
        <f>SUMIFS(ENTRADA!$F:$F,ENTRADA!$B:$B,ESTOQUE!$B45)</f>
        <v>25</v>
      </c>
      <c r="P45" s="27">
        <f>SUMIFS(SAIDA!$F:$F,SAIDA!$B:$B,ESTOQUE!$B45)</f>
        <v>25</v>
      </c>
      <c r="Q45" s="27">
        <f t="shared" si="9"/>
        <v>0</v>
      </c>
      <c r="R45" s="27" t="e">
        <f>Q45=#REF!</f>
        <v>#REF!</v>
      </c>
      <c r="S45" s="93">
        <f>IFERROR(SUMIFS(ENTRADA!$H:$H,ENTRADA!$B:$B,ESTOQUE!$B45)/O45,0)</f>
        <v>0</v>
      </c>
      <c r="T45" s="93">
        <f t="shared" ref="T45" si="22">Q45*S45</f>
        <v>0</v>
      </c>
      <c r="U45" s="93">
        <f t="shared" ref="U45" si="23">P45*S45</f>
        <v>0</v>
      </c>
    </row>
    <row r="46" spans="1:21" ht="17.100000000000001" customHeight="1" x14ac:dyDescent="0.25">
      <c r="A46" s="30"/>
      <c r="B46" s="34">
        <v>29</v>
      </c>
      <c r="C46" s="116" t="s">
        <v>19</v>
      </c>
      <c r="D46" s="111" t="s">
        <v>67</v>
      </c>
      <c r="E46" s="116">
        <v>38753</v>
      </c>
      <c r="F46" s="117">
        <v>46239</v>
      </c>
      <c r="G46" s="114" t="s">
        <v>31</v>
      </c>
      <c r="H46" s="115">
        <v>10</v>
      </c>
      <c r="I46" s="115">
        <v>15</v>
      </c>
      <c r="J46" s="66">
        <f t="shared" si="20"/>
        <v>0</v>
      </c>
      <c r="K46" s="68">
        <f t="shared" si="17"/>
        <v>15</v>
      </c>
      <c r="L46" s="32" t="str">
        <f t="shared" si="21"/>
        <v>ESTOQUE BAIXO</v>
      </c>
      <c r="M46" s="12">
        <v>77</v>
      </c>
      <c r="N46" s="26" t="str">
        <f t="shared" si="12"/>
        <v>BOTINA DE ELETRICISTA Nº 39</v>
      </c>
      <c r="O46" s="27">
        <f>SUMIFS(ENTRADA!$F:$F,ENTRADA!$B:$B,ESTOQUE!$B46)</f>
        <v>21</v>
      </c>
      <c r="P46" s="27">
        <f>SUMIFS(SAIDA!$F:$F,SAIDA!$B:$B,ESTOQUE!$B46)</f>
        <v>21</v>
      </c>
      <c r="Q46" s="27">
        <f t="shared" si="9"/>
        <v>0</v>
      </c>
      <c r="R46" s="27" t="e">
        <f>Q46=#REF!</f>
        <v>#REF!</v>
      </c>
      <c r="S46" s="93">
        <f>IFERROR(SUMIFS(ENTRADA!$H:$H,ENTRADA!$B:$B,ESTOQUE!$B46)/O46,0)</f>
        <v>0</v>
      </c>
      <c r="T46" s="93">
        <f t="shared" si="3"/>
        <v>0</v>
      </c>
      <c r="U46" s="93">
        <f t="shared" si="4"/>
        <v>0</v>
      </c>
    </row>
    <row r="47" spans="1:21" ht="17.100000000000001" customHeight="1" x14ac:dyDescent="0.25">
      <c r="A47" s="30"/>
      <c r="B47" s="33">
        <v>30</v>
      </c>
      <c r="C47" s="116" t="s">
        <v>19</v>
      </c>
      <c r="D47" s="111" t="s">
        <v>68</v>
      </c>
      <c r="E47" s="116">
        <v>38753</v>
      </c>
      <c r="F47" s="117">
        <v>46239</v>
      </c>
      <c r="G47" s="114" t="s">
        <v>31</v>
      </c>
      <c r="H47" s="115">
        <v>10</v>
      </c>
      <c r="I47" s="115">
        <v>15</v>
      </c>
      <c r="J47" s="66">
        <f t="shared" si="20"/>
        <v>0</v>
      </c>
      <c r="K47" s="68">
        <f t="shared" si="17"/>
        <v>15</v>
      </c>
      <c r="L47" s="32" t="str">
        <f t="shared" si="21"/>
        <v>ESTOQUE BAIXO</v>
      </c>
      <c r="M47" s="12">
        <v>78</v>
      </c>
      <c r="N47" s="26" t="str">
        <f t="shared" si="12"/>
        <v>BOTINA DE ELETRICISTA Nº 40</v>
      </c>
      <c r="O47" s="27">
        <f>SUMIFS(ENTRADA!$F:$F,ENTRADA!$B:$B,ESTOQUE!$B47)</f>
        <v>20</v>
      </c>
      <c r="P47" s="27">
        <f>SUMIFS(SAIDA!$F:$F,SAIDA!$B:$B,ESTOQUE!$B47)</f>
        <v>20</v>
      </c>
      <c r="Q47" s="27">
        <f t="shared" si="9"/>
        <v>0</v>
      </c>
      <c r="R47" s="27" t="e">
        <f>Q47=#REF!</f>
        <v>#REF!</v>
      </c>
      <c r="S47" s="93">
        <f>IFERROR(SUMIFS(ENTRADA!$H:$H,ENTRADA!$B:$B,ESTOQUE!$B47)/O47,0)</f>
        <v>0</v>
      </c>
      <c r="T47" s="93">
        <f t="shared" si="3"/>
        <v>0</v>
      </c>
      <c r="U47" s="93">
        <f t="shared" si="4"/>
        <v>0</v>
      </c>
    </row>
    <row r="48" spans="1:21" ht="17.100000000000001" customHeight="1" x14ac:dyDescent="0.25">
      <c r="A48" s="30">
        <v>2</v>
      </c>
      <c r="B48" s="34">
        <v>31</v>
      </c>
      <c r="C48" s="116" t="s">
        <v>19</v>
      </c>
      <c r="D48" s="111" t="s">
        <v>69</v>
      </c>
      <c r="E48" s="116">
        <v>38753</v>
      </c>
      <c r="F48" s="117">
        <v>46239</v>
      </c>
      <c r="G48" s="114" t="s">
        <v>31</v>
      </c>
      <c r="H48" s="115">
        <v>10</v>
      </c>
      <c r="I48" s="115">
        <v>15</v>
      </c>
      <c r="J48" s="66">
        <f t="shared" si="20"/>
        <v>0</v>
      </c>
      <c r="K48" s="68">
        <f t="shared" si="17"/>
        <v>15</v>
      </c>
      <c r="L48" s="32" t="str">
        <f t="shared" si="21"/>
        <v>ESTOQUE BAIXO</v>
      </c>
      <c r="M48" s="12">
        <v>79</v>
      </c>
      <c r="N48" s="26" t="str">
        <f t="shared" si="12"/>
        <v>BOTINA DE ELETRICISTA Nº 41</v>
      </c>
      <c r="O48" s="27">
        <f>SUMIFS(ENTRADA!$F:$F,ENTRADA!$B:$B,ESTOQUE!$B48)</f>
        <v>20</v>
      </c>
      <c r="P48" s="27">
        <f>SUMIFS(SAIDA!$F:$F,SAIDA!$B:$B,ESTOQUE!$B48)</f>
        <v>20</v>
      </c>
      <c r="Q48" s="27">
        <f t="shared" si="9"/>
        <v>0</v>
      </c>
      <c r="R48" s="27" t="e">
        <f>Q48=#REF!</f>
        <v>#REF!</v>
      </c>
      <c r="S48" s="93">
        <f>IFERROR(SUMIFS(ENTRADA!$H:$H,ENTRADA!$B:$B,ESTOQUE!$B48)/O48,0)</f>
        <v>0</v>
      </c>
      <c r="T48" s="93">
        <f t="shared" si="3"/>
        <v>0</v>
      </c>
      <c r="U48" s="93">
        <f t="shared" si="4"/>
        <v>0</v>
      </c>
    </row>
    <row r="49" spans="1:21" ht="17.100000000000001" customHeight="1" x14ac:dyDescent="0.25">
      <c r="A49" s="30"/>
      <c r="B49" s="33">
        <v>162</v>
      </c>
      <c r="C49" s="116" t="s">
        <v>19</v>
      </c>
      <c r="D49" s="111" t="s">
        <v>70</v>
      </c>
      <c r="E49" s="116">
        <v>38753</v>
      </c>
      <c r="F49" s="117">
        <v>46239</v>
      </c>
      <c r="G49" s="114" t="s">
        <v>31</v>
      </c>
      <c r="H49" s="118">
        <v>10</v>
      </c>
      <c r="I49" s="119">
        <v>15</v>
      </c>
      <c r="J49" s="66">
        <f t="shared" si="20"/>
        <v>0</v>
      </c>
      <c r="K49" s="68">
        <f t="shared" si="17"/>
        <v>15</v>
      </c>
      <c r="L49" s="32" t="str">
        <f t="shared" si="21"/>
        <v>ESTOQUE BAIXO</v>
      </c>
      <c r="N49" s="26" t="str">
        <f t="shared" si="12"/>
        <v>BOTINA DE ELETRICISTA Nº 42</v>
      </c>
      <c r="O49" s="27">
        <f>SUMIFS(ENTRADA!$F:$F,ENTRADA!$B:$B,ESTOQUE!$B49)</f>
        <v>21</v>
      </c>
      <c r="P49" s="27">
        <f>SUMIFS(SAIDA!$F:$F,SAIDA!$B:$B,ESTOQUE!$B49)</f>
        <v>21</v>
      </c>
      <c r="Q49" s="27">
        <f t="shared" ref="Q49:Q79" si="24">O49-P49</f>
        <v>0</v>
      </c>
      <c r="R49" s="27" t="e">
        <f>Q49=#REF!</f>
        <v>#REF!</v>
      </c>
      <c r="S49" s="93">
        <f>IFERROR(SUMIFS(ENTRADA!$H:$H,ENTRADA!$B:$B,ESTOQUE!$B49)/O49,0)</f>
        <v>0</v>
      </c>
      <c r="T49" s="93">
        <f t="shared" si="3"/>
        <v>0</v>
      </c>
      <c r="U49" s="93">
        <f t="shared" si="4"/>
        <v>0</v>
      </c>
    </row>
    <row r="50" spans="1:21" ht="17.100000000000001" customHeight="1" x14ac:dyDescent="0.25">
      <c r="A50" s="30"/>
      <c r="B50" s="34">
        <v>163</v>
      </c>
      <c r="C50" s="116" t="s">
        <v>19</v>
      </c>
      <c r="D50" s="111" t="s">
        <v>71</v>
      </c>
      <c r="E50" s="116">
        <v>38753</v>
      </c>
      <c r="F50" s="117">
        <v>46239</v>
      </c>
      <c r="G50" s="114" t="s">
        <v>31</v>
      </c>
      <c r="H50" s="118">
        <v>10</v>
      </c>
      <c r="I50" s="119">
        <v>15</v>
      </c>
      <c r="J50" s="66">
        <f t="shared" si="20"/>
        <v>0</v>
      </c>
      <c r="K50" s="68">
        <f t="shared" si="17"/>
        <v>15</v>
      </c>
      <c r="L50" s="32" t="str">
        <f t="shared" si="21"/>
        <v>ESTOQUE BAIXO</v>
      </c>
      <c r="N50" s="26" t="str">
        <f t="shared" si="12"/>
        <v>BOTINA DE ELETRICISTA Nº 43</v>
      </c>
      <c r="O50" s="27">
        <f>SUMIFS(ENTRADA!$F:$F,ENTRADA!$B:$B,ESTOQUE!$B50)</f>
        <v>0</v>
      </c>
      <c r="P50" s="27">
        <f>SUMIFS(SAIDA!$F:$F,SAIDA!$B:$B,ESTOQUE!$B50)</f>
        <v>0</v>
      </c>
      <c r="Q50" s="27">
        <f t="shared" si="24"/>
        <v>0</v>
      </c>
      <c r="R50" s="27" t="e">
        <f>Q50=#REF!</f>
        <v>#REF!</v>
      </c>
      <c r="S50" s="93">
        <f>IFERROR(SUMIFS(ENTRADA!$H:$H,ENTRADA!$B:$B,ESTOQUE!$B50)/O50,0)</f>
        <v>0</v>
      </c>
      <c r="T50" s="93">
        <f t="shared" si="3"/>
        <v>0</v>
      </c>
      <c r="U50" s="93">
        <f t="shared" si="4"/>
        <v>0</v>
      </c>
    </row>
    <row r="51" spans="1:21" ht="18" customHeight="1" thickBot="1" x14ac:dyDescent="0.3">
      <c r="A51" s="30"/>
      <c r="B51" s="33">
        <v>32</v>
      </c>
      <c r="C51" s="116" t="s">
        <v>19</v>
      </c>
      <c r="D51" s="111" t="s">
        <v>72</v>
      </c>
      <c r="E51" s="116">
        <v>38753</v>
      </c>
      <c r="F51" s="117">
        <v>46239</v>
      </c>
      <c r="G51" s="114" t="s">
        <v>31</v>
      </c>
      <c r="H51" s="118">
        <v>10</v>
      </c>
      <c r="I51" s="118">
        <v>15</v>
      </c>
      <c r="J51" s="66">
        <f t="shared" si="20"/>
        <v>0</v>
      </c>
      <c r="K51" s="68">
        <f t="shared" si="17"/>
        <v>15</v>
      </c>
      <c r="L51" s="32" t="str">
        <f t="shared" si="21"/>
        <v>ESTOQUE BAIXO</v>
      </c>
      <c r="N51" s="26" t="str">
        <f t="shared" si="12"/>
        <v>BOTINA DE ELETRICISTA Nº 44</v>
      </c>
      <c r="O51" s="27">
        <f>SUMIFS(ENTRADA!$F:$F,ENTRADA!$B:$B,ESTOQUE!$B51)</f>
        <v>0</v>
      </c>
      <c r="P51" s="27">
        <f>SUMIFS(SAIDA!$F:$F,SAIDA!$B:$B,ESTOQUE!$B51)</f>
        <v>0</v>
      </c>
      <c r="Q51" s="27">
        <f t="shared" si="24"/>
        <v>0</v>
      </c>
      <c r="R51" s="27" t="e">
        <f>Q51=#REF!</f>
        <v>#REF!</v>
      </c>
      <c r="S51" s="93">
        <f>IFERROR(SUMIFS(ENTRADA!$H:$H,ENTRADA!$B:$B,ESTOQUE!$B51)/O51,0)</f>
        <v>0</v>
      </c>
      <c r="T51" s="93">
        <f t="shared" si="3"/>
        <v>0</v>
      </c>
      <c r="U51" s="93">
        <f t="shared" si="4"/>
        <v>0</v>
      </c>
    </row>
    <row r="52" spans="1:21" ht="17.100000000000001" customHeight="1" thickBot="1" x14ac:dyDescent="0.3">
      <c r="B52" s="34">
        <v>164</v>
      </c>
      <c r="C52" s="116" t="s">
        <v>19</v>
      </c>
      <c r="D52" s="111" t="s">
        <v>73</v>
      </c>
      <c r="E52" s="116">
        <v>38753</v>
      </c>
      <c r="F52" s="117">
        <v>46239</v>
      </c>
      <c r="G52" s="114" t="s">
        <v>31</v>
      </c>
      <c r="H52" s="118">
        <v>10</v>
      </c>
      <c r="I52" s="119">
        <v>15</v>
      </c>
      <c r="J52" s="66">
        <f t="shared" si="20"/>
        <v>0</v>
      </c>
      <c r="K52" s="68">
        <f t="shared" si="17"/>
        <v>15</v>
      </c>
      <c r="L52" s="32" t="str">
        <f t="shared" si="21"/>
        <v>ESTOQUE BAIXO</v>
      </c>
      <c r="N52" s="26" t="str">
        <f t="shared" si="12"/>
        <v>BOTINA DE ELETRICISTA Nº 45</v>
      </c>
      <c r="O52" s="27">
        <f>SUMIFS(ENTRADA!$F:$F,ENTRADA!$B:$B,ESTOQUE!$B52)</f>
        <v>0</v>
      </c>
      <c r="P52" s="27">
        <f>SUMIFS(SAIDA!$F:$F,SAIDA!$B:$B,ESTOQUE!$B52)</f>
        <v>0</v>
      </c>
      <c r="Q52" s="27">
        <f t="shared" si="24"/>
        <v>0</v>
      </c>
      <c r="R52" s="27" t="e">
        <f>Q52=#REF!</f>
        <v>#REF!</v>
      </c>
      <c r="S52" s="93">
        <f>IFERROR(SUMIFS(ENTRADA!$H:$H,ENTRADA!$B:$B,ESTOQUE!$B52)/O52,0)</f>
        <v>0</v>
      </c>
      <c r="T52" s="93">
        <f t="shared" si="3"/>
        <v>0</v>
      </c>
      <c r="U52" s="93">
        <f t="shared" si="4"/>
        <v>0</v>
      </c>
    </row>
    <row r="53" spans="1:21" ht="17.100000000000001" customHeight="1" thickBot="1" x14ac:dyDescent="0.3">
      <c r="B53" s="33">
        <v>33</v>
      </c>
      <c r="C53" s="116" t="s">
        <v>19</v>
      </c>
      <c r="D53" s="111" t="s">
        <v>74</v>
      </c>
      <c r="E53" s="116">
        <v>44080</v>
      </c>
      <c r="F53" s="117">
        <v>47645</v>
      </c>
      <c r="G53" s="114" t="s">
        <v>31</v>
      </c>
      <c r="H53" s="118">
        <v>30</v>
      </c>
      <c r="I53" s="118">
        <v>50</v>
      </c>
      <c r="J53" s="66">
        <f t="shared" si="20"/>
        <v>0</v>
      </c>
      <c r="K53" s="68">
        <f t="shared" si="17"/>
        <v>50</v>
      </c>
      <c r="L53" s="32" t="str">
        <f t="shared" si="21"/>
        <v>ESTOQUE BAIXO</v>
      </c>
      <c r="N53" s="26" t="str">
        <f t="shared" si="12"/>
        <v>BOTINA OP. BICO PVC Nº 35</v>
      </c>
      <c r="O53" s="27">
        <f>SUMIFS(ENTRADA!$F:$F,ENTRADA!$B:$B,ESTOQUE!$B53)</f>
        <v>0</v>
      </c>
      <c r="P53" s="27">
        <f>SUMIFS(SAIDA!$F:$F,SAIDA!$B:$B,ESTOQUE!$B53)</f>
        <v>0</v>
      </c>
      <c r="Q53" s="27">
        <f t="shared" si="24"/>
        <v>0</v>
      </c>
      <c r="R53" s="27" t="e">
        <f>Q53=#REF!</f>
        <v>#REF!</v>
      </c>
      <c r="S53" s="93">
        <f>IFERROR(SUMIFS(ENTRADA!$H:$H,ENTRADA!$B:$B,ESTOQUE!$B53)/O53,0)</f>
        <v>0</v>
      </c>
      <c r="T53" s="93">
        <f t="shared" si="3"/>
        <v>0</v>
      </c>
      <c r="U53" s="93">
        <f t="shared" si="4"/>
        <v>0</v>
      </c>
    </row>
    <row r="54" spans="1:21" ht="17.100000000000001" customHeight="1" thickBot="1" x14ac:dyDescent="0.3">
      <c r="B54" s="34">
        <v>34</v>
      </c>
      <c r="C54" s="116" t="s">
        <v>19</v>
      </c>
      <c r="D54" s="111" t="s">
        <v>75</v>
      </c>
      <c r="E54" s="116">
        <v>44080</v>
      </c>
      <c r="F54" s="117">
        <v>47645</v>
      </c>
      <c r="G54" s="114" t="s">
        <v>31</v>
      </c>
      <c r="H54" s="118">
        <v>30</v>
      </c>
      <c r="I54" s="118">
        <v>80</v>
      </c>
      <c r="J54" s="66">
        <f t="shared" si="20"/>
        <v>0</v>
      </c>
      <c r="K54" s="68">
        <f t="shared" si="17"/>
        <v>80</v>
      </c>
      <c r="L54" s="32" t="str">
        <f t="shared" si="21"/>
        <v>ESTOQUE BAIXO</v>
      </c>
      <c r="N54" s="26" t="str">
        <f t="shared" si="12"/>
        <v>BOTINA OP. BICO PVC Nº 36</v>
      </c>
      <c r="O54" s="27">
        <f>SUMIFS(ENTRADA!$F:$F,ENTRADA!$B:$B,ESTOQUE!$B54)</f>
        <v>7</v>
      </c>
      <c r="P54" s="27">
        <f>SUMIFS(SAIDA!$F:$F,SAIDA!$B:$B,ESTOQUE!$B54)</f>
        <v>7</v>
      </c>
      <c r="Q54" s="27">
        <f t="shared" si="24"/>
        <v>0</v>
      </c>
      <c r="R54" s="27" t="e">
        <f>Q54=#REF!</f>
        <v>#REF!</v>
      </c>
      <c r="S54" s="93">
        <f>IFERROR(SUMIFS(ENTRADA!$H:$H,ENTRADA!$B:$B,ESTOQUE!$B54)/O54,0)</f>
        <v>44.785714285714285</v>
      </c>
      <c r="T54" s="93">
        <f t="shared" si="3"/>
        <v>0</v>
      </c>
      <c r="U54" s="93">
        <f t="shared" si="4"/>
        <v>313.5</v>
      </c>
    </row>
    <row r="55" spans="1:21" ht="17.100000000000001" customHeight="1" thickBot="1" x14ac:dyDescent="0.3">
      <c r="B55" s="33">
        <v>35</v>
      </c>
      <c r="C55" s="116" t="s">
        <v>19</v>
      </c>
      <c r="D55" s="111" t="s">
        <v>76</v>
      </c>
      <c r="E55" s="116">
        <v>44080</v>
      </c>
      <c r="F55" s="117">
        <v>47645</v>
      </c>
      <c r="G55" s="114" t="s">
        <v>31</v>
      </c>
      <c r="H55" s="118">
        <v>50</v>
      </c>
      <c r="I55" s="118">
        <v>100</v>
      </c>
      <c r="J55" s="66">
        <f t="shared" si="20"/>
        <v>13</v>
      </c>
      <c r="K55" s="68">
        <f t="shared" si="17"/>
        <v>87</v>
      </c>
      <c r="L55" s="32" t="str">
        <f t="shared" si="21"/>
        <v>ESTOQUE BAIXO</v>
      </c>
      <c r="N55" s="26" t="str">
        <f t="shared" si="12"/>
        <v>BOTINA OP. BICO PVC Nº 37</v>
      </c>
      <c r="O55" s="27">
        <f>SUMIFS(ENTRADA!$F:$F,ENTRADA!$B:$B,ESTOQUE!$B55)</f>
        <v>30</v>
      </c>
      <c r="P55" s="27">
        <f>SUMIFS(SAIDA!$F:$F,SAIDA!$B:$B,ESTOQUE!$B55)</f>
        <v>17</v>
      </c>
      <c r="Q55" s="27">
        <f t="shared" si="24"/>
        <v>13</v>
      </c>
      <c r="R55" s="27" t="e">
        <f>Q55=#REF!</f>
        <v>#REF!</v>
      </c>
      <c r="S55" s="93">
        <f>IFERROR(SUMIFS(ENTRADA!$H:$H,ENTRADA!$B:$B,ESTOQUE!$B55)/O55,0)</f>
        <v>0</v>
      </c>
      <c r="T55" s="93">
        <f t="shared" si="3"/>
        <v>0</v>
      </c>
      <c r="U55" s="93">
        <f t="shared" si="4"/>
        <v>0</v>
      </c>
    </row>
    <row r="56" spans="1:21" ht="17.100000000000001" customHeight="1" thickBot="1" x14ac:dyDescent="0.3">
      <c r="B56" s="34">
        <v>36</v>
      </c>
      <c r="C56" s="116" t="s">
        <v>19</v>
      </c>
      <c r="D56" s="111" t="s">
        <v>77</v>
      </c>
      <c r="E56" s="116">
        <v>44080</v>
      </c>
      <c r="F56" s="117">
        <v>47645</v>
      </c>
      <c r="G56" s="114" t="s">
        <v>31</v>
      </c>
      <c r="H56" s="118">
        <v>100</v>
      </c>
      <c r="I56" s="118">
        <v>150</v>
      </c>
      <c r="J56" s="66">
        <f t="shared" si="20"/>
        <v>11</v>
      </c>
      <c r="K56" s="68">
        <f t="shared" si="17"/>
        <v>139</v>
      </c>
      <c r="L56" s="32" t="str">
        <f t="shared" si="21"/>
        <v>ESTOQUE BAIXO</v>
      </c>
      <c r="N56" s="26" t="str">
        <f t="shared" si="12"/>
        <v>BOTINA OP. BICO PVC Nº 38</v>
      </c>
      <c r="O56" s="27">
        <f>SUMIFS(ENTRADA!$F:$F,ENTRADA!$B:$B,ESTOQUE!$B56)</f>
        <v>43</v>
      </c>
      <c r="P56" s="27">
        <f>SUMIFS(SAIDA!$F:$F,SAIDA!$B:$B,ESTOQUE!$B56)</f>
        <v>32</v>
      </c>
      <c r="Q56" s="27">
        <f t="shared" si="24"/>
        <v>11</v>
      </c>
      <c r="R56" s="27" t="e">
        <f>Q56=#REF!</f>
        <v>#REF!</v>
      </c>
      <c r="S56" s="93">
        <f>IFERROR(SUMIFS(ENTRADA!$H:$H,ENTRADA!$B:$B,ESTOQUE!$B56)/O56,0)</f>
        <v>14.581395348837209</v>
      </c>
      <c r="T56" s="93">
        <f t="shared" si="3"/>
        <v>160.3953488372093</v>
      </c>
      <c r="U56" s="93">
        <f t="shared" si="4"/>
        <v>466.60465116279067</v>
      </c>
    </row>
    <row r="57" spans="1:21" ht="17.100000000000001" customHeight="1" thickBot="1" x14ac:dyDescent="0.3">
      <c r="B57" s="33">
        <v>37</v>
      </c>
      <c r="C57" s="116" t="s">
        <v>19</v>
      </c>
      <c r="D57" s="111" t="s">
        <v>78</v>
      </c>
      <c r="E57" s="116">
        <v>44080</v>
      </c>
      <c r="F57" s="117">
        <v>47645</v>
      </c>
      <c r="G57" s="114" t="s">
        <v>31</v>
      </c>
      <c r="H57" s="118">
        <v>100</v>
      </c>
      <c r="I57" s="118">
        <v>150</v>
      </c>
      <c r="J57" s="66">
        <f t="shared" si="20"/>
        <v>9</v>
      </c>
      <c r="K57" s="68">
        <f t="shared" si="17"/>
        <v>141</v>
      </c>
      <c r="L57" s="32" t="str">
        <f t="shared" si="21"/>
        <v>ESTOQUE BAIXO</v>
      </c>
      <c r="N57" s="26" t="str">
        <f t="shared" si="12"/>
        <v>BOTINA OP. BICO PVC Nº 39</v>
      </c>
      <c r="O57" s="27">
        <f>SUMIFS(ENTRADA!$F:$F,ENTRADA!$B:$B,ESTOQUE!$B57)</f>
        <v>59</v>
      </c>
      <c r="P57" s="27">
        <f>SUMIFS(SAIDA!$F:$F,SAIDA!$B:$B,ESTOQUE!$B57)</f>
        <v>50</v>
      </c>
      <c r="Q57" s="27">
        <f t="shared" si="24"/>
        <v>9</v>
      </c>
      <c r="R57" s="27" t="e">
        <f>Q57=#REF!</f>
        <v>#REF!</v>
      </c>
      <c r="S57" s="93">
        <f>IFERROR(SUMIFS(ENTRADA!$H:$H,ENTRADA!$B:$B,ESTOQUE!$B57)/O57,0)</f>
        <v>9.5644067796610184</v>
      </c>
      <c r="T57" s="93">
        <f t="shared" si="3"/>
        <v>86.07966101694916</v>
      </c>
      <c r="U57" s="93">
        <f t="shared" si="4"/>
        <v>478.22033898305091</v>
      </c>
    </row>
    <row r="58" spans="1:21" ht="17.100000000000001" customHeight="1" thickBot="1" x14ac:dyDescent="0.3">
      <c r="B58" s="34">
        <v>38</v>
      </c>
      <c r="C58" s="116" t="s">
        <v>19</v>
      </c>
      <c r="D58" s="111" t="s">
        <v>79</v>
      </c>
      <c r="E58" s="116">
        <v>44080</v>
      </c>
      <c r="F58" s="117">
        <v>47645</v>
      </c>
      <c r="G58" s="114" t="s">
        <v>31</v>
      </c>
      <c r="H58" s="118">
        <v>100</v>
      </c>
      <c r="I58" s="118">
        <v>150</v>
      </c>
      <c r="J58" s="66">
        <f t="shared" si="20"/>
        <v>0</v>
      </c>
      <c r="K58" s="68">
        <f t="shared" si="17"/>
        <v>150</v>
      </c>
      <c r="L58" s="32" t="str">
        <f t="shared" si="21"/>
        <v>ESTOQUE BAIXO</v>
      </c>
      <c r="N58" s="26" t="str">
        <f t="shared" si="12"/>
        <v>BOTINA OP. BICO PVC Nº 40</v>
      </c>
      <c r="O58" s="27">
        <f>SUMIFS(ENTRADA!$F:$F,ENTRADA!$B:$B,ESTOQUE!$B58)</f>
        <v>52</v>
      </c>
      <c r="P58" s="27">
        <f>SUMIFS(SAIDA!$F:$F,SAIDA!$B:$B,ESTOQUE!$B58)</f>
        <v>52</v>
      </c>
      <c r="Q58" s="27">
        <f t="shared" si="24"/>
        <v>0</v>
      </c>
      <c r="R58" s="27" t="e">
        <f>Q58=#REF!</f>
        <v>#REF!</v>
      </c>
      <c r="S58" s="93">
        <f>IFERROR(SUMIFS(ENTRADA!$H:$H,ENTRADA!$B:$B,ESTOQUE!$B58)/O58,0)</f>
        <v>38.58461538461539</v>
      </c>
      <c r="T58" s="93">
        <f t="shared" si="3"/>
        <v>0</v>
      </c>
      <c r="U58" s="93">
        <f t="shared" si="4"/>
        <v>2006.4000000000003</v>
      </c>
    </row>
    <row r="59" spans="1:21" ht="17.100000000000001" customHeight="1" thickBot="1" x14ac:dyDescent="0.3">
      <c r="B59" s="33">
        <v>39</v>
      </c>
      <c r="C59" s="116" t="s">
        <v>19</v>
      </c>
      <c r="D59" s="111" t="s">
        <v>80</v>
      </c>
      <c r="E59" s="116">
        <v>44080</v>
      </c>
      <c r="F59" s="117">
        <v>47645</v>
      </c>
      <c r="G59" s="114" t="s">
        <v>31</v>
      </c>
      <c r="H59" s="118">
        <v>100</v>
      </c>
      <c r="I59" s="118">
        <v>150</v>
      </c>
      <c r="J59" s="66">
        <f t="shared" si="20"/>
        <v>0</v>
      </c>
      <c r="K59" s="68">
        <f t="shared" si="17"/>
        <v>150</v>
      </c>
      <c r="L59" s="32" t="str">
        <f t="shared" si="21"/>
        <v>ESTOQUE BAIXO</v>
      </c>
      <c r="N59" s="26" t="str">
        <f t="shared" si="12"/>
        <v>BOTINA OP. BICO PVC Nº 41</v>
      </c>
      <c r="O59" s="27">
        <f>SUMIFS(ENTRADA!$F:$F,ENTRADA!$B:$B,ESTOQUE!$B59)</f>
        <v>47</v>
      </c>
      <c r="P59" s="27">
        <f>SUMIFS(SAIDA!$F:$F,SAIDA!$B:$B,ESTOQUE!$B59)</f>
        <v>47</v>
      </c>
      <c r="Q59" s="27">
        <f t="shared" si="24"/>
        <v>0</v>
      </c>
      <c r="R59" s="27" t="e">
        <f>Q59=#REF!</f>
        <v>#REF!</v>
      </c>
      <c r="S59" s="93">
        <f>IFERROR(SUMIFS(ENTRADA!$H:$H,ENTRADA!$B:$B,ESTOQUE!$B59)/O59,0)</f>
        <v>28.014893617021279</v>
      </c>
      <c r="T59" s="93">
        <f t="shared" si="3"/>
        <v>0</v>
      </c>
      <c r="U59" s="93">
        <f t="shared" si="4"/>
        <v>1316.7</v>
      </c>
    </row>
    <row r="60" spans="1:21" ht="17.100000000000001" customHeight="1" thickBot="1" x14ac:dyDescent="0.3">
      <c r="B60" s="34">
        <v>40</v>
      </c>
      <c r="C60" s="116" t="s">
        <v>19</v>
      </c>
      <c r="D60" s="111" t="s">
        <v>81</v>
      </c>
      <c r="E60" s="116">
        <v>44080</v>
      </c>
      <c r="F60" s="117">
        <v>47645</v>
      </c>
      <c r="G60" s="114" t="s">
        <v>31</v>
      </c>
      <c r="H60" s="118">
        <v>100</v>
      </c>
      <c r="I60" s="118">
        <v>150</v>
      </c>
      <c r="J60" s="66">
        <f t="shared" si="20"/>
        <v>27</v>
      </c>
      <c r="K60" s="68">
        <f t="shared" si="17"/>
        <v>123</v>
      </c>
      <c r="L60" s="32" t="str">
        <f t="shared" si="21"/>
        <v>ESTOQUE BAIXO</v>
      </c>
      <c r="N60" s="26" t="str">
        <f t="shared" si="12"/>
        <v>BOTINA OP. BICO PVC Nº 42</v>
      </c>
      <c r="O60" s="27">
        <f>SUMIFS(ENTRADA!$F:$F,ENTRADA!$B:$B,ESTOQUE!$B60)</f>
        <v>76</v>
      </c>
      <c r="P60" s="27">
        <f>SUMIFS(SAIDA!$F:$F,SAIDA!$B:$B,ESTOQUE!$B60)</f>
        <v>49</v>
      </c>
      <c r="Q60" s="27">
        <f t="shared" si="24"/>
        <v>27</v>
      </c>
      <c r="R60" s="27" t="e">
        <f>Q60=#REF!</f>
        <v>#REF!</v>
      </c>
      <c r="S60" s="93">
        <f>IFERROR(SUMIFS(ENTRADA!$H:$H,ENTRADA!$B:$B,ESTOQUE!$B60)/O60,0)</f>
        <v>12.375</v>
      </c>
      <c r="T60" s="93">
        <f t="shared" si="3"/>
        <v>334.125</v>
      </c>
      <c r="U60" s="93">
        <f t="shared" si="4"/>
        <v>606.375</v>
      </c>
    </row>
    <row r="61" spans="1:21" ht="17.100000000000001" customHeight="1" thickBot="1" x14ac:dyDescent="0.3">
      <c r="B61" s="33">
        <v>41</v>
      </c>
      <c r="C61" s="116" t="s">
        <v>19</v>
      </c>
      <c r="D61" s="111" t="s">
        <v>82</v>
      </c>
      <c r="E61" s="116">
        <v>44080</v>
      </c>
      <c r="F61" s="117">
        <v>47645</v>
      </c>
      <c r="G61" s="114" t="s">
        <v>31</v>
      </c>
      <c r="H61" s="118">
        <v>100</v>
      </c>
      <c r="I61" s="118">
        <v>150</v>
      </c>
      <c r="J61" s="66">
        <f t="shared" si="20"/>
        <v>3</v>
      </c>
      <c r="K61" s="68">
        <f t="shared" si="17"/>
        <v>147</v>
      </c>
      <c r="L61" s="32" t="str">
        <f t="shared" si="21"/>
        <v>ESTOQUE BAIXO</v>
      </c>
      <c r="N61" s="26" t="str">
        <f t="shared" si="12"/>
        <v>BOTINA OP. BICO PVC Nº 43</v>
      </c>
      <c r="O61" s="27">
        <f>SUMIFS(ENTRADA!$F:$F,ENTRADA!$B:$B,ESTOQUE!$B61)</f>
        <v>49</v>
      </c>
      <c r="P61" s="27">
        <f>SUMIFS(SAIDA!$F:$F,SAIDA!$B:$B,ESTOQUE!$B61)</f>
        <v>46</v>
      </c>
      <c r="Q61" s="27">
        <f t="shared" si="24"/>
        <v>3</v>
      </c>
      <c r="R61" s="27" t="e">
        <f>Q61=#REF!</f>
        <v>#REF!</v>
      </c>
      <c r="S61" s="93">
        <f>IFERROR(SUMIFS(ENTRADA!$H:$H,ENTRADA!$B:$B,ESTOQUE!$B61)/O61,0)</f>
        <v>16.634693877551022</v>
      </c>
      <c r="T61" s="93">
        <f t="shared" si="3"/>
        <v>49.904081632653067</v>
      </c>
      <c r="U61" s="93">
        <f t="shared" si="4"/>
        <v>765.19591836734708</v>
      </c>
    </row>
    <row r="62" spans="1:21" ht="17.100000000000001" customHeight="1" thickBot="1" x14ac:dyDescent="0.3">
      <c r="B62" s="34">
        <v>42</v>
      </c>
      <c r="C62" s="116" t="s">
        <v>19</v>
      </c>
      <c r="D62" s="111" t="s">
        <v>83</v>
      </c>
      <c r="E62" s="116">
        <v>44080</v>
      </c>
      <c r="F62" s="117">
        <v>47645</v>
      </c>
      <c r="G62" s="114" t="s">
        <v>31</v>
      </c>
      <c r="H62" s="118">
        <v>100</v>
      </c>
      <c r="I62" s="118">
        <v>150</v>
      </c>
      <c r="J62" s="66">
        <f t="shared" si="20"/>
        <v>9</v>
      </c>
      <c r="K62" s="68">
        <f t="shared" si="17"/>
        <v>141</v>
      </c>
      <c r="L62" s="32" t="str">
        <f t="shared" si="21"/>
        <v>ESTOQUE BAIXO</v>
      </c>
      <c r="N62" s="26" t="str">
        <f t="shared" si="12"/>
        <v>BOTINA OP. BICO PVC Nº 44</v>
      </c>
      <c r="O62" s="27">
        <f>SUMIFS(ENTRADA!$F:$F,ENTRADA!$B:$B,ESTOQUE!$B62)</f>
        <v>57</v>
      </c>
      <c r="P62" s="27">
        <f>SUMIFS(SAIDA!$F:$F,SAIDA!$B:$B,ESTOQUE!$B62)</f>
        <v>48</v>
      </c>
      <c r="Q62" s="27">
        <f t="shared" si="24"/>
        <v>9</v>
      </c>
      <c r="R62" s="27" t="e">
        <f>Q62=#REF!</f>
        <v>#REF!</v>
      </c>
      <c r="S62" s="93">
        <f>IFERROR(SUMIFS(ENTRADA!$H:$H,ENTRADA!$B:$B,ESTOQUE!$B62)/O62,0)</f>
        <v>31.900000000000002</v>
      </c>
      <c r="T62" s="93">
        <f t="shared" si="3"/>
        <v>287.10000000000002</v>
      </c>
      <c r="U62" s="93">
        <f t="shared" si="4"/>
        <v>1531.2</v>
      </c>
    </row>
    <row r="63" spans="1:21" ht="17.100000000000001" customHeight="1" thickBot="1" x14ac:dyDescent="0.3">
      <c r="B63" s="33">
        <v>43</v>
      </c>
      <c r="C63" s="116" t="s">
        <v>19</v>
      </c>
      <c r="D63" s="111" t="s">
        <v>84</v>
      </c>
      <c r="E63" s="116">
        <v>44080</v>
      </c>
      <c r="F63" s="117">
        <v>47645</v>
      </c>
      <c r="G63" s="114" t="s">
        <v>31</v>
      </c>
      <c r="H63" s="118">
        <v>50</v>
      </c>
      <c r="I63" s="118">
        <v>100</v>
      </c>
      <c r="J63" s="66">
        <f t="shared" si="20"/>
        <v>5</v>
      </c>
      <c r="K63" s="68">
        <f t="shared" si="17"/>
        <v>95</v>
      </c>
      <c r="L63" s="32" t="str">
        <f t="shared" si="21"/>
        <v>ESTOQUE BAIXO</v>
      </c>
      <c r="N63" s="26" t="str">
        <f t="shared" ref="N63:N81" si="25">D63</f>
        <v>BOTINA OP. BICO PVC Nº 45</v>
      </c>
      <c r="O63" s="27">
        <f>SUMIFS(ENTRADA!$F:$F,ENTRADA!$B:$B,ESTOQUE!$B63)</f>
        <v>19</v>
      </c>
      <c r="P63" s="27">
        <f>SUMIFS(SAIDA!$F:$F,SAIDA!$B:$B,ESTOQUE!$B63)</f>
        <v>14</v>
      </c>
      <c r="Q63" s="27">
        <f t="shared" si="24"/>
        <v>5</v>
      </c>
      <c r="R63" s="27" t="e">
        <f>Q63=#REF!</f>
        <v>#REF!</v>
      </c>
      <c r="S63" s="93">
        <f>IFERROR(SUMIFS(ENTRADA!$H:$H,ENTRADA!$B:$B,ESTOQUE!$B63)/O63,0)</f>
        <v>33</v>
      </c>
      <c r="T63" s="93">
        <f t="shared" si="3"/>
        <v>165</v>
      </c>
      <c r="U63" s="93">
        <f t="shared" si="4"/>
        <v>462</v>
      </c>
    </row>
    <row r="64" spans="1:21" ht="17.100000000000001" customHeight="1" thickBot="1" x14ac:dyDescent="0.3">
      <c r="B64" s="34">
        <v>44</v>
      </c>
      <c r="C64" s="116" t="s">
        <v>19</v>
      </c>
      <c r="D64" s="111" t="s">
        <v>85</v>
      </c>
      <c r="E64" s="116">
        <v>44080</v>
      </c>
      <c r="F64" s="117">
        <v>47645</v>
      </c>
      <c r="G64" s="114" t="s">
        <v>31</v>
      </c>
      <c r="H64" s="118">
        <v>50</v>
      </c>
      <c r="I64" s="118">
        <v>100</v>
      </c>
      <c r="J64" s="66">
        <f t="shared" si="20"/>
        <v>4</v>
      </c>
      <c r="K64" s="68">
        <f t="shared" si="17"/>
        <v>96</v>
      </c>
      <c r="L64" s="32" t="str">
        <f t="shared" si="21"/>
        <v>ESTOQUE BAIXO</v>
      </c>
      <c r="N64" s="26" t="str">
        <f t="shared" si="25"/>
        <v>BOTINA OP. BICO PVC Nº 46</v>
      </c>
      <c r="O64" s="27">
        <f>SUMIFS(ENTRADA!$F:$F,ENTRADA!$B:$B,ESTOQUE!$B64)</f>
        <v>6</v>
      </c>
      <c r="P64" s="27">
        <f>SUMIFS(SAIDA!$F:$F,SAIDA!$B:$B,ESTOQUE!$B64)</f>
        <v>2</v>
      </c>
      <c r="Q64" s="27">
        <f t="shared" si="24"/>
        <v>4</v>
      </c>
      <c r="R64" s="27" t="e">
        <f>Q64=#REF!</f>
        <v>#REF!</v>
      </c>
      <c r="S64" s="93">
        <f>IFERROR(SUMIFS(ENTRADA!$H:$H,ENTRADA!$B:$B,ESTOQUE!$B64)/O64,0)</f>
        <v>0</v>
      </c>
      <c r="T64" s="93">
        <f t="shared" si="3"/>
        <v>0</v>
      </c>
      <c r="U64" s="93">
        <f t="shared" si="4"/>
        <v>0</v>
      </c>
    </row>
    <row r="65" spans="2:21" ht="17.100000000000001" customHeight="1" thickBot="1" x14ac:dyDescent="0.3">
      <c r="B65" s="33">
        <v>249</v>
      </c>
      <c r="C65" s="116" t="s">
        <v>19</v>
      </c>
      <c r="D65" s="120" t="s">
        <v>86</v>
      </c>
      <c r="E65" s="116">
        <v>45608</v>
      </c>
      <c r="F65" s="117">
        <v>46077</v>
      </c>
      <c r="G65" s="114" t="s">
        <v>31</v>
      </c>
      <c r="H65" s="118">
        <v>50</v>
      </c>
      <c r="I65" s="118">
        <v>100</v>
      </c>
      <c r="J65" s="66">
        <f t="shared" si="20"/>
        <v>0</v>
      </c>
      <c r="K65" s="68">
        <f t="shared" si="17"/>
        <v>100</v>
      </c>
      <c r="L65" s="32" t="str">
        <f t="shared" ref="L65:L90" si="26">IF(J65&lt;H65,"ESTOQUE BAIXO",IF(J65&gt;I65,"ESTOQUE ALTO",IF(J65&gt;H65,"ESTOQUE NORMAL",)))</f>
        <v>ESTOQUE BAIXO</v>
      </c>
      <c r="N65" s="26" t="str">
        <f t="shared" si="25"/>
        <v>BOTINA SEGURANÇA MATATARSO 35 ADM</v>
      </c>
      <c r="O65" s="27">
        <f>SUMIFS(ENTRADA!$F:$F,ENTRADA!$B:$B,ESTOQUE!$B65)</f>
        <v>0</v>
      </c>
      <c r="P65" s="27">
        <f>SUMIFS(SAIDA!$F:$F,SAIDA!$B:$B,ESTOQUE!$B65)</f>
        <v>0</v>
      </c>
      <c r="Q65" s="27">
        <f t="shared" si="24"/>
        <v>0</v>
      </c>
      <c r="R65" s="27" t="e">
        <f>Q65=#REF!</f>
        <v>#REF!</v>
      </c>
      <c r="S65" s="93">
        <f>IFERROR(SUMIFS(ENTRADA!$H:$H,ENTRADA!$B:$B,ESTOQUE!$B65)/O65,0)</f>
        <v>0</v>
      </c>
      <c r="T65" s="93">
        <f t="shared" si="3"/>
        <v>0</v>
      </c>
      <c r="U65" s="93">
        <f t="shared" si="4"/>
        <v>0</v>
      </c>
    </row>
    <row r="66" spans="2:21" ht="17.100000000000001" customHeight="1" thickBot="1" x14ac:dyDescent="0.3">
      <c r="B66" s="34">
        <v>213</v>
      </c>
      <c r="C66" s="116" t="s">
        <v>19</v>
      </c>
      <c r="D66" s="120" t="s">
        <v>87</v>
      </c>
      <c r="E66" s="116">
        <v>45574</v>
      </c>
      <c r="F66" s="117">
        <v>46077</v>
      </c>
      <c r="G66" s="114" t="s">
        <v>31</v>
      </c>
      <c r="H66" s="118">
        <v>50</v>
      </c>
      <c r="I66" s="118">
        <v>100</v>
      </c>
      <c r="J66" s="66">
        <f t="shared" si="20"/>
        <v>0</v>
      </c>
      <c r="K66" s="68">
        <f t="shared" ref="K66:K97" si="27">I66-J66</f>
        <v>100</v>
      </c>
      <c r="L66" s="32" t="str">
        <f t="shared" si="26"/>
        <v>ESTOQUE BAIXO</v>
      </c>
      <c r="N66" s="26" t="str">
        <f t="shared" si="25"/>
        <v>BOTINA SEGURANÇA MATATARSO 36</v>
      </c>
      <c r="O66" s="27">
        <f>SUMIFS(ENTRADA!$F:$F,ENTRADA!$B:$B,ESTOQUE!$B66)</f>
        <v>6</v>
      </c>
      <c r="P66" s="27">
        <f>SUMIFS(SAIDA!$F:$F,SAIDA!$B:$B,ESTOQUE!$B66)</f>
        <v>6</v>
      </c>
      <c r="Q66" s="27">
        <f t="shared" si="24"/>
        <v>0</v>
      </c>
      <c r="R66" s="27" t="e">
        <f>Q66=#REF!</f>
        <v>#REF!</v>
      </c>
      <c r="S66" s="93">
        <f>IFERROR(SUMIFS(ENTRADA!$H:$H,ENTRADA!$B:$B,ESTOQUE!$B66)/O66,0)</f>
        <v>0</v>
      </c>
      <c r="T66" s="93">
        <f t="shared" si="3"/>
        <v>0</v>
      </c>
      <c r="U66" s="93">
        <f t="shared" si="4"/>
        <v>0</v>
      </c>
    </row>
    <row r="67" spans="2:21" ht="17.100000000000001" customHeight="1" thickBot="1" x14ac:dyDescent="0.3">
      <c r="B67" s="33">
        <v>237</v>
      </c>
      <c r="C67" s="116" t="s">
        <v>19</v>
      </c>
      <c r="D67" s="120" t="s">
        <v>88</v>
      </c>
      <c r="E67" s="116">
        <v>45608</v>
      </c>
      <c r="F67" s="117">
        <v>46077</v>
      </c>
      <c r="G67" s="114" t="s">
        <v>31</v>
      </c>
      <c r="H67" s="118">
        <v>50</v>
      </c>
      <c r="I67" s="118">
        <v>100</v>
      </c>
      <c r="J67" s="66">
        <f t="shared" si="20"/>
        <v>0</v>
      </c>
      <c r="K67" s="68">
        <f t="shared" si="27"/>
        <v>100</v>
      </c>
      <c r="L67" s="32" t="str">
        <f t="shared" si="26"/>
        <v>ESTOQUE BAIXO</v>
      </c>
      <c r="N67" s="26" t="str">
        <f t="shared" si="25"/>
        <v>BOTINA SEGURANÇA MATATARSO 36 ADM</v>
      </c>
      <c r="O67" s="27">
        <f>SUMIFS(ENTRADA!$F:$F,ENTRADA!$B:$B,ESTOQUE!$B67)</f>
        <v>4</v>
      </c>
      <c r="P67" s="27">
        <f>SUMIFS(SAIDA!$F:$F,SAIDA!$B:$B,ESTOQUE!$B67)</f>
        <v>4</v>
      </c>
      <c r="Q67" s="27">
        <f t="shared" si="24"/>
        <v>0</v>
      </c>
      <c r="R67" s="27" t="e">
        <f>Q67=#REF!</f>
        <v>#REF!</v>
      </c>
      <c r="S67" s="93">
        <f>IFERROR(SUMIFS(ENTRADA!$H:$H,ENTRADA!$B:$B,ESTOQUE!$B67)/O67,0)</f>
        <v>120</v>
      </c>
      <c r="T67" s="93">
        <f t="shared" si="3"/>
        <v>0</v>
      </c>
      <c r="U67" s="93">
        <f t="shared" si="4"/>
        <v>480</v>
      </c>
    </row>
    <row r="68" spans="2:21" ht="17.100000000000001" customHeight="1" thickBot="1" x14ac:dyDescent="0.3">
      <c r="B68" s="34">
        <v>238</v>
      </c>
      <c r="C68" s="116" t="s">
        <v>19</v>
      </c>
      <c r="D68" s="120" t="s">
        <v>89</v>
      </c>
      <c r="E68" s="116">
        <v>45608</v>
      </c>
      <c r="F68" s="117">
        <v>46077</v>
      </c>
      <c r="G68" s="114" t="s">
        <v>31</v>
      </c>
      <c r="H68" s="118">
        <v>50</v>
      </c>
      <c r="I68" s="118">
        <v>100</v>
      </c>
      <c r="J68" s="66">
        <f t="shared" si="20"/>
        <v>0</v>
      </c>
      <c r="K68" s="68">
        <f t="shared" si="27"/>
        <v>100</v>
      </c>
      <c r="L68" s="32" t="str">
        <f t="shared" si="26"/>
        <v>ESTOQUE BAIXO</v>
      </c>
      <c r="N68" s="26" t="str">
        <f t="shared" si="25"/>
        <v>BOTINA SEGURANÇA MATATARSO 37 ADM</v>
      </c>
      <c r="O68" s="27">
        <f>SUMIFS(ENTRADA!$F:$F,ENTRADA!$B:$B,ESTOQUE!$B68)</f>
        <v>4</v>
      </c>
      <c r="P68" s="27">
        <f>SUMIFS(SAIDA!$F:$F,SAIDA!$B:$B,ESTOQUE!$B68)</f>
        <v>4</v>
      </c>
      <c r="Q68" s="27">
        <f t="shared" si="24"/>
        <v>0</v>
      </c>
      <c r="R68" s="27" t="e">
        <f>Q68=#REF!</f>
        <v>#REF!</v>
      </c>
      <c r="S68" s="93">
        <f>IFERROR(SUMIFS(ENTRADA!$H:$H,ENTRADA!$B:$B,ESTOQUE!$B68)/O68,0)</f>
        <v>120</v>
      </c>
      <c r="T68" s="93">
        <f t="shared" si="3"/>
        <v>0</v>
      </c>
      <c r="U68" s="93">
        <f t="shared" si="4"/>
        <v>480</v>
      </c>
    </row>
    <row r="69" spans="2:21" ht="17.100000000000001" customHeight="1" thickBot="1" x14ac:dyDescent="0.3">
      <c r="B69" s="33">
        <v>239</v>
      </c>
      <c r="C69" s="116" t="s">
        <v>19</v>
      </c>
      <c r="D69" s="120" t="s">
        <v>90</v>
      </c>
      <c r="E69" s="116">
        <v>45608</v>
      </c>
      <c r="F69" s="117">
        <v>46077</v>
      </c>
      <c r="G69" s="114" t="s">
        <v>31</v>
      </c>
      <c r="H69" s="118">
        <v>50</v>
      </c>
      <c r="I69" s="118">
        <v>100</v>
      </c>
      <c r="J69" s="66">
        <f t="shared" si="20"/>
        <v>0</v>
      </c>
      <c r="K69" s="68">
        <f t="shared" si="27"/>
        <v>100</v>
      </c>
      <c r="L69" s="32" t="str">
        <f t="shared" si="26"/>
        <v>ESTOQUE BAIXO</v>
      </c>
      <c r="N69" s="26" t="str">
        <f t="shared" si="25"/>
        <v>BOTINA SEGURANÇA MATATARSO 38 ADM</v>
      </c>
      <c r="O69" s="27">
        <f>SUMIFS(ENTRADA!$F:$F,ENTRADA!$B:$B,ESTOQUE!$B69)</f>
        <v>0</v>
      </c>
      <c r="P69" s="27">
        <f>SUMIFS(SAIDA!$F:$F,SAIDA!$B:$B,ESTOQUE!$B69)</f>
        <v>0</v>
      </c>
      <c r="Q69" s="27">
        <f t="shared" si="24"/>
        <v>0</v>
      </c>
      <c r="R69" s="27" t="e">
        <f>Q69=#REF!</f>
        <v>#REF!</v>
      </c>
      <c r="S69" s="93">
        <f>IFERROR(SUMIFS(ENTRADA!$H:$H,ENTRADA!$B:$B,ESTOQUE!$B69)/O69,0)</f>
        <v>0</v>
      </c>
      <c r="T69" s="93">
        <f t="shared" si="3"/>
        <v>0</v>
      </c>
      <c r="U69" s="93">
        <f t="shared" ref="U69:U70" si="28">P69*S69</f>
        <v>0</v>
      </c>
    </row>
    <row r="70" spans="2:21" ht="17.100000000000001" customHeight="1" thickBot="1" x14ac:dyDescent="0.3">
      <c r="B70" s="34">
        <v>240</v>
      </c>
      <c r="C70" s="116" t="s">
        <v>19</v>
      </c>
      <c r="D70" s="120" t="s">
        <v>91</v>
      </c>
      <c r="E70" s="116">
        <v>45608</v>
      </c>
      <c r="F70" s="117">
        <v>46077</v>
      </c>
      <c r="G70" s="114" t="s">
        <v>31</v>
      </c>
      <c r="H70" s="118">
        <v>50</v>
      </c>
      <c r="I70" s="118">
        <v>100</v>
      </c>
      <c r="J70" s="66">
        <f t="shared" ref="J70:J88" si="29">Q70</f>
        <v>0</v>
      </c>
      <c r="K70" s="68">
        <f t="shared" si="27"/>
        <v>100</v>
      </c>
      <c r="L70" s="32" t="str">
        <f t="shared" si="26"/>
        <v>ESTOQUE BAIXO</v>
      </c>
      <c r="N70" s="26" t="str">
        <f t="shared" si="25"/>
        <v>BOTINA SEGURANÇA MATATARSO 39 ADM</v>
      </c>
      <c r="O70" s="27">
        <f>SUMIFS(ENTRADA!$F:$F,ENTRADA!$B:$B,ESTOQUE!$B70)</f>
        <v>0</v>
      </c>
      <c r="P70" s="27">
        <f>SUMIFS(SAIDA!$F:$F,SAIDA!$B:$B,ESTOQUE!$B70)</f>
        <v>0</v>
      </c>
      <c r="Q70" s="27">
        <f t="shared" si="24"/>
        <v>0</v>
      </c>
      <c r="R70" s="27" t="e">
        <f>Q70=#REF!</f>
        <v>#REF!</v>
      </c>
      <c r="S70" s="93">
        <f>IFERROR(SUMIFS(ENTRADA!$H:$H,ENTRADA!$B:$B,ESTOQUE!$B70)/O70,0)</f>
        <v>0</v>
      </c>
      <c r="T70" s="93">
        <f t="shared" ref="T70" si="30">Q70*S70</f>
        <v>0</v>
      </c>
      <c r="U70" s="93">
        <f t="shared" si="28"/>
        <v>0</v>
      </c>
    </row>
    <row r="71" spans="2:21" ht="17.100000000000001" customHeight="1" thickBot="1" x14ac:dyDescent="0.3">
      <c r="B71" s="33">
        <v>241</v>
      </c>
      <c r="C71" s="116" t="s">
        <v>19</v>
      </c>
      <c r="D71" s="120" t="s">
        <v>92</v>
      </c>
      <c r="E71" s="116">
        <v>45608</v>
      </c>
      <c r="F71" s="117">
        <v>46077</v>
      </c>
      <c r="G71" s="114" t="s">
        <v>31</v>
      </c>
      <c r="H71" s="118">
        <v>50</v>
      </c>
      <c r="I71" s="118">
        <v>100</v>
      </c>
      <c r="J71" s="66">
        <f t="shared" si="29"/>
        <v>0</v>
      </c>
      <c r="K71" s="68">
        <f t="shared" si="27"/>
        <v>100</v>
      </c>
      <c r="L71" s="32" t="str">
        <f t="shared" si="26"/>
        <v>ESTOQUE BAIXO</v>
      </c>
      <c r="N71" s="26" t="str">
        <f t="shared" si="25"/>
        <v>BOTINA SEGURANÇA MATATARSO 40 ADM</v>
      </c>
      <c r="O71" s="27">
        <f>SUMIFS(ENTRADA!$F:$F,ENTRADA!$B:$B,ESTOQUE!$B71)</f>
        <v>9</v>
      </c>
      <c r="P71" s="27">
        <f>SUMIFS(SAIDA!$F:$F,SAIDA!$B:$B,ESTOQUE!$B71)</f>
        <v>9</v>
      </c>
      <c r="Q71" s="27">
        <f t="shared" si="24"/>
        <v>0</v>
      </c>
      <c r="R71" s="27" t="e">
        <f>Q71=#REF!</f>
        <v>#REF!</v>
      </c>
      <c r="S71" s="93">
        <f>IFERROR(SUMIFS(ENTRADA!$H:$H,ENTRADA!$B:$B,ESTOQUE!$B71)/O71,0)</f>
        <v>120</v>
      </c>
      <c r="T71" s="93">
        <f t="shared" si="3"/>
        <v>0</v>
      </c>
      <c r="U71" s="93">
        <f t="shared" si="4"/>
        <v>1080</v>
      </c>
    </row>
    <row r="72" spans="2:21" ht="17.100000000000001" customHeight="1" thickBot="1" x14ac:dyDescent="0.3">
      <c r="B72" s="34">
        <v>242</v>
      </c>
      <c r="C72" s="116" t="s">
        <v>19</v>
      </c>
      <c r="D72" s="120" t="s">
        <v>93</v>
      </c>
      <c r="E72" s="116">
        <v>45608</v>
      </c>
      <c r="F72" s="117">
        <v>46077</v>
      </c>
      <c r="G72" s="114" t="s">
        <v>31</v>
      </c>
      <c r="H72" s="118">
        <v>50</v>
      </c>
      <c r="I72" s="118">
        <v>100</v>
      </c>
      <c r="J72" s="66">
        <f t="shared" si="29"/>
        <v>0</v>
      </c>
      <c r="K72" s="68">
        <f t="shared" si="27"/>
        <v>100</v>
      </c>
      <c r="L72" s="32" t="str">
        <f t="shared" si="26"/>
        <v>ESTOQUE BAIXO</v>
      </c>
      <c r="N72" s="26" t="str">
        <f t="shared" si="25"/>
        <v>BOTINA SEGURANÇA MATATARSO 41 ADM</v>
      </c>
      <c r="O72" s="27">
        <f>SUMIFS(ENTRADA!$F:$F,ENTRADA!$B:$B,ESTOQUE!$B72)</f>
        <v>10</v>
      </c>
      <c r="P72" s="27">
        <f>SUMIFS(SAIDA!$F:$F,SAIDA!$B:$B,ESTOQUE!$B72)</f>
        <v>10</v>
      </c>
      <c r="Q72" s="27">
        <f t="shared" si="24"/>
        <v>0</v>
      </c>
      <c r="R72" s="27" t="e">
        <f>Q72=#REF!</f>
        <v>#REF!</v>
      </c>
      <c r="S72" s="93">
        <f>IFERROR(SUMIFS(ENTRADA!$H:$H,ENTRADA!$B:$B,ESTOQUE!$B72)/O72,0)</f>
        <v>120</v>
      </c>
      <c r="T72" s="93">
        <f t="shared" si="3"/>
        <v>0</v>
      </c>
      <c r="U72" s="93">
        <f t="shared" si="4"/>
        <v>1200</v>
      </c>
    </row>
    <row r="73" spans="2:21" ht="17.100000000000001" customHeight="1" thickBot="1" x14ac:dyDescent="0.3">
      <c r="B73" s="33">
        <v>243</v>
      </c>
      <c r="C73" s="116" t="s">
        <v>19</v>
      </c>
      <c r="D73" s="120" t="s">
        <v>94</v>
      </c>
      <c r="E73" s="116">
        <v>45608</v>
      </c>
      <c r="F73" s="117">
        <v>46077</v>
      </c>
      <c r="G73" s="114" t="s">
        <v>31</v>
      </c>
      <c r="H73" s="118">
        <v>50</v>
      </c>
      <c r="I73" s="118">
        <v>100</v>
      </c>
      <c r="J73" s="66">
        <f t="shared" si="29"/>
        <v>0</v>
      </c>
      <c r="K73" s="68">
        <f t="shared" si="27"/>
        <v>100</v>
      </c>
      <c r="L73" s="32" t="str">
        <f t="shared" si="26"/>
        <v>ESTOQUE BAIXO</v>
      </c>
      <c r="N73" s="26" t="str">
        <f t="shared" si="25"/>
        <v>BOTINA SEGURANÇA MATATARSO 42 ADM</v>
      </c>
      <c r="O73" s="27">
        <f>SUMIFS(ENTRADA!$F:$F,ENTRADA!$B:$B,ESTOQUE!$B73)</f>
        <v>0</v>
      </c>
      <c r="P73" s="27">
        <f>SUMIFS(SAIDA!$F:$F,SAIDA!$B:$B,ESTOQUE!$B73)</f>
        <v>0</v>
      </c>
      <c r="Q73" s="27">
        <f t="shared" si="24"/>
        <v>0</v>
      </c>
      <c r="R73" s="27" t="e">
        <f>Q73=#REF!</f>
        <v>#REF!</v>
      </c>
      <c r="S73" s="93">
        <f>IFERROR(SUMIFS(ENTRADA!$H:$H,ENTRADA!$B:$B,ESTOQUE!$B73)/O73,0)</f>
        <v>0</v>
      </c>
      <c r="T73" s="93">
        <f t="shared" si="3"/>
        <v>0</v>
      </c>
      <c r="U73" s="93">
        <f t="shared" si="4"/>
        <v>0</v>
      </c>
    </row>
    <row r="74" spans="2:21" ht="17.100000000000001" customHeight="1" thickBot="1" x14ac:dyDescent="0.3">
      <c r="B74" s="34">
        <v>244</v>
      </c>
      <c r="C74" s="116" t="s">
        <v>19</v>
      </c>
      <c r="D74" s="120" t="s">
        <v>95</v>
      </c>
      <c r="E74" s="116">
        <v>45608</v>
      </c>
      <c r="F74" s="117">
        <v>46077</v>
      </c>
      <c r="G74" s="114" t="s">
        <v>31</v>
      </c>
      <c r="H74" s="118">
        <v>50</v>
      </c>
      <c r="I74" s="118">
        <v>100</v>
      </c>
      <c r="J74" s="66">
        <f t="shared" si="29"/>
        <v>0</v>
      </c>
      <c r="K74" s="68">
        <f t="shared" si="27"/>
        <v>100</v>
      </c>
      <c r="L74" s="32" t="str">
        <f t="shared" si="26"/>
        <v>ESTOQUE BAIXO</v>
      </c>
      <c r="N74" s="26" t="str">
        <f t="shared" si="25"/>
        <v xml:space="preserve">BOTINA SEGURANÇA MATATARSO 43 ADM </v>
      </c>
      <c r="O74" s="27">
        <f>SUMIFS(ENTRADA!$F:$F,ENTRADA!$B:$B,ESTOQUE!$B74)</f>
        <v>9</v>
      </c>
      <c r="P74" s="27">
        <f>SUMIFS(SAIDA!$F:$F,SAIDA!$B:$B,ESTOQUE!$B74)</f>
        <v>9</v>
      </c>
      <c r="Q74" s="27">
        <f t="shared" si="24"/>
        <v>0</v>
      </c>
      <c r="R74" s="27" t="e">
        <f>Q74=#REF!</f>
        <v>#REF!</v>
      </c>
      <c r="S74" s="93">
        <f>IFERROR(SUMIFS(ENTRADA!$H:$H,ENTRADA!$B:$B,ESTOQUE!$B74)/O74,0)</f>
        <v>120</v>
      </c>
      <c r="T74" s="93">
        <f t="shared" si="3"/>
        <v>0</v>
      </c>
      <c r="U74" s="93">
        <f t="shared" si="4"/>
        <v>1080</v>
      </c>
    </row>
    <row r="75" spans="2:21" ht="17.100000000000001" customHeight="1" thickBot="1" x14ac:dyDescent="0.3">
      <c r="B75" s="34">
        <v>245</v>
      </c>
      <c r="C75" s="116" t="s">
        <v>19</v>
      </c>
      <c r="D75" s="120" t="s">
        <v>96</v>
      </c>
      <c r="E75" s="116">
        <v>45608</v>
      </c>
      <c r="F75" s="117">
        <v>46077</v>
      </c>
      <c r="G75" s="114" t="s">
        <v>31</v>
      </c>
      <c r="H75" s="118">
        <v>50</v>
      </c>
      <c r="I75" s="118">
        <v>100</v>
      </c>
      <c r="J75" s="66">
        <f t="shared" si="29"/>
        <v>0</v>
      </c>
      <c r="K75" s="68">
        <f t="shared" si="27"/>
        <v>100</v>
      </c>
      <c r="L75" s="32" t="str">
        <f t="shared" si="26"/>
        <v>ESTOQUE BAIXO</v>
      </c>
      <c r="N75" s="26" t="str">
        <f t="shared" si="25"/>
        <v>BOTINA SEGURANÇA MATATARSO 44 ADM</v>
      </c>
      <c r="O75" s="27">
        <f>SUMIFS(ENTRADA!$F:$F,ENTRADA!$B:$B,ESTOQUE!$B75)</f>
        <v>0</v>
      </c>
      <c r="P75" s="27">
        <f>SUMIFS(SAIDA!$F:$F,SAIDA!$B:$B,ESTOQUE!$B75)</f>
        <v>0</v>
      </c>
      <c r="Q75" s="27">
        <f t="shared" si="24"/>
        <v>0</v>
      </c>
      <c r="R75" s="27" t="e">
        <f>Q75=#REF!</f>
        <v>#REF!</v>
      </c>
      <c r="S75" s="93">
        <f>IFERROR(SUMIFS(ENTRADA!$H:$H,ENTRADA!$B:$B,ESTOQUE!$B75)/O75,0)</f>
        <v>0</v>
      </c>
      <c r="T75" s="93">
        <f t="shared" ref="T75:T81" si="31">Q75*S75</f>
        <v>0</v>
      </c>
      <c r="U75" s="93">
        <f t="shared" ref="U75:U81" si="32">P75*S75</f>
        <v>0</v>
      </c>
    </row>
    <row r="76" spans="2:21" ht="17.100000000000001" customHeight="1" thickBot="1" x14ac:dyDescent="0.3">
      <c r="B76" s="33">
        <v>246</v>
      </c>
      <c r="C76" s="116" t="s">
        <v>19</v>
      </c>
      <c r="D76" s="120" t="s">
        <v>97</v>
      </c>
      <c r="E76" s="116">
        <v>45608</v>
      </c>
      <c r="F76" s="117">
        <v>46077</v>
      </c>
      <c r="G76" s="114" t="s">
        <v>31</v>
      </c>
      <c r="H76" s="118">
        <v>50</v>
      </c>
      <c r="I76" s="118">
        <v>100</v>
      </c>
      <c r="J76" s="66">
        <f t="shared" si="29"/>
        <v>0</v>
      </c>
      <c r="K76" s="68">
        <f t="shared" si="27"/>
        <v>100</v>
      </c>
      <c r="L76" s="32" t="str">
        <f t="shared" si="26"/>
        <v>ESTOQUE BAIXO</v>
      </c>
      <c r="N76" s="26" t="str">
        <f t="shared" si="25"/>
        <v>BOTINA SEGURANÇA MATATARSO 45 ADM</v>
      </c>
      <c r="O76" s="27">
        <f>SUMIFS(ENTRADA!$F:$F,ENTRADA!$B:$B,ESTOQUE!$B76)</f>
        <v>0</v>
      </c>
      <c r="P76" s="27">
        <f>SUMIFS(SAIDA!$F:$F,SAIDA!$B:$B,ESTOQUE!$B76)</f>
        <v>0</v>
      </c>
      <c r="Q76" s="27">
        <f t="shared" si="24"/>
        <v>0</v>
      </c>
      <c r="R76" s="27" t="e">
        <f>Q76=#REF!</f>
        <v>#REF!</v>
      </c>
      <c r="S76" s="93">
        <f>IFERROR(SUMIFS(ENTRADA!$H:$H,ENTRADA!$B:$B,ESTOQUE!$B76)/O76,0)</f>
        <v>0</v>
      </c>
      <c r="T76" s="93">
        <f t="shared" si="31"/>
        <v>0</v>
      </c>
      <c r="U76" s="93">
        <f t="shared" si="32"/>
        <v>0</v>
      </c>
    </row>
    <row r="77" spans="2:21" ht="17.100000000000001" customHeight="1" thickBot="1" x14ac:dyDescent="0.3">
      <c r="B77" s="34">
        <v>247</v>
      </c>
      <c r="C77" s="116" t="s">
        <v>19</v>
      </c>
      <c r="D77" s="120" t="s">
        <v>98</v>
      </c>
      <c r="E77" s="116">
        <v>45608</v>
      </c>
      <c r="F77" s="117">
        <v>46077</v>
      </c>
      <c r="G77" s="114" t="s">
        <v>31</v>
      </c>
      <c r="H77" s="118">
        <v>50</v>
      </c>
      <c r="I77" s="118">
        <v>100</v>
      </c>
      <c r="J77" s="66">
        <f t="shared" si="29"/>
        <v>0</v>
      </c>
      <c r="K77" s="68">
        <f t="shared" si="27"/>
        <v>100</v>
      </c>
      <c r="L77" s="32" t="str">
        <f t="shared" si="26"/>
        <v>ESTOQUE BAIXO</v>
      </c>
      <c r="N77" s="26" t="str">
        <f t="shared" si="25"/>
        <v>BOTINA SEGURANÇA MATATARSO 46 ADM</v>
      </c>
      <c r="O77" s="27">
        <f>SUMIFS(ENTRADA!$F:$F,ENTRADA!$B:$B,ESTOQUE!$B77)</f>
        <v>0</v>
      </c>
      <c r="P77" s="27">
        <f>SUMIFS(SAIDA!$F:$F,SAIDA!$B:$B,ESTOQUE!$B77)</f>
        <v>0</v>
      </c>
      <c r="Q77" s="27">
        <f t="shared" si="24"/>
        <v>0</v>
      </c>
      <c r="R77" s="27" t="e">
        <f>Q77=#REF!</f>
        <v>#REF!</v>
      </c>
      <c r="S77" s="93">
        <f>IFERROR(SUMIFS(ENTRADA!$H:$H,ENTRADA!$B:$B,ESTOQUE!$B77)/O77,0)</f>
        <v>0</v>
      </c>
      <c r="T77" s="93">
        <f t="shared" si="31"/>
        <v>0</v>
      </c>
      <c r="U77" s="93">
        <f t="shared" si="32"/>
        <v>0</v>
      </c>
    </row>
    <row r="78" spans="2:21" ht="17.100000000000001" customHeight="1" thickBot="1" x14ac:dyDescent="0.3">
      <c r="B78" s="33">
        <v>250</v>
      </c>
      <c r="C78" s="116" t="s">
        <v>19</v>
      </c>
      <c r="D78" s="120" t="s">
        <v>99</v>
      </c>
      <c r="E78" s="116">
        <v>45574</v>
      </c>
      <c r="F78" s="117">
        <v>46077</v>
      </c>
      <c r="G78" s="114" t="s">
        <v>31</v>
      </c>
      <c r="H78" s="118">
        <v>50</v>
      </c>
      <c r="I78" s="118">
        <v>100</v>
      </c>
      <c r="J78" s="66">
        <f t="shared" si="29"/>
        <v>0</v>
      </c>
      <c r="K78" s="68">
        <f t="shared" si="27"/>
        <v>100</v>
      </c>
      <c r="L78" s="32" t="str">
        <f t="shared" si="26"/>
        <v>ESTOQUE BAIXO</v>
      </c>
      <c r="N78" s="26" t="str">
        <f t="shared" si="25"/>
        <v>BOTINA SEGURANÇA MATATARSO 47 - ADM</v>
      </c>
      <c r="O78" s="27">
        <f>SUMIFS(ENTRADA!$F:$F,ENTRADA!$B:$B,ESTOQUE!$B78)</f>
        <v>0</v>
      </c>
      <c r="P78" s="27">
        <f>SUMIFS(SAIDA!$F:$F,SAIDA!$B:$B,ESTOQUE!$B78)</f>
        <v>0</v>
      </c>
      <c r="Q78" s="27">
        <f t="shared" si="24"/>
        <v>0</v>
      </c>
      <c r="R78" s="27" t="e">
        <f>Q78=#REF!</f>
        <v>#REF!</v>
      </c>
      <c r="S78" s="93">
        <f>IFERROR(SUMIFS(ENTRADA!$H:$H,ENTRADA!$B:$B,ESTOQUE!$B78)/O78,0)</f>
        <v>0</v>
      </c>
      <c r="T78" s="93">
        <f t="shared" si="31"/>
        <v>0</v>
      </c>
      <c r="U78" s="93">
        <f t="shared" si="32"/>
        <v>0</v>
      </c>
    </row>
    <row r="79" spans="2:21" ht="17.100000000000001" customHeight="1" thickBot="1" x14ac:dyDescent="0.3">
      <c r="B79" s="34">
        <v>248</v>
      </c>
      <c r="C79" s="116" t="s">
        <v>19</v>
      </c>
      <c r="D79" s="120" t="s">
        <v>100</v>
      </c>
      <c r="E79" s="116">
        <v>45608</v>
      </c>
      <c r="F79" s="117">
        <v>46077</v>
      </c>
      <c r="G79" s="114" t="s">
        <v>31</v>
      </c>
      <c r="H79" s="118">
        <v>50</v>
      </c>
      <c r="I79" s="118">
        <v>100</v>
      </c>
      <c r="J79" s="66">
        <f t="shared" si="29"/>
        <v>0</v>
      </c>
      <c r="K79" s="68">
        <f t="shared" si="27"/>
        <v>100</v>
      </c>
      <c r="L79" s="32" t="str">
        <f t="shared" si="26"/>
        <v>ESTOQUE BAIXO</v>
      </c>
      <c r="N79" s="26" t="str">
        <f t="shared" si="25"/>
        <v>BOTINA SEGURANÇA MATATARSO 47 ADM</v>
      </c>
      <c r="O79" s="27">
        <f>SUMIFS(ENTRADA!$F:$F,ENTRADA!$B:$B,ESTOQUE!$B79)</f>
        <v>0</v>
      </c>
      <c r="P79" s="27">
        <f>SUMIFS(SAIDA!$F:$F,SAIDA!$B:$B,ESTOQUE!$B79)</f>
        <v>0</v>
      </c>
      <c r="Q79" s="27">
        <f t="shared" si="24"/>
        <v>0</v>
      </c>
      <c r="R79" s="27" t="e">
        <f>Q79=#REF!</f>
        <v>#REF!</v>
      </c>
      <c r="S79" s="93">
        <f>IFERROR(SUMIFS(ENTRADA!$H:$H,ENTRADA!$B:$B,ESTOQUE!$B79)/O79,0)</f>
        <v>0</v>
      </c>
      <c r="T79" s="93">
        <f t="shared" ref="T79:T80" si="33">Q79*S79</f>
        <v>0</v>
      </c>
      <c r="U79" s="93">
        <f t="shared" ref="U79:U80" si="34">P79*S79</f>
        <v>0</v>
      </c>
    </row>
    <row r="80" spans="2:21" ht="17.100000000000001" customHeight="1" thickBot="1" x14ac:dyDescent="0.3">
      <c r="B80" s="33">
        <v>212</v>
      </c>
      <c r="C80" s="116" t="s">
        <v>19</v>
      </c>
      <c r="D80" s="120" t="s">
        <v>101</v>
      </c>
      <c r="E80" s="116">
        <v>45574</v>
      </c>
      <c r="F80" s="117">
        <v>46077</v>
      </c>
      <c r="G80" s="114" t="s">
        <v>31</v>
      </c>
      <c r="H80" s="118">
        <v>100</v>
      </c>
      <c r="I80" s="119">
        <v>150</v>
      </c>
      <c r="J80" s="66">
        <f t="shared" si="29"/>
        <v>0</v>
      </c>
      <c r="K80" s="68">
        <f t="shared" si="27"/>
        <v>150</v>
      </c>
      <c r="L80" s="32" t="str">
        <f t="shared" si="26"/>
        <v>ESTOQUE BAIXO</v>
      </c>
      <c r="N80" s="26" t="str">
        <f t="shared" si="25"/>
        <v>BOTINA SEGURANÇA METATARSO  35</v>
      </c>
      <c r="O80" s="27">
        <f>SUMIFS(ENTRADA!$F:$F,ENTRADA!$B:$B,ESTOQUE!$B80)</f>
        <v>1</v>
      </c>
      <c r="P80" s="27">
        <f>SUMIFS(SAIDA!$F:$F,SAIDA!$B:$B,ESTOQUE!$B80)</f>
        <v>1</v>
      </c>
      <c r="Q80" s="27">
        <f t="shared" ref="Q80:Q81" si="35">O80-P80</f>
        <v>0</v>
      </c>
      <c r="R80" s="27" t="e">
        <f>Q80=#REF!</f>
        <v>#REF!</v>
      </c>
      <c r="S80" s="93">
        <f>IFERROR(SUMIFS(ENTRADA!$H:$H,ENTRADA!$B:$B,ESTOQUE!$B80)/O80,0)</f>
        <v>0</v>
      </c>
      <c r="T80" s="93">
        <f t="shared" si="33"/>
        <v>0</v>
      </c>
      <c r="U80" s="93">
        <f t="shared" si="34"/>
        <v>0</v>
      </c>
    </row>
    <row r="81" spans="2:21" ht="18" customHeight="1" thickBot="1" x14ac:dyDescent="0.3">
      <c r="B81" s="34">
        <v>214</v>
      </c>
      <c r="C81" s="116" t="s">
        <v>19</v>
      </c>
      <c r="D81" s="120" t="s">
        <v>102</v>
      </c>
      <c r="E81" s="116">
        <v>45574</v>
      </c>
      <c r="F81" s="117">
        <v>46077</v>
      </c>
      <c r="G81" s="114" t="s">
        <v>31</v>
      </c>
      <c r="H81" s="118">
        <v>100</v>
      </c>
      <c r="I81" s="119">
        <v>150</v>
      </c>
      <c r="J81" s="66">
        <f t="shared" si="29"/>
        <v>0</v>
      </c>
      <c r="K81" s="68">
        <f t="shared" si="27"/>
        <v>150</v>
      </c>
      <c r="L81" s="32" t="str">
        <f t="shared" si="26"/>
        <v>ESTOQUE BAIXO</v>
      </c>
      <c r="N81" s="26" t="str">
        <f t="shared" si="25"/>
        <v>BOTINA SEGURANÇA METATARSO  37</v>
      </c>
      <c r="O81" s="27">
        <f>SUMIFS(ENTRADA!$F:$F,ENTRADA!$B:$B,ESTOQUE!$B81)</f>
        <v>6</v>
      </c>
      <c r="P81" s="27">
        <f>SUMIFS(SAIDA!$F:$F,SAIDA!$B:$B,ESTOQUE!$B81)</f>
        <v>6</v>
      </c>
      <c r="Q81" s="27">
        <f t="shared" si="35"/>
        <v>0</v>
      </c>
      <c r="R81" s="27" t="e">
        <f>Q81=#REF!</f>
        <v>#REF!</v>
      </c>
      <c r="S81" s="93">
        <f>IFERROR(SUMIFS(ENTRADA!$H:$H,ENTRADA!$B:$B,ESTOQUE!$B81)/O81,0)</f>
        <v>0</v>
      </c>
      <c r="T81" s="93">
        <f t="shared" si="31"/>
        <v>0</v>
      </c>
      <c r="U81" s="93">
        <f t="shared" si="32"/>
        <v>0</v>
      </c>
    </row>
    <row r="82" spans="2:21" ht="17.100000000000001" customHeight="1" thickBot="1" x14ac:dyDescent="0.3">
      <c r="B82" s="34">
        <v>215</v>
      </c>
      <c r="C82" s="116" t="s">
        <v>19</v>
      </c>
      <c r="D82" s="120" t="s">
        <v>103</v>
      </c>
      <c r="E82" s="116">
        <v>45574</v>
      </c>
      <c r="F82" s="117">
        <v>46077</v>
      </c>
      <c r="G82" s="114" t="s">
        <v>31</v>
      </c>
      <c r="H82" s="118">
        <v>100</v>
      </c>
      <c r="I82" s="119">
        <v>150</v>
      </c>
      <c r="J82" s="66">
        <f t="shared" si="29"/>
        <v>0</v>
      </c>
      <c r="K82" s="68">
        <f t="shared" si="27"/>
        <v>150</v>
      </c>
      <c r="L82" s="32" t="str">
        <f t="shared" si="26"/>
        <v>ESTOQUE BAIXO</v>
      </c>
      <c r="N82" s="26" t="str">
        <f t="shared" ref="N82:N131" si="36">D82</f>
        <v>BOTINA SEGURANÇA METATARSO  38</v>
      </c>
      <c r="O82" s="27">
        <f>SUMIFS(ENTRADA!$F:$F,ENTRADA!$B:$B,ESTOQUE!$B82)</f>
        <v>6</v>
      </c>
      <c r="P82" s="27">
        <f>SUMIFS(SAIDA!$F:$F,SAIDA!$B:$B,ESTOQUE!$B82)</f>
        <v>6</v>
      </c>
      <c r="Q82" s="27">
        <f t="shared" ref="Q82:Q131" si="37">O82-P82</f>
        <v>0</v>
      </c>
      <c r="R82" s="27" t="e">
        <f>Q82=#REF!</f>
        <v>#REF!</v>
      </c>
      <c r="S82" s="93">
        <f>IFERROR(SUMIFS(ENTRADA!$H:$H,ENTRADA!$B:$B,ESTOQUE!$B82)/O82,0)</f>
        <v>0</v>
      </c>
      <c r="T82" s="93">
        <f t="shared" ref="T82:T131" si="38">Q82*S82</f>
        <v>0</v>
      </c>
      <c r="U82" s="93">
        <f t="shared" ref="U82:U131" si="39">P82*S82</f>
        <v>0</v>
      </c>
    </row>
    <row r="83" spans="2:21" ht="17.100000000000001" customHeight="1" thickBot="1" x14ac:dyDescent="0.3">
      <c r="B83" s="34">
        <v>216</v>
      </c>
      <c r="C83" s="116" t="s">
        <v>19</v>
      </c>
      <c r="D83" s="120" t="s">
        <v>104</v>
      </c>
      <c r="E83" s="116">
        <v>45574</v>
      </c>
      <c r="F83" s="117">
        <v>46077</v>
      </c>
      <c r="G83" s="114" t="s">
        <v>31</v>
      </c>
      <c r="H83" s="118">
        <v>100</v>
      </c>
      <c r="I83" s="119">
        <v>150</v>
      </c>
      <c r="J83" s="66">
        <f t="shared" si="29"/>
        <v>50</v>
      </c>
      <c r="K83" s="68">
        <f t="shared" si="27"/>
        <v>100</v>
      </c>
      <c r="L83" s="32" t="str">
        <f t="shared" si="26"/>
        <v>ESTOQUE BAIXO</v>
      </c>
      <c r="N83" s="26" t="str">
        <f t="shared" si="36"/>
        <v>BOTINA SEGURANÇA METATARSO  39</v>
      </c>
      <c r="O83" s="27">
        <f>SUMIFS(ENTRADA!$F:$F,ENTRADA!$B:$B,ESTOQUE!$B83)</f>
        <v>105</v>
      </c>
      <c r="P83" s="27">
        <f>SUMIFS(SAIDA!$F:$F,SAIDA!$B:$B,ESTOQUE!$B83)</f>
        <v>55</v>
      </c>
      <c r="Q83" s="27">
        <f t="shared" si="37"/>
        <v>50</v>
      </c>
      <c r="R83" s="27" t="e">
        <f>Q83=#REF!</f>
        <v>#REF!</v>
      </c>
      <c r="S83" s="93">
        <f>IFERROR(SUMIFS(ENTRADA!$H:$H,ENTRADA!$B:$B,ESTOQUE!$B83)/O83,0)</f>
        <v>0</v>
      </c>
      <c r="T83" s="93">
        <f t="shared" si="38"/>
        <v>0</v>
      </c>
      <c r="U83" s="93">
        <f t="shared" si="39"/>
        <v>0</v>
      </c>
    </row>
    <row r="84" spans="2:21" ht="17.100000000000001" customHeight="1" thickBot="1" x14ac:dyDescent="0.3">
      <c r="B84" s="34">
        <v>217</v>
      </c>
      <c r="C84" s="116" t="s">
        <v>19</v>
      </c>
      <c r="D84" s="120" t="s">
        <v>105</v>
      </c>
      <c r="E84" s="116">
        <v>45574</v>
      </c>
      <c r="F84" s="117">
        <v>46077</v>
      </c>
      <c r="G84" s="114" t="s">
        <v>31</v>
      </c>
      <c r="H84" s="118">
        <v>100</v>
      </c>
      <c r="I84" s="119">
        <v>150</v>
      </c>
      <c r="J84" s="66">
        <f t="shared" si="29"/>
        <v>21</v>
      </c>
      <c r="K84" s="68">
        <f t="shared" si="27"/>
        <v>129</v>
      </c>
      <c r="L84" s="32" t="str">
        <f t="shared" si="26"/>
        <v>ESTOQUE BAIXO</v>
      </c>
      <c r="N84" s="26" t="str">
        <f t="shared" si="36"/>
        <v>BOTINA SEGURANÇA METATARSO  40</v>
      </c>
      <c r="O84" s="27">
        <f>SUMIFS(ENTRADA!$F:$F,ENTRADA!$B:$B,ESTOQUE!$B84)</f>
        <v>82</v>
      </c>
      <c r="P84" s="27">
        <f>SUMIFS(SAIDA!$F:$F,SAIDA!$B:$B,ESTOQUE!$B84)</f>
        <v>61</v>
      </c>
      <c r="Q84" s="27">
        <f t="shared" si="37"/>
        <v>21</v>
      </c>
      <c r="R84" s="27" t="e">
        <f>Q84=#REF!</f>
        <v>#REF!</v>
      </c>
      <c r="S84" s="93">
        <f>IFERROR(SUMIFS(ENTRADA!$H:$H,ENTRADA!$B:$B,ESTOQUE!$B84)/O84,0)</f>
        <v>0</v>
      </c>
      <c r="T84" s="93">
        <f t="shared" si="38"/>
        <v>0</v>
      </c>
      <c r="U84" s="93">
        <f t="shared" si="39"/>
        <v>0</v>
      </c>
    </row>
    <row r="85" spans="2:21" ht="17.100000000000001" customHeight="1" thickBot="1" x14ac:dyDescent="0.3">
      <c r="B85" s="34">
        <v>218</v>
      </c>
      <c r="C85" s="116" t="s">
        <v>19</v>
      </c>
      <c r="D85" s="120" t="s">
        <v>106</v>
      </c>
      <c r="E85" s="116">
        <v>45574</v>
      </c>
      <c r="F85" s="117">
        <v>46077</v>
      </c>
      <c r="G85" s="114" t="s">
        <v>31</v>
      </c>
      <c r="H85" s="118">
        <v>100</v>
      </c>
      <c r="I85" s="119">
        <v>150</v>
      </c>
      <c r="J85" s="66">
        <f t="shared" si="29"/>
        <v>0</v>
      </c>
      <c r="K85" s="68">
        <f t="shared" si="27"/>
        <v>150</v>
      </c>
      <c r="L85" s="32" t="str">
        <f t="shared" si="26"/>
        <v>ESTOQUE BAIXO</v>
      </c>
      <c r="N85" s="26" t="str">
        <f t="shared" si="36"/>
        <v>BOTINA SEGURANÇA METATARSO  41</v>
      </c>
      <c r="O85" s="27">
        <f>SUMIFS(ENTRADA!$F:$F,ENTRADA!$B:$B,ESTOQUE!$B85)</f>
        <v>109</v>
      </c>
      <c r="P85" s="27">
        <f>SUMIFS(SAIDA!$F:$F,SAIDA!$B:$B,ESTOQUE!$B85)</f>
        <v>109</v>
      </c>
      <c r="Q85" s="27">
        <f t="shared" si="37"/>
        <v>0</v>
      </c>
      <c r="R85" s="27" t="e">
        <f>Q85=#REF!</f>
        <v>#REF!</v>
      </c>
      <c r="S85" s="93">
        <f>IFERROR(SUMIFS(ENTRADA!$H:$H,ENTRADA!$B:$B,ESTOQUE!$B85)/O85,0)</f>
        <v>0</v>
      </c>
      <c r="T85" s="93">
        <f t="shared" si="38"/>
        <v>0</v>
      </c>
      <c r="U85" s="93">
        <f t="shared" si="39"/>
        <v>0</v>
      </c>
    </row>
    <row r="86" spans="2:21" ht="17.100000000000001" customHeight="1" thickBot="1" x14ac:dyDescent="0.3">
      <c r="B86" s="34">
        <v>219</v>
      </c>
      <c r="C86" s="116" t="s">
        <v>19</v>
      </c>
      <c r="D86" s="120" t="s">
        <v>107</v>
      </c>
      <c r="E86" s="116">
        <v>45574</v>
      </c>
      <c r="F86" s="117">
        <v>46077</v>
      </c>
      <c r="G86" s="114" t="s">
        <v>31</v>
      </c>
      <c r="H86" s="118">
        <v>100</v>
      </c>
      <c r="I86" s="119">
        <v>150</v>
      </c>
      <c r="J86" s="66">
        <f t="shared" si="29"/>
        <v>0</v>
      </c>
      <c r="K86" s="68">
        <f t="shared" si="27"/>
        <v>150</v>
      </c>
      <c r="L86" s="32" t="str">
        <f t="shared" si="26"/>
        <v>ESTOQUE BAIXO</v>
      </c>
      <c r="N86" s="26" t="str">
        <f t="shared" si="36"/>
        <v>BOTINA SEGURANÇA METATARSO  42</v>
      </c>
      <c r="O86" s="27">
        <f>SUMIFS(ENTRADA!$F:$F,ENTRADA!$B:$B,ESTOQUE!$B86)</f>
        <v>50</v>
      </c>
      <c r="P86" s="27">
        <f>SUMIFS(SAIDA!$F:$F,SAIDA!$B:$B,ESTOQUE!$B86)</f>
        <v>50</v>
      </c>
      <c r="Q86" s="27">
        <f t="shared" si="37"/>
        <v>0</v>
      </c>
      <c r="R86" s="27" t="e">
        <f>Q86=#REF!</f>
        <v>#REF!</v>
      </c>
      <c r="S86" s="93">
        <f>IFERROR(SUMIFS(ENTRADA!$H:$H,ENTRADA!$B:$B,ESTOQUE!$B86)/O86,0)</f>
        <v>0</v>
      </c>
      <c r="T86" s="93">
        <f t="shared" si="38"/>
        <v>0</v>
      </c>
      <c r="U86" s="93">
        <f t="shared" si="39"/>
        <v>0</v>
      </c>
    </row>
    <row r="87" spans="2:21" ht="17.100000000000001" customHeight="1" thickBot="1" x14ac:dyDescent="0.3">
      <c r="B87" s="34">
        <v>220</v>
      </c>
      <c r="C87" s="116" t="s">
        <v>19</v>
      </c>
      <c r="D87" s="120" t="s">
        <v>108</v>
      </c>
      <c r="E87" s="116">
        <v>45574</v>
      </c>
      <c r="F87" s="117">
        <v>46077</v>
      </c>
      <c r="G87" s="114" t="s">
        <v>31</v>
      </c>
      <c r="H87" s="118">
        <v>100</v>
      </c>
      <c r="I87" s="119">
        <v>150</v>
      </c>
      <c r="J87" s="66">
        <v>0</v>
      </c>
      <c r="K87" s="68">
        <f t="shared" si="27"/>
        <v>150</v>
      </c>
      <c r="L87" s="32" t="str">
        <f t="shared" si="26"/>
        <v>ESTOQUE BAIXO</v>
      </c>
      <c r="N87" s="26" t="str">
        <f t="shared" si="36"/>
        <v>BOTINA SEGURANÇA METATARSO  43</v>
      </c>
      <c r="O87" s="27">
        <f>SUMIFS(ENTRADA!$F:$F,ENTRADA!$B:$B,ESTOQUE!$B87)</f>
        <v>2</v>
      </c>
      <c r="P87" s="27">
        <f>SUMIFS(SAIDA!$F:$F,SAIDA!$B:$B,ESTOQUE!$B87)</f>
        <v>3</v>
      </c>
      <c r="Q87" s="27">
        <f t="shared" si="37"/>
        <v>-1</v>
      </c>
      <c r="R87" s="27" t="e">
        <f>Q87=#REF!</f>
        <v>#REF!</v>
      </c>
      <c r="S87" s="93">
        <f>IFERROR(SUMIFS(ENTRADA!$H:$H,ENTRADA!$B:$B,ESTOQUE!$B87)/O87,0)</f>
        <v>0</v>
      </c>
      <c r="T87" s="93">
        <f t="shared" si="38"/>
        <v>0</v>
      </c>
      <c r="U87" s="93">
        <f t="shared" si="39"/>
        <v>0</v>
      </c>
    </row>
    <row r="88" spans="2:21" ht="17.100000000000001" customHeight="1" thickBot="1" x14ac:dyDescent="0.3">
      <c r="B88" s="34">
        <v>221</v>
      </c>
      <c r="C88" s="116" t="s">
        <v>19</v>
      </c>
      <c r="D88" s="120" t="s">
        <v>109</v>
      </c>
      <c r="E88" s="116">
        <v>45574</v>
      </c>
      <c r="F88" s="117">
        <v>46077</v>
      </c>
      <c r="G88" s="114" t="s">
        <v>31</v>
      </c>
      <c r="H88" s="118">
        <v>100</v>
      </c>
      <c r="I88" s="119">
        <v>150</v>
      </c>
      <c r="J88" s="66">
        <f t="shared" si="29"/>
        <v>0</v>
      </c>
      <c r="K88" s="68">
        <f t="shared" si="27"/>
        <v>150</v>
      </c>
      <c r="L88" s="32" t="str">
        <f t="shared" si="26"/>
        <v>ESTOQUE BAIXO</v>
      </c>
      <c r="N88" s="26" t="str">
        <f t="shared" si="36"/>
        <v>BOTINA SEGURANÇA METATARSO  44</v>
      </c>
      <c r="O88" s="27">
        <f>SUMIFS(ENTRADA!$F:$F,ENTRADA!$B:$B,ESTOQUE!$B88)</f>
        <v>15</v>
      </c>
      <c r="P88" s="27">
        <f>SUMIFS(SAIDA!$F:$F,SAIDA!$B:$B,ESTOQUE!$B88)</f>
        <v>15</v>
      </c>
      <c r="Q88" s="27">
        <f t="shared" si="37"/>
        <v>0</v>
      </c>
      <c r="R88" s="27" t="e">
        <f>Q88=#REF!</f>
        <v>#REF!</v>
      </c>
      <c r="S88" s="93">
        <f>IFERROR(SUMIFS(ENTRADA!$H:$H,ENTRADA!$B:$B,ESTOQUE!$B88)/O88,0)</f>
        <v>56</v>
      </c>
      <c r="T88" s="93">
        <f t="shared" si="38"/>
        <v>0</v>
      </c>
      <c r="U88" s="93">
        <f t="shared" si="39"/>
        <v>840</v>
      </c>
    </row>
    <row r="89" spans="2:21" ht="17.100000000000001" customHeight="1" thickBot="1" x14ac:dyDescent="0.3">
      <c r="B89" s="34">
        <v>222</v>
      </c>
      <c r="C89" s="116" t="s">
        <v>19</v>
      </c>
      <c r="D89" s="120" t="s">
        <v>110</v>
      </c>
      <c r="E89" s="116">
        <v>45574</v>
      </c>
      <c r="F89" s="117">
        <v>46077</v>
      </c>
      <c r="G89" s="114" t="s">
        <v>31</v>
      </c>
      <c r="H89" s="118">
        <v>100</v>
      </c>
      <c r="I89" s="119">
        <v>150</v>
      </c>
      <c r="J89" s="66">
        <v>10</v>
      </c>
      <c r="K89" s="68">
        <f t="shared" si="27"/>
        <v>140</v>
      </c>
      <c r="L89" s="32" t="str">
        <f t="shared" si="26"/>
        <v>ESTOQUE BAIXO</v>
      </c>
      <c r="N89" s="26" t="str">
        <f t="shared" si="36"/>
        <v>BOTINA SEGURANÇA METATARSO  45</v>
      </c>
      <c r="O89" s="27">
        <f>SUMIFS(ENTRADA!$F:$F,ENTRADA!$B:$B,ESTOQUE!$B89)</f>
        <v>23</v>
      </c>
      <c r="P89" s="27">
        <f>SUMIFS(SAIDA!$F:$F,SAIDA!$B:$B,ESTOQUE!$B89)</f>
        <v>4</v>
      </c>
      <c r="Q89" s="27">
        <f t="shared" si="37"/>
        <v>19</v>
      </c>
      <c r="R89" s="27" t="e">
        <f>Q89=#REF!</f>
        <v>#REF!</v>
      </c>
      <c r="S89" s="93">
        <f>IFERROR(SUMIFS(ENTRADA!$H:$H,ENTRADA!$B:$B,ESTOQUE!$B89)/O89,0)</f>
        <v>0</v>
      </c>
      <c r="T89" s="93">
        <f t="shared" si="38"/>
        <v>0</v>
      </c>
      <c r="U89" s="93">
        <f t="shared" si="39"/>
        <v>0</v>
      </c>
    </row>
    <row r="90" spans="2:21" ht="17.100000000000001" customHeight="1" thickBot="1" x14ac:dyDescent="0.3">
      <c r="B90" s="34">
        <v>223</v>
      </c>
      <c r="C90" s="116" t="s">
        <v>19</v>
      </c>
      <c r="D90" s="120" t="s">
        <v>111</v>
      </c>
      <c r="E90" s="116">
        <v>45574</v>
      </c>
      <c r="F90" s="117">
        <v>46077</v>
      </c>
      <c r="G90" s="114" t="s">
        <v>31</v>
      </c>
      <c r="H90" s="118">
        <v>100</v>
      </c>
      <c r="I90" s="119">
        <v>150</v>
      </c>
      <c r="J90" s="66">
        <f t="shared" ref="J90:J153" si="40">Q90</f>
        <v>0</v>
      </c>
      <c r="K90" s="68">
        <f t="shared" si="27"/>
        <v>150</v>
      </c>
      <c r="L90" s="32" t="str">
        <f t="shared" si="26"/>
        <v>ESTOQUE BAIXO</v>
      </c>
      <c r="N90" s="26" t="str">
        <f t="shared" si="36"/>
        <v>BOTINA SEGURANÇA METATARSO  46</v>
      </c>
      <c r="O90" s="27">
        <f>SUMIFS(ENTRADA!$F:$F,ENTRADA!$B:$B,ESTOQUE!$B90)</f>
        <v>3</v>
      </c>
      <c r="P90" s="27">
        <f>SUMIFS(SAIDA!$F:$F,SAIDA!$B:$B,ESTOQUE!$B90)</f>
        <v>3</v>
      </c>
      <c r="Q90" s="27">
        <f t="shared" si="37"/>
        <v>0</v>
      </c>
      <c r="R90" s="27" t="e">
        <f>Q90=#REF!</f>
        <v>#REF!</v>
      </c>
      <c r="S90" s="93">
        <f>IFERROR(SUMIFS(ENTRADA!$H:$H,ENTRADA!$B:$B,ESTOQUE!$B90)/O90,0)</f>
        <v>80</v>
      </c>
      <c r="T90" s="93">
        <f t="shared" si="38"/>
        <v>0</v>
      </c>
      <c r="U90" s="93">
        <f t="shared" si="39"/>
        <v>240</v>
      </c>
    </row>
    <row r="91" spans="2:21" ht="17.100000000000001" customHeight="1" thickBot="1" x14ac:dyDescent="0.3">
      <c r="B91" s="34">
        <v>45</v>
      </c>
      <c r="C91" s="116" t="s">
        <v>19</v>
      </c>
      <c r="D91" s="111" t="s">
        <v>112</v>
      </c>
      <c r="E91" s="116" t="s">
        <v>25</v>
      </c>
      <c r="F91" s="117" t="s">
        <v>25</v>
      </c>
      <c r="G91" s="114" t="s">
        <v>22</v>
      </c>
      <c r="H91" s="118">
        <v>30</v>
      </c>
      <c r="I91" s="118">
        <v>250</v>
      </c>
      <c r="J91" s="66">
        <f t="shared" si="40"/>
        <v>0</v>
      </c>
      <c r="K91" s="68">
        <f t="shared" si="27"/>
        <v>250</v>
      </c>
      <c r="L91" s="32" t="str">
        <f t="shared" ref="L91:L122" si="41">IF(J91&lt;H91,"ESTOQUE BAIXO",IF(J91&gt;I91,"ESTOQUE ALTO",IF(J91&gt;=H91,"ESTOQUE NORMAL",)))</f>
        <v>ESTOQUE BAIXO</v>
      </c>
      <c r="N91" s="26" t="str">
        <f t="shared" si="36"/>
        <v>CALÇA CINZA OP. C/ FAIXA REFLETIVA TAM: EG</v>
      </c>
      <c r="O91" s="27">
        <f>SUMIFS(ENTRADA!$F:$F,ENTRADA!$B:$B,ESTOQUE!$B91)</f>
        <v>0</v>
      </c>
      <c r="P91" s="27">
        <f>SUMIFS(SAIDA!$F:$F,SAIDA!$B:$B,ESTOQUE!$B91)</f>
        <v>0</v>
      </c>
      <c r="Q91" s="27">
        <f t="shared" si="37"/>
        <v>0</v>
      </c>
      <c r="R91" s="27" t="e">
        <f>Q91=#REF!</f>
        <v>#REF!</v>
      </c>
      <c r="S91" s="93">
        <f>IFERROR(SUMIFS(ENTRADA!$H:$H,ENTRADA!$B:$B,ESTOQUE!$B91)/O91,0)</f>
        <v>0</v>
      </c>
      <c r="T91" s="93">
        <f t="shared" si="38"/>
        <v>0</v>
      </c>
      <c r="U91" s="93">
        <f t="shared" si="39"/>
        <v>0</v>
      </c>
    </row>
    <row r="92" spans="2:21" ht="17.100000000000001" customHeight="1" thickBot="1" x14ac:dyDescent="0.3">
      <c r="B92" s="34">
        <v>201</v>
      </c>
      <c r="C92" s="116" t="s">
        <v>19</v>
      </c>
      <c r="D92" s="111" t="s">
        <v>113</v>
      </c>
      <c r="E92" s="116" t="s">
        <v>25</v>
      </c>
      <c r="F92" s="117" t="s">
        <v>25</v>
      </c>
      <c r="G92" s="114" t="s">
        <v>22</v>
      </c>
      <c r="H92" s="118">
        <v>30</v>
      </c>
      <c r="I92" s="119">
        <v>200</v>
      </c>
      <c r="J92" s="66">
        <f t="shared" si="40"/>
        <v>0</v>
      </c>
      <c r="K92" s="68">
        <f t="shared" si="27"/>
        <v>200</v>
      </c>
      <c r="L92" s="32" t="str">
        <f t="shared" si="41"/>
        <v>ESTOQUE BAIXO</v>
      </c>
      <c r="N92" s="26" t="str">
        <f t="shared" si="36"/>
        <v>CALÇA CINZA OP. C/ FAIXA REFLETIVA TAM: EXG</v>
      </c>
      <c r="O92" s="27">
        <f>SUMIFS(ENTRADA!$F:$F,ENTRADA!$B:$B,ESTOQUE!$B92)</f>
        <v>0</v>
      </c>
      <c r="P92" s="27">
        <f>SUMIFS(SAIDA!$F:$F,SAIDA!$B:$B,ESTOQUE!$B92)</f>
        <v>0</v>
      </c>
      <c r="Q92" s="27">
        <f t="shared" si="37"/>
        <v>0</v>
      </c>
      <c r="R92" s="27" t="e">
        <f>Q92=#REF!</f>
        <v>#REF!</v>
      </c>
      <c r="S92" s="93">
        <f>IFERROR(SUMIFS(ENTRADA!$H:$H,ENTRADA!$B:$B,ESTOQUE!$B92)/O92,0)</f>
        <v>0</v>
      </c>
      <c r="T92" s="93">
        <f t="shared" si="38"/>
        <v>0</v>
      </c>
      <c r="U92" s="93">
        <f t="shared" si="39"/>
        <v>0</v>
      </c>
    </row>
    <row r="93" spans="2:21" ht="17.100000000000001" customHeight="1" thickBot="1" x14ac:dyDescent="0.3">
      <c r="B93" s="34">
        <v>46</v>
      </c>
      <c r="C93" s="116" t="s">
        <v>19</v>
      </c>
      <c r="D93" s="111" t="s">
        <v>114</v>
      </c>
      <c r="E93" s="116" t="s">
        <v>25</v>
      </c>
      <c r="F93" s="117" t="s">
        <v>25</v>
      </c>
      <c r="G93" s="114" t="s">
        <v>22</v>
      </c>
      <c r="H93" s="118">
        <v>250</v>
      </c>
      <c r="I93" s="118">
        <v>500</v>
      </c>
      <c r="J93" s="66">
        <f t="shared" si="40"/>
        <v>96</v>
      </c>
      <c r="K93" s="68">
        <f t="shared" si="27"/>
        <v>404</v>
      </c>
      <c r="L93" s="32" t="str">
        <f t="shared" si="41"/>
        <v>ESTOQUE BAIXO</v>
      </c>
      <c r="N93" s="26" t="str">
        <f t="shared" si="36"/>
        <v>CALÇA CINZA OP. C/ FAIXA REFLETIVA TAM: G</v>
      </c>
      <c r="O93" s="27">
        <f>SUMIFS(ENTRADA!$F:$F,ENTRADA!$B:$B,ESTOQUE!$B93)</f>
        <v>1186</v>
      </c>
      <c r="P93" s="27">
        <f>SUMIFS(SAIDA!$F:$F,SAIDA!$B:$B,ESTOQUE!$B93)</f>
        <v>1090</v>
      </c>
      <c r="Q93" s="27">
        <f t="shared" si="37"/>
        <v>96</v>
      </c>
      <c r="R93" s="27" t="e">
        <f>Q93=#REF!</f>
        <v>#REF!</v>
      </c>
      <c r="S93" s="93">
        <f>IFERROR(SUMIFS(ENTRADA!$H:$H,ENTRADA!$B:$B,ESTOQUE!$B93)/O93,0)</f>
        <v>2.6974704890387859</v>
      </c>
      <c r="T93" s="93">
        <f t="shared" si="38"/>
        <v>258.95716694772347</v>
      </c>
      <c r="U93" s="93">
        <f t="shared" si="39"/>
        <v>2940.2428330522766</v>
      </c>
    </row>
    <row r="94" spans="2:21" ht="17.100000000000001" customHeight="1" thickBot="1" x14ac:dyDescent="0.3">
      <c r="B94" s="34">
        <v>47</v>
      </c>
      <c r="C94" s="116" t="s">
        <v>19</v>
      </c>
      <c r="D94" s="111" t="s">
        <v>115</v>
      </c>
      <c r="E94" s="116" t="s">
        <v>25</v>
      </c>
      <c r="F94" s="117" t="s">
        <v>25</v>
      </c>
      <c r="G94" s="114" t="s">
        <v>22</v>
      </c>
      <c r="H94" s="118">
        <v>250</v>
      </c>
      <c r="I94" s="118">
        <v>500</v>
      </c>
      <c r="J94" s="66">
        <f t="shared" si="40"/>
        <v>140</v>
      </c>
      <c r="K94" s="68">
        <f t="shared" si="27"/>
        <v>360</v>
      </c>
      <c r="L94" s="32" t="str">
        <f t="shared" si="41"/>
        <v>ESTOQUE BAIXO</v>
      </c>
      <c r="N94" s="26" t="str">
        <f t="shared" si="36"/>
        <v>CALÇA CINZA OP. C/ FAIXA REFLETIVA TAM: GG</v>
      </c>
      <c r="O94" s="27">
        <f>SUMIFS(ENTRADA!$F:$F,ENTRADA!$B:$B,ESTOQUE!$B94)</f>
        <v>451</v>
      </c>
      <c r="P94" s="27">
        <f>SUMIFS(SAIDA!$F:$F,SAIDA!$B:$B,ESTOQUE!$B94)</f>
        <v>311</v>
      </c>
      <c r="Q94" s="27">
        <f t="shared" si="37"/>
        <v>140</v>
      </c>
      <c r="R94" s="27" t="e">
        <f>Q94=#REF!</f>
        <v>#REF!</v>
      </c>
      <c r="S94" s="93">
        <f>IFERROR(SUMIFS(ENTRADA!$H:$H,ENTRADA!$B:$B,ESTOQUE!$B94)/O94,0)</f>
        <v>12.207538802660755</v>
      </c>
      <c r="T94" s="93">
        <f t="shared" si="38"/>
        <v>1709.0554323725057</v>
      </c>
      <c r="U94" s="93">
        <f t="shared" si="39"/>
        <v>3796.5445676274949</v>
      </c>
    </row>
    <row r="95" spans="2:21" ht="17.100000000000001" customHeight="1" thickBot="1" x14ac:dyDescent="0.3">
      <c r="B95" s="34">
        <v>48</v>
      </c>
      <c r="C95" s="116" t="s">
        <v>19</v>
      </c>
      <c r="D95" s="111" t="s">
        <v>116</v>
      </c>
      <c r="E95" s="116" t="s">
        <v>25</v>
      </c>
      <c r="F95" s="117" t="s">
        <v>25</v>
      </c>
      <c r="G95" s="114" t="s">
        <v>22</v>
      </c>
      <c r="H95" s="118">
        <v>200</v>
      </c>
      <c r="I95" s="118">
        <v>250</v>
      </c>
      <c r="J95" s="66">
        <f t="shared" si="40"/>
        <v>15</v>
      </c>
      <c r="K95" s="68">
        <f t="shared" si="27"/>
        <v>235</v>
      </c>
      <c r="L95" s="32" t="str">
        <f t="shared" si="41"/>
        <v>ESTOQUE BAIXO</v>
      </c>
      <c r="N95" s="26" t="str">
        <f t="shared" si="36"/>
        <v>CALÇA CINZA OP. C/ FAIXA REFLETIVA TAM: M</v>
      </c>
      <c r="O95" s="27">
        <f>SUMIFS(ENTRADA!$F:$F,ENTRADA!$B:$B,ESTOQUE!$B95)</f>
        <v>753</v>
      </c>
      <c r="P95" s="27">
        <f>SUMIFS(SAIDA!$F:$F,SAIDA!$B:$B,ESTOQUE!$B95)</f>
        <v>738</v>
      </c>
      <c r="Q95" s="27">
        <f t="shared" si="37"/>
        <v>15</v>
      </c>
      <c r="R95" s="27" t="e">
        <f>Q95=#REF!</f>
        <v>#REF!</v>
      </c>
      <c r="S95" s="93">
        <f>IFERROR(SUMIFS(ENTRADA!$H:$H,ENTRADA!$B:$B,ESTOQUE!$B95)/O95,0)</f>
        <v>0.59282868525896415</v>
      </c>
      <c r="T95" s="93">
        <f t="shared" si="38"/>
        <v>8.8924302788844614</v>
      </c>
      <c r="U95" s="93">
        <f t="shared" si="39"/>
        <v>437.50756972111554</v>
      </c>
    </row>
    <row r="96" spans="2:21" ht="17.100000000000001" customHeight="1" thickBot="1" x14ac:dyDescent="0.3">
      <c r="B96" s="34">
        <v>49</v>
      </c>
      <c r="C96" s="116" t="s">
        <v>19</v>
      </c>
      <c r="D96" s="111" t="s">
        <v>117</v>
      </c>
      <c r="E96" s="116" t="s">
        <v>25</v>
      </c>
      <c r="F96" s="117" t="s">
        <v>25</v>
      </c>
      <c r="G96" s="114" t="s">
        <v>22</v>
      </c>
      <c r="H96" s="118">
        <v>150</v>
      </c>
      <c r="I96" s="118">
        <v>250</v>
      </c>
      <c r="J96" s="66">
        <f t="shared" si="40"/>
        <v>40</v>
      </c>
      <c r="K96" s="68">
        <f t="shared" si="27"/>
        <v>210</v>
      </c>
      <c r="L96" s="32" t="str">
        <f t="shared" si="41"/>
        <v>ESTOQUE BAIXO</v>
      </c>
      <c r="N96" s="26" t="str">
        <f t="shared" si="36"/>
        <v>CALÇA CINZA OP. C/ FAIXA REFLETIVA TAM: P</v>
      </c>
      <c r="O96" s="27">
        <f>SUMIFS(ENTRADA!$F:$F,ENTRADA!$B:$B,ESTOQUE!$B96)</f>
        <v>528</v>
      </c>
      <c r="P96" s="27">
        <f>SUMIFS(SAIDA!$F:$F,SAIDA!$B:$B,ESTOQUE!$B96)</f>
        <v>488</v>
      </c>
      <c r="Q96" s="27">
        <f t="shared" si="37"/>
        <v>40</v>
      </c>
      <c r="R96" s="27" t="e">
        <f>Q96=#REF!</f>
        <v>#REF!</v>
      </c>
      <c r="S96" s="93">
        <f>IFERROR(SUMIFS(ENTRADA!$H:$H,ENTRADA!$B:$B,ESTOQUE!$B96)/O96,0)</f>
        <v>1.831818181818182</v>
      </c>
      <c r="T96" s="93">
        <f t="shared" si="38"/>
        <v>73.27272727272728</v>
      </c>
      <c r="U96" s="93">
        <f t="shared" si="39"/>
        <v>893.92727272727279</v>
      </c>
    </row>
    <row r="97" spans="2:21" ht="17.100000000000001" customHeight="1" thickBot="1" x14ac:dyDescent="0.3">
      <c r="B97" s="34">
        <v>50</v>
      </c>
      <c r="C97" s="116" t="s">
        <v>19</v>
      </c>
      <c r="D97" s="111" t="s">
        <v>118</v>
      </c>
      <c r="E97" s="116" t="s">
        <v>25</v>
      </c>
      <c r="F97" s="117" t="s">
        <v>25</v>
      </c>
      <c r="G97" s="114" t="s">
        <v>22</v>
      </c>
      <c r="H97" s="118">
        <v>150</v>
      </c>
      <c r="I97" s="118">
        <v>250</v>
      </c>
      <c r="J97" s="66">
        <f t="shared" si="40"/>
        <v>165</v>
      </c>
      <c r="K97" s="68">
        <f t="shared" si="27"/>
        <v>85</v>
      </c>
      <c r="L97" s="32" t="str">
        <f t="shared" si="41"/>
        <v>ESTOQUE NORMAL</v>
      </c>
      <c r="N97" s="26" t="str">
        <f t="shared" si="36"/>
        <v>CALÇA CINZA OP. C/ FAIXA REFLETIVA TAM: XG</v>
      </c>
      <c r="O97" s="27">
        <f>SUMIFS(ENTRADA!$F:$F,ENTRADA!$B:$B,ESTOQUE!$B97)</f>
        <v>200</v>
      </c>
      <c r="P97" s="27">
        <f>SUMIFS(SAIDA!$F:$F,SAIDA!$B:$B,ESTOQUE!$B97)</f>
        <v>35</v>
      </c>
      <c r="Q97" s="27">
        <f t="shared" si="37"/>
        <v>165</v>
      </c>
      <c r="R97" s="27" t="e">
        <f>Q97=#REF!</f>
        <v>#REF!</v>
      </c>
      <c r="S97" s="93">
        <f>IFERROR(SUMIFS(ENTRADA!$H:$H,ENTRADA!$B:$B,ESTOQUE!$B97)/O97,0)</f>
        <v>10.044</v>
      </c>
      <c r="T97" s="93">
        <f t="shared" si="38"/>
        <v>1657.26</v>
      </c>
      <c r="U97" s="93">
        <f t="shared" si="39"/>
        <v>351.54</v>
      </c>
    </row>
    <row r="98" spans="2:21" ht="17.100000000000001" customHeight="1" thickBot="1" x14ac:dyDescent="0.3">
      <c r="B98" s="34">
        <v>51</v>
      </c>
      <c r="C98" s="116" t="s">
        <v>19</v>
      </c>
      <c r="D98" s="111" t="s">
        <v>119</v>
      </c>
      <c r="E98" s="116">
        <v>41147</v>
      </c>
      <c r="F98" s="117">
        <v>45951</v>
      </c>
      <c r="G98" s="114" t="s">
        <v>22</v>
      </c>
      <c r="H98" s="118">
        <v>20</v>
      </c>
      <c r="I98" s="119">
        <v>30</v>
      </c>
      <c r="J98" s="66">
        <f t="shared" si="40"/>
        <v>0</v>
      </c>
      <c r="K98" s="68">
        <f t="shared" ref="K98:K129" si="42">I98-J98</f>
        <v>30</v>
      </c>
      <c r="L98" s="32" t="str">
        <f t="shared" si="41"/>
        <v>ESTOQUE BAIXO</v>
      </c>
      <c r="N98" s="26" t="str">
        <f t="shared" si="36"/>
        <v>CALÇA DE ELETRICISTA NR.10 TAM: EG</v>
      </c>
      <c r="O98" s="27">
        <f>SUMIFS(ENTRADA!$F:$F,ENTRADA!$B:$B,ESTOQUE!$B98)</f>
        <v>0</v>
      </c>
      <c r="P98" s="27">
        <f>SUMIFS(SAIDA!$F:$F,SAIDA!$B:$B,ESTOQUE!$B98)</f>
        <v>0</v>
      </c>
      <c r="Q98" s="27">
        <f t="shared" si="37"/>
        <v>0</v>
      </c>
      <c r="R98" s="27" t="e">
        <f>Q98=#REF!</f>
        <v>#REF!</v>
      </c>
      <c r="S98" s="93">
        <f>IFERROR(SUMIFS(ENTRADA!$H:$H,ENTRADA!$B:$B,ESTOQUE!$B98)/O98,0)</f>
        <v>0</v>
      </c>
      <c r="T98" s="93">
        <f t="shared" si="38"/>
        <v>0</v>
      </c>
      <c r="U98" s="93">
        <f t="shared" si="39"/>
        <v>0</v>
      </c>
    </row>
    <row r="99" spans="2:21" ht="17.100000000000001" customHeight="1" thickBot="1" x14ac:dyDescent="0.3">
      <c r="B99" s="34">
        <v>54</v>
      </c>
      <c r="C99" s="116" t="s">
        <v>19</v>
      </c>
      <c r="D99" s="111" t="s">
        <v>120</v>
      </c>
      <c r="E99" s="116">
        <v>41147</v>
      </c>
      <c r="F99" s="117">
        <v>45951</v>
      </c>
      <c r="G99" s="114" t="s">
        <v>22</v>
      </c>
      <c r="H99" s="118">
        <v>25</v>
      </c>
      <c r="I99" s="119">
        <v>50</v>
      </c>
      <c r="J99" s="66">
        <f t="shared" si="40"/>
        <v>13</v>
      </c>
      <c r="K99" s="68">
        <f t="shared" si="42"/>
        <v>37</v>
      </c>
      <c r="L99" s="32" t="str">
        <f t="shared" si="41"/>
        <v>ESTOQUE BAIXO</v>
      </c>
      <c r="N99" s="26" t="str">
        <f t="shared" si="36"/>
        <v>CALÇA DE ELETRICISTA NR.10 TAM: G</v>
      </c>
      <c r="O99" s="27">
        <f>SUMIFS(ENTRADA!$F:$F,ENTRADA!$B:$B,ESTOQUE!$B99)</f>
        <v>17</v>
      </c>
      <c r="P99" s="27">
        <f>SUMIFS(SAIDA!$F:$F,SAIDA!$B:$B,ESTOQUE!$B99)</f>
        <v>4</v>
      </c>
      <c r="Q99" s="27">
        <f t="shared" si="37"/>
        <v>13</v>
      </c>
      <c r="R99" s="27" t="e">
        <f>Q99=#REF!</f>
        <v>#REF!</v>
      </c>
      <c r="S99" s="93">
        <f>IFERROR(SUMIFS(ENTRADA!$H:$H,ENTRADA!$B:$B,ESTOQUE!$B99)/O99,0)</f>
        <v>0</v>
      </c>
      <c r="T99" s="93">
        <f t="shared" si="38"/>
        <v>0</v>
      </c>
      <c r="U99" s="93">
        <f t="shared" si="39"/>
        <v>0</v>
      </c>
    </row>
    <row r="100" spans="2:21" ht="17.100000000000001" customHeight="1" thickBot="1" x14ac:dyDescent="0.3">
      <c r="B100" s="34">
        <v>52</v>
      </c>
      <c r="C100" s="116" t="s">
        <v>19</v>
      </c>
      <c r="D100" s="111" t="s">
        <v>121</v>
      </c>
      <c r="E100" s="116">
        <v>41147</v>
      </c>
      <c r="F100" s="117">
        <v>45951</v>
      </c>
      <c r="G100" s="114" t="s">
        <v>22</v>
      </c>
      <c r="H100" s="118">
        <v>25</v>
      </c>
      <c r="I100" s="119">
        <v>50</v>
      </c>
      <c r="J100" s="66">
        <f t="shared" si="40"/>
        <v>10</v>
      </c>
      <c r="K100" s="68">
        <f t="shared" si="42"/>
        <v>40</v>
      </c>
      <c r="L100" s="32" t="str">
        <f t="shared" si="41"/>
        <v>ESTOQUE BAIXO</v>
      </c>
      <c r="N100" s="26" t="str">
        <f t="shared" si="36"/>
        <v>CALÇA DE ELETRICISTA NR.10 TAM: GG</v>
      </c>
      <c r="O100" s="27">
        <f>SUMIFS(ENTRADA!$F:$F,ENTRADA!$B:$B,ESTOQUE!$B100)</f>
        <v>15</v>
      </c>
      <c r="P100" s="27">
        <f>SUMIFS(SAIDA!$F:$F,SAIDA!$B:$B,ESTOQUE!$B100)</f>
        <v>5</v>
      </c>
      <c r="Q100" s="27">
        <f t="shared" si="37"/>
        <v>10</v>
      </c>
      <c r="R100" s="27" t="e">
        <f>Q100=#REF!</f>
        <v>#REF!</v>
      </c>
      <c r="S100" s="93">
        <f>IFERROR(SUMIFS(ENTRADA!$H:$H,ENTRADA!$B:$B,ESTOQUE!$B100)/O100,0)</f>
        <v>0</v>
      </c>
      <c r="T100" s="93">
        <f t="shared" si="38"/>
        <v>0</v>
      </c>
      <c r="U100" s="93">
        <f t="shared" si="39"/>
        <v>0</v>
      </c>
    </row>
    <row r="101" spans="2:21" ht="19.5" customHeight="1" thickBot="1" x14ac:dyDescent="0.3">
      <c r="B101" s="34">
        <v>202</v>
      </c>
      <c r="C101" s="116" t="s">
        <v>19</v>
      </c>
      <c r="D101" s="111" t="s">
        <v>122</v>
      </c>
      <c r="E101" s="116">
        <v>41147</v>
      </c>
      <c r="F101" s="117">
        <v>45951</v>
      </c>
      <c r="G101" s="114" t="s">
        <v>22</v>
      </c>
      <c r="H101" s="118">
        <v>25</v>
      </c>
      <c r="I101" s="119">
        <v>50</v>
      </c>
      <c r="J101" s="66">
        <f t="shared" si="40"/>
        <v>8</v>
      </c>
      <c r="K101" s="68">
        <f t="shared" si="42"/>
        <v>42</v>
      </c>
      <c r="L101" s="32" t="str">
        <f t="shared" si="41"/>
        <v>ESTOQUE BAIXO</v>
      </c>
      <c r="N101" s="26" t="str">
        <f t="shared" si="36"/>
        <v>CALÇA DE ELETRICISTA NR.10 TAM: M</v>
      </c>
      <c r="O101" s="27">
        <f>SUMIFS(ENTRADA!$F:$F,ENTRADA!$B:$B,ESTOQUE!$B101)</f>
        <v>10</v>
      </c>
      <c r="P101" s="27">
        <f>SUMIFS(SAIDA!$F:$F,SAIDA!$B:$B,ESTOQUE!$B101)</f>
        <v>2</v>
      </c>
      <c r="Q101" s="27">
        <f t="shared" si="37"/>
        <v>8</v>
      </c>
      <c r="R101" s="27" t="e">
        <f>Q101=#REF!</f>
        <v>#REF!</v>
      </c>
      <c r="S101" s="93">
        <f>IFERROR(SUMIFS(ENTRADA!$H:$H,ENTRADA!$B:$B,ESTOQUE!$B101)/O101,0)</f>
        <v>0</v>
      </c>
      <c r="T101" s="93">
        <f t="shared" si="38"/>
        <v>0</v>
      </c>
      <c r="U101" s="93">
        <f t="shared" si="39"/>
        <v>0</v>
      </c>
    </row>
    <row r="102" spans="2:21" ht="17.100000000000001" customHeight="1" thickBot="1" x14ac:dyDescent="0.3">
      <c r="B102" s="34">
        <v>53</v>
      </c>
      <c r="C102" s="116" t="s">
        <v>19</v>
      </c>
      <c r="D102" s="111" t="s">
        <v>123</v>
      </c>
      <c r="E102" s="116">
        <v>41147</v>
      </c>
      <c r="F102" s="117">
        <v>45951</v>
      </c>
      <c r="G102" s="114" t="s">
        <v>22</v>
      </c>
      <c r="H102" s="118">
        <v>20</v>
      </c>
      <c r="I102" s="119">
        <v>30</v>
      </c>
      <c r="J102" s="66">
        <f t="shared" si="40"/>
        <v>11</v>
      </c>
      <c r="K102" s="68">
        <f t="shared" si="42"/>
        <v>19</v>
      </c>
      <c r="L102" s="32" t="str">
        <f t="shared" si="41"/>
        <v>ESTOQUE BAIXO</v>
      </c>
      <c r="N102" s="26" t="str">
        <f t="shared" si="36"/>
        <v>CALÇA DE ELETRICISTA NR.10 TAM: P</v>
      </c>
      <c r="O102" s="27">
        <f>SUMIFS(ENTRADA!$F:$F,ENTRADA!$B:$B,ESTOQUE!$B102)</f>
        <v>23</v>
      </c>
      <c r="P102" s="27">
        <f>SUMIFS(SAIDA!$F:$F,SAIDA!$B:$B,ESTOQUE!$B102)</f>
        <v>12</v>
      </c>
      <c r="Q102" s="27">
        <f t="shared" si="37"/>
        <v>11</v>
      </c>
      <c r="R102" s="27" t="e">
        <f>Q102=#REF!</f>
        <v>#REF!</v>
      </c>
      <c r="S102" s="93">
        <f>IFERROR(SUMIFS(ENTRADA!$H:$H,ENTRADA!$B:$B,ESTOQUE!$B102)/O102,0)</f>
        <v>0</v>
      </c>
      <c r="T102" s="93">
        <f t="shared" si="38"/>
        <v>0</v>
      </c>
      <c r="U102" s="93">
        <f t="shared" si="39"/>
        <v>0</v>
      </c>
    </row>
    <row r="103" spans="2:21" ht="17.100000000000001" customHeight="1" thickBot="1" x14ac:dyDescent="0.3">
      <c r="B103" s="34">
        <v>55</v>
      </c>
      <c r="C103" s="116" t="s">
        <v>19</v>
      </c>
      <c r="D103" s="111" t="s">
        <v>124</v>
      </c>
      <c r="E103" s="116">
        <v>41147</v>
      </c>
      <c r="F103" s="117">
        <v>45951</v>
      </c>
      <c r="G103" s="114" t="s">
        <v>22</v>
      </c>
      <c r="H103" s="118">
        <v>10</v>
      </c>
      <c r="I103" s="119">
        <v>20</v>
      </c>
      <c r="J103" s="66">
        <f t="shared" si="40"/>
        <v>17</v>
      </c>
      <c r="K103" s="68">
        <f t="shared" si="42"/>
        <v>3</v>
      </c>
      <c r="L103" s="32" t="str">
        <f t="shared" si="41"/>
        <v>ESTOQUE NORMAL</v>
      </c>
      <c r="N103" s="26" t="str">
        <f t="shared" si="36"/>
        <v>CALÇA DE ELETRICISTA NR.10 TAM: XGG</v>
      </c>
      <c r="O103" s="27">
        <f>SUMIFS(ENTRADA!$F:$F,ENTRADA!$B:$B,ESTOQUE!$B103)</f>
        <v>17</v>
      </c>
      <c r="P103" s="27">
        <f>SUMIFS(SAIDA!$F:$F,SAIDA!$B:$B,ESTOQUE!$B103)</f>
        <v>0</v>
      </c>
      <c r="Q103" s="27">
        <f t="shared" si="37"/>
        <v>17</v>
      </c>
      <c r="R103" s="27" t="e">
        <f>Q103=#REF!</f>
        <v>#REF!</v>
      </c>
      <c r="S103" s="93">
        <f>IFERROR(SUMIFS(ENTRADA!$H:$H,ENTRADA!$B:$B,ESTOQUE!$B103)/O103,0)</f>
        <v>0</v>
      </c>
      <c r="T103" s="93">
        <f t="shared" si="38"/>
        <v>0</v>
      </c>
      <c r="U103" s="93">
        <f t="shared" si="39"/>
        <v>0</v>
      </c>
    </row>
    <row r="104" spans="2:21" ht="17.100000000000001" customHeight="1" thickBot="1" x14ac:dyDescent="0.3">
      <c r="B104" s="34">
        <v>56</v>
      </c>
      <c r="C104" s="116" t="s">
        <v>19</v>
      </c>
      <c r="D104" s="111" t="s">
        <v>125</v>
      </c>
      <c r="E104" s="116" t="s">
        <v>25</v>
      </c>
      <c r="F104" s="117" t="s">
        <v>25</v>
      </c>
      <c r="G104" s="114" t="s">
        <v>22</v>
      </c>
      <c r="H104" s="118">
        <v>20</v>
      </c>
      <c r="I104" s="119">
        <v>50</v>
      </c>
      <c r="J104" s="66">
        <f t="shared" si="40"/>
        <v>0</v>
      </c>
      <c r="K104" s="68">
        <f t="shared" si="42"/>
        <v>50</v>
      </c>
      <c r="L104" s="32" t="str">
        <f t="shared" si="41"/>
        <v>ESTOQUE BAIXO</v>
      </c>
      <c r="N104" s="26" t="str">
        <f t="shared" si="36"/>
        <v>CAMISA ADM FEMININA TAM: G</v>
      </c>
      <c r="O104" s="27">
        <f>SUMIFS(ENTRADA!$F:$F,ENTRADA!$B:$B,ESTOQUE!$B104)</f>
        <v>3</v>
      </c>
      <c r="P104" s="27">
        <f>SUMIFS(SAIDA!$F:$F,SAIDA!$B:$B,ESTOQUE!$B104)</f>
        <v>3</v>
      </c>
      <c r="Q104" s="27">
        <f t="shared" si="37"/>
        <v>0</v>
      </c>
      <c r="R104" s="27" t="e">
        <f>Q104=#REF!</f>
        <v>#REF!</v>
      </c>
      <c r="S104" s="93">
        <f>IFERROR(SUMIFS(ENTRADA!$H:$H,ENTRADA!$B:$B,ESTOQUE!$B104)/O104,0)</f>
        <v>69.900000000000006</v>
      </c>
      <c r="T104" s="93">
        <f t="shared" si="38"/>
        <v>0</v>
      </c>
      <c r="U104" s="93">
        <f t="shared" si="39"/>
        <v>209.70000000000002</v>
      </c>
    </row>
    <row r="105" spans="2:21" ht="17.100000000000001" customHeight="1" thickBot="1" x14ac:dyDescent="0.3">
      <c r="B105" s="34">
        <v>57</v>
      </c>
      <c r="C105" s="116" t="s">
        <v>19</v>
      </c>
      <c r="D105" s="111" t="s">
        <v>126</v>
      </c>
      <c r="E105" s="116" t="s">
        <v>25</v>
      </c>
      <c r="F105" s="117" t="s">
        <v>25</v>
      </c>
      <c r="G105" s="114" t="s">
        <v>22</v>
      </c>
      <c r="H105" s="118">
        <v>20</v>
      </c>
      <c r="I105" s="119">
        <v>50</v>
      </c>
      <c r="J105" s="66">
        <f t="shared" si="40"/>
        <v>0</v>
      </c>
      <c r="K105" s="68">
        <f t="shared" si="42"/>
        <v>50</v>
      </c>
      <c r="L105" s="32" t="str">
        <f t="shared" si="41"/>
        <v>ESTOQUE BAIXO</v>
      </c>
      <c r="N105" s="26" t="str">
        <f t="shared" si="36"/>
        <v>CAMISA ADM FEMININA TAM: GG</v>
      </c>
      <c r="O105" s="27">
        <f>SUMIFS(ENTRADA!$F:$F,ENTRADA!$B:$B,ESTOQUE!$B105)</f>
        <v>0</v>
      </c>
      <c r="P105" s="27">
        <f>SUMIFS(SAIDA!$F:$F,SAIDA!$B:$B,ESTOQUE!$B105)</f>
        <v>0</v>
      </c>
      <c r="Q105" s="27">
        <f t="shared" si="37"/>
        <v>0</v>
      </c>
      <c r="R105" s="27" t="e">
        <f>Q105=#REF!</f>
        <v>#REF!</v>
      </c>
      <c r="S105" s="93">
        <f>IFERROR(SUMIFS(ENTRADA!$H:$H,ENTRADA!$B:$B,ESTOQUE!$B105)/O105,0)</f>
        <v>0</v>
      </c>
      <c r="T105" s="93">
        <f t="shared" si="38"/>
        <v>0</v>
      </c>
      <c r="U105" s="93">
        <f t="shared" si="39"/>
        <v>0</v>
      </c>
    </row>
    <row r="106" spans="2:21" ht="17.100000000000001" customHeight="1" thickBot="1" x14ac:dyDescent="0.3">
      <c r="B106" s="34">
        <v>58</v>
      </c>
      <c r="C106" s="116" t="s">
        <v>19</v>
      </c>
      <c r="D106" s="111" t="s">
        <v>127</v>
      </c>
      <c r="E106" s="116" t="s">
        <v>25</v>
      </c>
      <c r="F106" s="117" t="s">
        <v>25</v>
      </c>
      <c r="G106" s="114" t="s">
        <v>22</v>
      </c>
      <c r="H106" s="118">
        <v>20</v>
      </c>
      <c r="I106" s="119">
        <v>50</v>
      </c>
      <c r="J106" s="66">
        <f t="shared" si="40"/>
        <v>0</v>
      </c>
      <c r="K106" s="68">
        <f t="shared" si="42"/>
        <v>50</v>
      </c>
      <c r="L106" s="32" t="str">
        <f t="shared" si="41"/>
        <v>ESTOQUE BAIXO</v>
      </c>
      <c r="N106" s="26" t="str">
        <f t="shared" si="36"/>
        <v>CAMISA ADM FEMININA TAM: M</v>
      </c>
      <c r="O106" s="27">
        <f>SUMIFS(ENTRADA!$F:$F,ENTRADA!$B:$B,ESTOQUE!$B106)</f>
        <v>22</v>
      </c>
      <c r="P106" s="27">
        <f>SUMIFS(SAIDA!$F:$F,SAIDA!$B:$B,ESTOQUE!$B106)</f>
        <v>22</v>
      </c>
      <c r="Q106" s="27">
        <f t="shared" si="37"/>
        <v>0</v>
      </c>
      <c r="R106" s="27" t="e">
        <f>Q106=#REF!</f>
        <v>#REF!</v>
      </c>
      <c r="S106" s="93">
        <f>IFERROR(SUMIFS(ENTRADA!$H:$H,ENTRADA!$B:$B,ESTOQUE!$B106)/O106,0)</f>
        <v>6.3545454545454554</v>
      </c>
      <c r="T106" s="93">
        <f t="shared" si="38"/>
        <v>0</v>
      </c>
      <c r="U106" s="93">
        <f t="shared" si="39"/>
        <v>139.80000000000001</v>
      </c>
    </row>
    <row r="107" spans="2:21" ht="17.100000000000001" customHeight="1" thickBot="1" x14ac:dyDescent="0.3">
      <c r="B107" s="34">
        <v>59</v>
      </c>
      <c r="C107" s="116" t="s">
        <v>19</v>
      </c>
      <c r="D107" s="111" t="s">
        <v>128</v>
      </c>
      <c r="E107" s="116" t="s">
        <v>25</v>
      </c>
      <c r="F107" s="117" t="s">
        <v>25</v>
      </c>
      <c r="G107" s="114" t="s">
        <v>22</v>
      </c>
      <c r="H107" s="118">
        <v>20</v>
      </c>
      <c r="I107" s="119">
        <v>40</v>
      </c>
      <c r="J107" s="66">
        <f t="shared" si="40"/>
        <v>0</v>
      </c>
      <c r="K107" s="68">
        <f t="shared" si="42"/>
        <v>40</v>
      </c>
      <c r="L107" s="32" t="str">
        <f t="shared" si="41"/>
        <v>ESTOQUE BAIXO</v>
      </c>
      <c r="N107" s="26" t="str">
        <f t="shared" si="36"/>
        <v>CAMISA ADM FEMININA TAM: P</v>
      </c>
      <c r="O107" s="27">
        <f>SUMIFS(ENTRADA!$F:$F,ENTRADA!$B:$B,ESTOQUE!$B107)</f>
        <v>10</v>
      </c>
      <c r="P107" s="27">
        <f>SUMIFS(SAIDA!$F:$F,SAIDA!$B:$B,ESTOQUE!$B107)</f>
        <v>10</v>
      </c>
      <c r="Q107" s="27">
        <f t="shared" si="37"/>
        <v>0</v>
      </c>
      <c r="R107" s="27" t="e">
        <f>Q107=#REF!</f>
        <v>#REF!</v>
      </c>
      <c r="S107" s="93">
        <f>IFERROR(SUMIFS(ENTRADA!$H:$H,ENTRADA!$B:$B,ESTOQUE!$B107)/O107,0)</f>
        <v>0</v>
      </c>
      <c r="T107" s="93">
        <f t="shared" si="38"/>
        <v>0</v>
      </c>
      <c r="U107" s="93">
        <f t="shared" si="39"/>
        <v>0</v>
      </c>
    </row>
    <row r="108" spans="2:21" ht="17.100000000000001" customHeight="1" thickBot="1" x14ac:dyDescent="0.3">
      <c r="B108" s="34">
        <v>60</v>
      </c>
      <c r="C108" s="116" t="s">
        <v>19</v>
      </c>
      <c r="D108" s="111" t="s">
        <v>129</v>
      </c>
      <c r="E108" s="116" t="s">
        <v>25</v>
      </c>
      <c r="F108" s="117" t="s">
        <v>25</v>
      </c>
      <c r="G108" s="114" t="s">
        <v>22</v>
      </c>
      <c r="H108" s="118">
        <v>40</v>
      </c>
      <c r="I108" s="119">
        <v>100</v>
      </c>
      <c r="J108" s="66">
        <f t="shared" si="40"/>
        <v>0</v>
      </c>
      <c r="K108" s="68">
        <f t="shared" si="42"/>
        <v>100</v>
      </c>
      <c r="L108" s="32" t="str">
        <f t="shared" si="41"/>
        <v>ESTOQUE BAIXO</v>
      </c>
      <c r="N108" s="26" t="str">
        <f t="shared" si="36"/>
        <v>CAMISA ADM MASCULINA TAM: G</v>
      </c>
      <c r="O108" s="27">
        <f>SUMIFS(ENTRADA!$F:$F,ENTRADA!$B:$B,ESTOQUE!$B108)</f>
        <v>3</v>
      </c>
      <c r="P108" s="27">
        <f>SUMIFS(SAIDA!$F:$F,SAIDA!$B:$B,ESTOQUE!$B108)</f>
        <v>3</v>
      </c>
      <c r="Q108" s="27">
        <f t="shared" si="37"/>
        <v>0</v>
      </c>
      <c r="R108" s="27" t="e">
        <f>Q108=#REF!</f>
        <v>#REF!</v>
      </c>
      <c r="S108" s="93">
        <f>IFERROR(SUMIFS(ENTRADA!$H:$H,ENTRADA!$B:$B,ESTOQUE!$B108)/O108,0)</f>
        <v>69.900000000000006</v>
      </c>
      <c r="T108" s="93">
        <f t="shared" si="38"/>
        <v>0</v>
      </c>
      <c r="U108" s="93">
        <f t="shared" si="39"/>
        <v>209.70000000000002</v>
      </c>
    </row>
    <row r="109" spans="2:21" ht="17.100000000000001" customHeight="1" thickBot="1" x14ac:dyDescent="0.3">
      <c r="B109" s="34">
        <v>61</v>
      </c>
      <c r="C109" s="116" t="s">
        <v>19</v>
      </c>
      <c r="D109" s="111" t="s">
        <v>130</v>
      </c>
      <c r="E109" s="116" t="s">
        <v>25</v>
      </c>
      <c r="F109" s="117" t="s">
        <v>25</v>
      </c>
      <c r="G109" s="114" t="s">
        <v>22</v>
      </c>
      <c r="H109" s="118">
        <v>40</v>
      </c>
      <c r="I109" s="119">
        <v>100</v>
      </c>
      <c r="J109" s="66">
        <f t="shared" si="40"/>
        <v>0</v>
      </c>
      <c r="K109" s="68">
        <f t="shared" si="42"/>
        <v>100</v>
      </c>
      <c r="L109" s="32" t="str">
        <f t="shared" si="41"/>
        <v>ESTOQUE BAIXO</v>
      </c>
      <c r="N109" s="26" t="str">
        <f t="shared" si="36"/>
        <v>CAMISA ADM MASCULINA TAM: GG</v>
      </c>
      <c r="O109" s="27">
        <f>SUMIFS(ENTRADA!$F:$F,ENTRADA!$B:$B,ESTOQUE!$B109)</f>
        <v>0</v>
      </c>
      <c r="P109" s="27">
        <f>SUMIFS(SAIDA!$F:$F,SAIDA!$B:$B,ESTOQUE!$B109)</f>
        <v>0</v>
      </c>
      <c r="Q109" s="27">
        <f t="shared" si="37"/>
        <v>0</v>
      </c>
      <c r="R109" s="27" t="e">
        <f>Q109=#REF!</f>
        <v>#REF!</v>
      </c>
      <c r="S109" s="93">
        <f>IFERROR(SUMIFS(ENTRADA!$H:$H,ENTRADA!$B:$B,ESTOQUE!$B109)/O109,0)</f>
        <v>0</v>
      </c>
      <c r="T109" s="93">
        <f t="shared" si="38"/>
        <v>0</v>
      </c>
      <c r="U109" s="93">
        <f t="shared" si="39"/>
        <v>0</v>
      </c>
    </row>
    <row r="110" spans="2:21" ht="17.100000000000001" customHeight="1" thickBot="1" x14ac:dyDescent="0.3">
      <c r="B110" s="34">
        <v>62</v>
      </c>
      <c r="C110" s="116" t="s">
        <v>19</v>
      </c>
      <c r="D110" s="111" t="s">
        <v>131</v>
      </c>
      <c r="E110" s="116" t="s">
        <v>25</v>
      </c>
      <c r="F110" s="117" t="s">
        <v>25</v>
      </c>
      <c r="G110" s="114" t="s">
        <v>22</v>
      </c>
      <c r="H110" s="118">
        <v>40</v>
      </c>
      <c r="I110" s="119">
        <v>100</v>
      </c>
      <c r="J110" s="66">
        <f t="shared" si="40"/>
        <v>0</v>
      </c>
      <c r="K110" s="68">
        <f t="shared" si="42"/>
        <v>100</v>
      </c>
      <c r="L110" s="32" t="str">
        <f t="shared" si="41"/>
        <v>ESTOQUE BAIXO</v>
      </c>
      <c r="N110" s="26" t="str">
        <f t="shared" si="36"/>
        <v>CAMISA ADM MASCULINA TAM: M</v>
      </c>
      <c r="O110" s="27">
        <f>SUMIFS(ENTRADA!$F:$F,ENTRADA!$B:$B,ESTOQUE!$B110)</f>
        <v>0</v>
      </c>
      <c r="P110" s="27">
        <f>SUMIFS(SAIDA!$F:$F,SAIDA!$B:$B,ESTOQUE!$B110)</f>
        <v>0</v>
      </c>
      <c r="Q110" s="27">
        <f t="shared" si="37"/>
        <v>0</v>
      </c>
      <c r="R110" s="27" t="e">
        <f>Q110=#REF!</f>
        <v>#REF!</v>
      </c>
      <c r="S110" s="93">
        <f>IFERROR(SUMIFS(ENTRADA!$H:$H,ENTRADA!$B:$B,ESTOQUE!$B110)/O110,0)</f>
        <v>0</v>
      </c>
      <c r="T110" s="93">
        <f t="shared" si="38"/>
        <v>0</v>
      </c>
      <c r="U110" s="93">
        <f t="shared" si="39"/>
        <v>0</v>
      </c>
    </row>
    <row r="111" spans="2:21" ht="17.100000000000001" customHeight="1" thickBot="1" x14ac:dyDescent="0.3">
      <c r="B111" s="34">
        <v>63</v>
      </c>
      <c r="C111" s="116" t="s">
        <v>19</v>
      </c>
      <c r="D111" s="111" t="s">
        <v>132</v>
      </c>
      <c r="E111" s="116" t="s">
        <v>25</v>
      </c>
      <c r="F111" s="117" t="s">
        <v>25</v>
      </c>
      <c r="G111" s="114" t="s">
        <v>22</v>
      </c>
      <c r="H111" s="118">
        <v>20</v>
      </c>
      <c r="I111" s="119">
        <v>100</v>
      </c>
      <c r="J111" s="66">
        <f t="shared" si="40"/>
        <v>0</v>
      </c>
      <c r="K111" s="68">
        <f t="shared" si="42"/>
        <v>100</v>
      </c>
      <c r="L111" s="32" t="str">
        <f t="shared" si="41"/>
        <v>ESTOQUE BAIXO</v>
      </c>
      <c r="N111" s="26" t="str">
        <f t="shared" si="36"/>
        <v>CAMISA ADM MASCULINA TAM: P</v>
      </c>
      <c r="O111" s="27">
        <f>SUMIFS(ENTRADA!$F:$F,ENTRADA!$B:$B,ESTOQUE!$B111)</f>
        <v>0</v>
      </c>
      <c r="P111" s="27">
        <f>SUMIFS(SAIDA!$F:$F,SAIDA!$B:$B,ESTOQUE!$B111)</f>
        <v>0</v>
      </c>
      <c r="Q111" s="27">
        <f t="shared" si="37"/>
        <v>0</v>
      </c>
      <c r="R111" s="27" t="e">
        <f>Q111=#REF!</f>
        <v>#REF!</v>
      </c>
      <c r="S111" s="93">
        <f>IFERROR(SUMIFS(ENTRADA!$H:$H,ENTRADA!$B:$B,ESTOQUE!$B111)/O111,0)</f>
        <v>0</v>
      </c>
      <c r="T111" s="93">
        <f t="shared" si="38"/>
        <v>0</v>
      </c>
      <c r="U111" s="93">
        <f t="shared" si="39"/>
        <v>0</v>
      </c>
    </row>
    <row r="112" spans="2:21" ht="17.100000000000001" customHeight="1" thickBot="1" x14ac:dyDescent="0.3">
      <c r="B112" s="34">
        <v>204</v>
      </c>
      <c r="C112" s="116" t="s">
        <v>19</v>
      </c>
      <c r="D112" s="111" t="s">
        <v>133</v>
      </c>
      <c r="E112" s="116" t="s">
        <v>25</v>
      </c>
      <c r="F112" s="117" t="s">
        <v>25</v>
      </c>
      <c r="G112" s="114" t="s">
        <v>22</v>
      </c>
      <c r="H112" s="118">
        <v>30</v>
      </c>
      <c r="I112" s="119">
        <v>100</v>
      </c>
      <c r="J112" s="66">
        <f t="shared" si="40"/>
        <v>0</v>
      </c>
      <c r="K112" s="68">
        <f t="shared" si="42"/>
        <v>100</v>
      </c>
      <c r="L112" s="32" t="str">
        <f t="shared" si="41"/>
        <v>ESTOQUE BAIXO</v>
      </c>
      <c r="N112" s="26" t="str">
        <f t="shared" si="36"/>
        <v>CAMISA ADM MASCULINA TAM: XG</v>
      </c>
      <c r="O112" s="27">
        <f>SUMIFS(ENTRADA!$F:$F,ENTRADA!$B:$B,ESTOQUE!$B112)</f>
        <v>0</v>
      </c>
      <c r="P112" s="27">
        <f>SUMIFS(SAIDA!$F:$F,SAIDA!$B:$B,ESTOQUE!$B112)</f>
        <v>0</v>
      </c>
      <c r="Q112" s="27">
        <f t="shared" si="37"/>
        <v>0</v>
      </c>
      <c r="R112" s="27" t="e">
        <f>Q112=#REF!</f>
        <v>#REF!</v>
      </c>
      <c r="S112" s="93">
        <f>IFERROR(SUMIFS(ENTRADA!$H:$H,ENTRADA!$B:$B,ESTOQUE!$B112)/O112,0)</f>
        <v>0</v>
      </c>
      <c r="T112" s="93">
        <f t="shared" si="38"/>
        <v>0</v>
      </c>
      <c r="U112" s="93">
        <f t="shared" si="39"/>
        <v>0</v>
      </c>
    </row>
    <row r="113" spans="2:21" ht="17.100000000000001" customHeight="1" thickBot="1" x14ac:dyDescent="0.3">
      <c r="B113" s="34">
        <v>203</v>
      </c>
      <c r="C113" s="116" t="s">
        <v>19</v>
      </c>
      <c r="D113" s="111" t="s">
        <v>134</v>
      </c>
      <c r="E113" s="116" t="s">
        <v>25</v>
      </c>
      <c r="F113" s="117" t="s">
        <v>25</v>
      </c>
      <c r="G113" s="114" t="s">
        <v>22</v>
      </c>
      <c r="H113" s="118">
        <v>20</v>
      </c>
      <c r="I113" s="119">
        <v>50</v>
      </c>
      <c r="J113" s="66">
        <f t="shared" si="40"/>
        <v>0</v>
      </c>
      <c r="K113" s="68">
        <f t="shared" si="42"/>
        <v>50</v>
      </c>
      <c r="L113" s="32" t="str">
        <f t="shared" si="41"/>
        <v>ESTOQUE BAIXO</v>
      </c>
      <c r="N113" s="26" t="str">
        <f t="shared" si="36"/>
        <v>CAMISA ADM MASCULINA TAM: XGG</v>
      </c>
      <c r="O113" s="27">
        <f>SUMIFS(ENTRADA!$F:$F,ENTRADA!$B:$B,ESTOQUE!$B113)</f>
        <v>0</v>
      </c>
      <c r="P113" s="27">
        <f>SUMIFS(SAIDA!$F:$F,SAIDA!$B:$B,ESTOQUE!$B113)</f>
        <v>0</v>
      </c>
      <c r="Q113" s="27">
        <f t="shared" si="37"/>
        <v>0</v>
      </c>
      <c r="R113" s="27" t="e">
        <f>Q113=#REF!</f>
        <v>#REF!</v>
      </c>
      <c r="S113" s="93">
        <f>IFERROR(SUMIFS(ENTRADA!$H:$H,ENTRADA!$B:$B,ESTOQUE!$B113)/O113,0)</f>
        <v>0</v>
      </c>
      <c r="T113" s="93">
        <f t="shared" si="38"/>
        <v>0</v>
      </c>
      <c r="U113" s="93">
        <f t="shared" si="39"/>
        <v>0</v>
      </c>
    </row>
    <row r="114" spans="2:21" ht="17.100000000000001" customHeight="1" thickBot="1" x14ac:dyDescent="0.3">
      <c r="B114" s="34">
        <v>185</v>
      </c>
      <c r="C114" s="116" t="s">
        <v>19</v>
      </c>
      <c r="D114" s="111" t="s">
        <v>135</v>
      </c>
      <c r="E114" s="116">
        <v>41146</v>
      </c>
      <c r="F114" s="117">
        <v>45951</v>
      </c>
      <c r="G114" s="114" t="s">
        <v>22</v>
      </c>
      <c r="H114" s="118">
        <v>25</v>
      </c>
      <c r="I114" s="119">
        <v>50</v>
      </c>
      <c r="J114" s="66">
        <f t="shared" si="40"/>
        <v>8</v>
      </c>
      <c r="K114" s="68">
        <f t="shared" si="42"/>
        <v>42</v>
      </c>
      <c r="L114" s="32" t="str">
        <f t="shared" si="41"/>
        <v>ESTOQUE BAIXO</v>
      </c>
      <c r="N114" s="26" t="str">
        <f t="shared" si="36"/>
        <v>CAMISA DE ELETRICISTA NR.10 TAM: G</v>
      </c>
      <c r="O114" s="27">
        <f>SUMIFS(ENTRADA!$F:$F,ENTRADA!$B:$B,ESTOQUE!$B114)</f>
        <v>13</v>
      </c>
      <c r="P114" s="27">
        <f>SUMIFS(SAIDA!$F:$F,SAIDA!$B:$B,ESTOQUE!$B114)</f>
        <v>5</v>
      </c>
      <c r="Q114" s="27">
        <f t="shared" si="37"/>
        <v>8</v>
      </c>
      <c r="R114" s="27" t="e">
        <f>Q114=#REF!</f>
        <v>#REF!</v>
      </c>
      <c r="S114" s="93">
        <f>IFERROR(SUMIFS(ENTRADA!$H:$H,ENTRADA!$B:$B,ESTOQUE!$B114)/O114,0)</f>
        <v>0</v>
      </c>
      <c r="T114" s="93">
        <f t="shared" si="38"/>
        <v>0</v>
      </c>
      <c r="U114" s="93">
        <f t="shared" si="39"/>
        <v>0</v>
      </c>
    </row>
    <row r="115" spans="2:21" ht="17.100000000000001" customHeight="1" thickBot="1" x14ac:dyDescent="0.3">
      <c r="B115" s="34">
        <v>64</v>
      </c>
      <c r="C115" s="116" t="s">
        <v>19</v>
      </c>
      <c r="D115" s="111" t="s">
        <v>136</v>
      </c>
      <c r="E115" s="116">
        <v>41146</v>
      </c>
      <c r="F115" s="117">
        <v>45951</v>
      </c>
      <c r="G115" s="114" t="s">
        <v>22</v>
      </c>
      <c r="H115" s="118">
        <v>25</v>
      </c>
      <c r="I115" s="119">
        <v>50</v>
      </c>
      <c r="J115" s="66">
        <f t="shared" si="40"/>
        <v>10</v>
      </c>
      <c r="K115" s="68">
        <f t="shared" si="42"/>
        <v>40</v>
      </c>
      <c r="L115" s="32" t="str">
        <f t="shared" si="41"/>
        <v>ESTOQUE BAIXO</v>
      </c>
      <c r="N115" s="26" t="str">
        <f t="shared" si="36"/>
        <v>CAMISA DE ELETRICISTA NR.10 TAM: GG</v>
      </c>
      <c r="O115" s="27">
        <f>SUMIFS(ENTRADA!$F:$F,ENTRADA!$B:$B,ESTOQUE!$B115)</f>
        <v>13</v>
      </c>
      <c r="P115" s="27">
        <f>SUMIFS(SAIDA!$F:$F,SAIDA!$B:$B,ESTOQUE!$B115)</f>
        <v>3</v>
      </c>
      <c r="Q115" s="27">
        <f t="shared" si="37"/>
        <v>10</v>
      </c>
      <c r="R115" s="27" t="e">
        <f>Q115=#REF!</f>
        <v>#REF!</v>
      </c>
      <c r="S115" s="93">
        <f>IFERROR(SUMIFS(ENTRADA!$H:$H,ENTRADA!$B:$B,ESTOQUE!$B115)/O115,0)</f>
        <v>31.23076923076923</v>
      </c>
      <c r="T115" s="93">
        <f t="shared" si="38"/>
        <v>312.30769230769232</v>
      </c>
      <c r="U115" s="93">
        <f t="shared" si="39"/>
        <v>93.692307692307693</v>
      </c>
    </row>
    <row r="116" spans="2:21" ht="17.100000000000001" customHeight="1" thickBot="1" x14ac:dyDescent="0.3">
      <c r="B116" s="34">
        <v>184</v>
      </c>
      <c r="C116" s="116" t="s">
        <v>19</v>
      </c>
      <c r="D116" s="111" t="s">
        <v>137</v>
      </c>
      <c r="E116" s="116">
        <v>41146</v>
      </c>
      <c r="F116" s="117">
        <v>45951</v>
      </c>
      <c r="G116" s="114" t="s">
        <v>22</v>
      </c>
      <c r="H116" s="118">
        <v>25</v>
      </c>
      <c r="I116" s="119">
        <v>50</v>
      </c>
      <c r="J116" s="66">
        <f t="shared" si="40"/>
        <v>7</v>
      </c>
      <c r="K116" s="68">
        <f t="shared" si="42"/>
        <v>43</v>
      </c>
      <c r="L116" s="32" t="str">
        <f t="shared" si="41"/>
        <v>ESTOQUE BAIXO</v>
      </c>
      <c r="N116" s="26" t="str">
        <f t="shared" si="36"/>
        <v>CAMISA DE ELETRICISTA NR.10 TAM: M</v>
      </c>
      <c r="O116" s="27">
        <f>SUMIFS(ENTRADA!$F:$F,ENTRADA!$B:$B,ESTOQUE!$B116)</f>
        <v>20</v>
      </c>
      <c r="P116" s="27">
        <f>SUMIFS(SAIDA!$F:$F,SAIDA!$B:$B,ESTOQUE!$B116)</f>
        <v>13</v>
      </c>
      <c r="Q116" s="27">
        <f t="shared" si="37"/>
        <v>7</v>
      </c>
      <c r="R116" s="27" t="e">
        <f>Q116=#REF!</f>
        <v>#REF!</v>
      </c>
      <c r="S116" s="93">
        <f>IFERROR(SUMIFS(ENTRADA!$H:$H,ENTRADA!$B:$B,ESTOQUE!$B116)/O116,0)</f>
        <v>0</v>
      </c>
      <c r="T116" s="93">
        <f t="shared" si="38"/>
        <v>0</v>
      </c>
      <c r="U116" s="93">
        <f t="shared" si="39"/>
        <v>0</v>
      </c>
    </row>
    <row r="117" spans="2:21" ht="17.100000000000001" customHeight="1" thickBot="1" x14ac:dyDescent="0.3">
      <c r="B117" s="34">
        <v>65</v>
      </c>
      <c r="C117" s="116" t="s">
        <v>19</v>
      </c>
      <c r="D117" s="111" t="s">
        <v>138</v>
      </c>
      <c r="E117" s="116">
        <v>41146</v>
      </c>
      <c r="F117" s="117">
        <v>45951</v>
      </c>
      <c r="G117" s="114" t="s">
        <v>22</v>
      </c>
      <c r="H117" s="118">
        <v>20</v>
      </c>
      <c r="I117" s="119">
        <v>50</v>
      </c>
      <c r="J117" s="66">
        <f t="shared" si="40"/>
        <v>9</v>
      </c>
      <c r="K117" s="68">
        <f t="shared" si="42"/>
        <v>41</v>
      </c>
      <c r="L117" s="32" t="str">
        <f t="shared" si="41"/>
        <v>ESTOQUE BAIXO</v>
      </c>
      <c r="N117" s="26" t="str">
        <f t="shared" si="36"/>
        <v>CAMISA DE ELETRICISTA NR.10 TAM: P</v>
      </c>
      <c r="O117" s="27">
        <f>SUMIFS(ENTRADA!$F:$F,ENTRADA!$B:$B,ESTOQUE!$B117)</f>
        <v>22</v>
      </c>
      <c r="P117" s="27">
        <f>SUMIFS(SAIDA!$F:$F,SAIDA!$B:$B,ESTOQUE!$B117)</f>
        <v>13</v>
      </c>
      <c r="Q117" s="27">
        <f t="shared" si="37"/>
        <v>9</v>
      </c>
      <c r="R117" s="27" t="e">
        <f>Q117=#REF!</f>
        <v>#REF!</v>
      </c>
      <c r="S117" s="93">
        <f>IFERROR(SUMIFS(ENTRADA!$H:$H,ENTRADA!$B:$B,ESTOQUE!$B117)/O117,0)</f>
        <v>0</v>
      </c>
      <c r="T117" s="93">
        <f t="shared" si="38"/>
        <v>0</v>
      </c>
      <c r="U117" s="93">
        <f t="shared" si="39"/>
        <v>0</v>
      </c>
    </row>
    <row r="118" spans="2:21" ht="17.100000000000001" customHeight="1" thickBot="1" x14ac:dyDescent="0.3">
      <c r="B118" s="34">
        <v>66</v>
      </c>
      <c r="C118" s="116" t="s">
        <v>19</v>
      </c>
      <c r="D118" s="111" t="s">
        <v>139</v>
      </c>
      <c r="E118" s="116">
        <v>41146</v>
      </c>
      <c r="F118" s="117">
        <v>45951</v>
      </c>
      <c r="G118" s="114" t="s">
        <v>22</v>
      </c>
      <c r="H118" s="118">
        <v>10</v>
      </c>
      <c r="I118" s="119">
        <v>50</v>
      </c>
      <c r="J118" s="66">
        <f t="shared" si="40"/>
        <v>8</v>
      </c>
      <c r="K118" s="68">
        <f t="shared" si="42"/>
        <v>42</v>
      </c>
      <c r="L118" s="32" t="str">
        <f t="shared" si="41"/>
        <v>ESTOQUE BAIXO</v>
      </c>
      <c r="N118" s="26" t="str">
        <f t="shared" si="36"/>
        <v>CAMISA DE ELETRICISTA NR.10 TAM: XG</v>
      </c>
      <c r="O118" s="27">
        <f>SUMIFS(ENTRADA!$F:$F,ENTRADA!$B:$B,ESTOQUE!$B118)</f>
        <v>10</v>
      </c>
      <c r="P118" s="27">
        <f>SUMIFS(SAIDA!$F:$F,SAIDA!$B:$B,ESTOQUE!$B118)</f>
        <v>2</v>
      </c>
      <c r="Q118" s="27">
        <f t="shared" si="37"/>
        <v>8</v>
      </c>
      <c r="R118" s="27" t="e">
        <f>Q118=#REF!</f>
        <v>#REF!</v>
      </c>
      <c r="S118" s="93">
        <f>IFERROR(SUMIFS(ENTRADA!$H:$H,ENTRADA!$B:$B,ESTOQUE!$B118)/O118,0)</f>
        <v>0</v>
      </c>
      <c r="T118" s="93">
        <f t="shared" si="38"/>
        <v>0</v>
      </c>
      <c r="U118" s="93">
        <f t="shared" si="39"/>
        <v>0</v>
      </c>
    </row>
    <row r="119" spans="2:21" ht="17.100000000000001" customHeight="1" thickBot="1" x14ac:dyDescent="0.3">
      <c r="B119" s="34">
        <v>199</v>
      </c>
      <c r="C119" s="116" t="s">
        <v>19</v>
      </c>
      <c r="D119" s="111" t="s">
        <v>140</v>
      </c>
      <c r="E119" s="116" t="s">
        <v>25</v>
      </c>
      <c r="F119" s="117" t="s">
        <v>25</v>
      </c>
      <c r="G119" s="114" t="s">
        <v>22</v>
      </c>
      <c r="H119" s="118">
        <v>30</v>
      </c>
      <c r="I119" s="119">
        <v>250</v>
      </c>
      <c r="J119" s="66">
        <f t="shared" si="40"/>
        <v>5</v>
      </c>
      <c r="K119" s="68">
        <f t="shared" si="42"/>
        <v>245</v>
      </c>
      <c r="L119" s="32" t="str">
        <f t="shared" si="41"/>
        <v>ESTOQUE BAIXO</v>
      </c>
      <c r="N119" s="26" t="str">
        <f t="shared" si="36"/>
        <v>CAMISA LARANJA OP. C/ FAIXA REFLETIVA TAM: EXG</v>
      </c>
      <c r="O119" s="27">
        <f>SUMIFS(ENTRADA!$F:$F,ENTRADA!$B:$B,ESTOQUE!$B119)</f>
        <v>9</v>
      </c>
      <c r="P119" s="27">
        <f>SUMIFS(SAIDA!$F:$F,SAIDA!$B:$B,ESTOQUE!$B119)</f>
        <v>4</v>
      </c>
      <c r="Q119" s="27">
        <f t="shared" si="37"/>
        <v>5</v>
      </c>
      <c r="R119" s="27" t="e">
        <f>Q119=#REF!</f>
        <v>#REF!</v>
      </c>
      <c r="S119" s="93">
        <f>IFERROR(SUMIFS(ENTRADA!$H:$H,ENTRADA!$B:$B,ESTOQUE!$B119)/O119,0)</f>
        <v>0</v>
      </c>
      <c r="T119" s="93">
        <f t="shared" si="38"/>
        <v>0</v>
      </c>
      <c r="U119" s="93">
        <f t="shared" si="39"/>
        <v>0</v>
      </c>
    </row>
    <row r="120" spans="2:21" ht="17.100000000000001" customHeight="1" thickBot="1" x14ac:dyDescent="0.3">
      <c r="B120" s="34">
        <v>67</v>
      </c>
      <c r="C120" s="116" t="s">
        <v>19</v>
      </c>
      <c r="D120" s="111" t="s">
        <v>141</v>
      </c>
      <c r="E120" s="116" t="s">
        <v>25</v>
      </c>
      <c r="F120" s="117" t="s">
        <v>25</v>
      </c>
      <c r="G120" s="114" t="s">
        <v>22</v>
      </c>
      <c r="H120" s="118">
        <v>250</v>
      </c>
      <c r="I120" s="119">
        <v>500</v>
      </c>
      <c r="J120" s="66">
        <f t="shared" si="40"/>
        <v>82</v>
      </c>
      <c r="K120" s="68">
        <f t="shared" si="42"/>
        <v>418</v>
      </c>
      <c r="L120" s="32" t="str">
        <f t="shared" si="41"/>
        <v>ESTOQUE BAIXO</v>
      </c>
      <c r="N120" s="26" t="str">
        <f t="shared" si="36"/>
        <v>CAMISA LARANJA OP. C/ FAIXA REFLETIVA TAM: G</v>
      </c>
      <c r="O120" s="27">
        <f>SUMIFS(ENTRADA!$F:$F,ENTRADA!$B:$B,ESTOQUE!$B120)</f>
        <v>679</v>
      </c>
      <c r="P120" s="27">
        <f>SUMIFS(SAIDA!$F:$F,SAIDA!$B:$B,ESTOQUE!$B120)</f>
        <v>597</v>
      </c>
      <c r="Q120" s="27">
        <f t="shared" si="37"/>
        <v>82</v>
      </c>
      <c r="R120" s="27" t="e">
        <f>Q120=#REF!</f>
        <v>#REF!</v>
      </c>
      <c r="S120" s="93">
        <f>IFERROR(SUMIFS(ENTRADA!$H:$H,ENTRADA!$B:$B,ESTOQUE!$B120)/O120,0)</f>
        <v>6.0265095729013263</v>
      </c>
      <c r="T120" s="93">
        <f t="shared" si="38"/>
        <v>494.17378497790878</v>
      </c>
      <c r="U120" s="93">
        <f t="shared" si="39"/>
        <v>3597.8262150220917</v>
      </c>
    </row>
    <row r="121" spans="2:21" ht="17.100000000000001" customHeight="1" thickBot="1" x14ac:dyDescent="0.3">
      <c r="B121" s="34">
        <v>68</v>
      </c>
      <c r="C121" s="116" t="s">
        <v>19</v>
      </c>
      <c r="D121" s="111" t="s">
        <v>142</v>
      </c>
      <c r="E121" s="116" t="s">
        <v>25</v>
      </c>
      <c r="F121" s="117" t="s">
        <v>25</v>
      </c>
      <c r="G121" s="114" t="s">
        <v>22</v>
      </c>
      <c r="H121" s="118">
        <v>250</v>
      </c>
      <c r="I121" s="119">
        <v>500</v>
      </c>
      <c r="J121" s="66">
        <f t="shared" si="40"/>
        <v>257</v>
      </c>
      <c r="K121" s="68">
        <f t="shared" si="42"/>
        <v>243</v>
      </c>
      <c r="L121" s="32" t="str">
        <f t="shared" si="41"/>
        <v>ESTOQUE NORMAL</v>
      </c>
      <c r="N121" s="26" t="str">
        <f t="shared" si="36"/>
        <v>CAMISA LARANJA OP. C/ FAIXA REFLETIVA TAM: GG</v>
      </c>
      <c r="O121" s="27">
        <f>SUMIFS(ENTRADA!$F:$F,ENTRADA!$B:$B,ESTOQUE!$B121)</f>
        <v>524</v>
      </c>
      <c r="P121" s="27">
        <f>SUMIFS(SAIDA!$F:$F,SAIDA!$B:$B,ESTOQUE!$B121)</f>
        <v>267</v>
      </c>
      <c r="Q121" s="27">
        <f t="shared" si="37"/>
        <v>257</v>
      </c>
      <c r="R121" s="27" t="e">
        <f>Q121=#REF!</f>
        <v>#REF!</v>
      </c>
      <c r="S121" s="93">
        <f>IFERROR(SUMIFS(ENTRADA!$H:$H,ENTRADA!$B:$B,ESTOQUE!$B121)/O121,0)</f>
        <v>8.8030534351145047</v>
      </c>
      <c r="T121" s="93">
        <f t="shared" si="38"/>
        <v>2262.3847328244278</v>
      </c>
      <c r="U121" s="93">
        <f t="shared" si="39"/>
        <v>2350.4152671755728</v>
      </c>
    </row>
    <row r="122" spans="2:21" ht="17.100000000000001" customHeight="1" thickBot="1" x14ac:dyDescent="0.3">
      <c r="B122" s="34">
        <v>69</v>
      </c>
      <c r="C122" s="116" t="s">
        <v>19</v>
      </c>
      <c r="D122" s="111" t="s">
        <v>143</v>
      </c>
      <c r="E122" s="116" t="s">
        <v>25</v>
      </c>
      <c r="F122" s="117" t="s">
        <v>25</v>
      </c>
      <c r="G122" s="114" t="s">
        <v>22</v>
      </c>
      <c r="H122" s="118">
        <v>200</v>
      </c>
      <c r="I122" s="119">
        <v>250</v>
      </c>
      <c r="J122" s="66">
        <f t="shared" si="40"/>
        <v>42</v>
      </c>
      <c r="K122" s="68">
        <f t="shared" si="42"/>
        <v>208</v>
      </c>
      <c r="L122" s="32" t="str">
        <f t="shared" si="41"/>
        <v>ESTOQUE BAIXO</v>
      </c>
      <c r="N122" s="26" t="str">
        <f t="shared" si="36"/>
        <v>CAMISA LARANJA OP. C/ FAIXA REFLETIVA TAM: M</v>
      </c>
      <c r="O122" s="27">
        <f>SUMIFS(ENTRADA!$F:$F,ENTRADA!$B:$B,ESTOQUE!$B122)</f>
        <v>830</v>
      </c>
      <c r="P122" s="27">
        <f>SUMIFS(SAIDA!$F:$F,SAIDA!$B:$B,ESTOQUE!$B122)</f>
        <v>788</v>
      </c>
      <c r="Q122" s="27">
        <f t="shared" si="37"/>
        <v>42</v>
      </c>
      <c r="R122" s="27" t="e">
        <f>Q122=#REF!</f>
        <v>#REF!</v>
      </c>
      <c r="S122" s="93">
        <f>IFERROR(SUMIFS(ENTRADA!$H:$H,ENTRADA!$B:$B,ESTOQUE!$B122)/O122,0)</f>
        <v>4.1233734939759037</v>
      </c>
      <c r="T122" s="93">
        <f t="shared" si="38"/>
        <v>173.18168674698796</v>
      </c>
      <c r="U122" s="93">
        <f t="shared" si="39"/>
        <v>3249.2183132530122</v>
      </c>
    </row>
    <row r="123" spans="2:21" ht="17.100000000000001" customHeight="1" thickBot="1" x14ac:dyDescent="0.3">
      <c r="B123" s="34">
        <v>70</v>
      </c>
      <c r="C123" s="116" t="s">
        <v>19</v>
      </c>
      <c r="D123" s="111" t="s">
        <v>144</v>
      </c>
      <c r="E123" s="116" t="s">
        <v>25</v>
      </c>
      <c r="F123" s="117" t="s">
        <v>25</v>
      </c>
      <c r="G123" s="114" t="s">
        <v>22</v>
      </c>
      <c r="H123" s="118">
        <v>150</v>
      </c>
      <c r="I123" s="119">
        <v>250</v>
      </c>
      <c r="J123" s="66">
        <f t="shared" si="40"/>
        <v>241</v>
      </c>
      <c r="K123" s="68">
        <f t="shared" si="42"/>
        <v>9</v>
      </c>
      <c r="L123" s="32" t="str">
        <f t="shared" ref="L123:L159" si="43">IF(J123&lt;H123,"ESTOQUE BAIXO",IF(J123&gt;I123,"ESTOQUE ALTO",IF(J123&gt;=H123,"ESTOQUE NORMAL",)))</f>
        <v>ESTOQUE NORMAL</v>
      </c>
      <c r="N123" s="26" t="str">
        <f t="shared" si="36"/>
        <v>CAMISA LARANJA OP. C/ FAIXA REFLETIVA TAM: P</v>
      </c>
      <c r="O123" s="27">
        <f>SUMIFS(ENTRADA!$F:$F,ENTRADA!$B:$B,ESTOQUE!$B123)</f>
        <v>653</v>
      </c>
      <c r="P123" s="27">
        <f>SUMIFS(SAIDA!$F:$F,SAIDA!$B:$B,ESTOQUE!$B123)</f>
        <v>412</v>
      </c>
      <c r="Q123" s="27">
        <f t="shared" si="37"/>
        <v>241</v>
      </c>
      <c r="R123" s="27" t="e">
        <f>Q123=#REF!</f>
        <v>#REF!</v>
      </c>
      <c r="S123" s="93">
        <f>IFERROR(SUMIFS(ENTRADA!$H:$H,ENTRADA!$B:$B,ESTOQUE!$B123)/O123,0)</f>
        <v>5.4689127105666158</v>
      </c>
      <c r="T123" s="93">
        <f t="shared" si="38"/>
        <v>1318.0079632465545</v>
      </c>
      <c r="U123" s="93">
        <f t="shared" si="39"/>
        <v>2253.1920367534458</v>
      </c>
    </row>
    <row r="124" spans="2:21" ht="17.100000000000001" customHeight="1" thickBot="1" x14ac:dyDescent="0.3">
      <c r="B124" s="34">
        <v>71</v>
      </c>
      <c r="C124" s="116" t="s">
        <v>19</v>
      </c>
      <c r="D124" s="111" t="s">
        <v>145</v>
      </c>
      <c r="E124" s="116" t="s">
        <v>25</v>
      </c>
      <c r="F124" s="117" t="s">
        <v>25</v>
      </c>
      <c r="G124" s="114" t="s">
        <v>22</v>
      </c>
      <c r="H124" s="118">
        <v>150</v>
      </c>
      <c r="I124" s="119">
        <v>250</v>
      </c>
      <c r="J124" s="66">
        <f t="shared" si="40"/>
        <v>63</v>
      </c>
      <c r="K124" s="68">
        <f t="shared" si="42"/>
        <v>187</v>
      </c>
      <c r="L124" s="32" t="str">
        <f t="shared" si="43"/>
        <v>ESTOQUE BAIXO</v>
      </c>
      <c r="N124" s="26" t="str">
        <f t="shared" si="36"/>
        <v>CAMISA LARANJA OP. C/ FAIXA REFLETIVA TAM: XG</v>
      </c>
      <c r="O124" s="27">
        <f>SUMIFS(ENTRADA!$F:$F,ENTRADA!$B:$B,ESTOQUE!$B124)</f>
        <v>104</v>
      </c>
      <c r="P124" s="27">
        <f>SUMIFS(SAIDA!$F:$F,SAIDA!$B:$B,ESTOQUE!$B124)</f>
        <v>41</v>
      </c>
      <c r="Q124" s="27">
        <f t="shared" si="37"/>
        <v>63</v>
      </c>
      <c r="R124" s="27" t="e">
        <f>Q124=#REF!</f>
        <v>#REF!</v>
      </c>
      <c r="S124" s="93">
        <f>IFERROR(SUMIFS(ENTRADA!$H:$H,ENTRADA!$B:$B,ESTOQUE!$B124)/O124,0)</f>
        <v>31.476923076923079</v>
      </c>
      <c r="T124" s="93">
        <f t="shared" si="38"/>
        <v>1983.0461538461539</v>
      </c>
      <c r="U124" s="93">
        <f t="shared" si="39"/>
        <v>1290.5538461538463</v>
      </c>
    </row>
    <row r="125" spans="2:21" ht="17.100000000000001" customHeight="1" thickBot="1" x14ac:dyDescent="0.3">
      <c r="B125" s="34">
        <v>200</v>
      </c>
      <c r="C125" s="116" t="s">
        <v>19</v>
      </c>
      <c r="D125" s="111" t="s">
        <v>146</v>
      </c>
      <c r="E125" s="116" t="s">
        <v>25</v>
      </c>
      <c r="F125" s="117" t="s">
        <v>25</v>
      </c>
      <c r="G125" s="114" t="s">
        <v>22</v>
      </c>
      <c r="H125" s="118">
        <v>100</v>
      </c>
      <c r="I125" s="119">
        <v>200</v>
      </c>
      <c r="J125" s="66">
        <f t="shared" si="40"/>
        <v>15</v>
      </c>
      <c r="K125" s="68">
        <f t="shared" si="42"/>
        <v>185</v>
      </c>
      <c r="L125" s="32" t="str">
        <f t="shared" si="43"/>
        <v>ESTOQUE BAIXO</v>
      </c>
      <c r="N125" s="26" t="str">
        <f t="shared" si="36"/>
        <v>CAMISA LARANJA OP. C/ FAIXA REFLETIVA TAM: XGG</v>
      </c>
      <c r="O125" s="27">
        <f>SUMIFS(ENTRADA!$F:$F,ENTRADA!$B:$B,ESTOQUE!$B125)</f>
        <v>17</v>
      </c>
      <c r="P125" s="27">
        <f>SUMIFS(SAIDA!$F:$F,SAIDA!$B:$B,ESTOQUE!$B125)</f>
        <v>2</v>
      </c>
      <c r="Q125" s="27">
        <f t="shared" si="37"/>
        <v>15</v>
      </c>
      <c r="R125" s="27" t="e">
        <f>Q125=#REF!</f>
        <v>#REF!</v>
      </c>
      <c r="S125" s="93">
        <f>IFERROR(SUMIFS(ENTRADA!$H:$H,ENTRADA!$B:$B,ESTOQUE!$B125)/O125,0)</f>
        <v>4.3764705882352946</v>
      </c>
      <c r="T125" s="93">
        <f t="shared" si="38"/>
        <v>65.64705882352942</v>
      </c>
      <c r="U125" s="93">
        <f t="shared" si="39"/>
        <v>8.7529411764705891</v>
      </c>
    </row>
    <row r="126" spans="2:21" ht="17.100000000000001" customHeight="1" thickBot="1" x14ac:dyDescent="0.3">
      <c r="B126" s="34">
        <v>72</v>
      </c>
      <c r="C126" s="116" t="s">
        <v>19</v>
      </c>
      <c r="D126" s="111" t="s">
        <v>147</v>
      </c>
      <c r="E126" s="116">
        <v>28449</v>
      </c>
      <c r="F126" s="117">
        <v>46979</v>
      </c>
      <c r="G126" s="114" t="s">
        <v>22</v>
      </c>
      <c r="H126" s="118">
        <v>200</v>
      </c>
      <c r="I126" s="119">
        <v>400</v>
      </c>
      <c r="J126" s="66">
        <f t="shared" si="40"/>
        <v>0</v>
      </c>
      <c r="K126" s="68">
        <f t="shared" si="42"/>
        <v>400</v>
      </c>
      <c r="L126" s="32" t="str">
        <f t="shared" si="43"/>
        <v>ESTOQUE BAIXO</v>
      </c>
      <c r="N126" s="26" t="str">
        <f t="shared" si="36"/>
        <v>CAPA DE CHUVA G</v>
      </c>
      <c r="O126" s="27">
        <f>SUMIFS(ENTRADA!$F:$F,ENTRADA!$B:$B,ESTOQUE!$B126)</f>
        <v>150</v>
      </c>
      <c r="P126" s="27">
        <f>SUMIFS(SAIDA!$F:$F,SAIDA!$B:$B,ESTOQUE!$B126)</f>
        <v>150</v>
      </c>
      <c r="Q126" s="27">
        <f t="shared" si="37"/>
        <v>0</v>
      </c>
      <c r="R126" s="27" t="e">
        <f>Q126=#REF!</f>
        <v>#REF!</v>
      </c>
      <c r="S126" s="93">
        <f>IFERROR(SUMIFS(ENTRADA!$H:$H,ENTRADA!$B:$B,ESTOQUE!$B126)/O126,0)</f>
        <v>0.95466666666666655</v>
      </c>
      <c r="T126" s="93">
        <f t="shared" si="38"/>
        <v>0</v>
      </c>
      <c r="U126" s="93">
        <f t="shared" si="39"/>
        <v>143.19999999999999</v>
      </c>
    </row>
    <row r="127" spans="2:21" ht="17.100000000000001" customHeight="1" thickBot="1" x14ac:dyDescent="0.3">
      <c r="B127" s="34">
        <v>73</v>
      </c>
      <c r="C127" s="116" t="s">
        <v>19</v>
      </c>
      <c r="D127" s="111" t="s">
        <v>148</v>
      </c>
      <c r="E127" s="116">
        <v>28449</v>
      </c>
      <c r="F127" s="117">
        <v>46979</v>
      </c>
      <c r="G127" s="114" t="s">
        <v>22</v>
      </c>
      <c r="H127" s="118">
        <v>200</v>
      </c>
      <c r="I127" s="119">
        <v>400</v>
      </c>
      <c r="J127" s="66">
        <f t="shared" si="40"/>
        <v>155</v>
      </c>
      <c r="K127" s="68">
        <f t="shared" si="42"/>
        <v>245</v>
      </c>
      <c r="L127" s="32" t="str">
        <f t="shared" si="43"/>
        <v>ESTOQUE BAIXO</v>
      </c>
      <c r="N127" s="26" t="str">
        <f t="shared" si="36"/>
        <v>CAPA DE CHUVA GG</v>
      </c>
      <c r="O127" s="27">
        <f>SUMIFS(ENTRADA!$F:$F,ENTRADA!$B:$B,ESTOQUE!$B127)</f>
        <v>1412</v>
      </c>
      <c r="P127" s="27">
        <f>SUMIFS(SAIDA!$F:$F,SAIDA!$B:$B,ESTOQUE!$B127)</f>
        <v>1257</v>
      </c>
      <c r="Q127" s="27">
        <f t="shared" si="37"/>
        <v>155</v>
      </c>
      <c r="R127" s="27" t="e">
        <f>Q127=#REF!</f>
        <v>#REF!</v>
      </c>
      <c r="S127" s="93">
        <f>IFERROR(SUMIFS(ENTRADA!$H:$H,ENTRADA!$B:$B,ESTOQUE!$B127)/O127,0)</f>
        <v>1.1029036827195466</v>
      </c>
      <c r="T127" s="93">
        <f t="shared" si="38"/>
        <v>170.95007082152972</v>
      </c>
      <c r="U127" s="93">
        <f t="shared" si="39"/>
        <v>1386.3499291784701</v>
      </c>
    </row>
    <row r="128" spans="2:21" ht="17.100000000000001" customHeight="1" thickBot="1" x14ac:dyDescent="0.3">
      <c r="B128" s="34">
        <v>74</v>
      </c>
      <c r="C128" s="116" t="s">
        <v>19</v>
      </c>
      <c r="D128" s="111" t="s">
        <v>149</v>
      </c>
      <c r="E128" s="116">
        <v>34414</v>
      </c>
      <c r="F128" s="117">
        <v>46705</v>
      </c>
      <c r="G128" s="114" t="s">
        <v>22</v>
      </c>
      <c r="H128" s="118">
        <v>20</v>
      </c>
      <c r="I128" s="119">
        <v>30</v>
      </c>
      <c r="J128" s="66">
        <f t="shared" si="40"/>
        <v>22</v>
      </c>
      <c r="K128" s="68">
        <f t="shared" si="42"/>
        <v>8</v>
      </c>
      <c r="L128" s="32" t="str">
        <f t="shared" si="43"/>
        <v>ESTOQUE NORMAL</v>
      </c>
      <c r="N128" s="26" t="str">
        <f t="shared" si="36"/>
        <v>CAPACETE CAMPER AMARELO</v>
      </c>
      <c r="O128" s="27">
        <f>SUMIFS(ENTRADA!$F:$F,ENTRADA!$B:$B,ESTOQUE!$B128)</f>
        <v>22</v>
      </c>
      <c r="P128" s="27">
        <f>SUMIFS(SAIDA!$F:$F,SAIDA!$B:$B,ESTOQUE!$B128)</f>
        <v>0</v>
      </c>
      <c r="Q128" s="27">
        <f t="shared" si="37"/>
        <v>22</v>
      </c>
      <c r="R128" s="27" t="e">
        <f>Q128=#REF!</f>
        <v>#REF!</v>
      </c>
      <c r="S128" s="93">
        <f>IFERROR(SUMIFS(ENTRADA!$H:$H,ENTRADA!$B:$B,ESTOQUE!$B128)/O128,0)</f>
        <v>0</v>
      </c>
      <c r="T128" s="93">
        <f t="shared" si="38"/>
        <v>0</v>
      </c>
      <c r="U128" s="93">
        <f t="shared" si="39"/>
        <v>0</v>
      </c>
    </row>
    <row r="129" spans="2:21" ht="17.100000000000001" customHeight="1" thickBot="1" x14ac:dyDescent="0.3">
      <c r="B129" s="34">
        <v>75</v>
      </c>
      <c r="C129" s="116" t="s">
        <v>19</v>
      </c>
      <c r="D129" s="111" t="s">
        <v>150</v>
      </c>
      <c r="E129" s="116">
        <v>34414</v>
      </c>
      <c r="F129" s="117">
        <v>46705</v>
      </c>
      <c r="G129" s="114" t="s">
        <v>22</v>
      </c>
      <c r="H129" s="118">
        <v>20</v>
      </c>
      <c r="I129" s="119">
        <v>30</v>
      </c>
      <c r="J129" s="66">
        <f t="shared" si="40"/>
        <v>5</v>
      </c>
      <c r="K129" s="68">
        <f t="shared" si="42"/>
        <v>25</v>
      </c>
      <c r="L129" s="32" t="str">
        <f t="shared" si="43"/>
        <v>ESTOQUE BAIXO</v>
      </c>
      <c r="N129" s="26" t="str">
        <f t="shared" si="36"/>
        <v>CAPACETE CAMPER AZUL ESCURO</v>
      </c>
      <c r="O129" s="27">
        <f>SUMIFS(ENTRADA!$F:$F,ENTRADA!$B:$B,ESTOQUE!$B129)</f>
        <v>15</v>
      </c>
      <c r="P129" s="27">
        <f>SUMIFS(SAIDA!$F:$F,SAIDA!$B:$B,ESTOQUE!$B129)</f>
        <v>10</v>
      </c>
      <c r="Q129" s="27">
        <f t="shared" si="37"/>
        <v>5</v>
      </c>
      <c r="R129" s="27" t="e">
        <f>Q129=#REF!</f>
        <v>#REF!</v>
      </c>
      <c r="S129" s="93">
        <f>IFERROR(SUMIFS(ENTRADA!$H:$H,ENTRADA!$B:$B,ESTOQUE!$B129)/O129,0)</f>
        <v>15.838666666666665</v>
      </c>
      <c r="T129" s="93">
        <f t="shared" si="38"/>
        <v>79.193333333333328</v>
      </c>
      <c r="U129" s="93">
        <f t="shared" si="39"/>
        <v>158.38666666666666</v>
      </c>
    </row>
    <row r="130" spans="2:21" ht="17.100000000000001" customHeight="1" thickBot="1" x14ac:dyDescent="0.3">
      <c r="B130" s="34">
        <v>76</v>
      </c>
      <c r="C130" s="116" t="s">
        <v>19</v>
      </c>
      <c r="D130" s="111" t="s">
        <v>151</v>
      </c>
      <c r="E130" s="116">
        <v>34414</v>
      </c>
      <c r="F130" s="117">
        <v>46705</v>
      </c>
      <c r="G130" s="114" t="s">
        <v>22</v>
      </c>
      <c r="H130" s="118">
        <v>20</v>
      </c>
      <c r="I130" s="119">
        <v>30</v>
      </c>
      <c r="J130" s="66">
        <f t="shared" si="40"/>
        <v>3</v>
      </c>
      <c r="K130" s="68">
        <f t="shared" ref="K130:K161" si="44">I130-J130</f>
        <v>27</v>
      </c>
      <c r="L130" s="32" t="str">
        <f t="shared" si="43"/>
        <v>ESTOQUE BAIXO</v>
      </c>
      <c r="N130" s="26" t="str">
        <f t="shared" si="36"/>
        <v>CAPACETE CAMPER BRANCO</v>
      </c>
      <c r="O130" s="27">
        <f>SUMIFS(ENTRADA!$F:$F,ENTRADA!$B:$B,ESTOQUE!$B130)</f>
        <v>21</v>
      </c>
      <c r="P130" s="27">
        <f>SUMIFS(SAIDA!$F:$F,SAIDA!$B:$B,ESTOQUE!$B130)</f>
        <v>18</v>
      </c>
      <c r="Q130" s="27">
        <f t="shared" si="37"/>
        <v>3</v>
      </c>
      <c r="R130" s="27" t="e">
        <f>Q130=#REF!</f>
        <v>#REF!</v>
      </c>
      <c r="S130" s="93">
        <f>IFERROR(SUMIFS(ENTRADA!$H:$H,ENTRADA!$B:$B,ESTOQUE!$B130)/O130,0)</f>
        <v>4.8485714285714279</v>
      </c>
      <c r="T130" s="93">
        <f t="shared" si="38"/>
        <v>14.545714285714283</v>
      </c>
      <c r="U130" s="93">
        <f t="shared" si="39"/>
        <v>87.274285714285696</v>
      </c>
    </row>
    <row r="131" spans="2:21" ht="17.100000000000001" customHeight="1" thickBot="1" x14ac:dyDescent="0.3">
      <c r="B131" s="34">
        <v>77</v>
      </c>
      <c r="C131" s="116" t="s">
        <v>19</v>
      </c>
      <c r="D131" s="111" t="s">
        <v>152</v>
      </c>
      <c r="E131" s="116">
        <v>34414</v>
      </c>
      <c r="F131" s="117">
        <v>46705</v>
      </c>
      <c r="G131" s="114" t="s">
        <v>22</v>
      </c>
      <c r="H131" s="118">
        <v>10</v>
      </c>
      <c r="I131" s="119">
        <v>30</v>
      </c>
      <c r="J131" s="66">
        <f t="shared" si="40"/>
        <v>7</v>
      </c>
      <c r="K131" s="68">
        <f t="shared" si="44"/>
        <v>23</v>
      </c>
      <c r="L131" s="32" t="str">
        <f t="shared" si="43"/>
        <v>ESTOQUE BAIXO</v>
      </c>
      <c r="N131" s="26" t="str">
        <f t="shared" si="36"/>
        <v>CAPACETE CAMPER CINZA</v>
      </c>
      <c r="O131" s="27">
        <f>SUMIFS(ENTRADA!$F:$F,ENTRADA!$B:$B,ESTOQUE!$B131)</f>
        <v>10</v>
      </c>
      <c r="P131" s="27">
        <f>SUMIFS(SAIDA!$F:$F,SAIDA!$B:$B,ESTOQUE!$B131)</f>
        <v>3</v>
      </c>
      <c r="Q131" s="27">
        <f t="shared" si="37"/>
        <v>7</v>
      </c>
      <c r="R131" s="27" t="e">
        <f>Q131=#REF!</f>
        <v>#REF!</v>
      </c>
      <c r="S131" s="93">
        <f>IFERROR(SUMIFS(ENTRADA!$H:$H,ENTRADA!$B:$B,ESTOQUE!$B131)/O131,0)</f>
        <v>15.970000000000002</v>
      </c>
      <c r="T131" s="93">
        <f t="shared" si="38"/>
        <v>111.79000000000002</v>
      </c>
      <c r="U131" s="93">
        <f t="shared" si="39"/>
        <v>47.910000000000011</v>
      </c>
    </row>
    <row r="132" spans="2:21" ht="17.100000000000001" customHeight="1" thickBot="1" x14ac:dyDescent="0.3">
      <c r="B132" s="34">
        <v>78</v>
      </c>
      <c r="C132" s="116" t="s">
        <v>19</v>
      </c>
      <c r="D132" s="111" t="s">
        <v>153</v>
      </c>
      <c r="E132" s="116">
        <v>34414</v>
      </c>
      <c r="F132" s="117">
        <v>46705</v>
      </c>
      <c r="G132" s="114" t="s">
        <v>22</v>
      </c>
      <c r="H132" s="118">
        <v>10</v>
      </c>
      <c r="I132" s="119">
        <v>30</v>
      </c>
      <c r="J132" s="66">
        <f t="shared" si="40"/>
        <v>0</v>
      </c>
      <c r="K132" s="68">
        <f t="shared" si="44"/>
        <v>30</v>
      </c>
      <c r="L132" s="32" t="str">
        <f t="shared" si="43"/>
        <v>ESTOQUE BAIXO</v>
      </c>
      <c r="N132" s="26" t="str">
        <f t="shared" ref="N132:N148" si="45">D132</f>
        <v>CAPACETE CAMPER MARROM</v>
      </c>
      <c r="O132" s="27">
        <f>SUMIFS(ENTRADA!$F:$F,ENTRADA!$B:$B,ESTOQUE!$B132)</f>
        <v>10</v>
      </c>
      <c r="P132" s="27">
        <f>SUMIFS(SAIDA!$F:$F,SAIDA!$B:$B,ESTOQUE!$B132)</f>
        <v>10</v>
      </c>
      <c r="Q132" s="27">
        <f t="shared" ref="Q132:Q148" si="46">O132-P132</f>
        <v>0</v>
      </c>
      <c r="R132" s="27" t="e">
        <f>Q132=#REF!</f>
        <v>#REF!</v>
      </c>
      <c r="S132" s="93">
        <f>IFERROR(SUMIFS(ENTRADA!$H:$H,ENTRADA!$B:$B,ESTOQUE!$B132)/O132,0)</f>
        <v>0</v>
      </c>
      <c r="T132" s="93">
        <f t="shared" ref="T132:T148" si="47">Q132*S132</f>
        <v>0</v>
      </c>
      <c r="U132" s="93">
        <f t="shared" ref="U132:U148" si="48">P132*S132</f>
        <v>0</v>
      </c>
    </row>
    <row r="133" spans="2:21" ht="17.100000000000001" customHeight="1" thickBot="1" x14ac:dyDescent="0.3">
      <c r="B133" s="34">
        <v>177</v>
      </c>
      <c r="C133" s="116" t="s">
        <v>19</v>
      </c>
      <c r="D133" s="120" t="s">
        <v>154</v>
      </c>
      <c r="E133" s="116">
        <v>36099</v>
      </c>
      <c r="F133" s="117">
        <v>45908</v>
      </c>
      <c r="G133" s="114" t="s">
        <v>22</v>
      </c>
      <c r="H133" s="118">
        <v>10</v>
      </c>
      <c r="I133" s="119">
        <v>30</v>
      </c>
      <c r="J133" s="66">
        <f t="shared" si="40"/>
        <v>18</v>
      </c>
      <c r="K133" s="68">
        <f t="shared" si="44"/>
        <v>12</v>
      </c>
      <c r="L133" s="32" t="str">
        <f t="shared" si="43"/>
        <v>ESTOQUE NORMAL</v>
      </c>
      <c r="N133" s="26" t="str">
        <f t="shared" si="45"/>
        <v>CAPACETE GENISIS AMARELO</v>
      </c>
      <c r="O133" s="27">
        <f>SUMIFS(ENTRADA!$F:$F,ENTRADA!$B:$B,ESTOQUE!$B133)</f>
        <v>19</v>
      </c>
      <c r="P133" s="27">
        <f>SUMIFS(SAIDA!$F:$F,SAIDA!$B:$B,ESTOQUE!$B133)</f>
        <v>1</v>
      </c>
      <c r="Q133" s="27">
        <f t="shared" si="46"/>
        <v>18</v>
      </c>
      <c r="R133" s="27" t="e">
        <f>Q133=#REF!</f>
        <v>#REF!</v>
      </c>
      <c r="S133" s="93">
        <f>IFERROR(SUMIFS(ENTRADA!$H:$H,ENTRADA!$B:$B,ESTOQUE!$B133)/O133,0)</f>
        <v>15.97</v>
      </c>
      <c r="T133" s="93">
        <f t="shared" si="47"/>
        <v>287.46000000000004</v>
      </c>
      <c r="U133" s="93">
        <f t="shared" si="48"/>
        <v>15.97</v>
      </c>
    </row>
    <row r="134" spans="2:21" ht="17.100000000000001" customHeight="1" thickBot="1" x14ac:dyDescent="0.3">
      <c r="B134" s="34">
        <v>176</v>
      </c>
      <c r="C134" s="116" t="s">
        <v>19</v>
      </c>
      <c r="D134" s="120" t="s">
        <v>155</v>
      </c>
      <c r="E134" s="116">
        <v>36099</v>
      </c>
      <c r="F134" s="117">
        <v>45908</v>
      </c>
      <c r="G134" s="114" t="s">
        <v>22</v>
      </c>
      <c r="H134" s="118">
        <v>10</v>
      </c>
      <c r="I134" s="119">
        <v>30</v>
      </c>
      <c r="J134" s="66">
        <f t="shared" si="40"/>
        <v>0</v>
      </c>
      <c r="K134" s="68">
        <f t="shared" si="44"/>
        <v>30</v>
      </c>
      <c r="L134" s="32" t="str">
        <f t="shared" si="43"/>
        <v>ESTOQUE BAIXO</v>
      </c>
      <c r="N134" s="26" t="str">
        <f t="shared" si="45"/>
        <v>CAPACETE GENISIS AZUL</v>
      </c>
      <c r="O134" s="27">
        <f>SUMIFS(ENTRADA!$F:$F,ENTRADA!$B:$B,ESTOQUE!$B134)</f>
        <v>0</v>
      </c>
      <c r="P134" s="27">
        <f>SUMIFS(SAIDA!$F:$F,SAIDA!$B:$B,ESTOQUE!$B134)</f>
        <v>0</v>
      </c>
      <c r="Q134" s="27">
        <f t="shared" si="46"/>
        <v>0</v>
      </c>
      <c r="R134" s="27" t="e">
        <f>Q134=#REF!</f>
        <v>#REF!</v>
      </c>
      <c r="S134" s="93">
        <f>IFERROR(SUMIFS(ENTRADA!$H:$H,ENTRADA!$B:$B,ESTOQUE!$B134)/O134,0)</f>
        <v>0</v>
      </c>
      <c r="T134" s="93">
        <f t="shared" si="47"/>
        <v>0</v>
      </c>
      <c r="U134" s="93">
        <f t="shared" si="48"/>
        <v>0</v>
      </c>
    </row>
    <row r="135" spans="2:21" ht="17.100000000000001" customHeight="1" thickBot="1" x14ac:dyDescent="0.3">
      <c r="B135" s="34">
        <v>175</v>
      </c>
      <c r="C135" s="116" t="s">
        <v>19</v>
      </c>
      <c r="D135" s="120" t="s">
        <v>156</v>
      </c>
      <c r="E135" s="116">
        <v>36099</v>
      </c>
      <c r="F135" s="117">
        <v>45908</v>
      </c>
      <c r="G135" s="114" t="s">
        <v>22</v>
      </c>
      <c r="H135" s="118">
        <v>10</v>
      </c>
      <c r="I135" s="119">
        <v>30</v>
      </c>
      <c r="J135" s="66">
        <f t="shared" si="40"/>
        <v>0</v>
      </c>
      <c r="K135" s="68">
        <f t="shared" si="44"/>
        <v>30</v>
      </c>
      <c r="L135" s="32" t="str">
        <f t="shared" si="43"/>
        <v>ESTOQUE BAIXO</v>
      </c>
      <c r="N135" s="26"/>
      <c r="O135" s="27">
        <f>SUMIFS(ENTRADA!$F:$F,ENTRADA!$B:$B,ESTOQUE!$B135)</f>
        <v>2</v>
      </c>
      <c r="P135" s="27">
        <f>SUMIFS(SAIDA!$F:$F,SAIDA!$B:$B,ESTOQUE!$B135)</f>
        <v>2</v>
      </c>
      <c r="Q135" s="27">
        <f t="shared" si="46"/>
        <v>0</v>
      </c>
      <c r="R135" s="27" t="e">
        <f>Q135=#REF!</f>
        <v>#REF!</v>
      </c>
      <c r="S135" s="93">
        <f>IFERROR(SUMIFS(ENTRADA!$H:$H,ENTRADA!$B:$B,ESTOQUE!$B135)/O135,0)</f>
        <v>0</v>
      </c>
      <c r="T135" s="93"/>
      <c r="U135" s="93"/>
    </row>
    <row r="136" spans="2:21" ht="17.100000000000001" customHeight="1" thickBot="1" x14ac:dyDescent="0.3">
      <c r="B136" s="34">
        <v>179</v>
      </c>
      <c r="C136" s="116" t="s">
        <v>19</v>
      </c>
      <c r="D136" s="120" t="s">
        <v>157</v>
      </c>
      <c r="E136" s="116">
        <v>36099</v>
      </c>
      <c r="F136" s="117">
        <v>45908</v>
      </c>
      <c r="G136" s="114" t="s">
        <v>22</v>
      </c>
      <c r="H136" s="118">
        <v>10</v>
      </c>
      <c r="I136" s="119">
        <v>30</v>
      </c>
      <c r="J136" s="66">
        <f t="shared" si="40"/>
        <v>7</v>
      </c>
      <c r="K136" s="68">
        <f t="shared" si="44"/>
        <v>23</v>
      </c>
      <c r="L136" s="32" t="str">
        <f t="shared" si="43"/>
        <v>ESTOQUE BAIXO</v>
      </c>
      <c r="N136" s="26" t="str">
        <f t="shared" si="45"/>
        <v>CAPACETE GENISIS CINZA</v>
      </c>
      <c r="O136" s="27">
        <f>SUMIFS(ENTRADA!$F:$F,ENTRADA!$B:$B,ESTOQUE!$B136)</f>
        <v>9</v>
      </c>
      <c r="P136" s="27">
        <f>SUMIFS(SAIDA!$F:$F,SAIDA!$B:$B,ESTOQUE!$B136)</f>
        <v>2</v>
      </c>
      <c r="Q136" s="27">
        <f t="shared" si="46"/>
        <v>7</v>
      </c>
      <c r="R136" s="27" t="e">
        <f>Q136=#REF!</f>
        <v>#REF!</v>
      </c>
      <c r="S136" s="93">
        <f>IFERROR(SUMIFS(ENTRADA!$H:$H,ENTRADA!$B:$B,ESTOQUE!$B136)/O136,0)</f>
        <v>0</v>
      </c>
      <c r="T136" s="93">
        <f t="shared" si="47"/>
        <v>0</v>
      </c>
      <c r="U136" s="93">
        <f t="shared" si="48"/>
        <v>0</v>
      </c>
    </row>
    <row r="137" spans="2:21" ht="17.100000000000001" customHeight="1" thickBot="1" x14ac:dyDescent="0.3">
      <c r="B137" s="34">
        <v>183</v>
      </c>
      <c r="C137" s="116" t="s">
        <v>19</v>
      </c>
      <c r="D137" s="120" t="s">
        <v>158</v>
      </c>
      <c r="E137" s="116">
        <v>36099</v>
      </c>
      <c r="F137" s="117">
        <v>45908</v>
      </c>
      <c r="G137" s="114" t="s">
        <v>22</v>
      </c>
      <c r="H137" s="118">
        <v>10</v>
      </c>
      <c r="I137" s="119">
        <v>30</v>
      </c>
      <c r="J137" s="66">
        <f t="shared" si="40"/>
        <v>0</v>
      </c>
      <c r="K137" s="68">
        <f t="shared" si="44"/>
        <v>30</v>
      </c>
      <c r="L137" s="32" t="str">
        <f t="shared" si="43"/>
        <v>ESTOQUE BAIXO</v>
      </c>
      <c r="N137" s="26" t="str">
        <f t="shared" si="45"/>
        <v xml:space="preserve">CAPACETE GENISIS LARANJA </v>
      </c>
      <c r="O137" s="27">
        <f>SUMIFS(ENTRADA!$F:$F,ENTRADA!$B:$B,ESTOQUE!$B137)</f>
        <v>0</v>
      </c>
      <c r="P137" s="27">
        <f>SUMIFS(SAIDA!$F:$F,SAIDA!$B:$B,ESTOQUE!$B137)</f>
        <v>0</v>
      </c>
      <c r="Q137" s="27">
        <f t="shared" si="46"/>
        <v>0</v>
      </c>
      <c r="R137" s="27" t="e">
        <f>Q137=#REF!</f>
        <v>#REF!</v>
      </c>
      <c r="S137" s="93">
        <f>IFERROR(SUMIFS(ENTRADA!$H:$H,ENTRADA!$B:$B,ESTOQUE!$B137)/O137,0)</f>
        <v>0</v>
      </c>
      <c r="T137" s="93">
        <f t="shared" si="47"/>
        <v>0</v>
      </c>
      <c r="U137" s="93">
        <f t="shared" si="48"/>
        <v>0</v>
      </c>
    </row>
    <row r="138" spans="2:21" ht="17.100000000000001" customHeight="1" thickBot="1" x14ac:dyDescent="0.3">
      <c r="B138" s="34">
        <v>180</v>
      </c>
      <c r="C138" s="116" t="s">
        <v>19</v>
      </c>
      <c r="D138" s="120" t="s">
        <v>159</v>
      </c>
      <c r="E138" s="116">
        <v>36099</v>
      </c>
      <c r="F138" s="117">
        <v>45908</v>
      </c>
      <c r="G138" s="114" t="s">
        <v>22</v>
      </c>
      <c r="H138" s="118">
        <v>10</v>
      </c>
      <c r="I138" s="119">
        <v>30</v>
      </c>
      <c r="J138" s="66">
        <f t="shared" si="40"/>
        <v>0</v>
      </c>
      <c r="K138" s="68">
        <f t="shared" si="44"/>
        <v>30</v>
      </c>
      <c r="L138" s="32" t="str">
        <f t="shared" si="43"/>
        <v>ESTOQUE BAIXO</v>
      </c>
      <c r="N138" s="26" t="str">
        <f t="shared" si="45"/>
        <v>CAPACETE GENISIS MARRON</v>
      </c>
      <c r="O138" s="27">
        <f>SUMIFS(ENTRADA!$F:$F,ENTRADA!$B:$B,ESTOQUE!$B138)</f>
        <v>17</v>
      </c>
      <c r="P138" s="27">
        <f>SUMIFS(SAIDA!$F:$F,SAIDA!$B:$B,ESTOQUE!$B138)</f>
        <v>17</v>
      </c>
      <c r="Q138" s="27">
        <f t="shared" si="46"/>
        <v>0</v>
      </c>
      <c r="R138" s="27" t="e">
        <f>Q138=#REF!</f>
        <v>#REF!</v>
      </c>
      <c r="S138" s="93">
        <f>IFERROR(SUMIFS(ENTRADA!$H:$H,ENTRADA!$B:$B,ESTOQUE!$B138)/O138,0)</f>
        <v>14.091176470588236</v>
      </c>
      <c r="T138" s="93">
        <f t="shared" si="47"/>
        <v>0</v>
      </c>
      <c r="U138" s="93">
        <f t="shared" si="48"/>
        <v>239.55</v>
      </c>
    </row>
    <row r="139" spans="2:21" ht="17.100000000000001" customHeight="1" thickBot="1" x14ac:dyDescent="0.3">
      <c r="B139" s="34">
        <v>182</v>
      </c>
      <c r="C139" s="116" t="s">
        <v>19</v>
      </c>
      <c r="D139" s="120" t="s">
        <v>160</v>
      </c>
      <c r="E139" s="116">
        <v>36099</v>
      </c>
      <c r="F139" s="117">
        <v>45908</v>
      </c>
      <c r="G139" s="114" t="s">
        <v>22</v>
      </c>
      <c r="H139" s="118">
        <v>10</v>
      </c>
      <c r="I139" s="119">
        <v>30</v>
      </c>
      <c r="J139" s="66">
        <f t="shared" si="40"/>
        <v>0</v>
      </c>
      <c r="K139" s="68">
        <f t="shared" si="44"/>
        <v>30</v>
      </c>
      <c r="L139" s="32" t="str">
        <f t="shared" si="43"/>
        <v>ESTOQUE BAIXO</v>
      </c>
      <c r="N139" s="26" t="str">
        <f t="shared" si="45"/>
        <v>CAPACETE GENISIS PRETO</v>
      </c>
      <c r="O139" s="27">
        <f>SUMIFS(ENTRADA!$F:$F,ENTRADA!$B:$B,ESTOQUE!$B139)</f>
        <v>0</v>
      </c>
      <c r="P139" s="27">
        <f>SUMIFS(SAIDA!$F:$F,SAIDA!$B:$B,ESTOQUE!$B139)</f>
        <v>0</v>
      </c>
      <c r="Q139" s="27">
        <f t="shared" si="46"/>
        <v>0</v>
      </c>
      <c r="R139" s="27" t="e">
        <f>Q139=#REF!</f>
        <v>#REF!</v>
      </c>
      <c r="S139" s="93">
        <f>IFERROR(SUMIFS(ENTRADA!$H:$H,ENTRADA!$B:$B,ESTOQUE!$B139)/O139,0)</f>
        <v>0</v>
      </c>
      <c r="T139" s="93">
        <f t="shared" si="47"/>
        <v>0</v>
      </c>
      <c r="U139" s="93">
        <f t="shared" si="48"/>
        <v>0</v>
      </c>
    </row>
    <row r="140" spans="2:21" ht="17.100000000000001" customHeight="1" thickBot="1" x14ac:dyDescent="0.3">
      <c r="B140" s="34">
        <v>181</v>
      </c>
      <c r="C140" s="116" t="s">
        <v>19</v>
      </c>
      <c r="D140" s="120" t="s">
        <v>161</v>
      </c>
      <c r="E140" s="116">
        <v>36099</v>
      </c>
      <c r="F140" s="117">
        <v>45908</v>
      </c>
      <c r="G140" s="114" t="s">
        <v>22</v>
      </c>
      <c r="H140" s="118">
        <v>10</v>
      </c>
      <c r="I140" s="119">
        <v>30</v>
      </c>
      <c r="J140" s="66">
        <f t="shared" si="40"/>
        <v>20</v>
      </c>
      <c r="K140" s="68">
        <f t="shared" si="44"/>
        <v>10</v>
      </c>
      <c r="L140" s="32" t="str">
        <f t="shared" si="43"/>
        <v>ESTOQUE NORMAL</v>
      </c>
      <c r="N140" s="26" t="str">
        <f t="shared" si="45"/>
        <v>CAPACETE GENISIS VERDE</v>
      </c>
      <c r="O140" s="27">
        <f>SUMIFS(ENTRADA!$F:$F,ENTRADA!$B:$B,ESTOQUE!$B140)</f>
        <v>22</v>
      </c>
      <c r="P140" s="27">
        <f>SUMIFS(SAIDA!$F:$F,SAIDA!$B:$B,ESTOQUE!$B140)</f>
        <v>2</v>
      </c>
      <c r="Q140" s="27">
        <f t="shared" si="46"/>
        <v>20</v>
      </c>
      <c r="R140" s="27" t="e">
        <f>Q140=#REF!</f>
        <v>#REF!</v>
      </c>
      <c r="S140" s="93">
        <f>IFERROR(SUMIFS(ENTRADA!$H:$H,ENTRADA!$B:$B,ESTOQUE!$B140)/O140,0)</f>
        <v>14.518181818181819</v>
      </c>
      <c r="T140" s="93">
        <f t="shared" si="47"/>
        <v>290.36363636363637</v>
      </c>
      <c r="U140" s="93">
        <f t="shared" si="48"/>
        <v>29.036363636363639</v>
      </c>
    </row>
    <row r="141" spans="2:21" ht="17.100000000000001" customHeight="1" thickBot="1" x14ac:dyDescent="0.3">
      <c r="B141" s="34">
        <v>178</v>
      </c>
      <c r="C141" s="116" t="s">
        <v>19</v>
      </c>
      <c r="D141" s="120" t="s">
        <v>162</v>
      </c>
      <c r="E141" s="116">
        <v>36099</v>
      </c>
      <c r="F141" s="117">
        <v>45908</v>
      </c>
      <c r="G141" s="114" t="s">
        <v>22</v>
      </c>
      <c r="H141" s="118">
        <v>10</v>
      </c>
      <c r="I141" s="119">
        <v>30</v>
      </c>
      <c r="J141" s="66">
        <f t="shared" si="40"/>
        <v>25</v>
      </c>
      <c r="K141" s="68">
        <f t="shared" si="44"/>
        <v>5</v>
      </c>
      <c r="L141" s="32" t="str">
        <f t="shared" si="43"/>
        <v>ESTOQUE NORMAL</v>
      </c>
      <c r="N141" s="26" t="str">
        <f t="shared" si="45"/>
        <v>CAPACETE GENISIS VERMELHO</v>
      </c>
      <c r="O141" s="27">
        <f>SUMIFS(ENTRADA!$F:$F,ENTRADA!$B:$B,ESTOQUE!$B141)</f>
        <v>47</v>
      </c>
      <c r="P141" s="27">
        <f>SUMIFS(SAIDA!$F:$F,SAIDA!$B:$B,ESTOQUE!$B141)</f>
        <v>22</v>
      </c>
      <c r="Q141" s="27">
        <f t="shared" si="46"/>
        <v>25</v>
      </c>
      <c r="R141" s="27" t="e">
        <f>Q141=#REF!</f>
        <v>#REF!</v>
      </c>
      <c r="S141" s="93">
        <f>IFERROR(SUMIFS(ENTRADA!$H:$H,ENTRADA!$B:$B,ESTOQUE!$B141)/O141,0)</f>
        <v>8.8344680851063835</v>
      </c>
      <c r="T141" s="93">
        <f t="shared" si="47"/>
        <v>220.86170212765958</v>
      </c>
      <c r="U141" s="93">
        <f t="shared" si="48"/>
        <v>194.35829787234044</v>
      </c>
    </row>
    <row r="142" spans="2:21" ht="17.100000000000001" customHeight="1" thickBot="1" x14ac:dyDescent="0.3">
      <c r="B142" s="34">
        <v>79</v>
      </c>
      <c r="C142" s="116" t="s">
        <v>19</v>
      </c>
      <c r="D142" s="111" t="s">
        <v>163</v>
      </c>
      <c r="E142" s="116">
        <v>36099</v>
      </c>
      <c r="F142" s="117">
        <v>45908</v>
      </c>
      <c r="G142" s="114" t="s">
        <v>22</v>
      </c>
      <c r="H142" s="118">
        <v>10</v>
      </c>
      <c r="I142" s="119">
        <v>30</v>
      </c>
      <c r="J142" s="66">
        <f t="shared" si="40"/>
        <v>17</v>
      </c>
      <c r="K142" s="68">
        <f t="shared" si="44"/>
        <v>13</v>
      </c>
      <c r="L142" s="32" t="str">
        <f t="shared" si="43"/>
        <v>ESTOQUE NORMAL</v>
      </c>
      <c r="N142" s="26" t="str">
        <f t="shared" si="45"/>
        <v>CAPACETE LIBUS AMARELO</v>
      </c>
      <c r="O142" s="27">
        <f>SUMIFS(ENTRADA!$F:$F,ENTRADA!$B:$B,ESTOQUE!$B142)</f>
        <v>21</v>
      </c>
      <c r="P142" s="27">
        <f>SUMIFS(SAIDA!$F:$F,SAIDA!$B:$B,ESTOQUE!$B142)</f>
        <v>4</v>
      </c>
      <c r="Q142" s="27">
        <f t="shared" si="46"/>
        <v>17</v>
      </c>
      <c r="R142" s="27" t="e">
        <f>Q142=#REF!</f>
        <v>#REF!</v>
      </c>
      <c r="S142" s="93">
        <f>IFERROR(SUMIFS(ENTRADA!$H:$H,ENTRADA!$B:$B,ESTOQUE!$B142)/O142,0)</f>
        <v>0</v>
      </c>
      <c r="T142" s="93">
        <f t="shared" si="47"/>
        <v>0</v>
      </c>
      <c r="U142" s="93">
        <f t="shared" si="48"/>
        <v>0</v>
      </c>
    </row>
    <row r="143" spans="2:21" ht="17.100000000000001" customHeight="1" thickBot="1" x14ac:dyDescent="0.3">
      <c r="B143" s="34">
        <v>80</v>
      </c>
      <c r="C143" s="116" t="s">
        <v>19</v>
      </c>
      <c r="D143" s="111" t="s">
        <v>164</v>
      </c>
      <c r="E143" s="116">
        <v>36099</v>
      </c>
      <c r="F143" s="117">
        <v>45908</v>
      </c>
      <c r="G143" s="114" t="s">
        <v>22</v>
      </c>
      <c r="H143" s="118">
        <v>10</v>
      </c>
      <c r="I143" s="119">
        <v>30</v>
      </c>
      <c r="J143" s="66">
        <v>0</v>
      </c>
      <c r="K143" s="68">
        <f t="shared" si="44"/>
        <v>30</v>
      </c>
      <c r="L143" s="32" t="str">
        <f t="shared" si="43"/>
        <v>ESTOQUE BAIXO</v>
      </c>
      <c r="N143" s="26" t="str">
        <f t="shared" si="45"/>
        <v>CAPACETE LIBUS AZUL CLARO</v>
      </c>
      <c r="O143" s="27">
        <f>SUMIFS(ENTRADA!$F:$F,ENTRADA!$B:$B,ESTOQUE!$B143)</f>
        <v>12</v>
      </c>
      <c r="P143" s="27">
        <f>SUMIFS(SAIDA!$F:$F,SAIDA!$B:$B,ESTOQUE!$B143)</f>
        <v>13</v>
      </c>
      <c r="Q143" s="27">
        <f t="shared" si="46"/>
        <v>-1</v>
      </c>
      <c r="R143" s="27" t="e">
        <f>Q143=#REF!</f>
        <v>#REF!</v>
      </c>
      <c r="S143" s="93">
        <f>IFERROR(SUMIFS(ENTRADA!$H:$H,ENTRADA!$B:$B,ESTOQUE!$B143)/O143,0)</f>
        <v>0</v>
      </c>
      <c r="T143" s="93">
        <f t="shared" si="47"/>
        <v>0</v>
      </c>
      <c r="U143" s="93">
        <f t="shared" si="48"/>
        <v>0</v>
      </c>
    </row>
    <row r="144" spans="2:21" ht="17.100000000000001" customHeight="1" thickBot="1" x14ac:dyDescent="0.3">
      <c r="B144" s="34">
        <v>81</v>
      </c>
      <c r="C144" s="116" t="s">
        <v>19</v>
      </c>
      <c r="D144" s="111" t="s">
        <v>165</v>
      </c>
      <c r="E144" s="116">
        <v>36099</v>
      </c>
      <c r="F144" s="117">
        <v>45908</v>
      </c>
      <c r="G144" s="114" t="s">
        <v>22</v>
      </c>
      <c r="H144" s="118">
        <v>10</v>
      </c>
      <c r="I144" s="119">
        <v>30</v>
      </c>
      <c r="J144" s="66">
        <f t="shared" si="40"/>
        <v>4</v>
      </c>
      <c r="K144" s="68">
        <f t="shared" si="44"/>
        <v>26</v>
      </c>
      <c r="L144" s="32" t="str">
        <f t="shared" si="43"/>
        <v>ESTOQUE BAIXO</v>
      </c>
      <c r="N144" s="26" t="str">
        <f t="shared" si="45"/>
        <v>CAPACETE LIBUS BRANCO</v>
      </c>
      <c r="O144" s="27">
        <f>SUMIFS(ENTRADA!$F:$F,ENTRADA!$B:$B,ESTOQUE!$B144)</f>
        <v>7</v>
      </c>
      <c r="P144" s="27">
        <f>SUMIFS(SAIDA!$F:$F,SAIDA!$B:$B,ESTOQUE!$B144)</f>
        <v>3</v>
      </c>
      <c r="Q144" s="27">
        <f t="shared" si="46"/>
        <v>4</v>
      </c>
      <c r="R144" s="27" t="e">
        <f>Q144=#REF!</f>
        <v>#REF!</v>
      </c>
      <c r="S144" s="93">
        <f>IFERROR(SUMIFS(ENTRADA!$H:$H,ENTRADA!$B:$B,ESTOQUE!$B144)/O144,0)</f>
        <v>0</v>
      </c>
      <c r="T144" s="93">
        <f t="shared" si="47"/>
        <v>0</v>
      </c>
      <c r="U144" s="93">
        <f t="shared" si="48"/>
        <v>0</v>
      </c>
    </row>
    <row r="145" spans="2:21" ht="17.100000000000001" customHeight="1" thickBot="1" x14ac:dyDescent="0.3">
      <c r="B145" s="34">
        <v>82</v>
      </c>
      <c r="C145" s="116" t="s">
        <v>19</v>
      </c>
      <c r="D145" s="111" t="s">
        <v>166</v>
      </c>
      <c r="E145" s="116">
        <v>36099</v>
      </c>
      <c r="F145" s="117">
        <v>45908</v>
      </c>
      <c r="G145" s="114" t="s">
        <v>22</v>
      </c>
      <c r="H145" s="118">
        <v>10</v>
      </c>
      <c r="I145" s="119">
        <v>30</v>
      </c>
      <c r="J145" s="66">
        <f t="shared" si="40"/>
        <v>7</v>
      </c>
      <c r="K145" s="68">
        <f t="shared" si="44"/>
        <v>23</v>
      </c>
      <c r="L145" s="32" t="str">
        <f t="shared" si="43"/>
        <v>ESTOQUE BAIXO</v>
      </c>
      <c r="N145" s="26" t="str">
        <f t="shared" si="45"/>
        <v>CAPACETE LIBUS CINZA</v>
      </c>
      <c r="O145" s="27">
        <f>SUMIFS(ENTRADA!$F:$F,ENTRADA!$B:$B,ESTOQUE!$B145)</f>
        <v>8</v>
      </c>
      <c r="P145" s="27">
        <f>SUMIFS(SAIDA!$F:$F,SAIDA!$B:$B,ESTOQUE!$B145)</f>
        <v>1</v>
      </c>
      <c r="Q145" s="27">
        <f t="shared" si="46"/>
        <v>7</v>
      </c>
      <c r="R145" s="27" t="e">
        <f>Q145=#REF!</f>
        <v>#REF!</v>
      </c>
      <c r="S145" s="93">
        <f>IFERROR(SUMIFS(ENTRADA!$H:$H,ENTRADA!$B:$B,ESTOQUE!$B145)/O145,0)</f>
        <v>0</v>
      </c>
      <c r="T145" s="93">
        <f t="shared" si="47"/>
        <v>0</v>
      </c>
      <c r="U145" s="93">
        <f t="shared" si="48"/>
        <v>0</v>
      </c>
    </row>
    <row r="146" spans="2:21" ht="17.100000000000001" customHeight="1" thickBot="1" x14ac:dyDescent="0.3">
      <c r="B146" s="34">
        <v>83</v>
      </c>
      <c r="C146" s="116" t="s">
        <v>19</v>
      </c>
      <c r="D146" s="111" t="s">
        <v>167</v>
      </c>
      <c r="E146" s="116">
        <v>36099</v>
      </c>
      <c r="F146" s="117">
        <v>45908</v>
      </c>
      <c r="G146" s="114" t="s">
        <v>22</v>
      </c>
      <c r="H146" s="118">
        <v>10</v>
      </c>
      <c r="I146" s="119">
        <v>30</v>
      </c>
      <c r="J146" s="66">
        <f t="shared" si="40"/>
        <v>15</v>
      </c>
      <c r="K146" s="68">
        <f t="shared" si="44"/>
        <v>15</v>
      </c>
      <c r="L146" s="32" t="str">
        <f t="shared" si="43"/>
        <v>ESTOQUE NORMAL</v>
      </c>
      <c r="N146" s="26" t="str">
        <f t="shared" si="45"/>
        <v>CAPACETE LIBUS LARANJA</v>
      </c>
      <c r="O146" s="27">
        <f>SUMIFS(ENTRADA!$F:$F,ENTRADA!$B:$B,ESTOQUE!$B146)</f>
        <v>19</v>
      </c>
      <c r="P146" s="27">
        <f>SUMIFS(SAIDA!$F:$F,SAIDA!$B:$B,ESTOQUE!$B146)</f>
        <v>4</v>
      </c>
      <c r="Q146" s="27">
        <f t="shared" si="46"/>
        <v>15</v>
      </c>
      <c r="R146" s="27" t="e">
        <f>Q146=#REF!</f>
        <v>#REF!</v>
      </c>
      <c r="S146" s="93">
        <f>IFERROR(SUMIFS(ENTRADA!$H:$H,ENTRADA!$B:$B,ESTOQUE!$B146)/O146,0)</f>
        <v>0</v>
      </c>
      <c r="T146" s="93">
        <f t="shared" si="47"/>
        <v>0</v>
      </c>
      <c r="U146" s="93">
        <f t="shared" si="48"/>
        <v>0</v>
      </c>
    </row>
    <row r="147" spans="2:21" ht="17.100000000000001" customHeight="1" thickBot="1" x14ac:dyDescent="0.3">
      <c r="B147" s="34">
        <v>84</v>
      </c>
      <c r="C147" s="116" t="s">
        <v>19</v>
      </c>
      <c r="D147" s="111" t="s">
        <v>168</v>
      </c>
      <c r="E147" s="116">
        <v>36099</v>
      </c>
      <c r="F147" s="117">
        <v>45908</v>
      </c>
      <c r="G147" s="114" t="s">
        <v>22</v>
      </c>
      <c r="H147" s="118">
        <v>10</v>
      </c>
      <c r="I147" s="119">
        <v>30</v>
      </c>
      <c r="J147" s="66">
        <f t="shared" si="40"/>
        <v>8</v>
      </c>
      <c r="K147" s="68">
        <f t="shared" si="44"/>
        <v>22</v>
      </c>
      <c r="L147" s="32" t="str">
        <f t="shared" si="43"/>
        <v>ESTOQUE BAIXO</v>
      </c>
      <c r="N147" s="26" t="str">
        <f t="shared" si="45"/>
        <v>CAPACETE LIBUS MARROM</v>
      </c>
      <c r="O147" s="27">
        <f>SUMIFS(ENTRADA!$F:$F,ENTRADA!$B:$B,ESTOQUE!$B147)</f>
        <v>14</v>
      </c>
      <c r="P147" s="27">
        <f>SUMIFS(SAIDA!$F:$F,SAIDA!$B:$B,ESTOQUE!$B147)</f>
        <v>6</v>
      </c>
      <c r="Q147" s="27">
        <f t="shared" si="46"/>
        <v>8</v>
      </c>
      <c r="R147" s="27" t="e">
        <f>Q147=#REF!</f>
        <v>#REF!</v>
      </c>
      <c r="S147" s="93">
        <f>IFERROR(SUMIFS(ENTRADA!$H:$H,ENTRADA!$B:$B,ESTOQUE!$B147)/O147,0)</f>
        <v>0</v>
      </c>
      <c r="T147" s="93">
        <f t="shared" si="47"/>
        <v>0</v>
      </c>
      <c r="U147" s="93">
        <f t="shared" si="48"/>
        <v>0</v>
      </c>
    </row>
    <row r="148" spans="2:21" ht="17.100000000000001" customHeight="1" thickBot="1" x14ac:dyDescent="0.3">
      <c r="B148" s="34">
        <v>85</v>
      </c>
      <c r="C148" s="116" t="s">
        <v>19</v>
      </c>
      <c r="D148" s="111" t="s">
        <v>169</v>
      </c>
      <c r="E148" s="116">
        <v>36099</v>
      </c>
      <c r="F148" s="117">
        <v>45908</v>
      </c>
      <c r="G148" s="114" t="s">
        <v>22</v>
      </c>
      <c r="H148" s="118">
        <v>10</v>
      </c>
      <c r="I148" s="119">
        <v>30</v>
      </c>
      <c r="J148" s="66">
        <f t="shared" si="40"/>
        <v>0</v>
      </c>
      <c r="K148" s="68">
        <f t="shared" si="44"/>
        <v>30</v>
      </c>
      <c r="L148" s="32" t="str">
        <f t="shared" si="43"/>
        <v>ESTOQUE BAIXO</v>
      </c>
      <c r="N148" s="26" t="str">
        <f t="shared" si="45"/>
        <v>CAPACETE LIBUS PRETO</v>
      </c>
      <c r="O148" s="27">
        <f>SUMIFS(ENTRADA!$F:$F,ENTRADA!$B:$B,ESTOQUE!$B148)</f>
        <v>0</v>
      </c>
      <c r="P148" s="27">
        <f>SUMIFS(SAIDA!$F:$F,SAIDA!$B:$B,ESTOQUE!$B148)</f>
        <v>0</v>
      </c>
      <c r="Q148" s="27">
        <f t="shared" si="46"/>
        <v>0</v>
      </c>
      <c r="R148" s="27" t="e">
        <f>Q148=#REF!</f>
        <v>#REF!</v>
      </c>
      <c r="S148" s="93">
        <f>IFERROR(SUMIFS(ENTRADA!$H:$H,ENTRADA!$B:$B,ESTOQUE!$B148)/O148,0)</f>
        <v>0</v>
      </c>
      <c r="T148" s="93">
        <f t="shared" si="47"/>
        <v>0</v>
      </c>
      <c r="U148" s="93">
        <f t="shared" si="48"/>
        <v>0</v>
      </c>
    </row>
    <row r="149" spans="2:21" ht="17.100000000000001" customHeight="1" thickBot="1" x14ac:dyDescent="0.3">
      <c r="B149" s="34">
        <v>86</v>
      </c>
      <c r="C149" s="116" t="s">
        <v>19</v>
      </c>
      <c r="D149" s="111" t="s">
        <v>170</v>
      </c>
      <c r="E149" s="116">
        <v>36099</v>
      </c>
      <c r="F149" s="117">
        <v>45908</v>
      </c>
      <c r="G149" s="114" t="s">
        <v>22</v>
      </c>
      <c r="H149" s="118">
        <v>10</v>
      </c>
      <c r="I149" s="119">
        <v>30</v>
      </c>
      <c r="J149" s="66">
        <f t="shared" si="40"/>
        <v>20</v>
      </c>
      <c r="K149" s="68">
        <f t="shared" si="44"/>
        <v>10</v>
      </c>
      <c r="L149" s="32" t="str">
        <f t="shared" si="43"/>
        <v>ESTOQUE NORMAL</v>
      </c>
      <c r="N149" s="26" t="str">
        <f t="shared" ref="N149:N211" si="49">D149</f>
        <v>CAPACETE LIBUS VERDE</v>
      </c>
      <c r="O149" s="27">
        <f>SUMIFS(ENTRADA!$F:$F,ENTRADA!$B:$B,ESTOQUE!$B149)</f>
        <v>20</v>
      </c>
      <c r="P149" s="27">
        <f>SUMIFS(SAIDA!$F:$F,SAIDA!$B:$B,ESTOQUE!$B149)</f>
        <v>0</v>
      </c>
      <c r="Q149" s="27">
        <f t="shared" ref="Q149:Q211" si="50">O149-P149</f>
        <v>20</v>
      </c>
      <c r="R149" s="27" t="e">
        <f>Q149=#REF!</f>
        <v>#REF!</v>
      </c>
      <c r="S149" s="93">
        <f>IFERROR(SUMIFS(ENTRADA!$H:$H,ENTRADA!$B:$B,ESTOQUE!$B149)/O149,0)</f>
        <v>0</v>
      </c>
      <c r="T149" s="93">
        <f t="shared" ref="T149:T211" si="51">Q149*S149</f>
        <v>0</v>
      </c>
      <c r="U149" s="93">
        <f t="shared" ref="U149:U211" si="52">P149*S149</f>
        <v>0</v>
      </c>
    </row>
    <row r="150" spans="2:21" ht="17.100000000000001" customHeight="1" thickBot="1" x14ac:dyDescent="0.3">
      <c r="B150" s="34">
        <v>140</v>
      </c>
      <c r="C150" s="116" t="s">
        <v>19</v>
      </c>
      <c r="D150" s="120" t="s">
        <v>171</v>
      </c>
      <c r="E150" s="116">
        <v>36099</v>
      </c>
      <c r="F150" s="117">
        <v>45908</v>
      </c>
      <c r="G150" s="114" t="s">
        <v>22</v>
      </c>
      <c r="H150" s="118">
        <v>10</v>
      </c>
      <c r="I150" s="119">
        <v>30</v>
      </c>
      <c r="J150" s="66">
        <f t="shared" si="40"/>
        <v>3</v>
      </c>
      <c r="K150" s="68">
        <f t="shared" si="44"/>
        <v>27</v>
      </c>
      <c r="L150" s="32" t="str">
        <f t="shared" si="43"/>
        <v>ESTOQUE BAIXO</v>
      </c>
      <c r="N150" s="26" t="str">
        <f t="shared" si="49"/>
        <v>CAPACETE LIBUS VERMELHO</v>
      </c>
      <c r="O150" s="27">
        <f>SUMIFS(ENTRADA!$F:$F,ENTRADA!$B:$B,ESTOQUE!$B150)</f>
        <v>5</v>
      </c>
      <c r="P150" s="27">
        <f>SUMIFS(SAIDA!$F:$F,SAIDA!$B:$B,ESTOQUE!$B150)</f>
        <v>2</v>
      </c>
      <c r="Q150" s="27">
        <f t="shared" si="50"/>
        <v>3</v>
      </c>
      <c r="R150" s="27" t="e">
        <f>Q150=#REF!</f>
        <v>#REF!</v>
      </c>
      <c r="S150" s="93">
        <f>IFERROR(SUMIFS(ENTRADA!$H:$H,ENTRADA!$B:$B,ESTOQUE!$B150)/O150,0)</f>
        <v>0</v>
      </c>
      <c r="T150" s="93">
        <f t="shared" si="51"/>
        <v>0</v>
      </c>
      <c r="U150" s="93">
        <f t="shared" si="52"/>
        <v>0</v>
      </c>
    </row>
    <row r="151" spans="2:21" ht="17.100000000000001" customHeight="1" thickBot="1" x14ac:dyDescent="0.3">
      <c r="B151" s="34">
        <v>87</v>
      </c>
      <c r="C151" s="116" t="s">
        <v>19</v>
      </c>
      <c r="D151" s="111" t="s">
        <v>172</v>
      </c>
      <c r="E151" s="116">
        <v>31469</v>
      </c>
      <c r="F151" s="117">
        <v>46896</v>
      </c>
      <c r="G151" s="114" t="s">
        <v>22</v>
      </c>
      <c r="H151" s="118">
        <v>10</v>
      </c>
      <c r="I151" s="119">
        <v>30</v>
      </c>
      <c r="J151" s="66">
        <f t="shared" si="40"/>
        <v>4</v>
      </c>
      <c r="K151" s="68">
        <f t="shared" si="44"/>
        <v>26</v>
      </c>
      <c r="L151" s="32" t="str">
        <f t="shared" si="43"/>
        <v>ESTOQUE BAIXO</v>
      </c>
      <c r="N151" s="26" t="str">
        <f t="shared" si="49"/>
        <v>CAPACETE PLASTCOR AMARELO</v>
      </c>
      <c r="O151" s="27">
        <f>SUMIFS(ENTRADA!$F:$F,ENTRADA!$B:$B,ESTOQUE!$B151)</f>
        <v>7</v>
      </c>
      <c r="P151" s="27">
        <f>SUMIFS(SAIDA!$F:$F,SAIDA!$B:$B,ESTOQUE!$B151)</f>
        <v>3</v>
      </c>
      <c r="Q151" s="27">
        <f t="shared" si="50"/>
        <v>4</v>
      </c>
      <c r="R151" s="27" t="e">
        <f>Q151=#REF!</f>
        <v>#REF!</v>
      </c>
      <c r="S151" s="93">
        <f>IFERROR(SUMIFS(ENTRADA!$H:$H,ENTRADA!$B:$B,ESTOQUE!$B151)/O151,0)</f>
        <v>10.828571428571427</v>
      </c>
      <c r="T151" s="93">
        <f t="shared" si="51"/>
        <v>43.31428571428571</v>
      </c>
      <c r="U151" s="93">
        <f t="shared" si="52"/>
        <v>32.48571428571428</v>
      </c>
    </row>
    <row r="152" spans="2:21" ht="17.100000000000001" customHeight="1" thickBot="1" x14ac:dyDescent="0.3">
      <c r="B152" s="34">
        <v>88</v>
      </c>
      <c r="C152" s="116" t="s">
        <v>19</v>
      </c>
      <c r="D152" s="111" t="s">
        <v>173</v>
      </c>
      <c r="E152" s="116">
        <v>31469</v>
      </c>
      <c r="F152" s="117">
        <v>46896</v>
      </c>
      <c r="G152" s="114" t="s">
        <v>22</v>
      </c>
      <c r="H152" s="118">
        <v>10</v>
      </c>
      <c r="I152" s="119">
        <v>30</v>
      </c>
      <c r="J152" s="66">
        <f t="shared" si="40"/>
        <v>4</v>
      </c>
      <c r="K152" s="68">
        <f t="shared" si="44"/>
        <v>26</v>
      </c>
      <c r="L152" s="32" t="str">
        <f t="shared" si="43"/>
        <v>ESTOQUE BAIXO</v>
      </c>
      <c r="N152" s="26" t="str">
        <f t="shared" si="49"/>
        <v>CAPACETE PLASTCOR AZUL ESCURO</v>
      </c>
      <c r="O152" s="27">
        <f>SUMIFS(ENTRADA!$F:$F,ENTRADA!$B:$B,ESTOQUE!$B152)</f>
        <v>7</v>
      </c>
      <c r="P152" s="27">
        <f>SUMIFS(SAIDA!$F:$F,SAIDA!$B:$B,ESTOQUE!$B152)</f>
        <v>3</v>
      </c>
      <c r="Q152" s="27">
        <f t="shared" si="50"/>
        <v>4</v>
      </c>
      <c r="R152" s="27" t="e">
        <f>Q152=#REF!</f>
        <v>#REF!</v>
      </c>
      <c r="S152" s="93">
        <f>IFERROR(SUMIFS(ENTRADA!$H:$H,ENTRADA!$B:$B,ESTOQUE!$B152)/O152,0)</f>
        <v>0</v>
      </c>
      <c r="T152" s="93">
        <f t="shared" si="51"/>
        <v>0</v>
      </c>
      <c r="U152" s="93">
        <f t="shared" si="52"/>
        <v>0</v>
      </c>
    </row>
    <row r="153" spans="2:21" ht="17.100000000000001" customHeight="1" thickBot="1" x14ac:dyDescent="0.3">
      <c r="B153" s="34">
        <v>89</v>
      </c>
      <c r="C153" s="116" t="s">
        <v>19</v>
      </c>
      <c r="D153" s="111" t="s">
        <v>174</v>
      </c>
      <c r="E153" s="116">
        <v>31469</v>
      </c>
      <c r="F153" s="117">
        <v>46896</v>
      </c>
      <c r="G153" s="114" t="s">
        <v>22</v>
      </c>
      <c r="H153" s="118">
        <v>10</v>
      </c>
      <c r="I153" s="119">
        <v>30</v>
      </c>
      <c r="J153" s="66">
        <f t="shared" si="40"/>
        <v>3</v>
      </c>
      <c r="K153" s="68">
        <f t="shared" si="44"/>
        <v>27</v>
      </c>
      <c r="L153" s="32" t="str">
        <f t="shared" si="43"/>
        <v>ESTOQUE BAIXO</v>
      </c>
      <c r="N153" s="26" t="str">
        <f t="shared" si="49"/>
        <v>CAPACETE PLASTCOR BRANCO</v>
      </c>
      <c r="O153" s="27">
        <f>SUMIFS(ENTRADA!$F:$F,ENTRADA!$B:$B,ESTOQUE!$B153)</f>
        <v>3</v>
      </c>
      <c r="P153" s="27">
        <f>SUMIFS(SAIDA!$F:$F,SAIDA!$B:$B,ESTOQUE!$B153)</f>
        <v>0</v>
      </c>
      <c r="Q153" s="27">
        <f t="shared" si="50"/>
        <v>3</v>
      </c>
      <c r="R153" s="27" t="e">
        <f>Q153=#REF!</f>
        <v>#REF!</v>
      </c>
      <c r="S153" s="93">
        <f>IFERROR(SUMIFS(ENTRADA!$H:$H,ENTRADA!$B:$B,ESTOQUE!$B153)/O153,0)</f>
        <v>0</v>
      </c>
      <c r="T153" s="93">
        <f t="shared" si="51"/>
        <v>0</v>
      </c>
      <c r="U153" s="93">
        <f t="shared" si="52"/>
        <v>0</v>
      </c>
    </row>
    <row r="154" spans="2:21" ht="17.100000000000001" customHeight="1" thickBot="1" x14ac:dyDescent="0.3">
      <c r="B154" s="34">
        <v>90</v>
      </c>
      <c r="C154" s="116" t="s">
        <v>19</v>
      </c>
      <c r="D154" s="111" t="s">
        <v>175</v>
      </c>
      <c r="E154" s="116">
        <v>31469</v>
      </c>
      <c r="F154" s="117">
        <v>46896</v>
      </c>
      <c r="G154" s="114" t="s">
        <v>22</v>
      </c>
      <c r="H154" s="118">
        <v>10</v>
      </c>
      <c r="I154" s="119">
        <v>30</v>
      </c>
      <c r="J154" s="66">
        <f t="shared" ref="J154:J217" si="53">Q154</f>
        <v>0</v>
      </c>
      <c r="K154" s="68">
        <f t="shared" si="44"/>
        <v>30</v>
      </c>
      <c r="L154" s="32" t="str">
        <f t="shared" si="43"/>
        <v>ESTOQUE BAIXO</v>
      </c>
      <c r="N154" s="26" t="str">
        <f t="shared" si="49"/>
        <v>CAPACETE PLASTCOR CINZA</v>
      </c>
      <c r="O154" s="27">
        <f>SUMIFS(ENTRADA!$F:$F,ENTRADA!$B:$B,ESTOQUE!$B154)</f>
        <v>0</v>
      </c>
      <c r="P154" s="27">
        <f>SUMIFS(SAIDA!$F:$F,SAIDA!$B:$B,ESTOQUE!$B154)</f>
        <v>0</v>
      </c>
      <c r="Q154" s="27">
        <f t="shared" si="50"/>
        <v>0</v>
      </c>
      <c r="R154" s="27" t="e">
        <f>Q154=#REF!</f>
        <v>#REF!</v>
      </c>
      <c r="S154" s="93">
        <f>IFERROR(SUMIFS(ENTRADA!$H:$H,ENTRADA!$B:$B,ESTOQUE!$B154)/O154,0)</f>
        <v>0</v>
      </c>
      <c r="T154" s="93">
        <f t="shared" si="51"/>
        <v>0</v>
      </c>
      <c r="U154" s="93">
        <f t="shared" si="52"/>
        <v>0</v>
      </c>
    </row>
    <row r="155" spans="2:21" ht="13.5" customHeight="1" thickBot="1" x14ac:dyDescent="0.3">
      <c r="B155" s="34">
        <v>91</v>
      </c>
      <c r="C155" s="116" t="s">
        <v>19</v>
      </c>
      <c r="D155" s="111" t="s">
        <v>176</v>
      </c>
      <c r="E155" s="116">
        <v>31469</v>
      </c>
      <c r="F155" s="117">
        <v>46896</v>
      </c>
      <c r="G155" s="114" t="s">
        <v>22</v>
      </c>
      <c r="H155" s="118">
        <v>10</v>
      </c>
      <c r="I155" s="119">
        <v>30</v>
      </c>
      <c r="J155" s="66">
        <f t="shared" si="53"/>
        <v>3</v>
      </c>
      <c r="K155" s="68">
        <f t="shared" si="44"/>
        <v>27</v>
      </c>
      <c r="L155" s="32" t="str">
        <f t="shared" si="43"/>
        <v>ESTOQUE BAIXO</v>
      </c>
      <c r="N155" s="26" t="str">
        <f t="shared" si="49"/>
        <v>CAPACETE PLASTCOR ROXO</v>
      </c>
      <c r="O155" s="27">
        <f>SUMIFS(ENTRADA!$F:$F,ENTRADA!$B:$B,ESTOQUE!$B155)</f>
        <v>9</v>
      </c>
      <c r="P155" s="27">
        <f>SUMIFS(SAIDA!$F:$F,SAIDA!$B:$B,ESTOQUE!$B155)</f>
        <v>6</v>
      </c>
      <c r="Q155" s="27">
        <f t="shared" si="50"/>
        <v>3</v>
      </c>
      <c r="R155" s="27" t="e">
        <f>Q155=#REF!</f>
        <v>#REF!</v>
      </c>
      <c r="S155" s="93">
        <f>IFERROR(SUMIFS(ENTRADA!$H:$H,ENTRADA!$B:$B,ESTOQUE!$B155)/O155,0)</f>
        <v>13.475555555555555</v>
      </c>
      <c r="T155" s="93">
        <f t="shared" si="51"/>
        <v>40.426666666666662</v>
      </c>
      <c r="U155" s="93">
        <f t="shared" si="52"/>
        <v>80.853333333333325</v>
      </c>
    </row>
    <row r="156" spans="2:21" ht="17.100000000000001" customHeight="1" thickBot="1" x14ac:dyDescent="0.3">
      <c r="B156" s="34">
        <v>92</v>
      </c>
      <c r="C156" s="116" t="s">
        <v>19</v>
      </c>
      <c r="D156" s="111" t="s">
        <v>177</v>
      </c>
      <c r="E156" s="116" t="s">
        <v>25</v>
      </c>
      <c r="F156" s="117" t="s">
        <v>25</v>
      </c>
      <c r="G156" s="114" t="s">
        <v>22</v>
      </c>
      <c r="H156" s="118">
        <v>0</v>
      </c>
      <c r="I156" s="119">
        <v>0</v>
      </c>
      <c r="J156" s="66">
        <f t="shared" si="53"/>
        <v>0</v>
      </c>
      <c r="K156" s="68">
        <f t="shared" si="44"/>
        <v>0</v>
      </c>
      <c r="L156" s="32" t="str">
        <f t="shared" si="43"/>
        <v>ESTOQUE NORMAL</v>
      </c>
      <c r="N156" s="26" t="str">
        <f t="shared" si="49"/>
        <v>CARNEIRA 3M</v>
      </c>
      <c r="O156" s="27">
        <f>SUMIFS(ENTRADA!$F:$F,ENTRADA!$B:$B,ESTOQUE!$B156)</f>
        <v>0</v>
      </c>
      <c r="P156" s="27">
        <f>SUMIFS(SAIDA!$F:$F,SAIDA!$B:$B,ESTOQUE!$B156)</f>
        <v>0</v>
      </c>
      <c r="Q156" s="27">
        <f t="shared" si="50"/>
        <v>0</v>
      </c>
      <c r="R156" s="27" t="e">
        <f>Q156=#REF!</f>
        <v>#REF!</v>
      </c>
      <c r="S156" s="93">
        <f>IFERROR(SUMIFS(ENTRADA!$H:$H,ENTRADA!$B:$B,ESTOQUE!$B156)/O156,0)</f>
        <v>0</v>
      </c>
      <c r="T156" s="93">
        <f t="shared" si="51"/>
        <v>0</v>
      </c>
      <c r="U156" s="93">
        <f t="shared" si="52"/>
        <v>0</v>
      </c>
    </row>
    <row r="157" spans="2:21" ht="14.25" customHeight="1" thickBot="1" x14ac:dyDescent="0.3">
      <c r="B157" s="34">
        <v>93</v>
      </c>
      <c r="C157" s="116" t="s">
        <v>19</v>
      </c>
      <c r="D157" s="111" t="s">
        <v>178</v>
      </c>
      <c r="E157" s="116" t="s">
        <v>25</v>
      </c>
      <c r="F157" s="117" t="s">
        <v>25</v>
      </c>
      <c r="G157" s="114" t="s">
        <v>22</v>
      </c>
      <c r="H157" s="118">
        <v>300</v>
      </c>
      <c r="I157" s="119">
        <v>500</v>
      </c>
      <c r="J157" s="66">
        <f t="shared" si="53"/>
        <v>14</v>
      </c>
      <c r="K157" s="68">
        <f t="shared" si="44"/>
        <v>486</v>
      </c>
      <c r="L157" s="32" t="str">
        <f t="shared" si="43"/>
        <v>ESTOQUE BAIXO</v>
      </c>
      <c r="N157" s="26" t="str">
        <f t="shared" si="49"/>
        <v>CARNEIRA P/ CAPACETE C/ CATRACA GENESIS</v>
      </c>
      <c r="O157" s="27">
        <f>SUMIFS(ENTRADA!$F:$F,ENTRADA!$B:$B,ESTOQUE!$B157)</f>
        <v>19</v>
      </c>
      <c r="P157" s="27">
        <f>SUMIFS(SAIDA!$F:$F,SAIDA!$B:$B,ESTOQUE!$B157)</f>
        <v>5</v>
      </c>
      <c r="Q157" s="27">
        <f t="shared" si="50"/>
        <v>14</v>
      </c>
      <c r="R157" s="27" t="e">
        <f>Q157=#REF!</f>
        <v>#REF!</v>
      </c>
      <c r="S157" s="93">
        <f>IFERROR(SUMIFS(ENTRADA!$H:$H,ENTRADA!$B:$B,ESTOQUE!$B157)/O157,0)</f>
        <v>0</v>
      </c>
      <c r="T157" s="93">
        <f t="shared" si="51"/>
        <v>0</v>
      </c>
      <c r="U157" s="93">
        <f t="shared" si="52"/>
        <v>0</v>
      </c>
    </row>
    <row r="158" spans="2:21" ht="13.5" customHeight="1" thickBot="1" x14ac:dyDescent="0.3">
      <c r="B158" s="34">
        <v>94</v>
      </c>
      <c r="C158" s="116" t="s">
        <v>19</v>
      </c>
      <c r="D158" s="111" t="s">
        <v>179</v>
      </c>
      <c r="E158" s="116" t="s">
        <v>25</v>
      </c>
      <c r="F158" s="117" t="s">
        <v>25</v>
      </c>
      <c r="G158" s="114" t="s">
        <v>22</v>
      </c>
      <c r="H158" s="118">
        <v>30</v>
      </c>
      <c r="I158" s="119">
        <v>300</v>
      </c>
      <c r="J158" s="66">
        <f t="shared" si="53"/>
        <v>78</v>
      </c>
      <c r="K158" s="68">
        <f t="shared" si="44"/>
        <v>222</v>
      </c>
      <c r="L158" s="32" t="str">
        <f t="shared" si="43"/>
        <v>ESTOQUE NORMAL</v>
      </c>
      <c r="N158" s="26" t="str">
        <f t="shared" si="49"/>
        <v>CARNEIRA P/ CAPACETE CAMPER</v>
      </c>
      <c r="O158" s="27">
        <f>SUMIFS(ENTRADA!$F:$F,ENTRADA!$B:$B,ESTOQUE!$B158)</f>
        <v>100</v>
      </c>
      <c r="P158" s="27">
        <f>SUMIFS(SAIDA!$F:$F,SAIDA!$B:$B,ESTOQUE!$B158)</f>
        <v>22</v>
      </c>
      <c r="Q158" s="27">
        <f t="shared" si="50"/>
        <v>78</v>
      </c>
      <c r="R158" s="27" t="e">
        <f>Q158=#REF!</f>
        <v>#REF!</v>
      </c>
      <c r="S158" s="93">
        <f>IFERROR(SUMIFS(ENTRADA!$H:$H,ENTRADA!$B:$B,ESTOQUE!$B158)/O158,0)</f>
        <v>15.16</v>
      </c>
      <c r="T158" s="93">
        <f t="shared" si="51"/>
        <v>1182.48</v>
      </c>
      <c r="U158" s="93">
        <f t="shared" si="52"/>
        <v>333.52</v>
      </c>
    </row>
    <row r="159" spans="2:21" ht="18" customHeight="1" thickBot="1" x14ac:dyDescent="0.3">
      <c r="B159" s="34">
        <v>95</v>
      </c>
      <c r="C159" s="116" t="s">
        <v>19</v>
      </c>
      <c r="D159" s="111" t="s">
        <v>180</v>
      </c>
      <c r="E159" s="116" t="s">
        <v>25</v>
      </c>
      <c r="F159" s="117" t="s">
        <v>25</v>
      </c>
      <c r="G159" s="114" t="s">
        <v>22</v>
      </c>
      <c r="H159" s="118">
        <v>300</v>
      </c>
      <c r="I159" s="119">
        <v>500</v>
      </c>
      <c r="J159" s="66">
        <f t="shared" si="53"/>
        <v>0</v>
      </c>
      <c r="K159" s="68">
        <f t="shared" si="44"/>
        <v>500</v>
      </c>
      <c r="L159" s="32" t="str">
        <f t="shared" si="43"/>
        <v>ESTOQUE BAIXO</v>
      </c>
      <c r="N159" s="26" t="str">
        <f t="shared" si="49"/>
        <v>CARNEIRA P/ CAPACETE LIBUS</v>
      </c>
      <c r="O159" s="27">
        <f>SUMIFS(ENTRADA!$F:$F,ENTRADA!$B:$B,ESTOQUE!$B159)</f>
        <v>120</v>
      </c>
      <c r="P159" s="27">
        <f>SUMIFS(SAIDA!$F:$F,SAIDA!$B:$B,ESTOQUE!$B159)</f>
        <v>120</v>
      </c>
      <c r="Q159" s="27">
        <f t="shared" si="50"/>
        <v>0</v>
      </c>
      <c r="R159" s="27" t="e">
        <f>Q159=#REF!</f>
        <v>#REF!</v>
      </c>
      <c r="S159" s="93">
        <f>IFERROR(SUMIFS(ENTRADA!$H:$H,ENTRADA!$B:$B,ESTOQUE!$B159)/O159,0)</f>
        <v>12.1</v>
      </c>
      <c r="T159" s="93">
        <f t="shared" si="51"/>
        <v>0</v>
      </c>
      <c r="U159" s="93">
        <f t="shared" si="52"/>
        <v>1452</v>
      </c>
    </row>
    <row r="160" spans="2:21" ht="17.100000000000001" customHeight="1" thickBot="1" x14ac:dyDescent="0.3">
      <c r="B160" s="34">
        <v>264</v>
      </c>
      <c r="C160" s="116" t="s">
        <v>19</v>
      </c>
      <c r="D160" s="120" t="s">
        <v>181</v>
      </c>
      <c r="E160" s="116" t="s">
        <v>25</v>
      </c>
      <c r="F160" s="114" t="s">
        <v>25</v>
      </c>
      <c r="G160" s="114" t="s">
        <v>22</v>
      </c>
      <c r="H160" s="118"/>
      <c r="I160" s="119"/>
      <c r="J160" s="66">
        <f t="shared" si="53"/>
        <v>0</v>
      </c>
      <c r="K160" s="68">
        <f t="shared" si="44"/>
        <v>0</v>
      </c>
      <c r="L160" s="32">
        <f>IF(J160&lt;H160,"ESTOQUE BAIXO",IF(J160&gt;I160,"ESTOQUE ALTO",IF(J160&gt;H160,"ESTOQUE NORMAL",)))</f>
        <v>0</v>
      </c>
      <c r="N160" s="26" t="str">
        <f t="shared" si="49"/>
        <v xml:space="preserve">CINTO DE SEGURANÇA ARAMIDA </v>
      </c>
      <c r="O160" s="27">
        <f>SUMIFS(ENTRADA!$F:$F,ENTRADA!$B:$B,ESTOQUE!$B160)</f>
        <v>12</v>
      </c>
      <c r="P160" s="27">
        <f>SUMIFS(SAIDA!$F:$F,SAIDA!$B:$B,ESTOQUE!$B160)</f>
        <v>12</v>
      </c>
      <c r="Q160" s="27">
        <f t="shared" si="50"/>
        <v>0</v>
      </c>
      <c r="R160" s="27" t="e">
        <f>Q160=#REF!</f>
        <v>#REF!</v>
      </c>
      <c r="S160" s="93">
        <f>IFERROR(SUMIFS(ENTRADA!$H:$H,ENTRADA!$B:$B,ESTOQUE!$B160)/O160,0)</f>
        <v>0</v>
      </c>
      <c r="T160" s="93">
        <f t="shared" si="51"/>
        <v>0</v>
      </c>
      <c r="U160" s="93">
        <f t="shared" si="52"/>
        <v>0</v>
      </c>
    </row>
    <row r="161" spans="2:21" ht="17.100000000000001" customHeight="1" thickBot="1" x14ac:dyDescent="0.3">
      <c r="B161" s="34">
        <v>266</v>
      </c>
      <c r="C161" s="116" t="s">
        <v>19</v>
      </c>
      <c r="D161" s="120" t="s">
        <v>182</v>
      </c>
      <c r="E161" s="116" t="s">
        <v>25</v>
      </c>
      <c r="F161" s="114" t="s">
        <v>25</v>
      </c>
      <c r="G161" s="114" t="s">
        <v>22</v>
      </c>
      <c r="H161" s="118"/>
      <c r="I161" s="119"/>
      <c r="J161" s="66">
        <f t="shared" si="53"/>
        <v>2</v>
      </c>
      <c r="K161" s="68">
        <f t="shared" si="44"/>
        <v>-2</v>
      </c>
      <c r="L161" s="32" t="str">
        <f>IF(J161&lt;H161,"ESTOQUE BAIXO",IF(J161&gt;I161,"ESTOQUE ALTO",IF(J161&gt;H161,"ESTOQUE NORMAL",)))</f>
        <v>ESTOQUE ALTO</v>
      </c>
      <c r="N161" s="26" t="str">
        <f t="shared" si="49"/>
        <v>CINTO DE SEGURANÇA ATHENAS TAM:2</v>
      </c>
      <c r="O161" s="27">
        <f>SUMIFS(ENTRADA!$F:$F,ENTRADA!$B:$B,ESTOQUE!$B161)</f>
        <v>19</v>
      </c>
      <c r="P161" s="27">
        <f>SUMIFS(SAIDA!$F:$F,SAIDA!$B:$B,ESTOQUE!$B161)</f>
        <v>17</v>
      </c>
      <c r="Q161" s="27">
        <f t="shared" si="50"/>
        <v>2</v>
      </c>
      <c r="R161" s="27" t="e">
        <f>Q161=#REF!</f>
        <v>#REF!</v>
      </c>
      <c r="S161" s="93">
        <f>IFERROR(SUMIFS(ENTRADA!$H:$H,ENTRADA!$B:$B,ESTOQUE!$B161)/O161,0)</f>
        <v>0</v>
      </c>
      <c r="T161" s="93">
        <f t="shared" si="51"/>
        <v>0</v>
      </c>
      <c r="U161" s="93">
        <f t="shared" si="52"/>
        <v>0</v>
      </c>
    </row>
    <row r="162" spans="2:21" ht="17.100000000000001" customHeight="1" thickBot="1" x14ac:dyDescent="0.3">
      <c r="B162" s="34">
        <v>96</v>
      </c>
      <c r="C162" s="116" t="s">
        <v>19</v>
      </c>
      <c r="D162" s="111" t="s">
        <v>183</v>
      </c>
      <c r="E162" s="116">
        <v>49663</v>
      </c>
      <c r="F162" s="117">
        <v>46194</v>
      </c>
      <c r="G162" s="114" t="s">
        <v>22</v>
      </c>
      <c r="H162" s="118">
        <v>50</v>
      </c>
      <c r="I162" s="119">
        <v>100</v>
      </c>
      <c r="J162" s="66">
        <f t="shared" si="53"/>
        <v>0</v>
      </c>
      <c r="K162" s="68">
        <f t="shared" ref="K162:K181" si="54">I162-J162</f>
        <v>100</v>
      </c>
      <c r="L162" s="32" t="str">
        <f t="shared" ref="L162:L169" si="55">IF(J162&lt;H162,"ESTOQUE BAIXO",IF(J162&gt;I162,"ESTOQUE ALTO",IF(J162&gt;=H162,"ESTOQUE NORMAL",)))</f>
        <v>ESTOQUE BAIXO</v>
      </c>
      <c r="N162" s="26" t="str">
        <f t="shared" si="49"/>
        <v xml:space="preserve">CINTO DE SEGURANÇA MODELO:C70 </v>
      </c>
      <c r="O162" s="27">
        <f>SUMIFS(ENTRADA!$F:$F,ENTRADA!$B:$B,ESTOQUE!$B162)</f>
        <v>190</v>
      </c>
      <c r="P162" s="27">
        <f>SUMIFS(SAIDA!$F:$F,SAIDA!$B:$B,ESTOQUE!$B162)</f>
        <v>190</v>
      </c>
      <c r="Q162" s="27">
        <f t="shared" si="50"/>
        <v>0</v>
      </c>
      <c r="R162" s="27" t="e">
        <f>Q162=#REF!</f>
        <v>#REF!</v>
      </c>
      <c r="S162" s="93">
        <f>IFERROR(SUMIFS(ENTRADA!$H:$H,ENTRADA!$B:$B,ESTOQUE!$B162)/O162,0)</f>
        <v>31.146315789473686</v>
      </c>
      <c r="T162" s="93">
        <f t="shared" si="51"/>
        <v>0</v>
      </c>
      <c r="U162" s="93">
        <f t="shared" si="52"/>
        <v>5917.8</v>
      </c>
    </row>
    <row r="163" spans="2:21" ht="17.100000000000001" customHeight="1" thickBot="1" x14ac:dyDescent="0.3">
      <c r="B163" s="34">
        <v>233</v>
      </c>
      <c r="C163" s="116" t="s">
        <v>19</v>
      </c>
      <c r="D163" s="120" t="s">
        <v>184</v>
      </c>
      <c r="E163" s="116">
        <v>51092</v>
      </c>
      <c r="F163" s="117">
        <v>46505</v>
      </c>
      <c r="G163" s="114" t="s">
        <v>22</v>
      </c>
      <c r="H163" s="118"/>
      <c r="I163" s="119"/>
      <c r="J163" s="66">
        <f t="shared" si="53"/>
        <v>3</v>
      </c>
      <c r="K163" s="68">
        <f t="shared" si="54"/>
        <v>-3</v>
      </c>
      <c r="L163" s="32" t="str">
        <f t="shared" si="55"/>
        <v>ESTOQUE ALTO</v>
      </c>
      <c r="N163" s="26" t="str">
        <f t="shared" si="49"/>
        <v>CINTO PQD SOLDADOR</v>
      </c>
      <c r="O163" s="27">
        <f>SUMIFS(ENTRADA!$F:$F,ENTRADA!$B:$B,ESTOQUE!$B163)</f>
        <v>4</v>
      </c>
      <c r="P163" s="27">
        <f>SUMIFS(SAIDA!$F:$F,SAIDA!$B:$B,ESTOQUE!$B163)</f>
        <v>1</v>
      </c>
      <c r="Q163" s="27">
        <f t="shared" si="50"/>
        <v>3</v>
      </c>
      <c r="R163" s="27" t="e">
        <f>Q163=#REF!</f>
        <v>#REF!</v>
      </c>
      <c r="S163" s="93">
        <f>IFERROR(SUMIFS(ENTRADA!$H:$H,ENTRADA!$B:$B,ESTOQUE!$B163)/O163,0)</f>
        <v>0</v>
      </c>
      <c r="T163" s="93">
        <f t="shared" si="51"/>
        <v>0</v>
      </c>
      <c r="U163" s="93">
        <f t="shared" si="52"/>
        <v>0</v>
      </c>
    </row>
    <row r="164" spans="2:21" ht="17.100000000000001" customHeight="1" thickBot="1" x14ac:dyDescent="0.3">
      <c r="B164" s="34">
        <v>210</v>
      </c>
      <c r="C164" s="116" t="s">
        <v>19</v>
      </c>
      <c r="D164" s="111" t="s">
        <v>185</v>
      </c>
      <c r="E164" s="116" t="s">
        <v>25</v>
      </c>
      <c r="F164" s="114" t="s">
        <v>25</v>
      </c>
      <c r="G164" s="114" t="s">
        <v>22</v>
      </c>
      <c r="H164" s="118">
        <v>60</v>
      </c>
      <c r="I164" s="119">
        <v>250</v>
      </c>
      <c r="J164" s="66">
        <v>0</v>
      </c>
      <c r="K164" s="68">
        <f t="shared" si="54"/>
        <v>250</v>
      </c>
      <c r="L164" s="32" t="str">
        <f t="shared" si="55"/>
        <v>ESTOQUE BAIXO</v>
      </c>
      <c r="N164" s="26" t="str">
        <f t="shared" si="49"/>
        <v>COLETE REFLETIVO LARANJA G</v>
      </c>
      <c r="O164" s="27">
        <f>SUMIFS(ENTRADA!$F:$F,ENTRADA!$B:$B,ESTOQUE!$B164)</f>
        <v>34</v>
      </c>
      <c r="P164" s="27">
        <f>SUMIFS(SAIDA!$F:$F,SAIDA!$B:$B,ESTOQUE!$B164)</f>
        <v>35</v>
      </c>
      <c r="Q164" s="27">
        <f t="shared" si="50"/>
        <v>-1</v>
      </c>
      <c r="R164" s="27" t="e">
        <f>Q164=#REF!</f>
        <v>#REF!</v>
      </c>
      <c r="S164" s="93">
        <f>IFERROR(SUMIFS(ENTRADA!$H:$H,ENTRADA!$B:$B,ESTOQUE!$B164)/O164,0)</f>
        <v>0</v>
      </c>
      <c r="T164" s="93">
        <f t="shared" si="51"/>
        <v>0</v>
      </c>
      <c r="U164" s="93">
        <f t="shared" si="52"/>
        <v>0</v>
      </c>
    </row>
    <row r="165" spans="2:21" ht="17.100000000000001" customHeight="1" thickBot="1" x14ac:dyDescent="0.3">
      <c r="B165" s="34">
        <v>186</v>
      </c>
      <c r="C165" s="116" t="s">
        <v>19</v>
      </c>
      <c r="D165" s="111" t="s">
        <v>186</v>
      </c>
      <c r="E165" s="116" t="s">
        <v>25</v>
      </c>
      <c r="F165" s="117" t="s">
        <v>25</v>
      </c>
      <c r="G165" s="114" t="s">
        <v>22</v>
      </c>
      <c r="H165" s="118">
        <v>60</v>
      </c>
      <c r="I165" s="119">
        <v>250</v>
      </c>
      <c r="J165" s="66">
        <v>0</v>
      </c>
      <c r="K165" s="68">
        <f t="shared" si="54"/>
        <v>250</v>
      </c>
      <c r="L165" s="32" t="str">
        <f t="shared" si="55"/>
        <v>ESTOQUE BAIXO</v>
      </c>
      <c r="N165" s="26" t="str">
        <f t="shared" si="49"/>
        <v>COLETE REFLETIVO LARANJA GG</v>
      </c>
      <c r="O165" s="27">
        <f>SUMIFS(ENTRADA!$F:$F,ENTRADA!$B:$B,ESTOQUE!$B165)</f>
        <v>57</v>
      </c>
      <c r="P165" s="27">
        <f>SUMIFS(SAIDA!$F:$F,SAIDA!$B:$B,ESTOQUE!$B165)</f>
        <v>58</v>
      </c>
      <c r="Q165" s="27">
        <f t="shared" si="50"/>
        <v>-1</v>
      </c>
      <c r="R165" s="27" t="e">
        <f>Q165=#REF!</f>
        <v>#REF!</v>
      </c>
      <c r="S165" s="93">
        <f>IFERROR(SUMIFS(ENTRADA!$H:$H,ENTRADA!$B:$B,ESTOQUE!$B165)/O165,0)</f>
        <v>0</v>
      </c>
      <c r="T165" s="93">
        <f t="shared" si="51"/>
        <v>0</v>
      </c>
      <c r="U165" s="93">
        <f t="shared" si="52"/>
        <v>0</v>
      </c>
    </row>
    <row r="166" spans="2:21" ht="17.100000000000001" customHeight="1" thickBot="1" x14ac:dyDescent="0.3">
      <c r="B166" s="34">
        <v>97</v>
      </c>
      <c r="C166" s="116" t="s">
        <v>19</v>
      </c>
      <c r="D166" s="111" t="s">
        <v>187</v>
      </c>
      <c r="E166" s="116" t="s">
        <v>25</v>
      </c>
      <c r="F166" s="117" t="s">
        <v>25</v>
      </c>
      <c r="G166" s="114" t="s">
        <v>22</v>
      </c>
      <c r="H166" s="118">
        <v>50</v>
      </c>
      <c r="I166" s="119">
        <v>250</v>
      </c>
      <c r="J166" s="66">
        <f t="shared" si="53"/>
        <v>31</v>
      </c>
      <c r="K166" s="68">
        <f t="shared" si="54"/>
        <v>219</v>
      </c>
      <c r="L166" s="32" t="str">
        <f t="shared" si="55"/>
        <v>ESTOQUE BAIXO</v>
      </c>
      <c r="N166" s="26" t="str">
        <f t="shared" si="49"/>
        <v>COLETE REFLETIVO LARANJA M</v>
      </c>
      <c r="O166" s="27">
        <f>SUMIFS(ENTRADA!$F:$F,ENTRADA!$B:$B,ESTOQUE!$B166)</f>
        <v>215</v>
      </c>
      <c r="P166" s="27">
        <f>SUMIFS(SAIDA!$F:$F,SAIDA!$B:$B,ESTOQUE!$B166)</f>
        <v>184</v>
      </c>
      <c r="Q166" s="27">
        <f t="shared" si="50"/>
        <v>31</v>
      </c>
      <c r="R166" s="27" t="e">
        <f>Q166=#REF!</f>
        <v>#REF!</v>
      </c>
      <c r="S166" s="93">
        <f>IFERROR(SUMIFS(ENTRADA!$H:$H,ENTRADA!$B:$B,ESTOQUE!$B166)/O166,0)</f>
        <v>4.8604651162790695</v>
      </c>
      <c r="T166" s="93">
        <f t="shared" si="51"/>
        <v>150.67441860465115</v>
      </c>
      <c r="U166" s="93">
        <f t="shared" si="52"/>
        <v>894.32558139534876</v>
      </c>
    </row>
    <row r="167" spans="2:21" ht="17.100000000000001" customHeight="1" thickBot="1" x14ac:dyDescent="0.3">
      <c r="B167" s="34">
        <v>188</v>
      </c>
      <c r="C167" s="116" t="s">
        <v>19</v>
      </c>
      <c r="D167" s="111" t="s">
        <v>188</v>
      </c>
      <c r="E167" s="116" t="s">
        <v>25</v>
      </c>
      <c r="F167" s="117" t="s">
        <v>25</v>
      </c>
      <c r="G167" s="114" t="s">
        <v>22</v>
      </c>
      <c r="H167" s="118">
        <v>60</v>
      </c>
      <c r="I167" s="119">
        <v>250</v>
      </c>
      <c r="J167" s="66">
        <f t="shared" si="53"/>
        <v>0</v>
      </c>
      <c r="K167" s="68">
        <f t="shared" si="54"/>
        <v>250</v>
      </c>
      <c r="L167" s="32" t="str">
        <f t="shared" si="55"/>
        <v>ESTOQUE BAIXO</v>
      </c>
      <c r="N167" s="26" t="str">
        <f t="shared" si="49"/>
        <v>COLETE REFLETIVO LARANJA XG</v>
      </c>
      <c r="O167" s="27">
        <f>SUMIFS(ENTRADA!$F:$F,ENTRADA!$B:$B,ESTOQUE!$B167)</f>
        <v>7</v>
      </c>
      <c r="P167" s="27">
        <f>SUMIFS(SAIDA!$F:$F,SAIDA!$B:$B,ESTOQUE!$B167)</f>
        <v>7</v>
      </c>
      <c r="Q167" s="27">
        <f t="shared" si="50"/>
        <v>0</v>
      </c>
      <c r="R167" s="27" t="e">
        <f>Q167=#REF!</f>
        <v>#REF!</v>
      </c>
      <c r="S167" s="93">
        <f>IFERROR(SUMIFS(ENTRADA!$H:$H,ENTRADA!$B:$B,ESTOQUE!$B167)/O167,0)</f>
        <v>13.571428571428571</v>
      </c>
      <c r="T167" s="93">
        <f t="shared" si="51"/>
        <v>0</v>
      </c>
      <c r="U167" s="93">
        <f t="shared" si="52"/>
        <v>95</v>
      </c>
    </row>
    <row r="168" spans="2:21" ht="17.25" customHeight="1" thickBot="1" x14ac:dyDescent="0.3">
      <c r="B168" s="34">
        <v>98</v>
      </c>
      <c r="C168" s="116" t="s">
        <v>19</v>
      </c>
      <c r="D168" s="111" t="s">
        <v>189</v>
      </c>
      <c r="E168" s="116" t="s">
        <v>25</v>
      </c>
      <c r="F168" s="117" t="s">
        <v>25</v>
      </c>
      <c r="G168" s="114" t="s">
        <v>22</v>
      </c>
      <c r="H168" s="118">
        <v>100</v>
      </c>
      <c r="I168" s="119">
        <v>500</v>
      </c>
      <c r="J168" s="66">
        <v>0</v>
      </c>
      <c r="K168" s="68">
        <f t="shared" si="54"/>
        <v>500</v>
      </c>
      <c r="L168" s="32" t="str">
        <f t="shared" si="55"/>
        <v>ESTOQUE BAIXO</v>
      </c>
      <c r="N168" s="26" t="str">
        <f t="shared" si="49"/>
        <v>COLETE REFLETIVO LARANJA XGG</v>
      </c>
      <c r="O168" s="27">
        <f>SUMIFS(ENTRADA!$F:$F,ENTRADA!$B:$B,ESTOQUE!$B168)</f>
        <v>88</v>
      </c>
      <c r="P168" s="27">
        <f>SUMIFS(SAIDA!$F:$F,SAIDA!$B:$B,ESTOQUE!$B168)</f>
        <v>89</v>
      </c>
      <c r="Q168" s="27">
        <f t="shared" si="50"/>
        <v>-1</v>
      </c>
      <c r="R168" s="27" t="e">
        <f>Q168=#REF!</f>
        <v>#REF!</v>
      </c>
      <c r="S168" s="93">
        <f>IFERROR(SUMIFS(ENTRADA!$H:$H,ENTRADA!$B:$B,ESTOQUE!$B168)/O168,0)</f>
        <v>18.78409090909091</v>
      </c>
      <c r="T168" s="93">
        <f t="shared" si="51"/>
        <v>-18.78409090909091</v>
      </c>
      <c r="U168" s="93">
        <f t="shared" si="52"/>
        <v>1671.784090909091</v>
      </c>
    </row>
    <row r="169" spans="2:21" ht="16.5" customHeight="1" thickBot="1" x14ac:dyDescent="0.3">
      <c r="B169" s="34">
        <v>187</v>
      </c>
      <c r="C169" s="116" t="s">
        <v>19</v>
      </c>
      <c r="D169" s="111" t="s">
        <v>190</v>
      </c>
      <c r="E169" s="116" t="s">
        <v>25</v>
      </c>
      <c r="F169" s="117" t="s">
        <v>25</v>
      </c>
      <c r="G169" s="114" t="s">
        <v>22</v>
      </c>
      <c r="H169" s="118">
        <v>100</v>
      </c>
      <c r="I169" s="119">
        <v>500</v>
      </c>
      <c r="J169" s="66">
        <f t="shared" si="53"/>
        <v>0</v>
      </c>
      <c r="K169" s="68">
        <f t="shared" si="54"/>
        <v>500</v>
      </c>
      <c r="L169" s="32" t="str">
        <f t="shared" si="55"/>
        <v>ESTOQUE BAIXO</v>
      </c>
      <c r="N169" s="26" t="str">
        <f t="shared" si="49"/>
        <v>COLETE REFLETIVO LARANJA XXG</v>
      </c>
      <c r="O169" s="27">
        <f>SUMIFS(ENTRADA!$F:$F,ENTRADA!$B:$B,ESTOQUE!$B169)</f>
        <v>0</v>
      </c>
      <c r="P169" s="27">
        <f>SUMIFS(SAIDA!$F:$F,SAIDA!$B:$B,ESTOQUE!$B169)</f>
        <v>0</v>
      </c>
      <c r="Q169" s="27">
        <f t="shared" si="50"/>
        <v>0</v>
      </c>
      <c r="R169" s="27" t="e">
        <f>Q169=#REF!</f>
        <v>#REF!</v>
      </c>
      <c r="S169" s="93">
        <f>IFERROR(SUMIFS(ENTRADA!$H:$H,ENTRADA!$B:$B,ESTOQUE!$B169)/O169,0)</f>
        <v>0</v>
      </c>
      <c r="T169" s="93">
        <f t="shared" si="51"/>
        <v>0</v>
      </c>
      <c r="U169" s="93">
        <f t="shared" si="52"/>
        <v>0</v>
      </c>
    </row>
    <row r="170" spans="2:21" ht="17.100000000000001" customHeight="1" thickBot="1" x14ac:dyDescent="0.3">
      <c r="B170" s="34">
        <v>234</v>
      </c>
      <c r="C170" s="116" t="s">
        <v>19</v>
      </c>
      <c r="D170" s="120" t="s">
        <v>191</v>
      </c>
      <c r="E170" s="116" t="s">
        <v>25</v>
      </c>
      <c r="F170" s="114" t="s">
        <v>25</v>
      </c>
      <c r="G170" s="114" t="s">
        <v>22</v>
      </c>
      <c r="H170" s="118">
        <v>100</v>
      </c>
      <c r="I170" s="119">
        <v>500</v>
      </c>
      <c r="J170" s="66">
        <f t="shared" si="53"/>
        <v>105</v>
      </c>
      <c r="K170" s="68">
        <f t="shared" si="54"/>
        <v>395</v>
      </c>
      <c r="L170" s="32" t="str">
        <f>IF(J170&lt;H170,"ESTOQUE BAIXO",IF(J170&gt;I170,"ESTOQUE ALTO",IF(J170&gt;H170,"ESTOQUE NORMAL",)))</f>
        <v>ESTOQUE NORMAL</v>
      </c>
      <c r="N170" s="26" t="str">
        <f t="shared" si="49"/>
        <v>CONE PLASTICOR DE SINALIZACAO 75cm</v>
      </c>
      <c r="O170" s="27">
        <f>SUMIFS(ENTRADA!$F:$F,ENTRADA!$B:$B,ESTOQUE!$B170)</f>
        <v>255</v>
      </c>
      <c r="P170" s="27">
        <f>SUMIFS(SAIDA!$F:$F,SAIDA!$B:$B,ESTOQUE!$B170)</f>
        <v>150</v>
      </c>
      <c r="Q170" s="27">
        <f t="shared" si="50"/>
        <v>105</v>
      </c>
      <c r="R170" s="27" t="e">
        <f>Q170=#REF!</f>
        <v>#REF!</v>
      </c>
      <c r="S170" s="93">
        <f>IFERROR(SUMIFS(ENTRADA!$H:$H,ENTRADA!$B:$B,ESTOQUE!$B170)/O170,0)</f>
        <v>46.274509803921568</v>
      </c>
      <c r="T170" s="93">
        <f t="shared" si="51"/>
        <v>4858.8235294117649</v>
      </c>
      <c r="U170" s="93">
        <f t="shared" si="52"/>
        <v>6941.1764705882351</v>
      </c>
    </row>
    <row r="171" spans="2:21" ht="17.100000000000001" customHeight="1" thickBot="1" x14ac:dyDescent="0.3">
      <c r="B171" s="34">
        <v>156</v>
      </c>
      <c r="C171" s="116" t="s">
        <v>19</v>
      </c>
      <c r="D171" s="120" t="s">
        <v>192</v>
      </c>
      <c r="E171" s="116" t="s">
        <v>25</v>
      </c>
      <c r="F171" s="117" t="s">
        <v>25</v>
      </c>
      <c r="G171" s="114" t="s">
        <v>193</v>
      </c>
      <c r="H171" s="118">
        <v>10</v>
      </c>
      <c r="I171" s="119">
        <v>20</v>
      </c>
      <c r="J171" s="66">
        <f t="shared" si="53"/>
        <v>5</v>
      </c>
      <c r="K171" s="68">
        <f t="shared" si="54"/>
        <v>15</v>
      </c>
      <c r="L171" s="32" t="str">
        <f>IF(J171&lt;H171,"ESTOQUE BAIXO",IF(J171&gt;I171,"ESTOQUE ALTO",IF(J171&gt;=H171,"ESTOQUE NORMAL",)))</f>
        <v>ESTOQUE BAIXO</v>
      </c>
      <c r="N171" s="26" t="str">
        <f t="shared" si="49"/>
        <v>CONJUNTO NR 10 AZUL CLASSE 2 TAM G</v>
      </c>
      <c r="O171" s="27">
        <f>SUMIFS(ENTRADA!$F:$F,ENTRADA!$B:$B,ESTOQUE!$B171)</f>
        <v>5</v>
      </c>
      <c r="P171" s="27">
        <f>SUMIFS(SAIDA!$F:$F,SAIDA!$B:$B,ESTOQUE!$B171)</f>
        <v>0</v>
      </c>
      <c r="Q171" s="27">
        <f t="shared" si="50"/>
        <v>5</v>
      </c>
      <c r="R171" s="27" t="e">
        <f>Q171=#REF!</f>
        <v>#REF!</v>
      </c>
      <c r="S171" s="93">
        <f>IFERROR(SUMIFS(ENTRADA!$H:$H,ENTRADA!$B:$B,ESTOQUE!$B171)/O171,0)</f>
        <v>375.9</v>
      </c>
      <c r="T171" s="93">
        <f t="shared" si="51"/>
        <v>1879.5</v>
      </c>
      <c r="U171" s="93">
        <f t="shared" si="52"/>
        <v>0</v>
      </c>
    </row>
    <row r="172" spans="2:21" ht="17.100000000000001" customHeight="1" thickBot="1" x14ac:dyDescent="0.3">
      <c r="B172" s="34">
        <v>157</v>
      </c>
      <c r="C172" s="116" t="s">
        <v>19</v>
      </c>
      <c r="D172" s="120" t="s">
        <v>194</v>
      </c>
      <c r="E172" s="116" t="s">
        <v>25</v>
      </c>
      <c r="F172" s="117" t="s">
        <v>25</v>
      </c>
      <c r="G172" s="114" t="s">
        <v>193</v>
      </c>
      <c r="H172" s="118">
        <v>10</v>
      </c>
      <c r="I172" s="119">
        <v>20</v>
      </c>
      <c r="J172" s="66">
        <f t="shared" si="53"/>
        <v>5</v>
      </c>
      <c r="K172" s="68">
        <f t="shared" si="54"/>
        <v>15</v>
      </c>
      <c r="L172" s="32" t="str">
        <f>IF(J172&lt;H172,"ESTOQUE BAIXO",IF(J172&gt;I172,"ESTOQUE ALTO",IF(J172&gt;=H172,"ESTOQUE NORMAL",)))</f>
        <v>ESTOQUE BAIXO</v>
      </c>
      <c r="N172" s="26" t="str">
        <f t="shared" si="49"/>
        <v>CONJUNTO NR 10 AZUL CLASSE 2 TAM GG</v>
      </c>
      <c r="O172" s="27">
        <f>SUMIFS(ENTRADA!$F:$F,ENTRADA!$B:$B,ESTOQUE!$B172)</f>
        <v>5</v>
      </c>
      <c r="P172" s="27">
        <f>SUMIFS(SAIDA!$F:$F,SAIDA!$B:$B,ESTOQUE!$B172)</f>
        <v>0</v>
      </c>
      <c r="Q172" s="27">
        <f t="shared" si="50"/>
        <v>5</v>
      </c>
      <c r="R172" s="27" t="e">
        <f>Q172=#REF!</f>
        <v>#REF!</v>
      </c>
      <c r="S172" s="93">
        <f>IFERROR(SUMIFS(ENTRADA!$H:$H,ENTRADA!$B:$B,ESTOQUE!$B172)/O172,0)</f>
        <v>375.9</v>
      </c>
      <c r="T172" s="93">
        <f t="shared" si="51"/>
        <v>1879.5</v>
      </c>
      <c r="U172" s="93">
        <f t="shared" si="52"/>
        <v>0</v>
      </c>
    </row>
    <row r="173" spans="2:21" ht="17.100000000000001" customHeight="1" thickBot="1" x14ac:dyDescent="0.3">
      <c r="B173" s="34">
        <v>155</v>
      </c>
      <c r="C173" s="116" t="s">
        <v>19</v>
      </c>
      <c r="D173" s="120" t="s">
        <v>195</v>
      </c>
      <c r="E173" s="116" t="s">
        <v>25</v>
      </c>
      <c r="F173" s="117" t="s">
        <v>25</v>
      </c>
      <c r="G173" s="114" t="s">
        <v>193</v>
      </c>
      <c r="H173" s="118">
        <v>10</v>
      </c>
      <c r="I173" s="119">
        <v>20</v>
      </c>
      <c r="J173" s="66">
        <f t="shared" si="53"/>
        <v>5</v>
      </c>
      <c r="K173" s="68">
        <f t="shared" si="54"/>
        <v>15</v>
      </c>
      <c r="L173" s="32" t="str">
        <f>IF(J173&lt;H173,"ESTOQUE BAIXO",IF(J173&gt;I173,"ESTOQUE ALTO",IF(J173&gt;=H173,"ESTOQUE NORMAL",)))</f>
        <v>ESTOQUE BAIXO</v>
      </c>
      <c r="N173" s="26" t="str">
        <f t="shared" si="49"/>
        <v>CONJUNTO NR 10 AZUL CLASSE 2 TAM P</v>
      </c>
      <c r="O173" s="27">
        <f>SUMIFS(ENTRADA!$F:$F,ENTRADA!$B:$B,ESTOQUE!$B173)</f>
        <v>5</v>
      </c>
      <c r="P173" s="27">
        <f>SUMIFS(SAIDA!$F:$F,SAIDA!$B:$B,ESTOQUE!$B173)</f>
        <v>0</v>
      </c>
      <c r="Q173" s="27">
        <f t="shared" si="50"/>
        <v>5</v>
      </c>
      <c r="R173" s="27" t="e">
        <f>Q173=#REF!</f>
        <v>#REF!</v>
      </c>
      <c r="S173" s="93">
        <f>IFERROR(SUMIFS(ENTRADA!$H:$H,ENTRADA!$B:$B,ESTOQUE!$B173)/O173,0)</f>
        <v>375.9</v>
      </c>
      <c r="T173" s="93">
        <f t="shared" si="51"/>
        <v>1879.5</v>
      </c>
      <c r="U173" s="93">
        <f t="shared" si="52"/>
        <v>0</v>
      </c>
    </row>
    <row r="174" spans="2:21" ht="17.100000000000001" customHeight="1" thickBot="1" x14ac:dyDescent="0.3">
      <c r="B174" s="34">
        <v>229</v>
      </c>
      <c r="C174" s="116" t="s">
        <v>19</v>
      </c>
      <c r="D174" s="120" t="s">
        <v>196</v>
      </c>
      <c r="E174" s="116">
        <v>48513</v>
      </c>
      <c r="F174" s="117">
        <v>46420</v>
      </c>
      <c r="G174" s="114" t="s">
        <v>22</v>
      </c>
      <c r="H174" s="118">
        <v>10</v>
      </c>
      <c r="I174" s="119">
        <v>50</v>
      </c>
      <c r="J174" s="66">
        <f t="shared" si="53"/>
        <v>0</v>
      </c>
      <c r="K174" s="68">
        <f t="shared" si="54"/>
        <v>50</v>
      </c>
      <c r="L174" s="32" t="str">
        <f>IF(J174&lt;H174,"ESTOQUE BAIXO",IF(J174&gt;I174,"ESTOQUE ALTO",IF(J174&gt;H174,"ESTOQUE NORMAL",)))</f>
        <v>ESTOQUE BAIXO</v>
      </c>
      <c r="N174" s="26" t="str">
        <f t="shared" si="49"/>
        <v>CONJUNTO NR 10 CALÇA  CINZA  GG</v>
      </c>
      <c r="O174" s="27">
        <f>SUMIFS(ENTRADA!$F:$F,ENTRADA!$B:$B,ESTOQUE!$B174)</f>
        <v>0</v>
      </c>
      <c r="P174" s="27">
        <f>SUMIFS(SAIDA!$F:$F,SAIDA!$B:$B,ESTOQUE!$B174)</f>
        <v>0</v>
      </c>
      <c r="Q174" s="27">
        <f t="shared" si="50"/>
        <v>0</v>
      </c>
      <c r="R174" s="27" t="e">
        <f>Q174=#REF!</f>
        <v>#REF!</v>
      </c>
      <c r="S174" s="93">
        <f>IFERROR(SUMIFS(ENTRADA!$H:$H,ENTRADA!$B:$B,ESTOQUE!$B174)/O174,0)</f>
        <v>0</v>
      </c>
      <c r="T174" s="93">
        <f t="shared" si="51"/>
        <v>0</v>
      </c>
      <c r="U174" s="93">
        <f t="shared" si="52"/>
        <v>0</v>
      </c>
    </row>
    <row r="175" spans="2:21" ht="17.100000000000001" customHeight="1" thickBot="1" x14ac:dyDescent="0.3">
      <c r="B175" s="34">
        <v>230</v>
      </c>
      <c r="C175" s="116" t="s">
        <v>19</v>
      </c>
      <c r="D175" s="120" t="s">
        <v>197</v>
      </c>
      <c r="E175" s="116">
        <v>48511</v>
      </c>
      <c r="F175" s="117">
        <v>46540</v>
      </c>
      <c r="G175" s="114" t="s">
        <v>22</v>
      </c>
      <c r="H175" s="118">
        <v>10</v>
      </c>
      <c r="I175" s="119">
        <v>50</v>
      </c>
      <c r="J175" s="66">
        <f t="shared" si="53"/>
        <v>0</v>
      </c>
      <c r="K175" s="68">
        <f t="shared" si="54"/>
        <v>50</v>
      </c>
      <c r="L175" s="32" t="str">
        <f>IF(J175&lt;H175,"ESTOQUE BAIXO",IF(J175&gt;I175,"ESTOQUE ALTO",IF(J175&gt;H175,"ESTOQUE NORMAL",)))</f>
        <v>ESTOQUE BAIXO</v>
      </c>
      <c r="N175" s="26" t="str">
        <f t="shared" si="49"/>
        <v>CONJUNTO NR 10 CAMISA  CINZA  GG</v>
      </c>
      <c r="O175" s="27">
        <f>SUMIFS(ENTRADA!$F:$F,ENTRADA!$B:$B,ESTOQUE!$B175)</f>
        <v>0</v>
      </c>
      <c r="P175" s="27">
        <f>SUMIFS(SAIDA!$F:$F,SAIDA!$B:$B,ESTOQUE!$B175)</f>
        <v>0</v>
      </c>
      <c r="Q175" s="27">
        <f t="shared" si="50"/>
        <v>0</v>
      </c>
      <c r="R175" s="27" t="e">
        <f>Q175=#REF!</f>
        <v>#REF!</v>
      </c>
      <c r="S175" s="93">
        <f>IFERROR(SUMIFS(ENTRADA!$H:$H,ENTRADA!$B:$B,ESTOQUE!$B175)/O175,0)</f>
        <v>0</v>
      </c>
      <c r="T175" s="93">
        <f t="shared" si="51"/>
        <v>0</v>
      </c>
      <c r="U175" s="93">
        <f t="shared" si="52"/>
        <v>0</v>
      </c>
    </row>
    <row r="176" spans="2:21" ht="17.100000000000001" customHeight="1" thickBot="1" x14ac:dyDescent="0.3">
      <c r="B176" s="34">
        <v>258</v>
      </c>
      <c r="C176" s="116" t="s">
        <v>19</v>
      </c>
      <c r="D176" s="120" t="s">
        <v>198</v>
      </c>
      <c r="E176" s="116" t="s">
        <v>25</v>
      </c>
      <c r="F176" s="114" t="s">
        <v>25</v>
      </c>
      <c r="G176" s="114" t="s">
        <v>199</v>
      </c>
      <c r="H176" s="118">
        <v>50</v>
      </c>
      <c r="I176" s="118">
        <v>100</v>
      </c>
      <c r="J176" s="66">
        <f t="shared" si="53"/>
        <v>2800</v>
      </c>
      <c r="K176" s="68">
        <f t="shared" si="54"/>
        <v>-2700</v>
      </c>
      <c r="L176" s="32" t="str">
        <f>IF(J176&lt;H176,"ESTOQUE BAIXO",IF(J176&gt;I176,"ESTOQUE ALTO",IF(J176&gt;H176,"ESTOQUE NORMAL",)))</f>
        <v>ESTOQUE ALTO</v>
      </c>
      <c r="N176" s="26" t="str">
        <f t="shared" si="49"/>
        <v>CORDA MULTIFILAMENTO TRANÇADA 12mm</v>
      </c>
      <c r="O176" s="27">
        <f>SUMIFS(ENTRADA!$F:$F,ENTRADA!$B:$B,ESTOQUE!$B176)</f>
        <v>2800</v>
      </c>
      <c r="P176" s="27">
        <f>SUMIFS(SAIDA!$F:$F,SAIDA!$B:$B,ESTOQUE!$B176)</f>
        <v>0</v>
      </c>
      <c r="Q176" s="27">
        <f t="shared" si="50"/>
        <v>2800</v>
      </c>
      <c r="R176" s="27" t="e">
        <f>Q176=#REF!</f>
        <v>#REF!</v>
      </c>
      <c r="S176" s="93">
        <f>IFERROR(SUMIFS(ENTRADA!$H:$H,ENTRADA!$B:$B,ESTOQUE!$B176)/O176,0)</f>
        <v>0</v>
      </c>
      <c r="T176" s="93">
        <f t="shared" si="51"/>
        <v>0</v>
      </c>
      <c r="U176" s="93">
        <f t="shared" si="52"/>
        <v>0</v>
      </c>
    </row>
    <row r="177" spans="2:21" ht="17.100000000000001" customHeight="1" thickBot="1" x14ac:dyDescent="0.3">
      <c r="B177" s="34">
        <v>260</v>
      </c>
      <c r="C177" s="116" t="s">
        <v>19</v>
      </c>
      <c r="D177" s="120" t="s">
        <v>200</v>
      </c>
      <c r="E177" s="116" t="s">
        <v>25</v>
      </c>
      <c r="F177" s="114" t="s">
        <v>25</v>
      </c>
      <c r="G177" s="114" t="s">
        <v>199</v>
      </c>
      <c r="H177" s="118">
        <v>50</v>
      </c>
      <c r="I177" s="118">
        <v>100</v>
      </c>
      <c r="J177" s="66">
        <f t="shared" si="53"/>
        <v>300</v>
      </c>
      <c r="K177" s="68">
        <f t="shared" si="54"/>
        <v>-200</v>
      </c>
      <c r="L177" s="32" t="str">
        <f>IF(J177&lt;H177,"ESTOQUE BAIXO",IF(J177&gt;I177,"ESTOQUE ALTO",IF(J177&gt;H177,"ESTOQUE NORMAL",)))</f>
        <v>ESTOQUE ALTO</v>
      </c>
      <c r="N177" s="26" t="str">
        <f t="shared" si="49"/>
        <v>CORDA PARA SINALIZAÇÃO 12mmx150m</v>
      </c>
      <c r="O177" s="27">
        <f>SUMIFS(ENTRADA!$F:$F,ENTRADA!$B:$B,ESTOQUE!$B177)</f>
        <v>1400</v>
      </c>
      <c r="P177" s="27">
        <f>SUMIFS(SAIDA!$F:$F,SAIDA!$B:$B,ESTOQUE!$B177)</f>
        <v>1100</v>
      </c>
      <c r="Q177" s="27">
        <f t="shared" si="50"/>
        <v>300</v>
      </c>
      <c r="R177" s="27" t="e">
        <f>Q177=#REF!</f>
        <v>#REF!</v>
      </c>
      <c r="S177" s="93">
        <f>IFERROR(SUMIFS(ENTRADA!$H:$H,ENTRADA!$B:$B,ESTOQUE!$B177)/O177,0)</f>
        <v>0</v>
      </c>
      <c r="T177" s="93">
        <f t="shared" si="51"/>
        <v>0</v>
      </c>
      <c r="U177" s="93">
        <f t="shared" si="52"/>
        <v>0</v>
      </c>
    </row>
    <row r="178" spans="2:21" ht="17.100000000000001" customHeight="1" thickBot="1" x14ac:dyDescent="0.3">
      <c r="B178" s="34">
        <v>147</v>
      </c>
      <c r="C178" s="116" t="s">
        <v>19</v>
      </c>
      <c r="D178" s="120" t="s">
        <v>201</v>
      </c>
      <c r="E178" s="116" t="s">
        <v>25</v>
      </c>
      <c r="F178" s="117" t="s">
        <v>25</v>
      </c>
      <c r="G178" s="114" t="s">
        <v>202</v>
      </c>
      <c r="H178" s="118">
        <v>100</v>
      </c>
      <c r="I178" s="119">
        <v>300</v>
      </c>
      <c r="J178" s="66">
        <f t="shared" si="53"/>
        <v>0</v>
      </c>
      <c r="K178" s="68">
        <f t="shared" si="54"/>
        <v>300</v>
      </c>
      <c r="L178" s="32" t="str">
        <f>IF(J178&lt;H178,"ESTOQUE BAIXO",IF(J178&gt;I178,"ESTOQUE ALTO",IF(J178&gt;=H178,"ESTOQUE NORMAL",)))</f>
        <v>ESTOQUE BAIXO</v>
      </c>
      <c r="N178" s="26" t="str">
        <f t="shared" si="49"/>
        <v>CORDA POLIESTER TRANCADA 8MM</v>
      </c>
      <c r="O178" s="27">
        <f>SUMIFS(ENTRADA!$F:$F,ENTRADA!$B:$B,ESTOQUE!$B178)</f>
        <v>0</v>
      </c>
      <c r="P178" s="27">
        <f>SUMIFS(SAIDA!$F:$F,SAIDA!$B:$B,ESTOQUE!$B178)</f>
        <v>0</v>
      </c>
      <c r="Q178" s="27">
        <f t="shared" si="50"/>
        <v>0</v>
      </c>
      <c r="R178" s="27" t="e">
        <f>Q178=#REF!</f>
        <v>#REF!</v>
      </c>
      <c r="S178" s="93">
        <f>IFERROR(SUMIFS(ENTRADA!$H:$H,ENTRADA!$B:$B,ESTOQUE!$B178)/O178,0)</f>
        <v>0</v>
      </c>
      <c r="T178" s="93">
        <f t="shared" si="51"/>
        <v>0</v>
      </c>
      <c r="U178" s="93">
        <f t="shared" si="52"/>
        <v>0</v>
      </c>
    </row>
    <row r="179" spans="2:21" ht="17.100000000000001" customHeight="1" thickBot="1" x14ac:dyDescent="0.3">
      <c r="B179" s="34">
        <v>259</v>
      </c>
      <c r="C179" s="116" t="s">
        <v>19</v>
      </c>
      <c r="D179" s="120" t="s">
        <v>203</v>
      </c>
      <c r="E179" s="116" t="s">
        <v>25</v>
      </c>
      <c r="F179" s="114" t="s">
        <v>25</v>
      </c>
      <c r="G179" s="114" t="s">
        <v>199</v>
      </c>
      <c r="H179" s="118">
        <v>50</v>
      </c>
      <c r="I179" s="118">
        <v>100</v>
      </c>
      <c r="J179" s="66">
        <f t="shared" si="53"/>
        <v>660</v>
      </c>
      <c r="K179" s="68">
        <f t="shared" si="54"/>
        <v>-560</v>
      </c>
      <c r="L179" s="32" t="str">
        <f>IF(J179&lt;H179,"ESTOQUE BAIXO",IF(J179&gt;I179,"ESTOQUE ALTO",IF(J179&gt;H179,"ESTOQUE NORMAL",)))</f>
        <v>ESTOQUE ALTO</v>
      </c>
      <c r="N179" s="26" t="str">
        <f t="shared" si="49"/>
        <v>CORDA TORCIDA DE RÁFIA PP 12mm</v>
      </c>
      <c r="O179" s="27">
        <f>SUMIFS(ENTRADA!$F:$F,ENTRADA!$B:$B,ESTOQUE!$B179)</f>
        <v>840</v>
      </c>
      <c r="P179" s="27">
        <f>SUMIFS(SAIDA!$F:$F,SAIDA!$B:$B,ESTOQUE!$B179)</f>
        <v>180</v>
      </c>
      <c r="Q179" s="27">
        <f t="shared" si="50"/>
        <v>660</v>
      </c>
      <c r="R179" s="27" t="e">
        <f>Q179=#REF!</f>
        <v>#REF!</v>
      </c>
      <c r="S179" s="93">
        <f>IFERROR(SUMIFS(ENTRADA!$H:$H,ENTRADA!$B:$B,ESTOQUE!$B179)/O179,0)</f>
        <v>0</v>
      </c>
      <c r="T179" s="93">
        <f t="shared" si="51"/>
        <v>0</v>
      </c>
      <c r="U179" s="93">
        <f t="shared" si="52"/>
        <v>0</v>
      </c>
    </row>
    <row r="180" spans="2:21" ht="17.100000000000001" customHeight="1" thickBot="1" x14ac:dyDescent="0.3">
      <c r="B180" s="34">
        <v>99</v>
      </c>
      <c r="C180" s="116" t="s">
        <v>19</v>
      </c>
      <c r="D180" s="111" t="s">
        <v>204</v>
      </c>
      <c r="E180" s="116" t="s">
        <v>25</v>
      </c>
      <c r="F180" s="117" t="s">
        <v>25</v>
      </c>
      <c r="G180" s="114" t="s">
        <v>202</v>
      </c>
      <c r="H180" s="118">
        <v>100</v>
      </c>
      <c r="I180" s="119">
        <v>300</v>
      </c>
      <c r="J180" s="66">
        <f t="shared" si="53"/>
        <v>0</v>
      </c>
      <c r="K180" s="68">
        <f t="shared" si="54"/>
        <v>300</v>
      </c>
      <c r="L180" s="32" t="str">
        <f>IF(J180&lt;H180,"ESTOQUE BAIXO",IF(J180&gt;I180,"ESTOQUE ALTO",IF(J180&gt;=H180,"ESTOQUE NORMAL",)))</f>
        <v>ESTOQUE BAIXO</v>
      </c>
      <c r="N180" s="26" t="str">
        <f t="shared" si="49"/>
        <v>CORDA TORRIDA DE RAFIA P/ SEGURANÇA 12mm</v>
      </c>
      <c r="O180" s="27">
        <f>SUMIFS(ENTRADA!$F:$F,ENTRADA!$B:$B,ESTOQUE!$B180)</f>
        <v>0</v>
      </c>
      <c r="P180" s="27">
        <f>SUMIFS(SAIDA!$F:$F,SAIDA!$B:$B,ESTOQUE!$B180)</f>
        <v>0</v>
      </c>
      <c r="Q180" s="27">
        <f t="shared" si="50"/>
        <v>0</v>
      </c>
      <c r="R180" s="27" t="e">
        <f>Q180=#REF!</f>
        <v>#REF!</v>
      </c>
      <c r="S180" s="93">
        <f>IFERROR(SUMIFS(ENTRADA!$H:$H,ENTRADA!$B:$B,ESTOQUE!$B180)/O180,0)</f>
        <v>0</v>
      </c>
      <c r="T180" s="93">
        <f t="shared" si="51"/>
        <v>0</v>
      </c>
      <c r="U180" s="93">
        <f t="shared" si="52"/>
        <v>0</v>
      </c>
    </row>
    <row r="181" spans="2:21" ht="17.100000000000001" customHeight="1" thickBot="1" x14ac:dyDescent="0.3">
      <c r="B181" s="34">
        <v>100</v>
      </c>
      <c r="C181" s="116" t="s">
        <v>19</v>
      </c>
      <c r="D181" s="111" t="s">
        <v>205</v>
      </c>
      <c r="E181" s="116">
        <v>48873</v>
      </c>
      <c r="F181" s="117">
        <v>46834</v>
      </c>
      <c r="G181" s="114" t="s">
        <v>22</v>
      </c>
      <c r="H181" s="118">
        <v>30</v>
      </c>
      <c r="I181" s="119">
        <v>50</v>
      </c>
      <c r="J181" s="66">
        <f t="shared" si="53"/>
        <v>0</v>
      </c>
      <c r="K181" s="68">
        <f t="shared" si="54"/>
        <v>50</v>
      </c>
      <c r="L181" s="32" t="str">
        <f>IF(J181&lt;H181,"ESTOQUE BAIXO",IF(J181&gt;I181,"ESTOQUE ALTO",IF(J181&gt;=H181,"ESTOQUE NORMAL",)))</f>
        <v>ESTOQUE BAIXO</v>
      </c>
      <c r="N181" s="26" t="str">
        <f t="shared" si="49"/>
        <v xml:space="preserve">CREME PROTETOR P/ MÃOS NUTRIEX </v>
      </c>
      <c r="O181" s="27">
        <f>SUMIFS(ENTRADA!$F:$F,ENTRADA!$B:$B,ESTOQUE!$B181)</f>
        <v>1</v>
      </c>
      <c r="P181" s="27">
        <f>SUMIFS(SAIDA!$F:$F,SAIDA!$B:$B,ESTOQUE!$B181)</f>
        <v>1</v>
      </c>
      <c r="Q181" s="27">
        <f t="shared" si="50"/>
        <v>0</v>
      </c>
      <c r="R181" s="27" t="e">
        <f>Q181=#REF!</f>
        <v>#REF!</v>
      </c>
      <c r="S181" s="93">
        <f>IFERROR(SUMIFS(ENTRADA!$H:$H,ENTRADA!$B:$B,ESTOQUE!$B181)/O181,0)</f>
        <v>0</v>
      </c>
      <c r="T181" s="93">
        <f t="shared" si="51"/>
        <v>0</v>
      </c>
      <c r="U181" s="93">
        <f t="shared" si="52"/>
        <v>0</v>
      </c>
    </row>
    <row r="182" spans="2:21" ht="17.100000000000001" customHeight="1" thickBot="1" x14ac:dyDescent="0.3">
      <c r="B182" s="34">
        <v>206</v>
      </c>
      <c r="C182" s="116" t="s">
        <v>19</v>
      </c>
      <c r="D182" s="120" t="s">
        <v>206</v>
      </c>
      <c r="E182" s="116" t="s">
        <v>25</v>
      </c>
      <c r="F182" s="114" t="s">
        <v>25</v>
      </c>
      <c r="G182" s="114" t="s">
        <v>22</v>
      </c>
      <c r="H182" s="118">
        <v>10</v>
      </c>
      <c r="I182" s="119">
        <v>20</v>
      </c>
      <c r="J182" s="66">
        <f t="shared" si="53"/>
        <v>0</v>
      </c>
      <c r="K182" s="68">
        <v>20</v>
      </c>
      <c r="L182" s="32" t="str">
        <f>IF(J182&lt;H182,"ESTOQUE BAIXO",IF(J182&gt;I182,"ESTOQUE ALTO",IF(J182&gt;H182,"ESTOQUE NORMAL",)))</f>
        <v>ESTOQUE BAIXO</v>
      </c>
      <c r="N182" s="26" t="str">
        <f t="shared" si="49"/>
        <v>FITA REFLETIVA 5 CM PRISMATICO AMARELO/PRETO</v>
      </c>
      <c r="O182" s="27">
        <f>SUMIFS(ENTRADA!$F:$F,ENTRADA!$B:$B,ESTOQUE!$B182)</f>
        <v>0</v>
      </c>
      <c r="P182" s="27">
        <f>SUMIFS(SAIDA!$F:$F,SAIDA!$B:$B,ESTOQUE!$B182)</f>
        <v>0</v>
      </c>
      <c r="Q182" s="27">
        <f t="shared" si="50"/>
        <v>0</v>
      </c>
      <c r="R182" s="27" t="e">
        <f>Q182=#REF!</f>
        <v>#REF!</v>
      </c>
      <c r="S182" s="93">
        <f>IFERROR(SUMIFS(ENTRADA!$H:$H,ENTRADA!$B:$B,ESTOQUE!$B182)/O182,0)</f>
        <v>0</v>
      </c>
      <c r="T182" s="93">
        <f t="shared" si="51"/>
        <v>0</v>
      </c>
      <c r="U182" s="93">
        <f t="shared" si="52"/>
        <v>0</v>
      </c>
    </row>
    <row r="183" spans="2:21" ht="17.100000000000001" customHeight="1" thickBot="1" x14ac:dyDescent="0.3">
      <c r="B183" s="34">
        <v>205</v>
      </c>
      <c r="C183" s="116" t="s">
        <v>19</v>
      </c>
      <c r="D183" s="120" t="s">
        <v>207</v>
      </c>
      <c r="E183" s="116" t="s">
        <v>25</v>
      </c>
      <c r="F183" s="114" t="s">
        <v>25</v>
      </c>
      <c r="G183" s="114" t="s">
        <v>22</v>
      </c>
      <c r="H183" s="118">
        <v>10</v>
      </c>
      <c r="I183" s="119">
        <v>20</v>
      </c>
      <c r="J183" s="66">
        <f t="shared" si="53"/>
        <v>0</v>
      </c>
      <c r="K183" s="68">
        <v>20</v>
      </c>
      <c r="L183" s="32" t="str">
        <f>IF(J183&lt;H183,"ESTOQUE BAIXO",IF(J183&gt;I183,"ESTOQUE ALTO",IF(J183&gt;H183,"ESTOQUE NORMAL",)))</f>
        <v>ESTOQUE BAIXO</v>
      </c>
      <c r="N183" s="26" t="str">
        <f t="shared" si="49"/>
        <v>FITA REFLETIVA 5 CM PRISMATICO LARANJA</v>
      </c>
      <c r="O183" s="27">
        <f>SUMIFS(ENTRADA!$F:$F,ENTRADA!$B:$B,ESTOQUE!$B183)</f>
        <v>0</v>
      </c>
      <c r="P183" s="27">
        <f>SUMIFS(SAIDA!$F:$F,SAIDA!$B:$B,ESTOQUE!$B183)</f>
        <v>0</v>
      </c>
      <c r="Q183" s="27">
        <f t="shared" si="50"/>
        <v>0</v>
      </c>
      <c r="R183" s="27" t="e">
        <f>Q183=#REF!</f>
        <v>#REF!</v>
      </c>
      <c r="S183" s="93">
        <f>IFERROR(SUMIFS(ENTRADA!$H:$H,ENTRADA!$B:$B,ESTOQUE!$B183)/O183,0)</f>
        <v>0</v>
      </c>
      <c r="T183" s="93">
        <f t="shared" si="51"/>
        <v>0</v>
      </c>
      <c r="U183" s="93">
        <f t="shared" si="52"/>
        <v>0</v>
      </c>
    </row>
    <row r="184" spans="2:21" ht="17.100000000000001" customHeight="1" thickBot="1" x14ac:dyDescent="0.3">
      <c r="B184" s="34">
        <v>108</v>
      </c>
      <c r="C184" s="116" t="s">
        <v>19</v>
      </c>
      <c r="D184" s="111" t="s">
        <v>208</v>
      </c>
      <c r="E184" s="116">
        <v>37456</v>
      </c>
      <c r="F184" s="117">
        <v>46942</v>
      </c>
      <c r="G184" s="114" t="s">
        <v>22</v>
      </c>
      <c r="H184" s="118">
        <v>50</v>
      </c>
      <c r="I184" s="119">
        <v>80</v>
      </c>
      <c r="J184" s="66">
        <f t="shared" si="53"/>
        <v>0</v>
      </c>
      <c r="K184" s="68">
        <f t="shared" ref="K184:K215" si="56">I184-J184</f>
        <v>80</v>
      </c>
      <c r="L184" s="32" t="str">
        <f t="shared" ref="L184:L193" si="57">IF(J184&lt;H184,"ESTOQUE BAIXO",IF(J184&gt;I184,"ESTOQUE ALTO",IF(J184&gt;=H184,"ESTOQUE NORMAL",)))</f>
        <v>ESTOQUE BAIXO</v>
      </c>
      <c r="N184" s="26" t="str">
        <f t="shared" si="49"/>
        <v>JARDINEIRA 0190CB TAM GGX NYLON VERDE MILITAR</v>
      </c>
      <c r="O184" s="27">
        <f>SUMIFS(ENTRADA!$F:$F,ENTRADA!$B:$B,ESTOQUE!$B184)</f>
        <v>0</v>
      </c>
      <c r="P184" s="27">
        <f>SUMIFS(SAIDA!$F:$F,SAIDA!$B:$B,ESTOQUE!$B184)</f>
        <v>0</v>
      </c>
      <c r="Q184" s="27">
        <f t="shared" si="50"/>
        <v>0</v>
      </c>
      <c r="R184" s="27" t="e">
        <f>Q184=#REF!</f>
        <v>#REF!</v>
      </c>
      <c r="S184" s="93">
        <f>IFERROR(SUMIFS(ENTRADA!$H:$H,ENTRADA!$B:$B,ESTOQUE!$B184)/O184,0)</f>
        <v>0</v>
      </c>
      <c r="T184" s="93">
        <f t="shared" si="51"/>
        <v>0</v>
      </c>
      <c r="U184" s="93">
        <f t="shared" si="52"/>
        <v>0</v>
      </c>
    </row>
    <row r="185" spans="2:21" ht="17.100000000000001" customHeight="1" thickBot="1" x14ac:dyDescent="0.3">
      <c r="B185" s="34">
        <v>196</v>
      </c>
      <c r="C185" s="116" t="s">
        <v>19</v>
      </c>
      <c r="D185" s="111" t="s">
        <v>209</v>
      </c>
      <c r="E185" s="116">
        <v>37456</v>
      </c>
      <c r="F185" s="117">
        <v>46942</v>
      </c>
      <c r="G185" s="114" t="s">
        <v>31</v>
      </c>
      <c r="H185" s="118">
        <v>50</v>
      </c>
      <c r="I185" s="119">
        <v>100</v>
      </c>
      <c r="J185" s="66">
        <f t="shared" si="53"/>
        <v>1</v>
      </c>
      <c r="K185" s="68">
        <f t="shared" si="56"/>
        <v>99</v>
      </c>
      <c r="L185" s="32" t="str">
        <f t="shared" si="57"/>
        <v>ESTOQUE BAIXO</v>
      </c>
      <c r="N185" s="26" t="str">
        <f t="shared" si="49"/>
        <v>JARDINEIRA AMARELA BOTA Nº 38</v>
      </c>
      <c r="O185" s="27">
        <f>SUMIFS(ENTRADA!$F:$F,ENTRADA!$B:$B,ESTOQUE!$B185)</f>
        <v>20</v>
      </c>
      <c r="P185" s="27">
        <f>SUMIFS(SAIDA!$F:$F,SAIDA!$B:$B,ESTOQUE!$B185)</f>
        <v>19</v>
      </c>
      <c r="Q185" s="27">
        <f t="shared" si="50"/>
        <v>1</v>
      </c>
      <c r="R185" s="27" t="e">
        <f>Q185=#REF!</f>
        <v>#REF!</v>
      </c>
      <c r="S185" s="93">
        <f>IFERROR(SUMIFS(ENTRADA!$H:$H,ENTRADA!$B:$B,ESTOQUE!$B185)/O185,0)</f>
        <v>0</v>
      </c>
      <c r="T185" s="93">
        <f t="shared" si="51"/>
        <v>0</v>
      </c>
      <c r="U185" s="93">
        <f t="shared" si="52"/>
        <v>0</v>
      </c>
    </row>
    <row r="186" spans="2:21" ht="17.100000000000001" customHeight="1" thickBot="1" x14ac:dyDescent="0.3">
      <c r="B186" s="34">
        <v>101</v>
      </c>
      <c r="C186" s="116" t="s">
        <v>19</v>
      </c>
      <c r="D186" s="111" t="s">
        <v>210</v>
      </c>
      <c r="E186" s="116">
        <v>37456</v>
      </c>
      <c r="F186" s="117">
        <v>46942</v>
      </c>
      <c r="G186" s="114" t="s">
        <v>22</v>
      </c>
      <c r="H186" s="118">
        <v>50</v>
      </c>
      <c r="I186" s="119">
        <v>100</v>
      </c>
      <c r="J186" s="66">
        <f t="shared" si="53"/>
        <v>27</v>
      </c>
      <c r="K186" s="68">
        <f t="shared" si="56"/>
        <v>73</v>
      </c>
      <c r="L186" s="32" t="str">
        <f t="shared" si="57"/>
        <v>ESTOQUE BAIXO</v>
      </c>
      <c r="N186" s="26" t="str">
        <f t="shared" si="49"/>
        <v>JARDINEIRA AMARELA BOTA Nº 39</v>
      </c>
      <c r="O186" s="27">
        <f>SUMIFS(ENTRADA!$F:$F,ENTRADA!$B:$B,ESTOQUE!$B186)</f>
        <v>29</v>
      </c>
      <c r="P186" s="27">
        <f>SUMIFS(SAIDA!$F:$F,SAIDA!$B:$B,ESTOQUE!$B186)</f>
        <v>2</v>
      </c>
      <c r="Q186" s="27">
        <f t="shared" si="50"/>
        <v>27</v>
      </c>
      <c r="R186" s="27" t="e">
        <f>Q186=#REF!</f>
        <v>#REF!</v>
      </c>
      <c r="S186" s="93">
        <f>IFERROR(SUMIFS(ENTRADA!$H:$H,ENTRADA!$B:$B,ESTOQUE!$B186)/O186,0)</f>
        <v>65.482758620689651</v>
      </c>
      <c r="T186" s="93">
        <f t="shared" si="51"/>
        <v>1768.0344827586205</v>
      </c>
      <c r="U186" s="93">
        <f t="shared" si="52"/>
        <v>130.9655172413793</v>
      </c>
    </row>
    <row r="187" spans="2:21" ht="17.100000000000001" customHeight="1" thickBot="1" x14ac:dyDescent="0.3">
      <c r="B187" s="34">
        <v>102</v>
      </c>
      <c r="C187" s="116" t="s">
        <v>19</v>
      </c>
      <c r="D187" s="111" t="s">
        <v>211</v>
      </c>
      <c r="E187" s="116">
        <v>37456</v>
      </c>
      <c r="F187" s="117">
        <v>46942</v>
      </c>
      <c r="G187" s="114" t="s">
        <v>22</v>
      </c>
      <c r="H187" s="118">
        <v>50</v>
      </c>
      <c r="I187" s="119">
        <v>100</v>
      </c>
      <c r="J187" s="66">
        <f t="shared" si="53"/>
        <v>15</v>
      </c>
      <c r="K187" s="68">
        <f t="shared" si="56"/>
        <v>85</v>
      </c>
      <c r="L187" s="32" t="str">
        <f t="shared" si="57"/>
        <v>ESTOQUE BAIXO</v>
      </c>
      <c r="N187" s="26" t="str">
        <f t="shared" si="49"/>
        <v>JARDINEIRA AMARELA BOTA Nº 40</v>
      </c>
      <c r="O187" s="27">
        <f>SUMIFS(ENTRADA!$F:$F,ENTRADA!$B:$B,ESTOQUE!$B187)</f>
        <v>25</v>
      </c>
      <c r="P187" s="27">
        <f>SUMIFS(SAIDA!$F:$F,SAIDA!$B:$B,ESTOQUE!$B187)</f>
        <v>10</v>
      </c>
      <c r="Q187" s="27">
        <f t="shared" si="50"/>
        <v>15</v>
      </c>
      <c r="R187" s="27" t="e">
        <f>Q187=#REF!</f>
        <v>#REF!</v>
      </c>
      <c r="S187" s="93">
        <f>IFERROR(SUMIFS(ENTRADA!$H:$H,ENTRADA!$B:$B,ESTOQUE!$B187)/O187,0)</f>
        <v>45.576000000000001</v>
      </c>
      <c r="T187" s="93">
        <f t="shared" si="51"/>
        <v>683.64</v>
      </c>
      <c r="U187" s="93">
        <f t="shared" si="52"/>
        <v>455.76</v>
      </c>
    </row>
    <row r="188" spans="2:21" ht="17.100000000000001" customHeight="1" thickBot="1" x14ac:dyDescent="0.3">
      <c r="B188" s="34">
        <v>103</v>
      </c>
      <c r="C188" s="116" t="s">
        <v>19</v>
      </c>
      <c r="D188" s="111" t="s">
        <v>212</v>
      </c>
      <c r="E188" s="116">
        <v>37456</v>
      </c>
      <c r="F188" s="117">
        <v>46942</v>
      </c>
      <c r="G188" s="114" t="s">
        <v>22</v>
      </c>
      <c r="H188" s="118">
        <v>50</v>
      </c>
      <c r="I188" s="119">
        <v>100</v>
      </c>
      <c r="J188" s="66">
        <f t="shared" si="53"/>
        <v>5</v>
      </c>
      <c r="K188" s="68">
        <f t="shared" si="56"/>
        <v>95</v>
      </c>
      <c r="L188" s="32" t="str">
        <f t="shared" si="57"/>
        <v>ESTOQUE BAIXO</v>
      </c>
      <c r="N188" s="26" t="str">
        <f t="shared" si="49"/>
        <v>JARDINEIRA AMARELA BOTA Nº 41</v>
      </c>
      <c r="O188" s="27">
        <f>SUMIFS(ENTRADA!$F:$F,ENTRADA!$B:$B,ESTOQUE!$B188)</f>
        <v>34</v>
      </c>
      <c r="P188" s="27">
        <f>SUMIFS(SAIDA!$F:$F,SAIDA!$B:$B,ESTOQUE!$B188)</f>
        <v>29</v>
      </c>
      <c r="Q188" s="27">
        <f t="shared" si="50"/>
        <v>5</v>
      </c>
      <c r="R188" s="27" t="e">
        <f>Q188=#REF!</f>
        <v>#REF!</v>
      </c>
      <c r="S188" s="93">
        <f>IFERROR(SUMIFS(ENTRADA!$H:$H,ENTRADA!$B:$B,ESTOQUE!$B188)/O188,0)</f>
        <v>189.9</v>
      </c>
      <c r="T188" s="93">
        <f t="shared" si="51"/>
        <v>949.5</v>
      </c>
      <c r="U188" s="93">
        <f t="shared" si="52"/>
        <v>5507.1</v>
      </c>
    </row>
    <row r="189" spans="2:21" ht="17.100000000000001" customHeight="1" thickBot="1" x14ac:dyDescent="0.3">
      <c r="B189" s="34">
        <v>104</v>
      </c>
      <c r="C189" s="116" t="s">
        <v>19</v>
      </c>
      <c r="D189" s="111" t="s">
        <v>213</v>
      </c>
      <c r="E189" s="116">
        <v>37456</v>
      </c>
      <c r="F189" s="117">
        <v>46942</v>
      </c>
      <c r="G189" s="114" t="s">
        <v>22</v>
      </c>
      <c r="H189" s="118">
        <v>50</v>
      </c>
      <c r="I189" s="119">
        <v>100</v>
      </c>
      <c r="J189" s="66">
        <f t="shared" si="53"/>
        <v>11</v>
      </c>
      <c r="K189" s="68">
        <f t="shared" si="56"/>
        <v>89</v>
      </c>
      <c r="L189" s="32" t="str">
        <f t="shared" si="57"/>
        <v>ESTOQUE BAIXO</v>
      </c>
      <c r="N189" s="26" t="str">
        <f t="shared" si="49"/>
        <v>JARDINEIRA AMARELA BOTA Nº 42</v>
      </c>
      <c r="O189" s="27">
        <f>SUMIFS(ENTRADA!$F:$F,ENTRADA!$B:$B,ESTOQUE!$B189)</f>
        <v>33</v>
      </c>
      <c r="P189" s="27">
        <f>SUMIFS(SAIDA!$F:$F,SAIDA!$B:$B,ESTOQUE!$B189)</f>
        <v>22</v>
      </c>
      <c r="Q189" s="27">
        <f t="shared" si="50"/>
        <v>11</v>
      </c>
      <c r="R189" s="27" t="e">
        <f>Q189=#REF!</f>
        <v>#REF!</v>
      </c>
      <c r="S189" s="93">
        <f>IFERROR(SUMIFS(ENTRADA!$H:$H,ENTRADA!$B:$B,ESTOQUE!$B189)/O189,0)</f>
        <v>86.318181818181813</v>
      </c>
      <c r="T189" s="93">
        <f t="shared" si="51"/>
        <v>949.5</v>
      </c>
      <c r="U189" s="93">
        <f t="shared" si="52"/>
        <v>1899</v>
      </c>
    </row>
    <row r="190" spans="2:21" ht="17.25" customHeight="1" thickBot="1" x14ac:dyDescent="0.3">
      <c r="B190" s="34">
        <v>105</v>
      </c>
      <c r="C190" s="116" t="s">
        <v>19</v>
      </c>
      <c r="D190" s="111" t="s">
        <v>214</v>
      </c>
      <c r="E190" s="116">
        <v>37456</v>
      </c>
      <c r="F190" s="117">
        <v>46942</v>
      </c>
      <c r="G190" s="114" t="s">
        <v>22</v>
      </c>
      <c r="H190" s="118">
        <v>50</v>
      </c>
      <c r="I190" s="119">
        <v>100</v>
      </c>
      <c r="J190" s="66">
        <f t="shared" si="53"/>
        <v>8</v>
      </c>
      <c r="K190" s="68">
        <f t="shared" si="56"/>
        <v>92</v>
      </c>
      <c r="L190" s="32" t="str">
        <f t="shared" si="57"/>
        <v>ESTOQUE BAIXO</v>
      </c>
      <c r="N190" s="26" t="str">
        <f t="shared" si="49"/>
        <v>JARDINEIRA AMARELA BOTA Nº 43</v>
      </c>
      <c r="O190" s="27">
        <f>SUMIFS(ENTRADA!$F:$F,ENTRADA!$B:$B,ESTOQUE!$B190)</f>
        <v>26</v>
      </c>
      <c r="P190" s="27">
        <f>SUMIFS(SAIDA!$F:$F,SAIDA!$B:$B,ESTOQUE!$B190)</f>
        <v>18</v>
      </c>
      <c r="Q190" s="27">
        <f t="shared" si="50"/>
        <v>8</v>
      </c>
      <c r="R190" s="27" t="e">
        <f>Q190=#REF!</f>
        <v>#REF!</v>
      </c>
      <c r="S190" s="93">
        <f>IFERROR(SUMIFS(ENTRADA!$H:$H,ENTRADA!$B:$B,ESTOQUE!$B190)/O190,0)</f>
        <v>109.55769230769231</v>
      </c>
      <c r="T190" s="93">
        <f t="shared" si="51"/>
        <v>876.46153846153845</v>
      </c>
      <c r="U190" s="93">
        <f t="shared" si="52"/>
        <v>1972.0384615384614</v>
      </c>
    </row>
    <row r="191" spans="2:21" ht="17.100000000000001" customHeight="1" thickBot="1" x14ac:dyDescent="0.3">
      <c r="B191" s="34">
        <v>106</v>
      </c>
      <c r="C191" s="116" t="s">
        <v>19</v>
      </c>
      <c r="D191" s="111" t="s">
        <v>215</v>
      </c>
      <c r="E191" s="116">
        <v>30536</v>
      </c>
      <c r="F191" s="117">
        <v>46502</v>
      </c>
      <c r="G191" s="114" t="s">
        <v>22</v>
      </c>
      <c r="H191" s="118">
        <v>50</v>
      </c>
      <c r="I191" s="119">
        <v>100</v>
      </c>
      <c r="J191" s="66">
        <f t="shared" si="53"/>
        <v>26</v>
      </c>
      <c r="K191" s="68">
        <f t="shared" si="56"/>
        <v>74</v>
      </c>
      <c r="L191" s="32" t="str">
        <f t="shared" si="57"/>
        <v>ESTOQUE BAIXO</v>
      </c>
      <c r="N191" s="26" t="str">
        <f t="shared" si="49"/>
        <v>JARDINEIRA AMARELA BOTA Nº 44</v>
      </c>
      <c r="O191" s="27">
        <f>SUMIFS(ENTRADA!$F:$F,ENTRADA!$B:$B,ESTOQUE!$B191)</f>
        <v>33</v>
      </c>
      <c r="P191" s="27">
        <f>SUMIFS(SAIDA!$F:$F,SAIDA!$B:$B,ESTOQUE!$B191)</f>
        <v>7</v>
      </c>
      <c r="Q191" s="27">
        <f t="shared" si="50"/>
        <v>26</v>
      </c>
      <c r="R191" s="27" t="e">
        <f>Q191=#REF!</f>
        <v>#REF!</v>
      </c>
      <c r="S191" s="93">
        <f>IFERROR(SUMIFS(ENTRADA!$H:$H,ENTRADA!$B:$B,ESTOQUE!$B191)/O191,0)</f>
        <v>17.263636363636365</v>
      </c>
      <c r="T191" s="93">
        <f t="shared" si="51"/>
        <v>448.85454545454547</v>
      </c>
      <c r="U191" s="93">
        <f t="shared" si="52"/>
        <v>120.84545454545456</v>
      </c>
    </row>
    <row r="192" spans="2:21" ht="12" customHeight="1" thickBot="1" x14ac:dyDescent="0.3">
      <c r="B192" s="34">
        <v>107</v>
      </c>
      <c r="C192" s="116" t="s">
        <v>19</v>
      </c>
      <c r="D192" s="111" t="s">
        <v>216</v>
      </c>
      <c r="E192" s="116">
        <v>26629</v>
      </c>
      <c r="F192" s="117">
        <v>47342</v>
      </c>
      <c r="G192" s="114" t="s">
        <v>22</v>
      </c>
      <c r="H192" s="118">
        <v>50</v>
      </c>
      <c r="I192" s="119">
        <v>100</v>
      </c>
      <c r="J192" s="66">
        <f t="shared" si="53"/>
        <v>10</v>
      </c>
      <c r="K192" s="68">
        <f t="shared" si="56"/>
        <v>90</v>
      </c>
      <c r="L192" s="32" t="str">
        <f t="shared" si="57"/>
        <v>ESTOQUE BAIXO</v>
      </c>
      <c r="N192" s="26" t="str">
        <f t="shared" si="49"/>
        <v>JARDINEIRA AMARELA BOTA Nº 45</v>
      </c>
      <c r="O192" s="27">
        <f>SUMIFS(ENTRADA!$F:$F,ENTRADA!$B:$B,ESTOQUE!$B192)</f>
        <v>14</v>
      </c>
      <c r="P192" s="27">
        <f>SUMIFS(SAIDA!$F:$F,SAIDA!$B:$B,ESTOQUE!$B192)</f>
        <v>4</v>
      </c>
      <c r="Q192" s="27">
        <f t="shared" si="50"/>
        <v>10</v>
      </c>
      <c r="R192" s="27" t="e">
        <f>Q192=#REF!</f>
        <v>#REF!</v>
      </c>
      <c r="S192" s="93">
        <f>IFERROR(SUMIFS(ENTRADA!$H:$H,ENTRADA!$B:$B,ESTOQUE!$B192)/O192,0)</f>
        <v>67.821428571428569</v>
      </c>
      <c r="T192" s="93">
        <f t="shared" si="51"/>
        <v>678.21428571428567</v>
      </c>
      <c r="U192" s="93">
        <f t="shared" si="52"/>
        <v>271.28571428571428</v>
      </c>
    </row>
    <row r="193" spans="2:21" ht="17.100000000000001" customHeight="1" thickBot="1" x14ac:dyDescent="0.3">
      <c r="B193" s="34">
        <v>161</v>
      </c>
      <c r="C193" s="116" t="s">
        <v>19</v>
      </c>
      <c r="D193" s="120" t="s">
        <v>217</v>
      </c>
      <c r="E193" s="116" t="s">
        <v>25</v>
      </c>
      <c r="F193" s="117" t="s">
        <v>25</v>
      </c>
      <c r="G193" s="114" t="s">
        <v>22</v>
      </c>
      <c r="H193" s="118">
        <v>200</v>
      </c>
      <c r="I193" s="119">
        <v>500</v>
      </c>
      <c r="J193" s="66">
        <f t="shared" si="53"/>
        <v>174</v>
      </c>
      <c r="K193" s="68">
        <f t="shared" si="56"/>
        <v>326</v>
      </c>
      <c r="L193" s="32" t="str">
        <f t="shared" si="57"/>
        <v>ESTOQUE BAIXO</v>
      </c>
      <c r="N193" s="26" t="str">
        <f t="shared" si="49"/>
        <v>JUGULAR</v>
      </c>
      <c r="O193" s="27">
        <f>SUMIFS(ENTRADA!$F:$F,ENTRADA!$B:$B,ESTOQUE!$B193)</f>
        <v>427</v>
      </c>
      <c r="P193" s="27">
        <f>SUMIFS(SAIDA!$F:$F,SAIDA!$B:$B,ESTOQUE!$B193)</f>
        <v>253</v>
      </c>
      <c r="Q193" s="27">
        <f t="shared" si="50"/>
        <v>174</v>
      </c>
      <c r="R193" s="27" t="e">
        <f>Q193=#REF!</f>
        <v>#REF!</v>
      </c>
      <c r="S193" s="93">
        <f>IFERROR(SUMIFS(ENTRADA!$H:$H,ENTRADA!$B:$B,ESTOQUE!$B193)/O193,0)</f>
        <v>0.77283372365339575</v>
      </c>
      <c r="T193" s="93">
        <f t="shared" si="51"/>
        <v>134.47306791569085</v>
      </c>
      <c r="U193" s="93">
        <f t="shared" si="52"/>
        <v>195.52693208430912</v>
      </c>
    </row>
    <row r="194" spans="2:21" ht="17.100000000000001" customHeight="1" thickBot="1" x14ac:dyDescent="0.3">
      <c r="B194" s="34">
        <v>226</v>
      </c>
      <c r="C194" s="116" t="s">
        <v>19</v>
      </c>
      <c r="D194" s="120" t="s">
        <v>218</v>
      </c>
      <c r="E194" s="116">
        <v>46765</v>
      </c>
      <c r="F194" s="117">
        <v>46317</v>
      </c>
      <c r="G194" s="114" t="s">
        <v>22</v>
      </c>
      <c r="H194" s="118">
        <v>5</v>
      </c>
      <c r="I194" s="119">
        <v>25</v>
      </c>
      <c r="J194" s="66">
        <f t="shared" si="53"/>
        <v>0</v>
      </c>
      <c r="K194" s="68">
        <f t="shared" si="56"/>
        <v>25</v>
      </c>
      <c r="L194" s="32" t="str">
        <f>IF(J194&lt;H194,"ESTOQUE BAIXO",IF(J194&gt;I194,"ESTOQUE ALTO",IF(J194&gt;H194,"ESTOQUE NORMAL",)))</f>
        <v>ESTOQUE BAIXO</v>
      </c>
      <c r="N194" s="26" t="str">
        <f t="shared" si="49"/>
        <v>KIT PROTEÇÃO FACIAL P/ ARCO ELETRICO</v>
      </c>
      <c r="O194" s="27">
        <f>SUMIFS(ENTRADA!$F:$F,ENTRADA!$B:$B,ESTOQUE!$B194)</f>
        <v>0</v>
      </c>
      <c r="P194" s="27">
        <f>SUMIFS(SAIDA!$F:$F,SAIDA!$B:$B,ESTOQUE!$B194)</f>
        <v>0</v>
      </c>
      <c r="Q194" s="27">
        <f t="shared" si="50"/>
        <v>0</v>
      </c>
      <c r="R194" s="27" t="e">
        <f>Q194=#REF!</f>
        <v>#REF!</v>
      </c>
      <c r="S194" s="93">
        <f>IFERROR(SUMIFS(ENTRADA!$H:$H,ENTRADA!$B:$B,ESTOQUE!$B194)/O194,0)</f>
        <v>0</v>
      </c>
      <c r="T194" s="93">
        <f t="shared" si="51"/>
        <v>0</v>
      </c>
      <c r="U194" s="93">
        <f t="shared" si="52"/>
        <v>0</v>
      </c>
    </row>
    <row r="195" spans="2:21" ht="17.100000000000001" customHeight="1" thickBot="1" x14ac:dyDescent="0.3">
      <c r="B195" s="34">
        <v>208</v>
      </c>
      <c r="C195" s="116" t="s">
        <v>19</v>
      </c>
      <c r="D195" s="120" t="s">
        <v>219</v>
      </c>
      <c r="E195" s="116" t="s">
        <v>25</v>
      </c>
      <c r="F195" s="114" t="s">
        <v>25</v>
      </c>
      <c r="G195" s="114" t="s">
        <v>22</v>
      </c>
      <c r="H195" s="118">
        <v>100</v>
      </c>
      <c r="I195" s="119">
        <v>500</v>
      </c>
      <c r="J195" s="66">
        <f t="shared" si="53"/>
        <v>0</v>
      </c>
      <c r="K195" s="68">
        <f t="shared" si="56"/>
        <v>500</v>
      </c>
      <c r="L195" s="32" t="str">
        <f>IF(J195&lt;H195,"ESTOQUE BAIXO",IF(J195&gt;I195,"ESTOQUE ALTO",IF(J195&gt;H195,"ESTOQUE NORMAL",)))</f>
        <v>ESTOQUE BAIXO</v>
      </c>
      <c r="N195" s="26" t="str">
        <f t="shared" si="49"/>
        <v>LENTE PARA SOLDA RETANGULAR ESCURA</v>
      </c>
      <c r="O195" s="27">
        <f>SUMIFS(ENTRADA!$F:$F,ENTRADA!$B:$B,ESTOQUE!$B195)</f>
        <v>0</v>
      </c>
      <c r="P195" s="27">
        <f>SUMIFS(SAIDA!$F:$F,SAIDA!$B:$B,ESTOQUE!$B195)</f>
        <v>0</v>
      </c>
      <c r="Q195" s="27">
        <f t="shared" si="50"/>
        <v>0</v>
      </c>
      <c r="R195" s="27" t="e">
        <f>Q195=#REF!</f>
        <v>#REF!</v>
      </c>
      <c r="S195" s="93">
        <f>IFERROR(SUMIFS(ENTRADA!$H:$H,ENTRADA!$B:$B,ESTOQUE!$B195)/O195,0)</f>
        <v>0</v>
      </c>
      <c r="T195" s="93">
        <f t="shared" si="51"/>
        <v>0</v>
      </c>
      <c r="U195" s="93">
        <f t="shared" si="52"/>
        <v>0</v>
      </c>
    </row>
    <row r="196" spans="2:21" ht="17.100000000000001" customHeight="1" thickBot="1" x14ac:dyDescent="0.3">
      <c r="B196" s="34">
        <v>146</v>
      </c>
      <c r="C196" s="116" t="s">
        <v>19</v>
      </c>
      <c r="D196" s="120" t="s">
        <v>220</v>
      </c>
      <c r="E196" s="116" t="s">
        <v>25</v>
      </c>
      <c r="F196" s="117" t="s">
        <v>25</v>
      </c>
      <c r="G196" s="114" t="s">
        <v>22</v>
      </c>
      <c r="H196" s="118">
        <v>25</v>
      </c>
      <c r="I196" s="119">
        <v>100</v>
      </c>
      <c r="J196" s="66">
        <f t="shared" si="53"/>
        <v>0</v>
      </c>
      <c r="K196" s="68">
        <f t="shared" si="56"/>
        <v>100</v>
      </c>
      <c r="L196" s="32" t="str">
        <f>IF(J196&lt;H196,"ESTOQUE BAIXO",IF(J196&gt;I196,"ESTOQUE ALTO",IF(J196&gt;=H196,"ESTOQUE NORMAL",)))</f>
        <v>ESTOQUE BAIXO</v>
      </c>
      <c r="N196" s="26" t="str">
        <f t="shared" si="49"/>
        <v>LENTE PARA SOLDA RETANGULAR INCOLOR</v>
      </c>
      <c r="O196" s="27">
        <f>SUMIFS(ENTRADA!$F:$F,ENTRADA!$B:$B,ESTOQUE!$B196)</f>
        <v>0</v>
      </c>
      <c r="P196" s="27">
        <f>SUMIFS(SAIDA!$F:$F,SAIDA!$B:$B,ESTOQUE!$B196)</f>
        <v>0</v>
      </c>
      <c r="Q196" s="27">
        <f t="shared" si="50"/>
        <v>0</v>
      </c>
      <c r="R196" s="27" t="e">
        <f>Q196=#REF!</f>
        <v>#REF!</v>
      </c>
      <c r="S196" s="93">
        <f>IFERROR(SUMIFS(ENTRADA!$H:$H,ENTRADA!$B:$B,ESTOQUE!$B196)/O196,0)</f>
        <v>0</v>
      </c>
      <c r="T196" s="93">
        <f t="shared" si="51"/>
        <v>0</v>
      </c>
      <c r="U196" s="93">
        <f t="shared" si="52"/>
        <v>0</v>
      </c>
    </row>
    <row r="197" spans="2:21" ht="17.100000000000001" customHeight="1" thickBot="1" x14ac:dyDescent="0.3">
      <c r="B197" s="34">
        <v>227</v>
      </c>
      <c r="C197" s="116" t="s">
        <v>19</v>
      </c>
      <c r="D197" s="120" t="s">
        <v>221</v>
      </c>
      <c r="E197" s="116">
        <v>2178</v>
      </c>
      <c r="F197" s="117">
        <v>47392</v>
      </c>
      <c r="G197" s="114" t="s">
        <v>22</v>
      </c>
      <c r="H197" s="118">
        <v>2</v>
      </c>
      <c r="I197" s="119">
        <v>10</v>
      </c>
      <c r="J197" s="66">
        <f t="shared" si="53"/>
        <v>0</v>
      </c>
      <c r="K197" s="68">
        <f t="shared" si="56"/>
        <v>10</v>
      </c>
      <c r="L197" s="32" t="str">
        <f>IF(J197&lt;H197,"ESTOQUE BAIXO",IF(J197&gt;I197,"ESTOQUE ALTO",IF(J197&gt;H197,"ESTOQUE NORMAL",)))</f>
        <v>ESTOQUE BAIXO</v>
      </c>
      <c r="N197" s="26" t="str">
        <f t="shared" si="49"/>
        <v>LUVA  ALTA TENSÃO 2,5 KV  ORION CLASSE 00</v>
      </c>
      <c r="O197" s="27">
        <f>SUMIFS(ENTRADA!$F:$F,ENTRADA!$B:$B,ESTOQUE!$B197)</f>
        <v>0</v>
      </c>
      <c r="P197" s="27">
        <f>SUMIFS(SAIDA!$F:$F,SAIDA!$B:$B,ESTOQUE!$B197)</f>
        <v>0</v>
      </c>
      <c r="Q197" s="27">
        <f t="shared" si="50"/>
        <v>0</v>
      </c>
      <c r="R197" s="27" t="e">
        <f>Q197=#REF!</f>
        <v>#REF!</v>
      </c>
      <c r="S197" s="93">
        <f>IFERROR(SUMIFS(ENTRADA!$H:$H,ENTRADA!$B:$B,ESTOQUE!$B197)/O197,0)</f>
        <v>0</v>
      </c>
      <c r="T197" s="93">
        <f t="shared" si="51"/>
        <v>0</v>
      </c>
      <c r="U197" s="93">
        <f t="shared" si="52"/>
        <v>0</v>
      </c>
    </row>
    <row r="198" spans="2:21" ht="17.100000000000001" customHeight="1" thickBot="1" x14ac:dyDescent="0.3">
      <c r="B198" s="34">
        <v>148</v>
      </c>
      <c r="C198" s="116" t="s">
        <v>19</v>
      </c>
      <c r="D198" s="120" t="s">
        <v>222</v>
      </c>
      <c r="E198" s="116">
        <v>32034</v>
      </c>
      <c r="F198" s="117">
        <v>46639</v>
      </c>
      <c r="G198" s="114" t="s">
        <v>31</v>
      </c>
      <c r="H198" s="118">
        <v>250</v>
      </c>
      <c r="I198" s="119">
        <v>500</v>
      </c>
      <c r="J198" s="66">
        <f t="shared" si="53"/>
        <v>0</v>
      </c>
      <c r="K198" s="68">
        <f t="shared" si="56"/>
        <v>500</v>
      </c>
      <c r="L198" s="32" t="str">
        <f>IF(J198&lt;H198,"ESTOQUE BAIXO",IF(J198&gt;I198,"ESTOQUE ALTO",IF(J198&gt;=H198,"ESTOQUE NORMAL",)))</f>
        <v>ESTOQUE BAIXO</v>
      </c>
      <c r="N198" s="26" t="str">
        <f t="shared" si="49"/>
        <v>LUVA DE PU PRETA TAM 8</v>
      </c>
      <c r="O198" s="27">
        <f>SUMIFS(ENTRADA!$F:$F,ENTRADA!$B:$B,ESTOQUE!$B198)</f>
        <v>0</v>
      </c>
      <c r="P198" s="27">
        <f>SUMIFS(SAIDA!$F:$F,SAIDA!$B:$B,ESTOQUE!$B198)</f>
        <v>0</v>
      </c>
      <c r="Q198" s="27">
        <f t="shared" si="50"/>
        <v>0</v>
      </c>
      <c r="R198" s="27" t="e">
        <f>Q198=#REF!</f>
        <v>#REF!</v>
      </c>
      <c r="S198" s="93">
        <f>IFERROR(SUMIFS(ENTRADA!$H:$H,ENTRADA!$B:$B,ESTOQUE!$B198)/O198,0)</f>
        <v>0</v>
      </c>
      <c r="T198" s="93">
        <f t="shared" si="51"/>
        <v>0</v>
      </c>
      <c r="U198" s="93">
        <f t="shared" si="52"/>
        <v>0</v>
      </c>
    </row>
    <row r="199" spans="2:21" ht="17.100000000000001" customHeight="1" thickBot="1" x14ac:dyDescent="0.3">
      <c r="B199" s="34">
        <v>110</v>
      </c>
      <c r="C199" s="116" t="s">
        <v>19</v>
      </c>
      <c r="D199" s="111" t="s">
        <v>223</v>
      </c>
      <c r="E199" s="116">
        <v>31179</v>
      </c>
      <c r="F199" s="117">
        <v>46638</v>
      </c>
      <c r="G199" s="114" t="s">
        <v>31</v>
      </c>
      <c r="H199" s="118">
        <v>50</v>
      </c>
      <c r="I199" s="119">
        <v>500</v>
      </c>
      <c r="J199" s="66">
        <f t="shared" si="53"/>
        <v>190</v>
      </c>
      <c r="K199" s="68">
        <f t="shared" si="56"/>
        <v>310</v>
      </c>
      <c r="L199" s="32" t="str">
        <f>IF(J199&lt;H199,"ESTOQUE BAIXO",IF(J199&gt;I199,"ESTOQUE ALTO",IF(J199&gt;=H199,"ESTOQUE NORMAL",)))</f>
        <v>ESTOQUE NORMAL</v>
      </c>
      <c r="N199" s="26" t="str">
        <f t="shared" si="49"/>
        <v>LUVA DE RASPA CANO LONGO</v>
      </c>
      <c r="O199" s="27">
        <f>SUMIFS(ENTRADA!$F:$F,ENTRADA!$B:$B,ESTOQUE!$B199)</f>
        <v>976</v>
      </c>
      <c r="P199" s="27">
        <f>SUMIFS(SAIDA!$F:$F,SAIDA!$B:$B,ESTOQUE!$B199)</f>
        <v>786</v>
      </c>
      <c r="Q199" s="27">
        <f t="shared" si="50"/>
        <v>190</v>
      </c>
      <c r="R199" s="27" t="e">
        <f>Q199=#REF!</f>
        <v>#REF!</v>
      </c>
      <c r="S199" s="93">
        <f>IFERROR(SUMIFS(ENTRADA!$H:$H,ENTRADA!$B:$B,ESTOQUE!$B199)/O199,0)</f>
        <v>2.395696721311475</v>
      </c>
      <c r="T199" s="93">
        <f t="shared" si="51"/>
        <v>455.18237704918027</v>
      </c>
      <c r="U199" s="93">
        <f t="shared" si="52"/>
        <v>1883.0176229508195</v>
      </c>
    </row>
    <row r="200" spans="2:21" ht="17.100000000000001" customHeight="1" thickBot="1" x14ac:dyDescent="0.3">
      <c r="B200" s="34">
        <v>112</v>
      </c>
      <c r="C200" s="116" t="s">
        <v>19</v>
      </c>
      <c r="D200" s="111" t="s">
        <v>224</v>
      </c>
      <c r="E200" s="116" t="s">
        <v>25</v>
      </c>
      <c r="F200" s="117" t="s">
        <v>25</v>
      </c>
      <c r="G200" s="114" t="s">
        <v>31</v>
      </c>
      <c r="H200" s="118">
        <v>50</v>
      </c>
      <c r="I200" s="119">
        <v>200</v>
      </c>
      <c r="J200" s="66">
        <f t="shared" si="53"/>
        <v>2</v>
      </c>
      <c r="K200" s="68">
        <f t="shared" si="56"/>
        <v>198</v>
      </c>
      <c r="L200" s="32" t="str">
        <f>IF(J200&lt;H200,"ESTOQUE BAIXO",IF(J200&gt;I200,"ESTOQUE ALTO",IF(J200&gt;=H200,"ESTOQUE NORMAL",)))</f>
        <v>ESTOQUE BAIXO</v>
      </c>
      <c r="N200" s="26" t="str">
        <f t="shared" si="49"/>
        <v>LUVA DE RASPA CANO MEDIO</v>
      </c>
      <c r="O200" s="27">
        <f>SUMIFS(ENTRADA!$F:$F,ENTRADA!$B:$B,ESTOQUE!$B200)</f>
        <v>8</v>
      </c>
      <c r="P200" s="27">
        <f>SUMIFS(SAIDA!$F:$F,SAIDA!$B:$B,ESTOQUE!$B200)</f>
        <v>6</v>
      </c>
      <c r="Q200" s="27">
        <f t="shared" si="50"/>
        <v>2</v>
      </c>
      <c r="R200" s="27" t="e">
        <f>Q200=#REF!</f>
        <v>#REF!</v>
      </c>
      <c r="S200" s="93">
        <f>IFERROR(SUMIFS(ENTRADA!$H:$H,ENTRADA!$B:$B,ESTOQUE!$B200)/O200,0)</f>
        <v>0</v>
      </c>
      <c r="T200" s="93">
        <f t="shared" si="51"/>
        <v>0</v>
      </c>
      <c r="U200" s="93">
        <f t="shared" si="52"/>
        <v>0</v>
      </c>
    </row>
    <row r="201" spans="2:21" ht="17.100000000000001" customHeight="1" thickBot="1" x14ac:dyDescent="0.3">
      <c r="B201" s="34">
        <v>262</v>
      </c>
      <c r="C201" s="116" t="s">
        <v>19</v>
      </c>
      <c r="D201" s="120" t="s">
        <v>225</v>
      </c>
      <c r="E201" s="116" t="s">
        <v>25</v>
      </c>
      <c r="F201" s="117" t="s">
        <v>25</v>
      </c>
      <c r="G201" s="114" t="s">
        <v>31</v>
      </c>
      <c r="H201" s="118">
        <v>50</v>
      </c>
      <c r="I201" s="119">
        <v>200</v>
      </c>
      <c r="J201" s="66">
        <f t="shared" si="53"/>
        <v>0</v>
      </c>
      <c r="K201" s="68">
        <f t="shared" si="56"/>
        <v>200</v>
      </c>
      <c r="L201" s="32" t="str">
        <f>IF(J201&lt;H201,"ESTOQUE BAIXO",IF(J201&gt;I201,"ESTOQUE ALTO",IF(J201&gt;H201,"ESTOQUE NORMAL",)))</f>
        <v>ESTOQUE BAIXO</v>
      </c>
      <c r="N201" s="26" t="str">
        <f t="shared" si="49"/>
        <v xml:space="preserve">LUVA DE RASPA MISTA </v>
      </c>
      <c r="O201" s="27">
        <f>SUMIFS(ENTRADA!$F:$F,ENTRADA!$B:$B,ESTOQUE!$B201)</f>
        <v>12</v>
      </c>
      <c r="P201" s="27">
        <f>SUMIFS(SAIDA!$F:$F,SAIDA!$B:$B,ESTOQUE!$B201)</f>
        <v>12</v>
      </c>
      <c r="Q201" s="27">
        <f t="shared" si="50"/>
        <v>0</v>
      </c>
      <c r="R201" s="27" t="e">
        <f>Q201=#REF!</f>
        <v>#REF!</v>
      </c>
      <c r="S201" s="93">
        <f>IFERROR(SUMIFS(ENTRADA!$H:$H,ENTRADA!$B:$B,ESTOQUE!$B201)/O201,0)</f>
        <v>0</v>
      </c>
      <c r="T201" s="93">
        <f t="shared" si="51"/>
        <v>0</v>
      </c>
      <c r="U201" s="93">
        <f t="shared" si="52"/>
        <v>0</v>
      </c>
    </row>
    <row r="202" spans="2:21" ht="17.100000000000001" customHeight="1" thickBot="1" x14ac:dyDescent="0.3">
      <c r="B202" s="34">
        <v>149</v>
      </c>
      <c r="C202" s="116" t="s">
        <v>19</v>
      </c>
      <c r="D202" s="120" t="s">
        <v>226</v>
      </c>
      <c r="E202" s="116">
        <v>21178</v>
      </c>
      <c r="F202" s="117">
        <v>47392</v>
      </c>
      <c r="G202" s="114" t="s">
        <v>31</v>
      </c>
      <c r="H202" s="118">
        <v>5</v>
      </c>
      <c r="I202" s="119">
        <v>10</v>
      </c>
      <c r="J202" s="66">
        <f t="shared" si="53"/>
        <v>0</v>
      </c>
      <c r="K202" s="68">
        <f t="shared" si="56"/>
        <v>10</v>
      </c>
      <c r="L202" s="32" t="str">
        <f>IF(J202&lt;H202,"ESTOQUE BAIXO",IF(J202&gt;I202,"ESTOQUE ALTO",IF(J202&gt;=H202,"ESTOQUE NORMAL",)))</f>
        <v>ESTOQUE BAIXO</v>
      </c>
      <c r="N202" s="26" t="str">
        <f t="shared" si="49"/>
        <v>LUVA DE SEGURANÇA DE ALTA TEMPERATURA 5KV TIPO 2 TAM 9,5</v>
      </c>
      <c r="O202" s="27">
        <f>SUMIFS(ENTRADA!$F:$F,ENTRADA!$B:$B,ESTOQUE!$B202)</f>
        <v>0</v>
      </c>
      <c r="P202" s="27">
        <f>SUMIFS(SAIDA!$F:$F,SAIDA!$B:$B,ESTOQUE!$B202)</f>
        <v>0</v>
      </c>
      <c r="Q202" s="27">
        <f t="shared" si="50"/>
        <v>0</v>
      </c>
      <c r="R202" s="27" t="e">
        <f>Q202=#REF!</f>
        <v>#REF!</v>
      </c>
      <c r="S202" s="93">
        <f>IFERROR(SUMIFS(ENTRADA!$H:$H,ENTRADA!$B:$B,ESTOQUE!$B202)/O202,0)</f>
        <v>0</v>
      </c>
      <c r="T202" s="93">
        <f t="shared" si="51"/>
        <v>0</v>
      </c>
      <c r="U202" s="93">
        <f t="shared" si="52"/>
        <v>0</v>
      </c>
    </row>
    <row r="203" spans="2:21" ht="17.100000000000001" customHeight="1" thickBot="1" x14ac:dyDescent="0.3">
      <c r="B203" s="34">
        <v>141</v>
      </c>
      <c r="C203" s="116" t="s">
        <v>19</v>
      </c>
      <c r="D203" s="120" t="s">
        <v>300</v>
      </c>
      <c r="E203" s="116">
        <v>20601</v>
      </c>
      <c r="F203" s="117">
        <v>46944</v>
      </c>
      <c r="G203" s="114" t="s">
        <v>31</v>
      </c>
      <c r="H203" s="118">
        <v>50</v>
      </c>
      <c r="I203" s="119">
        <v>250</v>
      </c>
      <c r="J203" s="66">
        <f t="shared" si="53"/>
        <v>164</v>
      </c>
      <c r="K203" s="68">
        <f t="shared" si="56"/>
        <v>86</v>
      </c>
      <c r="L203" s="32" t="str">
        <f>IF(J203&lt;H203,"ESTOQUE BAIXO",IF(J203&gt;I203,"ESTOQUE ALTO",IF(J203&gt;=H203,"ESTOQUE NORMAL",)))</f>
        <v>ESTOQUE NORMAL</v>
      </c>
      <c r="N203" s="26" t="str">
        <f t="shared" si="49"/>
        <v xml:space="preserve">LUVA DE VAQUETA </v>
      </c>
      <c r="O203" s="27">
        <f>SUMIFS(ENTRADA!$F:$F,ENTRADA!$B:$B,ESTOQUE!$B203)</f>
        <v>1135</v>
      </c>
      <c r="P203" s="27">
        <f>SUMIFS(SAIDA!$F:$F,SAIDA!$B:$B,ESTOQUE!$B203)</f>
        <v>971</v>
      </c>
      <c r="Q203" s="27">
        <f t="shared" si="50"/>
        <v>164</v>
      </c>
      <c r="R203" s="27" t="e">
        <f>Q203=#REF!</f>
        <v>#REF!</v>
      </c>
      <c r="S203" s="93">
        <f>IFERROR(SUMIFS(ENTRADA!$H:$H,ENTRADA!$B:$B,ESTOQUE!$B203)/O203,0)</f>
        <v>0.72687224669603523</v>
      </c>
      <c r="T203" s="93">
        <f t="shared" si="51"/>
        <v>119.20704845814977</v>
      </c>
      <c r="U203" s="93">
        <f t="shared" si="52"/>
        <v>705.79295154185024</v>
      </c>
    </row>
    <row r="204" spans="2:21" ht="17.100000000000001" customHeight="1" thickBot="1" x14ac:dyDescent="0.3">
      <c r="B204" s="34">
        <v>111</v>
      </c>
      <c r="C204" s="116" t="s">
        <v>19</v>
      </c>
      <c r="D204" s="111" t="s">
        <v>227</v>
      </c>
      <c r="E204" s="116">
        <v>15467</v>
      </c>
      <c r="F204" s="117">
        <v>45882</v>
      </c>
      <c r="G204" s="114" t="s">
        <v>31</v>
      </c>
      <c r="H204" s="118">
        <v>50</v>
      </c>
      <c r="I204" s="119">
        <v>250</v>
      </c>
      <c r="J204" s="66">
        <f t="shared" si="53"/>
        <v>0</v>
      </c>
      <c r="K204" s="68">
        <f t="shared" si="56"/>
        <v>250</v>
      </c>
      <c r="L204" s="32" t="str">
        <f>IF(J204&lt;H204,"ESTOQUE BAIXO",IF(J204&gt;I204,"ESTOQUE ALTO",IF(J204&gt;=H204,"ESTOQUE NORMAL",)))</f>
        <v>ESTOQUE BAIXO</v>
      </c>
      <c r="N204" s="26" t="str">
        <f t="shared" si="49"/>
        <v>LUVA DE VAQUETA MARROM</v>
      </c>
      <c r="O204" s="27">
        <f>SUMIFS(ENTRADA!$F:$F,ENTRADA!$B:$B,ESTOQUE!$B204)</f>
        <v>760</v>
      </c>
      <c r="P204" s="27">
        <f>SUMIFS(SAIDA!$F:$F,SAIDA!$B:$B,ESTOQUE!$B204)</f>
        <v>760</v>
      </c>
      <c r="Q204" s="27">
        <f t="shared" si="50"/>
        <v>0</v>
      </c>
      <c r="R204" s="27" t="e">
        <f>Q204=#REF!</f>
        <v>#REF!</v>
      </c>
      <c r="S204" s="93">
        <f>IFERROR(SUMIFS(ENTRADA!$H:$H,ENTRADA!$B:$B,ESTOQUE!$B204)/O204,0)</f>
        <v>0</v>
      </c>
      <c r="T204" s="93">
        <f t="shared" si="51"/>
        <v>0</v>
      </c>
      <c r="U204" s="93">
        <f t="shared" si="52"/>
        <v>0</v>
      </c>
    </row>
    <row r="205" spans="2:21" ht="17.100000000000001" customHeight="1" thickBot="1" x14ac:dyDescent="0.3">
      <c r="B205" s="34">
        <v>189</v>
      </c>
      <c r="C205" s="116" t="s">
        <v>19</v>
      </c>
      <c r="D205" s="120" t="s">
        <v>228</v>
      </c>
      <c r="E205" s="116">
        <v>40319</v>
      </c>
      <c r="F205" s="117">
        <v>46554</v>
      </c>
      <c r="G205" s="114" t="s">
        <v>22</v>
      </c>
      <c r="H205" s="118">
        <v>50</v>
      </c>
      <c r="I205" s="119">
        <v>500</v>
      </c>
      <c r="J205" s="66">
        <v>0</v>
      </c>
      <c r="K205" s="68">
        <f t="shared" si="56"/>
        <v>500</v>
      </c>
      <c r="L205" s="32" t="str">
        <f>IF(J205&lt;H205,"ESTOQUE BAIXO",IF(J205&gt;I205,"ESTOQUE ALTO",IF(J205&gt;=H205,"ESTOQUE NORMAL",)))</f>
        <v>ESTOQUE BAIXO</v>
      </c>
      <c r="N205" s="26" t="str">
        <f t="shared" si="49"/>
        <v xml:space="preserve">LUVA DE VAQUETA MISTA </v>
      </c>
      <c r="O205" s="27">
        <f>SUMIFS(ENTRADA!$F:$F,ENTRADA!$B:$B,ESTOQUE!$B205)</f>
        <v>233</v>
      </c>
      <c r="P205" s="27">
        <f>SUMIFS(SAIDA!$F:$F,SAIDA!$B:$B,ESTOQUE!$B205)</f>
        <v>307</v>
      </c>
      <c r="Q205" s="27">
        <f t="shared" si="50"/>
        <v>-74</v>
      </c>
      <c r="R205" s="27" t="e">
        <f>Q205=#REF!</f>
        <v>#REF!</v>
      </c>
      <c r="S205" s="93">
        <f>IFERROR(SUMIFS(ENTRADA!$H:$H,ENTRADA!$B:$B,ESTOQUE!$B205)/O205,0)</f>
        <v>8.6587982832618025</v>
      </c>
      <c r="T205" s="93">
        <f t="shared" si="51"/>
        <v>-640.75107296137344</v>
      </c>
      <c r="U205" s="93">
        <f t="shared" si="52"/>
        <v>2658.2510729613732</v>
      </c>
    </row>
    <row r="206" spans="2:21" ht="17.100000000000001" customHeight="1" thickBot="1" x14ac:dyDescent="0.3">
      <c r="B206" s="34">
        <v>261</v>
      </c>
      <c r="C206" s="116" t="s">
        <v>19</v>
      </c>
      <c r="D206" s="120" t="s">
        <v>229</v>
      </c>
      <c r="E206" s="116" t="s">
        <v>25</v>
      </c>
      <c r="F206" s="114" t="s">
        <v>25</v>
      </c>
      <c r="G206" s="114" t="s">
        <v>31</v>
      </c>
      <c r="H206" s="118">
        <v>50</v>
      </c>
      <c r="I206" s="118">
        <v>100</v>
      </c>
      <c r="J206" s="66">
        <f t="shared" si="53"/>
        <v>5</v>
      </c>
      <c r="K206" s="68">
        <f t="shared" si="56"/>
        <v>95</v>
      </c>
      <c r="L206" s="32" t="str">
        <f>IF(J206&lt;H206,"ESTOQUE BAIXO",IF(J206&gt;I206,"ESTOQUE ALTO",IF(J206&gt;H206,"ESTOQUE NORMAL",)))</f>
        <v>ESTOQUE BAIXO</v>
      </c>
      <c r="N206" s="26" t="str">
        <f t="shared" si="49"/>
        <v xml:space="preserve">LUVA DE VAQUETA VERDE </v>
      </c>
      <c r="O206" s="27">
        <f>SUMIFS(ENTRADA!$F:$F,ENTRADA!$B:$B,ESTOQUE!$B206)</f>
        <v>153</v>
      </c>
      <c r="P206" s="27">
        <f>SUMIFS(SAIDA!$F:$F,SAIDA!$B:$B,ESTOQUE!$B206)</f>
        <v>148</v>
      </c>
      <c r="Q206" s="27">
        <f t="shared" si="50"/>
        <v>5</v>
      </c>
      <c r="R206" s="27" t="e">
        <f>Q206=#REF!</f>
        <v>#REF!</v>
      </c>
      <c r="S206" s="93">
        <f>IFERROR(SUMIFS(ENTRADA!$H:$H,ENTRADA!$B:$B,ESTOQUE!$B206)/O206,0)</f>
        <v>0</v>
      </c>
      <c r="T206" s="93">
        <f t="shared" si="51"/>
        <v>0</v>
      </c>
      <c r="U206" s="93">
        <f t="shared" si="52"/>
        <v>0</v>
      </c>
    </row>
    <row r="207" spans="2:21" ht="17.100000000000001" customHeight="1" thickBot="1" x14ac:dyDescent="0.3">
      <c r="B207" s="34">
        <v>263</v>
      </c>
      <c r="C207" s="116" t="s">
        <v>19</v>
      </c>
      <c r="D207" s="120" t="s">
        <v>230</v>
      </c>
      <c r="E207" s="116">
        <v>15467</v>
      </c>
      <c r="F207" s="114" t="s">
        <v>25</v>
      </c>
      <c r="G207" s="114" t="s">
        <v>22</v>
      </c>
      <c r="H207" s="118">
        <v>360</v>
      </c>
      <c r="I207" s="119">
        <v>360</v>
      </c>
      <c r="J207" s="66">
        <f t="shared" si="53"/>
        <v>19</v>
      </c>
      <c r="K207" s="68">
        <f t="shared" si="56"/>
        <v>341</v>
      </c>
      <c r="L207" s="32" t="str">
        <f>IF(J207&lt;H207,"ESTOQUE BAIXO",IF(J207&gt;I207,"ESTOQUE ALTO",IF(J207&gt;H207,"ESTOQUE NORMAL",)))</f>
        <v>ESTOQUE BAIXO</v>
      </c>
      <c r="N207" s="26" t="str">
        <f t="shared" si="49"/>
        <v>LUVA DE VAUQETA CINZA</v>
      </c>
      <c r="O207" s="27">
        <f>SUMIFS(ENTRADA!$F:$F,ENTRADA!$B:$B,ESTOQUE!$B207)</f>
        <v>360</v>
      </c>
      <c r="P207" s="27">
        <f>SUMIFS(SAIDA!$F:$F,SAIDA!$B:$B,ESTOQUE!$B207)</f>
        <v>341</v>
      </c>
      <c r="Q207" s="27">
        <f t="shared" si="50"/>
        <v>19</v>
      </c>
      <c r="R207" s="27" t="e">
        <f>Q207=#REF!</f>
        <v>#REF!</v>
      </c>
      <c r="S207" s="93">
        <f>IFERROR(SUMIFS(ENTRADA!$H:$H,ENTRADA!$B:$B,ESTOQUE!$B207)/O207,0)</f>
        <v>0</v>
      </c>
      <c r="T207" s="93">
        <f t="shared" si="51"/>
        <v>0</v>
      </c>
      <c r="U207" s="93">
        <f t="shared" si="52"/>
        <v>0</v>
      </c>
    </row>
    <row r="208" spans="2:21" ht="17.100000000000001" customHeight="1" thickBot="1" x14ac:dyDescent="0.3">
      <c r="B208" s="34">
        <v>114</v>
      </c>
      <c r="C208" s="116" t="s">
        <v>19</v>
      </c>
      <c r="D208" s="111" t="s">
        <v>231</v>
      </c>
      <c r="E208" s="116">
        <v>33334</v>
      </c>
      <c r="F208" s="117">
        <v>46887</v>
      </c>
      <c r="G208" s="114" t="s">
        <v>31</v>
      </c>
      <c r="H208" s="118">
        <v>100</v>
      </c>
      <c r="I208" s="119">
        <v>1000</v>
      </c>
      <c r="J208" s="66">
        <f t="shared" si="53"/>
        <v>632</v>
      </c>
      <c r="K208" s="68">
        <f t="shared" si="56"/>
        <v>368</v>
      </c>
      <c r="L208" s="32" t="str">
        <f>IF(J208&lt;H208,"ESTOQUE BAIXO",IF(J208&gt;I208,"ESTOQUE ALTO",IF(J208&gt;=H208,"ESTOQUE NORMAL",)))</f>
        <v>ESTOQUE NORMAL</v>
      </c>
      <c r="N208" s="26" t="str">
        <f t="shared" si="49"/>
        <v xml:space="preserve">LUVA LATEX NITRILICA </v>
      </c>
      <c r="O208" s="27">
        <f>SUMIFS(ENTRADA!$F:$F,ENTRADA!$B:$B,ESTOQUE!$B208)</f>
        <v>2522</v>
      </c>
      <c r="P208" s="27">
        <f>SUMIFS(SAIDA!$F:$F,SAIDA!$B:$B,ESTOQUE!$B208)</f>
        <v>1890</v>
      </c>
      <c r="Q208" s="27">
        <f t="shared" si="50"/>
        <v>632</v>
      </c>
      <c r="R208" s="27" t="e">
        <f>Q208=#REF!</f>
        <v>#REF!</v>
      </c>
      <c r="S208" s="93">
        <f>IFERROR(SUMIFS(ENTRADA!$H:$H,ENTRADA!$B:$B,ESTOQUE!$B208)/O208,0)</f>
        <v>1.0548810467882634</v>
      </c>
      <c r="T208" s="93">
        <f t="shared" si="51"/>
        <v>666.68482157018252</v>
      </c>
      <c r="U208" s="93">
        <f t="shared" si="52"/>
        <v>1993.725178429818</v>
      </c>
    </row>
    <row r="209" spans="1:21" ht="17.100000000000001" customHeight="1" thickBot="1" x14ac:dyDescent="0.3">
      <c r="B209" s="34">
        <v>257</v>
      </c>
      <c r="C209" s="116" t="s">
        <v>19</v>
      </c>
      <c r="D209" s="120" t="s">
        <v>232</v>
      </c>
      <c r="E209" s="116" t="s">
        <v>25</v>
      </c>
      <c r="F209" s="114" t="s">
        <v>25</v>
      </c>
      <c r="G209" s="114" t="s">
        <v>22</v>
      </c>
      <c r="H209" s="118">
        <v>50</v>
      </c>
      <c r="I209" s="118">
        <v>100</v>
      </c>
      <c r="J209" s="66">
        <f t="shared" si="53"/>
        <v>30</v>
      </c>
      <c r="K209" s="68">
        <f t="shared" si="56"/>
        <v>70</v>
      </c>
      <c r="L209" s="32" t="str">
        <f>IF(J209&lt;H209,"ESTOQUE BAIXO",IF(J209&gt;I209,"ESTOQUE ALTO",IF(J209&gt;H209,"ESTOQUE NORMAL",)))</f>
        <v>ESTOQUE BAIXO</v>
      </c>
      <c r="N209" s="26" t="str">
        <f t="shared" si="49"/>
        <v xml:space="preserve">LUVA MULTITATO </v>
      </c>
      <c r="O209" s="27">
        <f>SUMIFS(ENTRADA!$F:$F,ENTRADA!$B:$B,ESTOQUE!$B209)</f>
        <v>300</v>
      </c>
      <c r="P209" s="27">
        <f>SUMIFS(SAIDA!$F:$F,SAIDA!$B:$B,ESTOQUE!$B209)</f>
        <v>270</v>
      </c>
      <c r="Q209" s="27">
        <f t="shared" si="50"/>
        <v>30</v>
      </c>
      <c r="R209" s="27" t="e">
        <f>Q209=#REF!</f>
        <v>#REF!</v>
      </c>
      <c r="S209" s="93">
        <f>IFERROR(SUMIFS(ENTRADA!$H:$H,ENTRADA!$B:$B,ESTOQUE!$B209)/O209,0)</f>
        <v>0</v>
      </c>
      <c r="T209" s="93">
        <f t="shared" si="51"/>
        <v>0</v>
      </c>
      <c r="U209" s="93">
        <f t="shared" si="52"/>
        <v>0</v>
      </c>
    </row>
    <row r="210" spans="1:21" ht="17.100000000000001" customHeight="1" thickBot="1" x14ac:dyDescent="0.3">
      <c r="B210" s="34">
        <v>150</v>
      </c>
      <c r="C210" s="116" t="s">
        <v>19</v>
      </c>
      <c r="D210" s="120" t="s">
        <v>233</v>
      </c>
      <c r="E210" s="116">
        <v>45778</v>
      </c>
      <c r="F210" s="117">
        <v>47636</v>
      </c>
      <c r="G210" s="114" t="s">
        <v>31</v>
      </c>
      <c r="H210" s="118">
        <v>2</v>
      </c>
      <c r="I210" s="119">
        <v>5</v>
      </c>
      <c r="J210" s="66">
        <f t="shared" si="53"/>
        <v>0</v>
      </c>
      <c r="K210" s="68">
        <f t="shared" si="56"/>
        <v>5</v>
      </c>
      <c r="L210" s="32" t="str">
        <f>IF(J210&lt;H210,"ESTOQUE BAIXO",IF(J210&gt;I210,"ESTOQUE ALTO",IF(J210&gt;=H210,"ESTOQUE NORMAL",)))</f>
        <v>ESTOQUE BAIXO</v>
      </c>
      <c r="N210" s="26" t="str">
        <f t="shared" si="49"/>
        <v>LUVA ORION ALTA TENSÃO 20KV CLASSE 2 TIPO 2 TAM 9</v>
      </c>
      <c r="O210" s="27">
        <f>SUMIFS(ENTRADA!$F:$F,ENTRADA!$B:$B,ESTOQUE!$B210)</f>
        <v>280</v>
      </c>
      <c r="P210" s="27">
        <f>SUMIFS(SAIDA!$F:$F,SAIDA!$B:$B,ESTOQUE!$B210)</f>
        <v>280</v>
      </c>
      <c r="Q210" s="27">
        <f t="shared" si="50"/>
        <v>0</v>
      </c>
      <c r="R210" s="27" t="e">
        <f>Q210=#REF!</f>
        <v>#REF!</v>
      </c>
      <c r="S210" s="93">
        <f>IFERROR(SUMIFS(ENTRADA!$H:$H,ENTRADA!$B:$B,ESTOQUE!$B210)/O210,0)</f>
        <v>0</v>
      </c>
      <c r="T210" s="93">
        <f t="shared" si="51"/>
        <v>0</v>
      </c>
      <c r="U210" s="93">
        <f t="shared" si="52"/>
        <v>0</v>
      </c>
    </row>
    <row r="211" spans="1:21" ht="17.100000000000001" customHeight="1" thickBot="1" x14ac:dyDescent="0.3">
      <c r="B211" s="34">
        <v>209</v>
      </c>
      <c r="C211" s="116" t="s">
        <v>19</v>
      </c>
      <c r="D211" s="111" t="s">
        <v>234</v>
      </c>
      <c r="E211" s="116">
        <v>39333</v>
      </c>
      <c r="F211" s="117">
        <v>46789</v>
      </c>
      <c r="G211" s="114" t="s">
        <v>31</v>
      </c>
      <c r="H211" s="118">
        <v>25</v>
      </c>
      <c r="I211" s="119">
        <v>50</v>
      </c>
      <c r="J211" s="66">
        <f t="shared" si="53"/>
        <v>0</v>
      </c>
      <c r="K211" s="68">
        <f t="shared" si="56"/>
        <v>50</v>
      </c>
      <c r="L211" s="32" t="str">
        <f>IF(J211&lt;H211,"ESTOQUE BAIXO",IF(J211&gt;I211,"ESTOQUE ALTO",IF(J211&gt;H211,"ESTOQUE NORMAL",)))</f>
        <v>ESTOQUE BAIXO</v>
      </c>
      <c r="N211" s="26" t="str">
        <f t="shared" si="49"/>
        <v>LUVA PARA SOLDADOR MIG AZUL TAM 10</v>
      </c>
      <c r="O211" s="27">
        <f>SUMIFS(ENTRADA!$F:$F,ENTRADA!$B:$B,ESTOQUE!$B211)</f>
        <v>18</v>
      </c>
      <c r="P211" s="27">
        <f>SUMIFS(SAIDA!$F:$F,SAIDA!$B:$B,ESTOQUE!$B211)</f>
        <v>18</v>
      </c>
      <c r="Q211" s="27">
        <f t="shared" si="50"/>
        <v>0</v>
      </c>
      <c r="R211" s="27" t="e">
        <f>Q211=#REF!</f>
        <v>#REF!</v>
      </c>
      <c r="S211" s="93">
        <f>IFERROR(SUMIFS(ENTRADA!$H:$H,ENTRADA!$B:$B,ESTOQUE!$B211)/O211,0)</f>
        <v>0</v>
      </c>
      <c r="T211" s="93">
        <f t="shared" si="51"/>
        <v>0</v>
      </c>
      <c r="U211" s="93">
        <f t="shared" si="52"/>
        <v>0</v>
      </c>
    </row>
    <row r="212" spans="1:21" ht="17.100000000000001" customHeight="1" thickBot="1" x14ac:dyDescent="0.3">
      <c r="B212" s="34">
        <v>115</v>
      </c>
      <c r="C212" s="116" t="s">
        <v>19</v>
      </c>
      <c r="D212" s="111" t="s">
        <v>235</v>
      </c>
      <c r="E212" s="116">
        <v>49283</v>
      </c>
      <c r="F212" s="117">
        <v>46933</v>
      </c>
      <c r="G212" s="114" t="s">
        <v>31</v>
      </c>
      <c r="H212" s="118">
        <v>25</v>
      </c>
      <c r="I212" s="119">
        <v>50</v>
      </c>
      <c r="J212" s="66">
        <f t="shared" si="53"/>
        <v>3</v>
      </c>
      <c r="K212" s="68">
        <f t="shared" si="56"/>
        <v>47</v>
      </c>
      <c r="L212" s="32" t="str">
        <f>IF(J212&lt;H212,"ESTOQUE BAIXO",IF(J212&gt;I212,"ESTOQUE ALTO",IF(J212&gt;=H212,"ESTOQUE NORMAL",)))</f>
        <v>ESTOQUE BAIXO</v>
      </c>
      <c r="N212" s="26" t="str">
        <f t="shared" ref="N212:N247" si="58">D212</f>
        <v>LUVA PARA SOLDADOR MIG AZUL TAM 9</v>
      </c>
      <c r="O212" s="27">
        <f>SUMIFS(ENTRADA!$F:$F,ENTRADA!$B:$B,ESTOQUE!$B212)</f>
        <v>14</v>
      </c>
      <c r="P212" s="27">
        <f>SUMIFS(SAIDA!$F:$F,SAIDA!$B:$B,ESTOQUE!$B212)</f>
        <v>11</v>
      </c>
      <c r="Q212" s="27">
        <f t="shared" ref="Q212:Q247" si="59">O212-P212</f>
        <v>3</v>
      </c>
      <c r="R212" s="27" t="e">
        <f>Q212=#REF!</f>
        <v>#REF!</v>
      </c>
      <c r="S212" s="93">
        <f>IFERROR(SUMIFS(ENTRADA!$H:$H,ENTRADA!$B:$B,ESTOQUE!$B212)/O212,0)</f>
        <v>63.86</v>
      </c>
      <c r="T212" s="93">
        <f t="shared" ref="T212:T247" si="60">Q212*S212</f>
        <v>191.57999999999998</v>
      </c>
      <c r="U212" s="93">
        <f t="shared" ref="U212:U247" si="61">P212*S212</f>
        <v>702.46</v>
      </c>
    </row>
    <row r="213" spans="1:21" ht="17.100000000000001" customHeight="1" thickBot="1" x14ac:dyDescent="0.3">
      <c r="B213" s="34">
        <v>117</v>
      </c>
      <c r="C213" s="116" t="s">
        <v>19</v>
      </c>
      <c r="D213" s="111" t="s">
        <v>236</v>
      </c>
      <c r="E213" s="116">
        <v>36347</v>
      </c>
      <c r="F213" s="117">
        <v>47420</v>
      </c>
      <c r="G213" s="114" t="s">
        <v>31</v>
      </c>
      <c r="H213" s="118">
        <v>200</v>
      </c>
      <c r="I213" s="119">
        <v>500</v>
      </c>
      <c r="J213" s="66">
        <f t="shared" si="53"/>
        <v>400</v>
      </c>
      <c r="K213" s="68">
        <f t="shared" si="56"/>
        <v>100</v>
      </c>
      <c r="L213" s="32" t="str">
        <f>IF(J213&lt;H213,"ESTOQUE BAIXO",IF(J213&gt;I213,"ESTOQUE ALTO",IF(J213&gt;=H213,"ESTOQUE NORMAL",)))</f>
        <v>ESTOQUE NORMAL</v>
      </c>
      <c r="N213" s="26" t="str">
        <f t="shared" si="58"/>
        <v>LUVA PIGMENTADA</v>
      </c>
      <c r="O213" s="27">
        <f>SUMIFS(ENTRADA!$F:$F,ENTRADA!$B:$B,ESTOQUE!$B213)</f>
        <v>2946</v>
      </c>
      <c r="P213" s="27">
        <f>SUMIFS(SAIDA!$F:$F,SAIDA!$B:$B,ESTOQUE!$B213)</f>
        <v>2546</v>
      </c>
      <c r="Q213" s="27">
        <f t="shared" si="59"/>
        <v>400</v>
      </c>
      <c r="R213" s="27" t="e">
        <f>Q213=#REF!</f>
        <v>#REF!</v>
      </c>
      <c r="S213" s="93">
        <f>IFERROR(SUMIFS(ENTRADA!$H:$H,ENTRADA!$B:$B,ESTOQUE!$B213)/O213,0)</f>
        <v>0</v>
      </c>
      <c r="T213" s="93">
        <f t="shared" si="60"/>
        <v>0</v>
      </c>
      <c r="U213" s="93">
        <f t="shared" si="61"/>
        <v>0</v>
      </c>
    </row>
    <row r="214" spans="1:21" ht="17.100000000000001" customHeight="1" thickBot="1" x14ac:dyDescent="0.3">
      <c r="B214" s="34">
        <v>207</v>
      </c>
      <c r="C214" s="116" t="s">
        <v>19</v>
      </c>
      <c r="D214" s="120" t="s">
        <v>237</v>
      </c>
      <c r="E214" s="116">
        <v>32036</v>
      </c>
      <c r="F214" s="117">
        <v>46887</v>
      </c>
      <c r="G214" s="114" t="s">
        <v>31</v>
      </c>
      <c r="H214" s="118">
        <v>100</v>
      </c>
      <c r="I214" s="119">
        <v>500</v>
      </c>
      <c r="J214" s="66">
        <f t="shared" si="53"/>
        <v>220</v>
      </c>
      <c r="K214" s="68">
        <f t="shared" si="56"/>
        <v>280</v>
      </c>
      <c r="L214" s="32" t="str">
        <f>IF(J214&lt;H214,"ESTOQUE BAIXO",IF(J214&gt;I214,"ESTOQUE ALTO",IF(J214&gt;H214,"ESTOQUE NORMAL",)))</f>
        <v>ESTOQUE NORMAL</v>
      </c>
      <c r="N214" s="26" t="str">
        <f t="shared" si="58"/>
        <v>LUVA POLIESTER ANTICORTE BANHADA PU TAM 9</v>
      </c>
      <c r="O214" s="27">
        <f>SUMIFS(ENTRADA!$F:$F,ENTRADA!$B:$B,ESTOQUE!$B214)</f>
        <v>1749</v>
      </c>
      <c r="P214" s="27">
        <f>SUMIFS(SAIDA!$F:$F,SAIDA!$B:$B,ESTOQUE!$B214)</f>
        <v>1529</v>
      </c>
      <c r="Q214" s="27">
        <f t="shared" si="59"/>
        <v>220</v>
      </c>
      <c r="R214" s="27" t="e">
        <f>Q214=#REF!</f>
        <v>#REF!</v>
      </c>
      <c r="S214" s="93">
        <f>IFERROR(SUMIFS(ENTRADA!$H:$H,ENTRADA!$B:$B,ESTOQUE!$B214)/O214,0)</f>
        <v>0.57049742710120066</v>
      </c>
      <c r="T214" s="93">
        <f t="shared" si="60"/>
        <v>125.50943396226414</v>
      </c>
      <c r="U214" s="93">
        <f t="shared" si="61"/>
        <v>872.29056603773586</v>
      </c>
    </row>
    <row r="215" spans="1:21" ht="17.100000000000001" customHeight="1" thickBot="1" x14ac:dyDescent="0.3">
      <c r="B215" s="34">
        <v>267</v>
      </c>
      <c r="C215" s="116" t="s">
        <v>19</v>
      </c>
      <c r="D215" s="120" t="s">
        <v>275</v>
      </c>
      <c r="E215" s="116">
        <v>39924</v>
      </c>
      <c r="F215" s="114" t="s">
        <v>25</v>
      </c>
      <c r="G215" s="114" t="s">
        <v>22</v>
      </c>
      <c r="H215" s="118">
        <v>100</v>
      </c>
      <c r="I215" s="119">
        <v>250</v>
      </c>
      <c r="J215" s="66">
        <f t="shared" si="53"/>
        <v>563</v>
      </c>
      <c r="K215" s="68">
        <f t="shared" si="56"/>
        <v>-313</v>
      </c>
      <c r="L215" s="32" t="str">
        <f>IF(J215&lt;H215,"ESTOQUE BAIXO",IF(J215&gt;I215,"ESTOQUE ALTO",IF(J215&gt;H215,"ESTOQUE NORMAL",)))</f>
        <v>ESTOQUE ALTO</v>
      </c>
      <c r="N215" s="26" t="str">
        <f t="shared" si="58"/>
        <v>LUVA POLIESTER ANTICORTE CANO LONGO</v>
      </c>
      <c r="O215" s="27">
        <f>SUMIFS(ENTRADA!$F:$F,ENTRADA!$B:$B,ESTOQUE!$B215)</f>
        <v>1392</v>
      </c>
      <c r="P215" s="27">
        <f>SUMIFS(SAIDA!$F:$F,SAIDA!$B:$B,ESTOQUE!$B215)</f>
        <v>829</v>
      </c>
      <c r="Q215" s="27">
        <f t="shared" si="59"/>
        <v>563</v>
      </c>
      <c r="R215" s="27" t="e">
        <f>Q215=#REF!</f>
        <v>#REF!</v>
      </c>
      <c r="S215" s="93">
        <f>IFERROR(SUMIFS(ENTRADA!$H:$H,ENTRADA!$B:$B,ESTOQUE!$B215)/O215,0)</f>
        <v>0</v>
      </c>
      <c r="T215" s="93">
        <f t="shared" si="60"/>
        <v>0</v>
      </c>
      <c r="U215" s="93">
        <f t="shared" si="61"/>
        <v>0</v>
      </c>
    </row>
    <row r="216" spans="1:21" ht="17.100000000000001" customHeight="1" thickBot="1" x14ac:dyDescent="0.3">
      <c r="B216" s="34">
        <v>116</v>
      </c>
      <c r="C216" s="116" t="s">
        <v>19</v>
      </c>
      <c r="D216" s="111" t="s">
        <v>238</v>
      </c>
      <c r="E216" s="116">
        <v>37127</v>
      </c>
      <c r="F216" s="117">
        <v>47414</v>
      </c>
      <c r="G216" s="114" t="s">
        <v>31</v>
      </c>
      <c r="H216" s="118">
        <v>200</v>
      </c>
      <c r="I216" s="119">
        <v>500</v>
      </c>
      <c r="J216" s="66">
        <f t="shared" si="53"/>
        <v>34</v>
      </c>
      <c r="K216" s="68">
        <f t="shared" ref="K216:K247" si="62">I216-J216</f>
        <v>466</v>
      </c>
      <c r="L216" s="32" t="str">
        <f t="shared" ref="L216:L236" si="63">IF(J216&lt;H216,"ESTOQUE BAIXO",IF(J216&gt;I216,"ESTOQUE ALTO",IF(J216&gt;=H216,"ESTOQUE NORMAL",)))</f>
        <v>ESTOQUE BAIXO</v>
      </c>
      <c r="N216" s="26" t="str">
        <f t="shared" si="58"/>
        <v>LUVA PVC LINEA - CANO LONGO</v>
      </c>
      <c r="O216" s="27">
        <f>SUMIFS(ENTRADA!$F:$F,ENTRADA!$B:$B,ESTOQUE!$B216)</f>
        <v>92</v>
      </c>
      <c r="P216" s="27">
        <f>SUMIFS(SAIDA!$F:$F,SAIDA!$B:$B,ESTOQUE!$B216)</f>
        <v>58</v>
      </c>
      <c r="Q216" s="27">
        <f t="shared" si="59"/>
        <v>34</v>
      </c>
      <c r="R216" s="27" t="e">
        <f>Q216=#REF!</f>
        <v>#REF!</v>
      </c>
      <c r="S216" s="93">
        <f>IFERROR(SUMIFS(ENTRADA!$H:$H,ENTRADA!$B:$B,ESTOQUE!$B216)/O216,0)</f>
        <v>8.6739130434782616</v>
      </c>
      <c r="T216" s="93">
        <f t="shared" si="60"/>
        <v>294.91304347826087</v>
      </c>
      <c r="U216" s="93">
        <f t="shared" si="61"/>
        <v>503.08695652173918</v>
      </c>
    </row>
    <row r="217" spans="1:21" ht="17.100000000000001" customHeight="1" thickBot="1" x14ac:dyDescent="0.3">
      <c r="B217" s="34">
        <v>192</v>
      </c>
      <c r="C217" s="116" t="s">
        <v>19</v>
      </c>
      <c r="D217" s="120" t="s">
        <v>239</v>
      </c>
      <c r="E217" s="116">
        <v>43802</v>
      </c>
      <c r="F217" s="117">
        <v>46581</v>
      </c>
      <c r="G217" s="114" t="s">
        <v>22</v>
      </c>
      <c r="H217" s="118">
        <v>150</v>
      </c>
      <c r="I217" s="119">
        <v>300</v>
      </c>
      <c r="J217" s="66">
        <f t="shared" si="53"/>
        <v>3</v>
      </c>
      <c r="K217" s="68">
        <f t="shared" si="62"/>
        <v>297</v>
      </c>
      <c r="L217" s="32" t="str">
        <f t="shared" si="63"/>
        <v>ESTOQUE BAIXO</v>
      </c>
      <c r="N217" s="26" t="str">
        <f t="shared" si="58"/>
        <v>LUVA QUIMICA ( 2 OU 3)</v>
      </c>
      <c r="O217" s="27">
        <f>SUMIFS(ENTRADA!$F:$F,ENTRADA!$B:$B,ESTOQUE!$B217)</f>
        <v>23</v>
      </c>
      <c r="P217" s="27">
        <f>SUMIFS(SAIDA!$F:$F,SAIDA!$B:$B,ESTOQUE!$B217)</f>
        <v>20</v>
      </c>
      <c r="Q217" s="27">
        <f t="shared" si="59"/>
        <v>3</v>
      </c>
      <c r="R217" s="27" t="e">
        <f>Q217=#REF!</f>
        <v>#REF!</v>
      </c>
      <c r="S217" s="93">
        <f>IFERROR(SUMIFS(ENTRADA!$H:$H,ENTRADA!$B:$B,ESTOQUE!$B217)/O217,0)</f>
        <v>11.956521739130435</v>
      </c>
      <c r="T217" s="93">
        <f t="shared" si="60"/>
        <v>35.869565217391305</v>
      </c>
      <c r="U217" s="93">
        <f t="shared" si="61"/>
        <v>239.13043478260872</v>
      </c>
    </row>
    <row r="218" spans="1:21" ht="17.100000000000001" customHeight="1" thickBot="1" x14ac:dyDescent="0.3">
      <c r="B218" s="34">
        <v>160</v>
      </c>
      <c r="C218" s="116" t="s">
        <v>19</v>
      </c>
      <c r="D218" s="120" t="s">
        <v>240</v>
      </c>
      <c r="E218" s="116" t="s">
        <v>25</v>
      </c>
      <c r="F218" s="117" t="s">
        <v>25</v>
      </c>
      <c r="G218" s="114" t="s">
        <v>31</v>
      </c>
      <c r="H218" s="118">
        <v>150</v>
      </c>
      <c r="I218" s="119">
        <v>300</v>
      </c>
      <c r="J218" s="66">
        <f t="shared" ref="J218:J281" si="64">Q218</f>
        <v>0</v>
      </c>
      <c r="K218" s="68">
        <f t="shared" si="62"/>
        <v>300</v>
      </c>
      <c r="L218" s="32" t="str">
        <f t="shared" si="63"/>
        <v>ESTOQUE BAIXO</v>
      </c>
      <c r="N218" s="26" t="str">
        <f t="shared" si="58"/>
        <v>LUVA VOLK ANTIVIBRAÇÃO GORILA TAM 10</v>
      </c>
      <c r="O218" s="27">
        <f>SUMIFS(ENTRADA!$F:$F,ENTRADA!$B:$B,ESTOQUE!$B218)</f>
        <v>0</v>
      </c>
      <c r="P218" s="27">
        <f>SUMIFS(SAIDA!$F:$F,SAIDA!$B:$B,ESTOQUE!$B218)</f>
        <v>0</v>
      </c>
      <c r="Q218" s="27">
        <f t="shared" si="59"/>
        <v>0</v>
      </c>
      <c r="R218" s="27" t="e">
        <f>Q218=#REF!</f>
        <v>#REF!</v>
      </c>
      <c r="S218" s="93">
        <f>IFERROR(SUMIFS(ENTRADA!$H:$H,ENTRADA!$B:$B,ESTOQUE!$B218)/O218,0)</f>
        <v>0</v>
      </c>
      <c r="T218" s="93">
        <f t="shared" si="60"/>
        <v>0</v>
      </c>
      <c r="U218" s="93">
        <f t="shared" si="61"/>
        <v>0</v>
      </c>
    </row>
    <row r="219" spans="1:21" ht="17.100000000000001" customHeight="1" thickBot="1" x14ac:dyDescent="0.3">
      <c r="B219" s="34">
        <v>159</v>
      </c>
      <c r="C219" s="116" t="s">
        <v>19</v>
      </c>
      <c r="D219" s="120" t="s">
        <v>241</v>
      </c>
      <c r="E219" s="116">
        <v>38257</v>
      </c>
      <c r="F219" s="117">
        <v>47106</v>
      </c>
      <c r="G219" s="114" t="s">
        <v>31</v>
      </c>
      <c r="H219" s="118">
        <v>150</v>
      </c>
      <c r="I219" s="119">
        <v>300</v>
      </c>
      <c r="J219" s="66">
        <f t="shared" si="64"/>
        <v>108</v>
      </c>
      <c r="K219" s="68">
        <f t="shared" si="62"/>
        <v>192</v>
      </c>
      <c r="L219" s="32" t="str">
        <f t="shared" si="63"/>
        <v>ESTOQUE BAIXO</v>
      </c>
      <c r="N219" s="26" t="str">
        <f t="shared" si="58"/>
        <v>LUVA VOLK ANTIVIBRAÇÃO GORILA TAM 9</v>
      </c>
      <c r="O219" s="27">
        <f>SUMIFS(ENTRADA!$F:$F,ENTRADA!$B:$B,ESTOQUE!$B219)</f>
        <v>302</v>
      </c>
      <c r="P219" s="27">
        <f>SUMIFS(SAIDA!$F:$F,SAIDA!$B:$B,ESTOQUE!$B219)</f>
        <v>194</v>
      </c>
      <c r="Q219" s="27">
        <f t="shared" si="59"/>
        <v>108</v>
      </c>
      <c r="R219" s="27" t="e">
        <f>Q219=#REF!</f>
        <v>#REF!</v>
      </c>
      <c r="S219" s="93">
        <f>IFERROR(SUMIFS(ENTRADA!$H:$H,ENTRADA!$B:$B,ESTOQUE!$B219)/O219,0)</f>
        <v>25.798013245033111</v>
      </c>
      <c r="T219" s="93">
        <f t="shared" si="60"/>
        <v>2786.1854304635758</v>
      </c>
      <c r="U219" s="93">
        <f t="shared" si="61"/>
        <v>5004.8145695364237</v>
      </c>
    </row>
    <row r="220" spans="1:21" ht="17.100000000000001" customHeight="1" thickBot="1" x14ac:dyDescent="0.3">
      <c r="A220" s="31" t="s">
        <v>301</v>
      </c>
      <c r="B220" s="34">
        <v>118</v>
      </c>
      <c r="C220" s="116" t="s">
        <v>19</v>
      </c>
      <c r="D220" s="111" t="s">
        <v>242</v>
      </c>
      <c r="E220" s="116">
        <v>38768</v>
      </c>
      <c r="F220" s="117">
        <v>46119</v>
      </c>
      <c r="G220" s="114" t="s">
        <v>22</v>
      </c>
      <c r="H220" s="118">
        <v>300</v>
      </c>
      <c r="I220" s="119">
        <v>500</v>
      </c>
      <c r="J220" s="66">
        <f t="shared" si="64"/>
        <v>200</v>
      </c>
      <c r="K220" s="68">
        <f t="shared" si="62"/>
        <v>300</v>
      </c>
      <c r="L220" s="32" t="str">
        <f t="shared" si="63"/>
        <v>ESTOQUE BAIXO</v>
      </c>
      <c r="N220" s="26" t="str">
        <f t="shared" si="58"/>
        <v>MACACÃO DE PROTEÇÃO TYVEK</v>
      </c>
      <c r="O220" s="27">
        <f>SUMIFS(ENTRADA!$F:$F,ENTRADA!$B:$B,ESTOQUE!$B220)</f>
        <v>3900</v>
      </c>
      <c r="P220" s="27">
        <f>SUMIFS(SAIDA!$F:$F,SAIDA!$B:$B,ESTOQUE!$B220)</f>
        <v>3700</v>
      </c>
      <c r="Q220" s="27">
        <f t="shared" si="59"/>
        <v>200</v>
      </c>
      <c r="R220" s="27" t="e">
        <f>Q220=#REF!</f>
        <v>#REF!</v>
      </c>
      <c r="S220" s="93">
        <f>IFERROR(SUMIFS(ENTRADA!$H:$H,ENTRADA!$B:$B,ESTOQUE!$B220)/O220,0)</f>
        <v>0.19983333333333334</v>
      </c>
      <c r="T220" s="93">
        <f t="shared" si="60"/>
        <v>39.966666666666669</v>
      </c>
      <c r="U220" s="93">
        <f t="shared" si="61"/>
        <v>739.38333333333333</v>
      </c>
    </row>
    <row r="221" spans="1:21" ht="17.100000000000001" customHeight="1" thickBot="1" x14ac:dyDescent="0.3">
      <c r="B221" s="34">
        <v>120</v>
      </c>
      <c r="C221" s="116" t="s">
        <v>19</v>
      </c>
      <c r="D221" s="111" t="s">
        <v>243</v>
      </c>
      <c r="E221" s="116" t="s">
        <v>25</v>
      </c>
      <c r="F221" s="117" t="s">
        <v>25</v>
      </c>
      <c r="G221" s="114" t="s">
        <v>22</v>
      </c>
      <c r="H221" s="118">
        <v>25</v>
      </c>
      <c r="I221" s="119">
        <v>50</v>
      </c>
      <c r="J221" s="66">
        <f t="shared" si="64"/>
        <v>0</v>
      </c>
      <c r="K221" s="68">
        <f t="shared" si="62"/>
        <v>50</v>
      </c>
      <c r="L221" s="32" t="str">
        <f t="shared" si="63"/>
        <v>ESTOQUE BAIXO</v>
      </c>
      <c r="N221" s="26" t="str">
        <f t="shared" si="58"/>
        <v xml:space="preserve">MACACÃO DE RASPA </v>
      </c>
      <c r="O221" s="27">
        <f>SUMIFS(ENTRADA!$F:$F,ENTRADA!$B:$B,ESTOQUE!$B221)</f>
        <v>1</v>
      </c>
      <c r="P221" s="27">
        <f>SUMIFS(SAIDA!$F:$F,SAIDA!$B:$B,ESTOQUE!$B221)</f>
        <v>1</v>
      </c>
      <c r="Q221" s="27">
        <f t="shared" si="59"/>
        <v>0</v>
      </c>
      <c r="R221" s="27" t="e">
        <f>Q221=#REF!</f>
        <v>#REF!</v>
      </c>
      <c r="S221" s="93">
        <f>IFERROR(SUMIFS(ENTRADA!$H:$H,ENTRADA!$B:$B,ESTOQUE!$B221)/O221,0)</f>
        <v>0</v>
      </c>
      <c r="T221" s="93">
        <f t="shared" si="60"/>
        <v>0</v>
      </c>
      <c r="U221" s="93">
        <f t="shared" si="61"/>
        <v>0</v>
      </c>
    </row>
    <row r="222" spans="1:21" ht="17.100000000000001" customHeight="1" thickBot="1" x14ac:dyDescent="0.3">
      <c r="B222" s="34">
        <v>131</v>
      </c>
      <c r="C222" s="116" t="s">
        <v>19</v>
      </c>
      <c r="D222" s="111" t="s">
        <v>244</v>
      </c>
      <c r="E222" s="116">
        <v>41078</v>
      </c>
      <c r="F222" s="117">
        <v>46279</v>
      </c>
      <c r="G222" s="114" t="s">
        <v>22</v>
      </c>
      <c r="H222" s="118">
        <v>25</v>
      </c>
      <c r="I222" s="119">
        <v>50</v>
      </c>
      <c r="J222" s="66">
        <f t="shared" si="64"/>
        <v>0</v>
      </c>
      <c r="K222" s="68">
        <f t="shared" si="62"/>
        <v>50</v>
      </c>
      <c r="L222" s="32" t="str">
        <f t="shared" si="63"/>
        <v>ESTOQUE BAIXO</v>
      </c>
      <c r="N222" s="26" t="str">
        <f t="shared" si="58"/>
        <v>MACACÃO DE RASPA MANGA LONGA</v>
      </c>
      <c r="O222" s="27">
        <f>SUMIFS(ENTRADA!$F:$F,ENTRADA!$B:$B,ESTOQUE!$B222)</f>
        <v>3</v>
      </c>
      <c r="P222" s="27">
        <f>SUMIFS(SAIDA!$F:$F,SAIDA!$B:$B,ESTOQUE!$B222)</f>
        <v>3</v>
      </c>
      <c r="Q222" s="27">
        <f t="shared" si="59"/>
        <v>0</v>
      </c>
      <c r="R222" s="27" t="e">
        <f>Q222=#REF!</f>
        <v>#REF!</v>
      </c>
      <c r="S222" s="93">
        <f>IFERROR(SUMIFS(ENTRADA!$H:$H,ENTRADA!$B:$B,ESTOQUE!$B222)/O222,0)</f>
        <v>91.8</v>
      </c>
      <c r="T222" s="93">
        <f t="shared" si="60"/>
        <v>0</v>
      </c>
      <c r="U222" s="93">
        <f t="shared" si="61"/>
        <v>275.39999999999998</v>
      </c>
    </row>
    <row r="223" spans="1:21" ht="18" customHeight="1" thickBot="1" x14ac:dyDescent="0.3">
      <c r="B223" s="34">
        <v>121</v>
      </c>
      <c r="C223" s="116" t="s">
        <v>19</v>
      </c>
      <c r="D223" s="111" t="s">
        <v>245</v>
      </c>
      <c r="E223" s="116">
        <v>31422</v>
      </c>
      <c r="F223" s="117">
        <v>46620</v>
      </c>
      <c r="G223" s="114" t="s">
        <v>22</v>
      </c>
      <c r="H223" s="118">
        <v>20</v>
      </c>
      <c r="I223" s="119">
        <v>50</v>
      </c>
      <c r="J223" s="66">
        <f t="shared" si="64"/>
        <v>5</v>
      </c>
      <c r="K223" s="68">
        <f t="shared" si="62"/>
        <v>45</v>
      </c>
      <c r="L223" s="32" t="str">
        <f t="shared" si="63"/>
        <v>ESTOQUE BAIXO</v>
      </c>
      <c r="N223" s="26" t="str">
        <f t="shared" si="58"/>
        <v>MANGOTE DE RASPA</v>
      </c>
      <c r="O223" s="27">
        <f>SUMIFS(ENTRADA!$F:$F,ENTRADA!$B:$B,ESTOQUE!$B223)</f>
        <v>6</v>
      </c>
      <c r="P223" s="27">
        <f>SUMIFS(SAIDA!$F:$F,SAIDA!$B:$B,ESTOQUE!$B223)</f>
        <v>1</v>
      </c>
      <c r="Q223" s="27">
        <f t="shared" si="59"/>
        <v>5</v>
      </c>
      <c r="R223" s="27" t="e">
        <f>Q223=#REF!</f>
        <v>#REF!</v>
      </c>
      <c r="S223" s="93">
        <f>IFERROR(SUMIFS(ENTRADA!$H:$H,ENTRADA!$B:$B,ESTOQUE!$B223)/O223,0)</f>
        <v>26.790000000000003</v>
      </c>
      <c r="T223" s="93">
        <f t="shared" si="60"/>
        <v>133.95000000000002</v>
      </c>
      <c r="U223" s="93">
        <f t="shared" si="61"/>
        <v>26.790000000000003</v>
      </c>
    </row>
    <row r="224" spans="1:21" ht="17.100000000000001" customHeight="1" thickBot="1" x14ac:dyDescent="0.3">
      <c r="B224" s="34">
        <v>125</v>
      </c>
      <c r="C224" s="116" t="s">
        <v>19</v>
      </c>
      <c r="D224" s="111" t="s">
        <v>246</v>
      </c>
      <c r="E224" s="116">
        <v>47684</v>
      </c>
      <c r="F224" s="117">
        <v>46488</v>
      </c>
      <c r="G224" s="114" t="s">
        <v>22</v>
      </c>
      <c r="H224" s="118">
        <v>20</v>
      </c>
      <c r="I224" s="119">
        <v>50</v>
      </c>
      <c r="J224" s="66">
        <v>0</v>
      </c>
      <c r="K224" s="68">
        <f t="shared" si="62"/>
        <v>50</v>
      </c>
      <c r="L224" s="32" t="str">
        <f t="shared" si="63"/>
        <v>ESTOQUE BAIXO</v>
      </c>
      <c r="N224" s="26" t="str">
        <f t="shared" si="58"/>
        <v xml:space="preserve">MASCARA DE SOLDA AUTOMATICA </v>
      </c>
      <c r="O224" s="27">
        <f>SUMIFS(ENTRADA!$F:$F,ENTRADA!$B:$B,ESTOQUE!$B224)</f>
        <v>55</v>
      </c>
      <c r="P224" s="27">
        <f>SUMIFS(SAIDA!$F:$F,SAIDA!$B:$B,ESTOQUE!$B224)</f>
        <v>59</v>
      </c>
      <c r="Q224" s="27">
        <f t="shared" si="59"/>
        <v>-4</v>
      </c>
      <c r="R224" s="27" t="e">
        <f>Q224=#REF!</f>
        <v>#REF!</v>
      </c>
      <c r="S224" s="93">
        <f>IFERROR(SUMIFS(ENTRADA!$H:$H,ENTRADA!$B:$B,ESTOQUE!$B224)/O224,0)</f>
        <v>54.538181818181819</v>
      </c>
      <c r="T224" s="93">
        <f t="shared" si="60"/>
        <v>-218.15272727272728</v>
      </c>
      <c r="U224" s="93">
        <f t="shared" si="61"/>
        <v>3217.7527272727275</v>
      </c>
    </row>
    <row r="225" spans="2:21" ht="17.100000000000001" customHeight="1" thickBot="1" x14ac:dyDescent="0.3">
      <c r="B225" s="34">
        <v>144</v>
      </c>
      <c r="C225" s="116" t="s">
        <v>19</v>
      </c>
      <c r="D225" s="120" t="s">
        <v>302</v>
      </c>
      <c r="E225" s="116">
        <v>44595</v>
      </c>
      <c r="F225" s="117">
        <v>47282</v>
      </c>
      <c r="G225" s="114" t="s">
        <v>22</v>
      </c>
      <c r="H225" s="118">
        <v>500</v>
      </c>
      <c r="I225" s="119">
        <v>1000</v>
      </c>
      <c r="J225" s="66">
        <f t="shared" si="64"/>
        <v>819</v>
      </c>
      <c r="K225" s="68">
        <f t="shared" si="62"/>
        <v>181</v>
      </c>
      <c r="L225" s="32" t="str">
        <f t="shared" si="63"/>
        <v>ESTOQUE NORMAL</v>
      </c>
      <c r="N225" s="26" t="str">
        <f t="shared" si="58"/>
        <v>MASCARA PFF2-S C/ FILTRO</v>
      </c>
      <c r="O225" s="27">
        <f>SUMIFS(ENTRADA!$F:$F,ENTRADA!$B:$B,ESTOQUE!$B225)</f>
        <v>9214</v>
      </c>
      <c r="P225" s="27">
        <f>SUMIFS(SAIDA!$F:$F,SAIDA!$B:$B,ESTOQUE!$B225)</f>
        <v>8395</v>
      </c>
      <c r="Q225" s="27">
        <f t="shared" si="59"/>
        <v>819</v>
      </c>
      <c r="R225" s="27" t="e">
        <f>Q225=#REF!</f>
        <v>#REF!</v>
      </c>
      <c r="S225" s="93">
        <f>IFERROR(SUMIFS(ENTRADA!$H:$H,ENTRADA!$B:$B,ESTOQUE!$B225)/O225,0)</f>
        <v>0.12383329715650097</v>
      </c>
      <c r="T225" s="93">
        <f t="shared" ref="T225:T230" si="65">Q225*S225</f>
        <v>101.4194703711743</v>
      </c>
      <c r="U225" s="93">
        <f t="shared" si="61"/>
        <v>1039.5805296288256</v>
      </c>
    </row>
    <row r="226" spans="2:21" ht="17.100000000000001" customHeight="1" thickBot="1" x14ac:dyDescent="0.3">
      <c r="B226" s="34">
        <v>126</v>
      </c>
      <c r="C226" s="116" t="s">
        <v>19</v>
      </c>
      <c r="D226" s="111" t="s">
        <v>247</v>
      </c>
      <c r="E226" s="116">
        <v>26127</v>
      </c>
      <c r="F226" s="117">
        <v>47635</v>
      </c>
      <c r="G226" s="114" t="s">
        <v>22</v>
      </c>
      <c r="H226" s="118">
        <v>250</v>
      </c>
      <c r="I226" s="119">
        <v>1000</v>
      </c>
      <c r="J226" s="66">
        <f t="shared" si="64"/>
        <v>67</v>
      </c>
      <c r="K226" s="68">
        <f t="shared" si="62"/>
        <v>933</v>
      </c>
      <c r="L226" s="32" t="str">
        <f t="shared" si="63"/>
        <v>ESTOQUE BAIXO</v>
      </c>
      <c r="N226" s="26" t="str">
        <f t="shared" si="58"/>
        <v>OCULOS DE PROTEÇÃO ESCURO</v>
      </c>
      <c r="O226" s="27">
        <f>SUMIFS(ENTRADA!$F:$F,ENTRADA!$B:$B,ESTOQUE!$B226)</f>
        <v>2938</v>
      </c>
      <c r="P226" s="27">
        <f>SUMIFS(SAIDA!$F:$F,SAIDA!$B:$B,ESTOQUE!$B226)</f>
        <v>2871</v>
      </c>
      <c r="Q226" s="27">
        <f t="shared" si="59"/>
        <v>67</v>
      </c>
      <c r="R226" s="27" t="e">
        <f>Q226=#REF!</f>
        <v>#REF!</v>
      </c>
      <c r="S226" s="93">
        <f>IFERROR(SUMIFS(ENTRADA!$H:$H,ENTRADA!$B:$B,ESTOQUE!$B226)/O226,0)</f>
        <v>0.56378488767869295</v>
      </c>
      <c r="T226" s="93">
        <f t="shared" si="65"/>
        <v>37.773587474472428</v>
      </c>
      <c r="U226" s="93">
        <f t="shared" si="61"/>
        <v>1618.6264125255275</v>
      </c>
    </row>
    <row r="227" spans="2:21" ht="17.100000000000001" customHeight="1" thickBot="1" x14ac:dyDescent="0.3">
      <c r="B227" s="34">
        <v>124</v>
      </c>
      <c r="C227" s="116" t="s">
        <v>19</v>
      </c>
      <c r="D227" s="111" t="s">
        <v>248</v>
      </c>
      <c r="E227" s="116">
        <v>26127</v>
      </c>
      <c r="F227" s="117">
        <v>47635</v>
      </c>
      <c r="G227" s="114" t="s">
        <v>22</v>
      </c>
      <c r="H227" s="118">
        <v>250</v>
      </c>
      <c r="I227" s="119">
        <v>1000</v>
      </c>
      <c r="J227" s="66">
        <f t="shared" si="64"/>
        <v>719</v>
      </c>
      <c r="K227" s="68">
        <f t="shared" si="62"/>
        <v>281</v>
      </c>
      <c r="L227" s="32" t="str">
        <f t="shared" si="63"/>
        <v>ESTOQUE NORMAL</v>
      </c>
      <c r="N227" s="26" t="str">
        <f t="shared" si="58"/>
        <v xml:space="preserve">OCULOS DE PROTEÇÃO INCOLOR </v>
      </c>
      <c r="O227" s="27">
        <f>SUMIFS(ENTRADA!$F:$F,ENTRADA!$B:$B,ESTOQUE!$B227)</f>
        <v>1938</v>
      </c>
      <c r="P227" s="27">
        <f>SUMIFS(SAIDA!$F:$F,SAIDA!$B:$B,ESTOQUE!$B227)</f>
        <v>1219</v>
      </c>
      <c r="Q227" s="27">
        <f t="shared" si="59"/>
        <v>719</v>
      </c>
      <c r="R227" s="27" t="e">
        <f>Q227=#REF!</f>
        <v>#REF!</v>
      </c>
      <c r="S227" s="93">
        <f>IFERROR(SUMIFS(ENTRADA!$H:$H,ENTRADA!$B:$B,ESTOQUE!$B227)/O227,0)</f>
        <v>0.33264705882352941</v>
      </c>
      <c r="T227" s="93">
        <f t="shared" si="65"/>
        <v>239.17323529411763</v>
      </c>
      <c r="U227" s="93">
        <f t="shared" si="61"/>
        <v>405.49676470588236</v>
      </c>
    </row>
    <row r="228" spans="2:21" ht="17.100000000000001" customHeight="1" thickBot="1" x14ac:dyDescent="0.3">
      <c r="B228" s="34">
        <v>123</v>
      </c>
      <c r="C228" s="116" t="s">
        <v>19</v>
      </c>
      <c r="D228" s="111" t="s">
        <v>249</v>
      </c>
      <c r="E228" s="116">
        <v>5501</v>
      </c>
      <c r="F228" s="117">
        <v>46161</v>
      </c>
      <c r="G228" s="114" t="s">
        <v>22</v>
      </c>
      <c r="H228" s="118">
        <v>50</v>
      </c>
      <c r="I228" s="119">
        <v>80</v>
      </c>
      <c r="J228" s="66">
        <f t="shared" si="64"/>
        <v>0</v>
      </c>
      <c r="K228" s="68">
        <f t="shared" si="62"/>
        <v>80</v>
      </c>
      <c r="L228" s="32" t="str">
        <f t="shared" si="63"/>
        <v>ESTOQUE BAIXO</v>
      </c>
      <c r="N228" s="26" t="str">
        <f t="shared" si="58"/>
        <v>OCULOS DE SOLDADOR LENTE DUPLA - MAÇARIQUEIRO</v>
      </c>
      <c r="O228" s="27">
        <f>SUMIFS(ENTRADA!$F:$F,ENTRADA!$B:$B,ESTOQUE!$B228)</f>
        <v>0</v>
      </c>
      <c r="P228" s="27">
        <f>SUMIFS(SAIDA!$F:$F,SAIDA!$B:$B,ESTOQUE!$B228)</f>
        <v>0</v>
      </c>
      <c r="Q228" s="27">
        <f t="shared" si="59"/>
        <v>0</v>
      </c>
      <c r="R228" s="27" t="e">
        <f>Q228=#REF!</f>
        <v>#REF!</v>
      </c>
      <c r="S228" s="93">
        <f>IFERROR(SUMIFS(ENTRADA!$H:$H,ENTRADA!$B:$B,ESTOQUE!$B228)/O228,0)</f>
        <v>0</v>
      </c>
      <c r="T228" s="93">
        <f t="shared" si="65"/>
        <v>0</v>
      </c>
      <c r="U228" s="93">
        <f t="shared" si="61"/>
        <v>0</v>
      </c>
    </row>
    <row r="229" spans="2:21" ht="17.100000000000001" customHeight="1" thickBot="1" x14ac:dyDescent="0.3">
      <c r="B229" s="34">
        <v>224</v>
      </c>
      <c r="C229" s="116" t="s">
        <v>19</v>
      </c>
      <c r="D229" s="120" t="s">
        <v>250</v>
      </c>
      <c r="E229" s="116" t="s">
        <v>25</v>
      </c>
      <c r="F229" s="114" t="s">
        <v>25</v>
      </c>
      <c r="G229" s="114" t="s">
        <v>22</v>
      </c>
      <c r="H229" s="118">
        <v>10</v>
      </c>
      <c r="I229" s="119">
        <v>500</v>
      </c>
      <c r="J229" s="66">
        <f t="shared" si="64"/>
        <v>58</v>
      </c>
      <c r="K229" s="68">
        <f t="shared" si="62"/>
        <v>442</v>
      </c>
      <c r="L229" s="32" t="str">
        <f t="shared" si="63"/>
        <v>ESTOQUE NORMAL</v>
      </c>
      <c r="N229" s="26" t="str">
        <f t="shared" si="58"/>
        <v>OCULOS OPERACIONAL SOBRE POR ESCURO</v>
      </c>
      <c r="O229" s="27">
        <f>SUMIFS(ENTRADA!$F:$F,ENTRADA!$B:$B,ESTOQUE!$B229)</f>
        <v>252</v>
      </c>
      <c r="P229" s="27">
        <f>SUMIFS(SAIDA!$F:$F,SAIDA!$B:$B,ESTOQUE!$B229)</f>
        <v>194</v>
      </c>
      <c r="Q229" s="27">
        <f t="shared" si="59"/>
        <v>58</v>
      </c>
      <c r="R229" s="27" t="e">
        <f>Q229=#REF!</f>
        <v>#REF!</v>
      </c>
      <c r="S229" s="93">
        <f>IFERROR(SUMIFS(ENTRADA!$H:$H,ENTRADA!$B:$B,ESTOQUE!$B229)/O229,0)</f>
        <v>6.9444444444444448E-2</v>
      </c>
      <c r="T229" s="93">
        <f t="shared" si="65"/>
        <v>4.0277777777777777</v>
      </c>
      <c r="U229" s="93">
        <f t="shared" si="61"/>
        <v>13.472222222222223</v>
      </c>
    </row>
    <row r="230" spans="2:21" ht="17.100000000000001" customHeight="1" thickBot="1" x14ac:dyDescent="0.3">
      <c r="B230" s="34">
        <v>225</v>
      </c>
      <c r="C230" s="116" t="s">
        <v>19</v>
      </c>
      <c r="D230" s="120" t="s">
        <v>251</v>
      </c>
      <c r="E230" s="116" t="s">
        <v>25</v>
      </c>
      <c r="F230" s="114" t="s">
        <v>25</v>
      </c>
      <c r="G230" s="114" t="s">
        <v>22</v>
      </c>
      <c r="H230" s="118">
        <v>10</v>
      </c>
      <c r="I230" s="119">
        <v>500</v>
      </c>
      <c r="J230" s="66">
        <f t="shared" si="64"/>
        <v>114</v>
      </c>
      <c r="K230" s="68">
        <f t="shared" si="62"/>
        <v>386</v>
      </c>
      <c r="L230" s="32" t="str">
        <f t="shared" si="63"/>
        <v>ESTOQUE NORMAL</v>
      </c>
      <c r="N230" s="26" t="str">
        <f t="shared" si="58"/>
        <v>OCULOS OPERACIONAL SOBRE POR INCOLOR</v>
      </c>
      <c r="O230" s="27">
        <f>SUMIFS(ENTRADA!$F:$F,ENTRADA!$B:$B,ESTOQUE!$B230)</f>
        <v>164</v>
      </c>
      <c r="P230" s="27">
        <f>SUMIFS(SAIDA!$F:$F,SAIDA!$B:$B,ESTOQUE!$B230)</f>
        <v>50</v>
      </c>
      <c r="Q230" s="27">
        <f t="shared" si="59"/>
        <v>114</v>
      </c>
      <c r="R230" s="27" t="e">
        <f>Q230=#REF!</f>
        <v>#REF!</v>
      </c>
      <c r="S230" s="93">
        <f>IFERROR(SUMIFS(ENTRADA!$H:$H,ENTRADA!$B:$B,ESTOQUE!$B230)/O230,0)</f>
        <v>1.0670731707317074</v>
      </c>
      <c r="T230" s="93">
        <f t="shared" si="65"/>
        <v>121.64634146341464</v>
      </c>
      <c r="U230" s="93">
        <f t="shared" si="61"/>
        <v>53.353658536585371</v>
      </c>
    </row>
    <row r="231" spans="2:21" ht="17.100000000000001" customHeight="1" thickBot="1" x14ac:dyDescent="0.3">
      <c r="B231" s="34">
        <v>127</v>
      </c>
      <c r="C231" s="116" t="s">
        <v>19</v>
      </c>
      <c r="D231" s="111" t="s">
        <v>252</v>
      </c>
      <c r="E231" s="116" t="s">
        <v>25</v>
      </c>
      <c r="F231" s="117" t="s">
        <v>25</v>
      </c>
      <c r="G231" s="114" t="s">
        <v>22</v>
      </c>
      <c r="H231" s="118">
        <v>50</v>
      </c>
      <c r="I231" s="119">
        <v>70</v>
      </c>
      <c r="J231" s="66">
        <f t="shared" si="64"/>
        <v>4</v>
      </c>
      <c r="K231" s="68">
        <f t="shared" si="62"/>
        <v>66</v>
      </c>
      <c r="L231" s="32" t="str">
        <f t="shared" si="63"/>
        <v>ESTOQUE BAIXO</v>
      </c>
      <c r="N231" s="26" t="str">
        <f t="shared" si="58"/>
        <v>OMBREIRA COM ENCHIMENTO DE RASPA</v>
      </c>
      <c r="O231" s="27">
        <f>SUMIFS(ENTRADA!$F:$F,ENTRADA!$B:$B,ESTOQUE!$B231)</f>
        <v>6</v>
      </c>
      <c r="P231" s="27">
        <f>SUMIFS(SAIDA!$F:$F,SAIDA!$B:$B,ESTOQUE!$B231)</f>
        <v>2</v>
      </c>
      <c r="Q231" s="27">
        <f t="shared" si="59"/>
        <v>4</v>
      </c>
      <c r="R231" s="27" t="e">
        <f>Q231=#REF!</f>
        <v>#REF!</v>
      </c>
      <c r="S231" s="93">
        <f>IFERROR(SUMIFS(ENTRADA!$H:$H,ENTRADA!$B:$B,ESTOQUE!$B231)/O231,0)</f>
        <v>69.5</v>
      </c>
      <c r="T231" s="93">
        <f t="shared" si="60"/>
        <v>278</v>
      </c>
      <c r="U231" s="93">
        <f t="shared" si="61"/>
        <v>139</v>
      </c>
    </row>
    <row r="232" spans="2:21" ht="17.100000000000001" customHeight="1" thickBot="1" x14ac:dyDescent="0.3">
      <c r="B232" s="34">
        <v>129</v>
      </c>
      <c r="C232" s="116" t="s">
        <v>19</v>
      </c>
      <c r="D232" s="111" t="s">
        <v>253</v>
      </c>
      <c r="E232" s="116">
        <v>11714</v>
      </c>
      <c r="F232" s="117">
        <v>45889</v>
      </c>
      <c r="G232" s="114" t="s">
        <v>31</v>
      </c>
      <c r="H232" s="118">
        <v>200</v>
      </c>
      <c r="I232" s="119">
        <v>300</v>
      </c>
      <c r="J232" s="66">
        <f t="shared" si="64"/>
        <v>52</v>
      </c>
      <c r="K232" s="68">
        <f t="shared" si="62"/>
        <v>248</v>
      </c>
      <c r="L232" s="32" t="str">
        <f t="shared" si="63"/>
        <v>ESTOQUE BAIXO</v>
      </c>
      <c r="N232" s="26" t="str">
        <f t="shared" si="58"/>
        <v>PERNEIRA DE RASPA</v>
      </c>
      <c r="O232" s="27">
        <f>SUMIFS(ENTRADA!$F:$F,ENTRADA!$B:$B,ESTOQUE!$B232)</f>
        <v>171</v>
      </c>
      <c r="P232" s="27">
        <f>SUMIFS(SAIDA!$F:$F,SAIDA!$B:$B,ESTOQUE!$B232)</f>
        <v>119</v>
      </c>
      <c r="Q232" s="27">
        <f t="shared" si="59"/>
        <v>52</v>
      </c>
      <c r="R232" s="27" t="e">
        <f>Q232=#REF!</f>
        <v>#REF!</v>
      </c>
      <c r="S232" s="93">
        <f>IFERROR(SUMIFS(ENTRADA!$H:$H,ENTRADA!$B:$B,ESTOQUE!$B232)/O232,0)</f>
        <v>2.9157894736842103</v>
      </c>
      <c r="T232" s="93">
        <f t="shared" si="60"/>
        <v>151.62105263157895</v>
      </c>
      <c r="U232" s="93">
        <f t="shared" si="61"/>
        <v>346.97894736842102</v>
      </c>
    </row>
    <row r="233" spans="2:21" ht="17.100000000000001" customHeight="1" thickBot="1" x14ac:dyDescent="0.3">
      <c r="B233" s="34">
        <v>128</v>
      </c>
      <c r="C233" s="116" t="s">
        <v>19</v>
      </c>
      <c r="D233" s="111" t="s">
        <v>254</v>
      </c>
      <c r="E233" s="116">
        <v>39624</v>
      </c>
      <c r="F233" s="117">
        <v>46374</v>
      </c>
      <c r="G233" s="114" t="s">
        <v>31</v>
      </c>
      <c r="H233" s="118">
        <v>200</v>
      </c>
      <c r="I233" s="119">
        <v>300</v>
      </c>
      <c r="J233" s="66">
        <f t="shared" si="64"/>
        <v>20</v>
      </c>
      <c r="K233" s="68">
        <f t="shared" si="62"/>
        <v>280</v>
      </c>
      <c r="L233" s="32" t="str">
        <f t="shared" si="63"/>
        <v>ESTOQUE BAIXO</v>
      </c>
      <c r="N233" s="26" t="str">
        <f t="shared" si="58"/>
        <v>PERNEIRA PVC C/ VELCRO</v>
      </c>
      <c r="O233" s="27">
        <f>SUMIFS(ENTRADA!$F:$F,ENTRADA!$B:$B,ESTOQUE!$B233)</f>
        <v>40</v>
      </c>
      <c r="P233" s="27">
        <f>SUMIFS(SAIDA!$F:$F,SAIDA!$B:$B,ESTOQUE!$B233)</f>
        <v>20</v>
      </c>
      <c r="Q233" s="27">
        <f t="shared" si="59"/>
        <v>20</v>
      </c>
      <c r="R233" s="27" t="e">
        <f>Q233=#REF!</f>
        <v>#REF!</v>
      </c>
      <c r="S233" s="93">
        <f>IFERROR(SUMIFS(ENTRADA!$H:$H,ENTRADA!$B:$B,ESTOQUE!$B233)/O233,0)</f>
        <v>18.445</v>
      </c>
      <c r="T233" s="93">
        <f t="shared" si="60"/>
        <v>368.9</v>
      </c>
      <c r="U233" s="93">
        <f t="shared" si="61"/>
        <v>368.9</v>
      </c>
    </row>
    <row r="234" spans="2:21" ht="17.100000000000001" customHeight="1" thickBot="1" x14ac:dyDescent="0.3">
      <c r="B234" s="34">
        <v>191</v>
      </c>
      <c r="C234" s="116" t="s">
        <v>19</v>
      </c>
      <c r="D234" s="121" t="s">
        <v>255</v>
      </c>
      <c r="E234" s="116">
        <v>10468</v>
      </c>
      <c r="F234" s="117">
        <v>46608</v>
      </c>
      <c r="G234" s="114" t="s">
        <v>22</v>
      </c>
      <c r="H234" s="118">
        <v>80</v>
      </c>
      <c r="I234" s="119">
        <v>250</v>
      </c>
      <c r="J234" s="66">
        <f t="shared" si="64"/>
        <v>17</v>
      </c>
      <c r="K234" s="68">
        <f t="shared" si="62"/>
        <v>233</v>
      </c>
      <c r="L234" s="32" t="str">
        <f t="shared" si="63"/>
        <v>ESTOQUE BAIXO</v>
      </c>
      <c r="N234" s="26" t="str">
        <f t="shared" si="58"/>
        <v>PROTETOR AUDITIVO TIPO CONCHA</v>
      </c>
      <c r="O234" s="27">
        <f>SUMIFS(ENTRADA!$F:$F,ENTRADA!$B:$B,ESTOQUE!$B234)</f>
        <v>22</v>
      </c>
      <c r="P234" s="27">
        <f>SUMIFS(SAIDA!$F:$F,SAIDA!$B:$B,ESTOQUE!$B234)</f>
        <v>5</v>
      </c>
      <c r="Q234" s="27">
        <f t="shared" si="59"/>
        <v>17</v>
      </c>
      <c r="R234" s="27" t="e">
        <f>Q234=#REF!</f>
        <v>#REF!</v>
      </c>
      <c r="S234" s="93">
        <f>IFERROR(SUMIFS(ENTRADA!$H:$H,ENTRADA!$B:$B,ESTOQUE!$B234)/O234,0)</f>
        <v>0</v>
      </c>
      <c r="T234" s="93">
        <f t="shared" si="60"/>
        <v>0</v>
      </c>
      <c r="U234" s="93">
        <f t="shared" si="61"/>
        <v>0</v>
      </c>
    </row>
    <row r="235" spans="2:21" ht="17.100000000000001" customHeight="1" thickBot="1" x14ac:dyDescent="0.3">
      <c r="B235" s="34">
        <v>130</v>
      </c>
      <c r="C235" s="116" t="s">
        <v>19</v>
      </c>
      <c r="D235" s="111" t="s">
        <v>256</v>
      </c>
      <c r="E235" s="116">
        <v>43350</v>
      </c>
      <c r="F235" s="117">
        <v>46793</v>
      </c>
      <c r="G235" s="114" t="s">
        <v>22</v>
      </c>
      <c r="H235" s="118">
        <v>50</v>
      </c>
      <c r="I235" s="119">
        <v>250</v>
      </c>
      <c r="J235" s="66">
        <f t="shared" si="64"/>
        <v>30</v>
      </c>
      <c r="K235" s="68">
        <f t="shared" si="62"/>
        <v>220</v>
      </c>
      <c r="L235" s="32" t="str">
        <f t="shared" si="63"/>
        <v>ESTOQUE BAIXO</v>
      </c>
      <c r="N235" s="26" t="str">
        <f t="shared" si="58"/>
        <v>PROTETOR AUDITIVO TIPO CONCHA L-300</v>
      </c>
      <c r="O235" s="27">
        <f>SUMIFS(ENTRADA!$F:$F,ENTRADA!$B:$B,ESTOQUE!$B235)</f>
        <v>144</v>
      </c>
      <c r="P235" s="27">
        <f>SUMIFS(SAIDA!$F:$F,SAIDA!$B:$B,ESTOQUE!$B235)</f>
        <v>114</v>
      </c>
      <c r="Q235" s="27">
        <f t="shared" si="59"/>
        <v>30</v>
      </c>
      <c r="R235" s="27" t="e">
        <f>Q235=#REF!</f>
        <v>#REF!</v>
      </c>
      <c r="S235" s="93">
        <f>IFERROR(SUMIFS(ENTRADA!$H:$H,ENTRADA!$B:$B,ESTOQUE!$B235)/O235,0)</f>
        <v>3.1111111111111112</v>
      </c>
      <c r="T235" s="93">
        <f t="shared" si="60"/>
        <v>93.333333333333329</v>
      </c>
      <c r="U235" s="93">
        <f t="shared" si="61"/>
        <v>354.66666666666669</v>
      </c>
    </row>
    <row r="236" spans="2:21" ht="17.100000000000001" customHeight="1" thickBot="1" x14ac:dyDescent="0.3">
      <c r="B236" s="34">
        <v>139</v>
      </c>
      <c r="C236" s="116" t="s">
        <v>19</v>
      </c>
      <c r="D236" s="120" t="s">
        <v>257</v>
      </c>
      <c r="E236" s="116">
        <v>36817</v>
      </c>
      <c r="F236" s="117">
        <v>45887</v>
      </c>
      <c r="G236" s="114" t="s">
        <v>22</v>
      </c>
      <c r="H236" s="118">
        <v>500</v>
      </c>
      <c r="I236" s="119">
        <v>1000</v>
      </c>
      <c r="J236" s="66">
        <f t="shared" si="64"/>
        <v>808</v>
      </c>
      <c r="K236" s="68">
        <f t="shared" si="62"/>
        <v>192</v>
      </c>
      <c r="L236" s="32" t="str">
        <f t="shared" si="63"/>
        <v>ESTOQUE NORMAL</v>
      </c>
      <c r="N236" s="26" t="str">
        <f t="shared" si="58"/>
        <v>PROTETOR AURICULAR TIPO PLUG</v>
      </c>
      <c r="O236" s="27">
        <f>SUMIFS(ENTRADA!$F:$F,ENTRADA!$B:$B,ESTOQUE!$B236)</f>
        <v>1688</v>
      </c>
      <c r="P236" s="27">
        <f>SUMIFS(SAIDA!$F:$F,SAIDA!$B:$B,ESTOQUE!$B236)</f>
        <v>880</v>
      </c>
      <c r="Q236" s="27">
        <f t="shared" si="59"/>
        <v>808</v>
      </c>
      <c r="R236" s="27" t="e">
        <f>Q236=#REF!</f>
        <v>#REF!</v>
      </c>
      <c r="S236" s="93">
        <f>IFERROR(SUMIFS(ENTRADA!$H:$H,ENTRADA!$B:$B,ESTOQUE!$B236)/O236,0)</f>
        <v>0.38981042654028436</v>
      </c>
      <c r="T236" s="93">
        <f t="shared" si="60"/>
        <v>314.96682464454977</v>
      </c>
      <c r="U236" s="93">
        <f t="shared" si="61"/>
        <v>343.03317535545023</v>
      </c>
    </row>
    <row r="237" spans="2:21" ht="17.100000000000001" customHeight="1" thickBot="1" x14ac:dyDescent="0.3">
      <c r="B237" s="34">
        <v>231</v>
      </c>
      <c r="C237" s="116" t="s">
        <v>19</v>
      </c>
      <c r="D237" s="120" t="s">
        <v>258</v>
      </c>
      <c r="E237" s="116" t="s">
        <v>25</v>
      </c>
      <c r="F237" s="114" t="s">
        <v>25</v>
      </c>
      <c r="G237" s="114" t="s">
        <v>22</v>
      </c>
      <c r="H237" s="118">
        <v>10</v>
      </c>
      <c r="I237" s="119">
        <v>5000</v>
      </c>
      <c r="J237" s="66">
        <f t="shared" si="64"/>
        <v>1400</v>
      </c>
      <c r="K237" s="68">
        <f t="shared" si="62"/>
        <v>3600</v>
      </c>
      <c r="L237" s="32" t="str">
        <f>IF(J237&lt;H237,"ESTOQUE BAIXO",IF(J237&gt;I237,"ESTOQUE ALTO",IF(J237&gt;H237,"ESTOQUE NORMAL",)))</f>
        <v>ESTOQUE NORMAL</v>
      </c>
      <c r="N237" s="26" t="str">
        <f t="shared" si="58"/>
        <v xml:space="preserve">PROTETOR DE VERGALHÃO </v>
      </c>
      <c r="O237" s="27">
        <f>SUMIFS(ENTRADA!$F:$F,ENTRADA!$B:$B,ESTOQUE!$B237)</f>
        <v>4000</v>
      </c>
      <c r="P237" s="27">
        <f>SUMIFS(SAIDA!$F:$F,SAIDA!$B:$B,ESTOQUE!$B237)</f>
        <v>2600</v>
      </c>
      <c r="Q237" s="27">
        <f t="shared" si="59"/>
        <v>1400</v>
      </c>
      <c r="R237" s="27" t="e">
        <f>Q237=#REF!</f>
        <v>#REF!</v>
      </c>
      <c r="S237" s="93">
        <f>IFERROR(SUMIFS(ENTRADA!$H:$H,ENTRADA!$B:$B,ESTOQUE!$B237)/O237,0)</f>
        <v>0.50250000000000006</v>
      </c>
      <c r="T237" s="93">
        <f t="shared" si="60"/>
        <v>703.50000000000011</v>
      </c>
      <c r="U237" s="93">
        <f t="shared" si="61"/>
        <v>1306.5000000000002</v>
      </c>
    </row>
    <row r="238" spans="2:21" ht="17.100000000000001" customHeight="1" thickBot="1" x14ac:dyDescent="0.3">
      <c r="B238" s="34">
        <v>132</v>
      </c>
      <c r="C238" s="116" t="s">
        <v>19</v>
      </c>
      <c r="D238" s="111" t="s">
        <v>259</v>
      </c>
      <c r="E238" s="116" t="s">
        <v>25</v>
      </c>
      <c r="F238" s="117" t="s">
        <v>25</v>
      </c>
      <c r="G238" s="114" t="s">
        <v>22</v>
      </c>
      <c r="H238" s="118">
        <v>50</v>
      </c>
      <c r="I238" s="119">
        <v>100</v>
      </c>
      <c r="J238" s="66">
        <f t="shared" si="64"/>
        <v>0</v>
      </c>
      <c r="K238" s="68">
        <f t="shared" si="62"/>
        <v>100</v>
      </c>
      <c r="L238" s="32" t="str">
        <f>IF(J238&lt;H238,"ESTOQUE BAIXO",IF(J238&gt;I238,"ESTOQUE ALTO",IF(J238&gt;=H238,"ESTOQUE NORMAL",)))</f>
        <v>ESTOQUE BAIXO</v>
      </c>
      <c r="N238" s="26" t="str">
        <f t="shared" si="58"/>
        <v>PROTETOR FACIAL COM LENTE FOSCA</v>
      </c>
      <c r="O238" s="27">
        <f>SUMIFS(ENTRADA!$F:$F,ENTRADA!$B:$B,ESTOQUE!$B238)</f>
        <v>6</v>
      </c>
      <c r="P238" s="27">
        <f>SUMIFS(SAIDA!$F:$F,SAIDA!$B:$B,ESTOQUE!$B238)</f>
        <v>6</v>
      </c>
      <c r="Q238" s="27">
        <f t="shared" si="59"/>
        <v>0</v>
      </c>
      <c r="R238" s="27" t="e">
        <f>Q238=#REF!</f>
        <v>#REF!</v>
      </c>
      <c r="S238" s="93">
        <f>IFERROR(SUMIFS(ENTRADA!$H:$H,ENTRADA!$B:$B,ESTOQUE!$B238)/O238,0)</f>
        <v>0</v>
      </c>
      <c r="T238" s="93">
        <f t="shared" si="60"/>
        <v>0</v>
      </c>
      <c r="U238" s="93">
        <f t="shared" si="61"/>
        <v>0</v>
      </c>
    </row>
    <row r="239" spans="2:21" ht="17.100000000000001" customHeight="1" thickBot="1" x14ac:dyDescent="0.3">
      <c r="B239" s="34">
        <v>193</v>
      </c>
      <c r="C239" s="116" t="s">
        <v>19</v>
      </c>
      <c r="D239" s="120" t="s">
        <v>260</v>
      </c>
      <c r="E239" s="116" t="s">
        <v>25</v>
      </c>
      <c r="F239" s="117" t="s">
        <v>25</v>
      </c>
      <c r="G239" s="114" t="s">
        <v>22</v>
      </c>
      <c r="H239" s="118">
        <v>20</v>
      </c>
      <c r="I239" s="119">
        <v>50</v>
      </c>
      <c r="J239" s="66">
        <f t="shared" si="64"/>
        <v>0</v>
      </c>
      <c r="K239" s="68">
        <f t="shared" si="62"/>
        <v>50</v>
      </c>
      <c r="L239" s="32" t="str">
        <f>IF(J239&lt;H239,"ESTOQUE BAIXO",IF(J239&gt;I239,"ESTOQUE ALTO",IF(J239&gt;=H239,"ESTOQUE NORMAL",)))</f>
        <v>ESTOQUE BAIXO</v>
      </c>
      <c r="N239" s="26" t="str">
        <f t="shared" si="58"/>
        <v>PROTETOR SOLAR 70 FPS FACIAL E CORPORAL</v>
      </c>
      <c r="O239" s="27">
        <f>SUMIFS(ENTRADA!$F:$F,ENTRADA!$B:$B,ESTOQUE!$B239)</f>
        <v>0</v>
      </c>
      <c r="P239" s="27">
        <f>SUMIFS(SAIDA!$F:$F,SAIDA!$B:$B,ESTOQUE!$B239)</f>
        <v>0</v>
      </c>
      <c r="Q239" s="27">
        <f t="shared" si="59"/>
        <v>0</v>
      </c>
      <c r="R239" s="27" t="e">
        <f>Q239=#REF!</f>
        <v>#REF!</v>
      </c>
      <c r="S239" s="93">
        <f>IFERROR(SUMIFS(ENTRADA!$H:$H,ENTRADA!$B:$B,ESTOQUE!$B239)/O239,0)</f>
        <v>0</v>
      </c>
      <c r="T239" s="93">
        <f t="shared" si="60"/>
        <v>0</v>
      </c>
      <c r="U239" s="93">
        <f t="shared" si="61"/>
        <v>0</v>
      </c>
    </row>
    <row r="240" spans="2:21" ht="17.100000000000001" customHeight="1" thickBot="1" x14ac:dyDescent="0.3">
      <c r="B240" s="34">
        <v>134</v>
      </c>
      <c r="C240" s="116" t="s">
        <v>19</v>
      </c>
      <c r="D240" s="111" t="s">
        <v>261</v>
      </c>
      <c r="E240" s="116" t="s">
        <v>25</v>
      </c>
      <c r="F240" s="117" t="s">
        <v>25</v>
      </c>
      <c r="G240" s="114" t="s">
        <v>22</v>
      </c>
      <c r="H240" s="118">
        <v>10</v>
      </c>
      <c r="I240" s="119">
        <v>30</v>
      </c>
      <c r="J240" s="66">
        <f t="shared" si="64"/>
        <v>1</v>
      </c>
      <c r="K240" s="68">
        <f t="shared" si="62"/>
        <v>29</v>
      </c>
      <c r="L240" s="32" t="str">
        <f>IF(J240&lt;H240,"ESTOQUE BAIXO",IF(J240&gt;I240,"ESTOQUE ALTO",IF(J240&gt;=H240,"ESTOQUE NORMAL",)))</f>
        <v>ESTOQUE BAIXO</v>
      </c>
      <c r="N240" s="26" t="str">
        <f t="shared" si="58"/>
        <v>PROTETOR SOLAR FACIAL ALGSUN 2L</v>
      </c>
      <c r="O240" s="27">
        <f>SUMIFS(ENTRADA!$F:$F,ENTRADA!$B:$B,ESTOQUE!$B240)</f>
        <v>7</v>
      </c>
      <c r="P240" s="27">
        <f>SUMIFS(SAIDA!$F:$F,SAIDA!$B:$B,ESTOQUE!$B240)</f>
        <v>6</v>
      </c>
      <c r="Q240" s="27">
        <f t="shared" si="59"/>
        <v>1</v>
      </c>
      <c r="R240" s="27" t="e">
        <f>Q240=#REF!</f>
        <v>#REF!</v>
      </c>
      <c r="S240" s="93">
        <f>IFERROR(SUMIFS(ENTRADA!$H:$H,ENTRADA!$B:$B,ESTOQUE!$B240)/O240,0)</f>
        <v>106.78571428571429</v>
      </c>
      <c r="T240" s="93">
        <f t="shared" si="60"/>
        <v>106.78571428571429</v>
      </c>
      <c r="U240" s="93">
        <f t="shared" si="61"/>
        <v>640.71428571428578</v>
      </c>
    </row>
    <row r="241" spans="2:21" ht="17.100000000000001" customHeight="1" thickBot="1" x14ac:dyDescent="0.3">
      <c r="B241" s="34">
        <v>211</v>
      </c>
      <c r="C241" s="116" t="s">
        <v>19</v>
      </c>
      <c r="D241" s="120" t="s">
        <v>262</v>
      </c>
      <c r="E241" s="116">
        <v>46864</v>
      </c>
      <c r="F241" s="117">
        <v>46331</v>
      </c>
      <c r="G241" s="114" t="s">
        <v>22</v>
      </c>
      <c r="H241" s="118">
        <v>25</v>
      </c>
      <c r="I241" s="119">
        <v>200</v>
      </c>
      <c r="J241" s="66">
        <f t="shared" si="64"/>
        <v>56</v>
      </c>
      <c r="K241" s="68">
        <f t="shared" si="62"/>
        <v>144</v>
      </c>
      <c r="L241" s="32" t="str">
        <f>IF(J241&lt;H241,"ESTOQUE BAIXO",IF(J241&gt;I241,"ESTOQUE ALTO",IF(J241&gt;H241,"ESTOQUE NORMAL",)))</f>
        <v>ESTOQUE NORMAL</v>
      </c>
      <c r="N241" s="26" t="str">
        <f t="shared" si="58"/>
        <v>RESPIRADOR SEMIFACIAL T 9500</v>
      </c>
      <c r="O241" s="27">
        <f>SUMIFS(ENTRADA!$F:$F,ENTRADA!$B:$B,ESTOQUE!$B241)</f>
        <v>69</v>
      </c>
      <c r="P241" s="27">
        <f>SUMIFS(SAIDA!$F:$F,SAIDA!$B:$B,ESTOQUE!$B241)</f>
        <v>13</v>
      </c>
      <c r="Q241" s="27">
        <f t="shared" si="59"/>
        <v>56</v>
      </c>
      <c r="R241" s="27" t="e">
        <f>Q241=#REF!</f>
        <v>#REF!</v>
      </c>
      <c r="S241" s="93">
        <f>IFERROR(SUMIFS(ENTRADA!$H:$H,ENTRADA!$B:$B,ESTOQUE!$B241)/O241,0)</f>
        <v>12.901304347826088</v>
      </c>
      <c r="T241" s="93">
        <f t="shared" si="60"/>
        <v>722.47304347826093</v>
      </c>
      <c r="U241" s="93">
        <f t="shared" si="61"/>
        <v>167.71695652173915</v>
      </c>
    </row>
    <row r="242" spans="2:21" ht="17.100000000000001" customHeight="1" thickBot="1" x14ac:dyDescent="0.3">
      <c r="B242" s="34">
        <v>119</v>
      </c>
      <c r="C242" s="116" t="s">
        <v>19</v>
      </c>
      <c r="D242" s="111" t="s">
        <v>263</v>
      </c>
      <c r="E242" s="116" t="s">
        <v>25</v>
      </c>
      <c r="F242" s="117" t="s">
        <v>25</v>
      </c>
      <c r="G242" s="114" t="s">
        <v>22</v>
      </c>
      <c r="H242" s="118">
        <v>50</v>
      </c>
      <c r="I242" s="119">
        <v>100</v>
      </c>
      <c r="J242" s="66">
        <f t="shared" si="64"/>
        <v>11</v>
      </c>
      <c r="K242" s="68">
        <f t="shared" si="62"/>
        <v>89</v>
      </c>
      <c r="L242" s="32" t="str">
        <f>IF(J242&lt;H242,"ESTOQUE BAIXO",IF(J242&gt;I242,"ESTOQUE ALTO",IF(J242&gt;=H242,"ESTOQUE NORMAL",)))</f>
        <v>ESTOQUE BAIXO</v>
      </c>
      <c r="N242" s="26" t="str">
        <f t="shared" si="58"/>
        <v>SUPORTE P/ ACOPLAR PROTETOR FACIAL PRETO</v>
      </c>
      <c r="O242" s="27">
        <f>SUMIFS(ENTRADA!$F:$F,ENTRADA!$B:$B,ESTOQUE!$B242)</f>
        <v>12</v>
      </c>
      <c r="P242" s="27">
        <f>SUMIFS(SAIDA!$F:$F,SAIDA!$B:$B,ESTOQUE!$B242)</f>
        <v>1</v>
      </c>
      <c r="Q242" s="27">
        <f t="shared" si="59"/>
        <v>11</v>
      </c>
      <c r="R242" s="27" t="e">
        <f>Q242=#REF!</f>
        <v>#REF!</v>
      </c>
      <c r="S242" s="93">
        <f>IFERROR(SUMIFS(ENTRADA!$H:$H,ENTRADA!$B:$B,ESTOQUE!$B242)/O242,0)</f>
        <v>0</v>
      </c>
      <c r="T242" s="93">
        <f t="shared" si="60"/>
        <v>0</v>
      </c>
      <c r="U242" s="93">
        <f t="shared" si="61"/>
        <v>0</v>
      </c>
    </row>
    <row r="243" spans="2:21" ht="17.100000000000001" customHeight="1" thickBot="1" x14ac:dyDescent="0.3">
      <c r="B243" s="34">
        <v>122</v>
      </c>
      <c r="C243" s="116" t="s">
        <v>19</v>
      </c>
      <c r="D243" s="111" t="s">
        <v>264</v>
      </c>
      <c r="E243" s="116" t="s">
        <v>25</v>
      </c>
      <c r="F243" s="117" t="s">
        <v>25</v>
      </c>
      <c r="G243" s="114" t="s">
        <v>22</v>
      </c>
      <c r="H243" s="118">
        <v>50</v>
      </c>
      <c r="I243" s="119">
        <v>100</v>
      </c>
      <c r="J243" s="66">
        <f t="shared" si="64"/>
        <v>11</v>
      </c>
      <c r="K243" s="68">
        <f t="shared" si="62"/>
        <v>89</v>
      </c>
      <c r="L243" s="32" t="str">
        <f>IF(J243&lt;H243,"ESTOQUE BAIXO",IF(J243&gt;I243,"ESTOQUE ALTO",IF(J243&gt;=H243,"ESTOQUE NORMAL",)))</f>
        <v>ESTOQUE BAIXO</v>
      </c>
      <c r="N243" s="26" t="str">
        <f t="shared" si="58"/>
        <v xml:space="preserve">SUPORTE PROTETOR FACIAL </v>
      </c>
      <c r="O243" s="27">
        <f>SUMIFS(ENTRADA!$F:$F,ENTRADA!$B:$B,ESTOQUE!$B243)</f>
        <v>34</v>
      </c>
      <c r="P243" s="27">
        <f>SUMIFS(SAIDA!$F:$F,SAIDA!$B:$B,ESTOQUE!$B243)</f>
        <v>23</v>
      </c>
      <c r="Q243" s="27">
        <f t="shared" si="59"/>
        <v>11</v>
      </c>
      <c r="R243" s="27" t="e">
        <f>Q243=#REF!</f>
        <v>#REF!</v>
      </c>
      <c r="S243" s="93">
        <f>IFERROR(SUMIFS(ENTRADA!$H:$H,ENTRADA!$B:$B,ESTOQUE!$B243)/O243,0)</f>
        <v>10.653823529411765</v>
      </c>
      <c r="T243" s="93">
        <f t="shared" si="60"/>
        <v>117.19205882352942</v>
      </c>
      <c r="U243" s="93">
        <f t="shared" si="61"/>
        <v>245.03794117647061</v>
      </c>
    </row>
    <row r="244" spans="2:21" ht="17.100000000000001" customHeight="1" thickBot="1" x14ac:dyDescent="0.3">
      <c r="B244" s="34">
        <v>265</v>
      </c>
      <c r="C244" s="116" t="s">
        <v>19</v>
      </c>
      <c r="D244" s="120" t="s">
        <v>265</v>
      </c>
      <c r="E244" s="116" t="s">
        <v>25</v>
      </c>
      <c r="F244" s="114" t="s">
        <v>25</v>
      </c>
      <c r="G244" s="114" t="s">
        <v>22</v>
      </c>
      <c r="H244" s="118"/>
      <c r="I244" s="119"/>
      <c r="J244" s="66">
        <f t="shared" si="64"/>
        <v>0</v>
      </c>
      <c r="K244" s="68">
        <f t="shared" si="62"/>
        <v>0</v>
      </c>
      <c r="L244" s="32">
        <f>IF(J244&lt;H244,"ESTOQUE BAIXO",IF(J244&gt;I244,"ESTOQUE ALTO",IF(J244&gt;H244,"ESTOQUE NORMAL",)))</f>
        <v>0</v>
      </c>
      <c r="N244" s="26" t="str">
        <f t="shared" si="58"/>
        <v xml:space="preserve">TALABARTE  DUPLO ARAMIDA </v>
      </c>
      <c r="O244" s="27">
        <f>SUMIFS(ENTRADA!$F:$F,ENTRADA!$B:$B,ESTOQUE!$B244)</f>
        <v>12</v>
      </c>
      <c r="P244" s="27">
        <f>SUMIFS(SAIDA!$F:$F,SAIDA!$B:$B,ESTOQUE!$B244)</f>
        <v>12</v>
      </c>
      <c r="Q244" s="27">
        <f t="shared" si="59"/>
        <v>0</v>
      </c>
      <c r="R244" s="27" t="e">
        <f>Q244=#REF!</f>
        <v>#REF!</v>
      </c>
      <c r="S244" s="93">
        <f>IFERROR(SUMIFS(ENTRADA!$H:$H,ENTRADA!$B:$B,ESTOQUE!$B244)/O244,0)</f>
        <v>0</v>
      </c>
      <c r="T244" s="93">
        <f t="shared" si="60"/>
        <v>0</v>
      </c>
      <c r="U244" s="93">
        <f t="shared" si="61"/>
        <v>0</v>
      </c>
    </row>
    <row r="245" spans="2:21" ht="17.100000000000001" customHeight="1" thickBot="1" x14ac:dyDescent="0.3">
      <c r="B245" s="34">
        <v>232</v>
      </c>
      <c r="C245" s="116" t="s">
        <v>19</v>
      </c>
      <c r="D245" s="120" t="s">
        <v>266</v>
      </c>
      <c r="E245" s="116" t="s">
        <v>25</v>
      </c>
      <c r="F245" s="114" t="s">
        <v>25</v>
      </c>
      <c r="G245" s="114" t="s">
        <v>22</v>
      </c>
      <c r="H245" s="118">
        <v>10</v>
      </c>
      <c r="I245" s="119">
        <v>50</v>
      </c>
      <c r="J245" s="66">
        <f t="shared" si="64"/>
        <v>28</v>
      </c>
      <c r="K245" s="68">
        <f t="shared" si="62"/>
        <v>22</v>
      </c>
      <c r="L245" s="32" t="str">
        <f t="shared" ref="L245:L253" si="66">IF(J245&lt;H245,"ESTOQUE BAIXO",IF(J245&gt;I245,"ESTOQUE ALTO",IF(J245&gt;=H245,"ESTOQUE NORMAL",)))</f>
        <v>ESTOQUE NORMAL</v>
      </c>
      <c r="N245" s="26" t="str">
        <f t="shared" si="58"/>
        <v>TALABARTE DE POSICIONAMENTO</v>
      </c>
      <c r="O245" s="27">
        <f>SUMIFS(ENTRADA!$F:$F,ENTRADA!$B:$B,ESTOQUE!$B245)</f>
        <v>37</v>
      </c>
      <c r="P245" s="27">
        <f>SUMIFS(SAIDA!$F:$F,SAIDA!$B:$B,ESTOQUE!$B245)</f>
        <v>9</v>
      </c>
      <c r="Q245" s="27">
        <f t="shared" si="59"/>
        <v>28</v>
      </c>
      <c r="R245" s="27" t="e">
        <f>Q245=#REF!</f>
        <v>#REF!</v>
      </c>
      <c r="S245" s="93">
        <f>IFERROR(SUMIFS(ENTRADA!$H:$H,ENTRADA!$B:$B,ESTOQUE!$B245)/O245,0)</f>
        <v>44.662162162162161</v>
      </c>
      <c r="T245" s="93">
        <f t="shared" si="60"/>
        <v>1250.5405405405404</v>
      </c>
      <c r="U245" s="93">
        <f t="shared" si="61"/>
        <v>401.95945945945948</v>
      </c>
    </row>
    <row r="246" spans="2:21" ht="17.100000000000001" customHeight="1" thickBot="1" x14ac:dyDescent="0.3">
      <c r="B246" s="34">
        <v>135</v>
      </c>
      <c r="C246" s="116" t="s">
        <v>19</v>
      </c>
      <c r="D246" s="111" t="s">
        <v>267</v>
      </c>
      <c r="E246" s="116">
        <v>49663</v>
      </c>
      <c r="F246" s="117">
        <v>46194</v>
      </c>
      <c r="G246" s="114" t="s">
        <v>22</v>
      </c>
      <c r="H246" s="118">
        <v>50</v>
      </c>
      <c r="I246" s="119">
        <v>100</v>
      </c>
      <c r="J246" s="66">
        <f t="shared" si="64"/>
        <v>18</v>
      </c>
      <c r="K246" s="68">
        <f t="shared" si="62"/>
        <v>82</v>
      </c>
      <c r="L246" s="32" t="str">
        <f t="shared" si="66"/>
        <v>ESTOQUE BAIXO</v>
      </c>
      <c r="N246" s="26" t="str">
        <f t="shared" si="58"/>
        <v>TALABARTE DUPLO TIPO Y</v>
      </c>
      <c r="O246" s="27">
        <f>SUMIFS(ENTRADA!$F:$F,ENTRADA!$B:$B,ESTOQUE!$B246)</f>
        <v>236</v>
      </c>
      <c r="P246" s="27">
        <f>SUMIFS(SAIDA!$F:$F,SAIDA!$B:$B,ESTOQUE!$B246)</f>
        <v>218</v>
      </c>
      <c r="Q246" s="27">
        <f t="shared" si="59"/>
        <v>18</v>
      </c>
      <c r="R246" s="27" t="e">
        <f>Q246=#REF!</f>
        <v>#REF!</v>
      </c>
      <c r="S246" s="93">
        <f>IFERROR(SUMIFS(ENTRADA!$H:$H,ENTRADA!$B:$B,ESTOQUE!$B246)/O246,0)</f>
        <v>17.719915254237289</v>
      </c>
      <c r="T246" s="93">
        <f t="shared" si="60"/>
        <v>318.95847457627121</v>
      </c>
      <c r="U246" s="93">
        <f t="shared" si="61"/>
        <v>3862.9415254237292</v>
      </c>
    </row>
    <row r="247" spans="2:21" ht="17.100000000000001" customHeight="1" thickBot="1" x14ac:dyDescent="0.3">
      <c r="B247" s="34">
        <v>236</v>
      </c>
      <c r="C247" s="116" t="s">
        <v>19</v>
      </c>
      <c r="D247" s="120" t="s">
        <v>268</v>
      </c>
      <c r="E247" s="116" t="s">
        <v>25</v>
      </c>
      <c r="F247" s="114" t="s">
        <v>25</v>
      </c>
      <c r="G247" s="114" t="s">
        <v>22</v>
      </c>
      <c r="H247" s="118"/>
      <c r="I247" s="119"/>
      <c r="J247" s="66">
        <f t="shared" si="64"/>
        <v>13</v>
      </c>
      <c r="K247" s="68">
        <f t="shared" si="62"/>
        <v>-13</v>
      </c>
      <c r="L247" s="32" t="str">
        <f t="shared" si="66"/>
        <v>ESTOQUE ALTO</v>
      </c>
      <c r="N247" s="26" t="str">
        <f t="shared" si="58"/>
        <v>TALABARTE DUPLO Y SOLDADOR</v>
      </c>
      <c r="O247" s="27">
        <f>SUMIFS(ENTRADA!$F:$F,ENTRADA!$B:$B,ESTOQUE!$B247)</f>
        <v>18</v>
      </c>
      <c r="P247" s="27">
        <f>SUMIFS(SAIDA!$F:$F,SAIDA!$B:$B,ESTOQUE!$B247)</f>
        <v>5</v>
      </c>
      <c r="Q247" s="27">
        <f t="shared" si="59"/>
        <v>13</v>
      </c>
      <c r="R247" s="27" t="e">
        <f>Q247=#REF!</f>
        <v>#REF!</v>
      </c>
      <c r="S247" s="93">
        <f>IFERROR(SUMIFS(ENTRADA!$H:$H,ENTRADA!$B:$B,ESTOQUE!$B247)/O247,0)</f>
        <v>0</v>
      </c>
      <c r="T247" s="93">
        <f t="shared" si="60"/>
        <v>0</v>
      </c>
      <c r="U247" s="93">
        <f t="shared" si="61"/>
        <v>0</v>
      </c>
    </row>
    <row r="248" spans="2:21" ht="17.100000000000001" customHeight="1" thickBot="1" x14ac:dyDescent="0.3">
      <c r="B248" s="34">
        <v>136</v>
      </c>
      <c r="C248" s="116" t="s">
        <v>19</v>
      </c>
      <c r="D248" s="111" t="s">
        <v>269</v>
      </c>
      <c r="E248" s="116" t="s">
        <v>25</v>
      </c>
      <c r="F248" s="117" t="s">
        <v>25</v>
      </c>
      <c r="G248" s="114" t="s">
        <v>22</v>
      </c>
      <c r="H248" s="118">
        <v>50</v>
      </c>
      <c r="I248" s="119">
        <v>100</v>
      </c>
      <c r="J248" s="66">
        <f t="shared" si="64"/>
        <v>12</v>
      </c>
      <c r="K248" s="68">
        <f t="shared" ref="K248:K279" si="67">I248-J248</f>
        <v>88</v>
      </c>
      <c r="L248" s="32" t="str">
        <f t="shared" si="66"/>
        <v>ESTOQUE BAIXO</v>
      </c>
      <c r="N248" s="26" t="str">
        <f t="shared" ref="N248:N311" si="68">D248</f>
        <v>TAYCO CARTUCHO P/ GASES TGV-500 - MASCARA</v>
      </c>
      <c r="O248" s="27">
        <f>SUMIFS(ENTRADA!$F:$F,ENTRADA!$B:$B,ESTOQUE!$B248)</f>
        <v>40</v>
      </c>
      <c r="P248" s="27">
        <f>SUMIFS(SAIDA!$F:$F,SAIDA!$B:$B,ESTOQUE!$B248)</f>
        <v>28</v>
      </c>
      <c r="Q248" s="27">
        <f t="shared" ref="Q248:Q311" si="69">O248-P248</f>
        <v>12</v>
      </c>
      <c r="R248" s="27" t="e">
        <f>Q248=#REF!</f>
        <v>#REF!</v>
      </c>
      <c r="S248" s="93">
        <f>IFERROR(SUMIFS(ENTRADA!$H:$H,ENTRADA!$B:$B,ESTOQUE!$B248)/O248,0)</f>
        <v>47.4375</v>
      </c>
      <c r="T248" s="93">
        <f t="shared" ref="T248:T311" si="70">Q248*S248</f>
        <v>569.25</v>
      </c>
      <c r="U248" s="93">
        <f t="shared" ref="U248:U311" si="71">P248*S248</f>
        <v>1328.25</v>
      </c>
    </row>
    <row r="249" spans="2:21" ht="17.100000000000001" customHeight="1" thickBot="1" x14ac:dyDescent="0.3">
      <c r="B249" s="34">
        <v>137</v>
      </c>
      <c r="C249" s="116" t="s">
        <v>19</v>
      </c>
      <c r="D249" s="111" t="s">
        <v>270</v>
      </c>
      <c r="E249" s="116" t="s">
        <v>25</v>
      </c>
      <c r="F249" s="117" t="s">
        <v>25</v>
      </c>
      <c r="G249" s="114" t="s">
        <v>22</v>
      </c>
      <c r="H249" s="118">
        <v>250</v>
      </c>
      <c r="I249" s="119">
        <v>500</v>
      </c>
      <c r="J249" s="66">
        <f t="shared" si="64"/>
        <v>36</v>
      </c>
      <c r="K249" s="68">
        <f t="shared" si="67"/>
        <v>464</v>
      </c>
      <c r="L249" s="32" t="str">
        <f t="shared" si="66"/>
        <v>ESTOQUE BAIXO</v>
      </c>
      <c r="N249" s="26" t="str">
        <f t="shared" si="68"/>
        <v xml:space="preserve">TOUCA ARABE </v>
      </c>
      <c r="O249" s="27">
        <f>SUMIFS(ENTRADA!$F:$F,ENTRADA!$B:$B,ESTOQUE!$B249)</f>
        <v>131</v>
      </c>
      <c r="P249" s="27">
        <f>SUMIFS(SAIDA!$F:$F,SAIDA!$B:$B,ESTOQUE!$B249)</f>
        <v>95</v>
      </c>
      <c r="Q249" s="27">
        <f t="shared" si="69"/>
        <v>36</v>
      </c>
      <c r="R249" s="27" t="e">
        <f>Q249=#REF!</f>
        <v>#REF!</v>
      </c>
      <c r="S249" s="93">
        <f>IFERROR(SUMIFS(ENTRADA!$H:$H,ENTRADA!$B:$B,ESTOQUE!$B249)/O249,0)</f>
        <v>3.2061068702290076</v>
      </c>
      <c r="T249" s="93">
        <f t="shared" si="70"/>
        <v>115.41984732824427</v>
      </c>
      <c r="U249" s="93">
        <f t="shared" si="71"/>
        <v>304.58015267175574</v>
      </c>
    </row>
    <row r="250" spans="2:21" ht="17.100000000000001" customHeight="1" thickBot="1" x14ac:dyDescent="0.3">
      <c r="B250" s="34">
        <v>143</v>
      </c>
      <c r="C250" s="116" t="s">
        <v>19</v>
      </c>
      <c r="D250" s="120" t="s">
        <v>271</v>
      </c>
      <c r="E250" s="116" t="s">
        <v>25</v>
      </c>
      <c r="F250" s="117" t="s">
        <v>25</v>
      </c>
      <c r="G250" s="114" t="s">
        <v>22</v>
      </c>
      <c r="H250" s="118">
        <v>15</v>
      </c>
      <c r="I250" s="119">
        <v>25</v>
      </c>
      <c r="J250" s="66">
        <f t="shared" si="64"/>
        <v>0</v>
      </c>
      <c r="K250" s="68">
        <f t="shared" si="67"/>
        <v>25</v>
      </c>
      <c r="L250" s="32" t="str">
        <f t="shared" si="66"/>
        <v>ESTOQUE BAIXO</v>
      </c>
      <c r="N250" s="26" t="str">
        <f t="shared" si="68"/>
        <v>TRAVA QUEDA GUIADO EM LINHA FLEXIVEL 12mm</v>
      </c>
      <c r="O250" s="27">
        <f>SUMIFS(ENTRADA!$F:$F,ENTRADA!$B:$B,ESTOQUE!$B250)</f>
        <v>0</v>
      </c>
      <c r="P250" s="27">
        <f>SUMIFS(SAIDA!$F:$F,SAIDA!$B:$B,ESTOQUE!$B250)</f>
        <v>0</v>
      </c>
      <c r="Q250" s="27">
        <f t="shared" si="69"/>
        <v>0</v>
      </c>
      <c r="R250" s="27" t="e">
        <f>Q250=#REF!</f>
        <v>#REF!</v>
      </c>
      <c r="S250" s="93">
        <f>IFERROR(SUMIFS(ENTRADA!$H:$H,ENTRADA!$B:$B,ESTOQUE!$B250)/O250,0)</f>
        <v>0</v>
      </c>
      <c r="T250" s="93">
        <f t="shared" si="70"/>
        <v>0</v>
      </c>
      <c r="U250" s="93">
        <f t="shared" si="71"/>
        <v>0</v>
      </c>
    </row>
    <row r="251" spans="2:21" ht="17.100000000000001" customHeight="1" thickBot="1" x14ac:dyDescent="0.3">
      <c r="B251" s="34">
        <v>142</v>
      </c>
      <c r="C251" s="116" t="s">
        <v>19</v>
      </c>
      <c r="D251" s="120" t="s">
        <v>272</v>
      </c>
      <c r="E251" s="116" t="s">
        <v>25</v>
      </c>
      <c r="F251" s="117" t="s">
        <v>25</v>
      </c>
      <c r="G251" s="114" t="s">
        <v>22</v>
      </c>
      <c r="H251" s="118">
        <v>15</v>
      </c>
      <c r="I251" s="119">
        <v>25</v>
      </c>
      <c r="J251" s="66">
        <f t="shared" si="64"/>
        <v>11</v>
      </c>
      <c r="K251" s="68">
        <f t="shared" si="67"/>
        <v>14</v>
      </c>
      <c r="L251" s="32" t="str">
        <f t="shared" si="66"/>
        <v>ESTOQUE BAIXO</v>
      </c>
      <c r="N251" s="26" t="str">
        <f t="shared" si="68"/>
        <v>TRAVA QUEDA P/ CABO DE AÇO 8mm</v>
      </c>
      <c r="O251" s="27">
        <f>SUMIFS(ENTRADA!$F:$F,ENTRADA!$B:$B,ESTOQUE!$B251)</f>
        <v>17</v>
      </c>
      <c r="P251" s="27">
        <f>SUMIFS(SAIDA!$F:$F,SAIDA!$B:$B,ESTOQUE!$B251)</f>
        <v>6</v>
      </c>
      <c r="Q251" s="27">
        <f t="shared" si="69"/>
        <v>11</v>
      </c>
      <c r="R251" s="27" t="e">
        <f>Q251=#REF!</f>
        <v>#REF!</v>
      </c>
      <c r="S251" s="93">
        <f>IFERROR(SUMIFS(ENTRADA!$H:$H,ENTRADA!$B:$B,ESTOQUE!$B251)/O251,0)</f>
        <v>141.03529411764708</v>
      </c>
      <c r="T251" s="93">
        <f t="shared" si="70"/>
        <v>1551.388235294118</v>
      </c>
      <c r="U251" s="93">
        <f t="shared" si="71"/>
        <v>846.2117647058825</v>
      </c>
    </row>
    <row r="252" spans="2:21" ht="17.100000000000001" customHeight="1" thickBot="1" x14ac:dyDescent="0.3">
      <c r="B252" s="34">
        <v>138</v>
      </c>
      <c r="C252" s="116" t="s">
        <v>19</v>
      </c>
      <c r="D252" s="120" t="s">
        <v>273</v>
      </c>
      <c r="E252" s="116" t="s">
        <v>25</v>
      </c>
      <c r="F252" s="117" t="s">
        <v>25</v>
      </c>
      <c r="G252" s="114" t="s">
        <v>22</v>
      </c>
      <c r="H252" s="118">
        <v>15</v>
      </c>
      <c r="I252" s="119">
        <v>25</v>
      </c>
      <c r="J252" s="66">
        <f t="shared" si="64"/>
        <v>0</v>
      </c>
      <c r="K252" s="68">
        <f t="shared" si="67"/>
        <v>25</v>
      </c>
      <c r="L252" s="32" t="str">
        <f t="shared" si="66"/>
        <v>ESTOQUE BAIXO</v>
      </c>
      <c r="N252" s="26" t="str">
        <f t="shared" si="68"/>
        <v>TRAVA QUEDAS RETRATIL</v>
      </c>
      <c r="O252" s="27">
        <f>SUMIFS(ENTRADA!$F:$F,ENTRADA!$B:$B,ESTOQUE!$B252)</f>
        <v>0</v>
      </c>
      <c r="P252" s="27">
        <f>SUMIFS(SAIDA!$F:$F,SAIDA!$B:$B,ESTOQUE!$B252)</f>
        <v>0</v>
      </c>
      <c r="Q252" s="27">
        <f t="shared" si="69"/>
        <v>0</v>
      </c>
      <c r="R252" s="27" t="e">
        <f>Q252=#REF!</f>
        <v>#REF!</v>
      </c>
      <c r="S252" s="93">
        <f>IFERROR(SUMIFS(ENTRADA!$H:$H,ENTRADA!$B:$B,ESTOQUE!$B252)/O252,0)</f>
        <v>0</v>
      </c>
      <c r="T252" s="93">
        <f t="shared" si="70"/>
        <v>0</v>
      </c>
      <c r="U252" s="93">
        <f t="shared" si="71"/>
        <v>0</v>
      </c>
    </row>
    <row r="253" spans="2:21" ht="17.100000000000001" customHeight="1" thickBot="1" x14ac:dyDescent="0.3">
      <c r="B253" s="34">
        <v>194</v>
      </c>
      <c r="C253" s="116" t="s">
        <v>19</v>
      </c>
      <c r="D253" s="120" t="s">
        <v>274</v>
      </c>
      <c r="E253" s="116">
        <v>36162</v>
      </c>
      <c r="F253" s="117">
        <v>45988</v>
      </c>
      <c r="G253" s="114" t="s">
        <v>22</v>
      </c>
      <c r="H253" s="118">
        <v>100</v>
      </c>
      <c r="I253" s="119">
        <v>250</v>
      </c>
      <c r="J253" s="66">
        <f t="shared" si="64"/>
        <v>10</v>
      </c>
      <c r="K253" s="68">
        <f t="shared" si="67"/>
        <v>240</v>
      </c>
      <c r="L253" s="32" t="str">
        <f t="shared" si="66"/>
        <v>ESTOQUE BAIXO</v>
      </c>
      <c r="N253" s="26" t="str">
        <f>D253</f>
        <v>VISEIRA ACOPLADA</v>
      </c>
      <c r="O253" s="27">
        <f>SUMIFS(ENTRADA!$F:$F,ENTRADA!$B:$B,ESTOQUE!$B253)</f>
        <v>54</v>
      </c>
      <c r="P253" s="27">
        <f>SUMIFS(SAIDA!$F:$F,SAIDA!$B:$B,ESTOQUE!$B253)</f>
        <v>44</v>
      </c>
      <c r="Q253" s="27">
        <f t="shared" si="69"/>
        <v>10</v>
      </c>
      <c r="R253" s="27" t="e">
        <f>Q253=#REF!</f>
        <v>#REF!</v>
      </c>
      <c r="S253" s="93">
        <f>IFERROR(SUMIFS(ENTRADA!$H:$H,ENTRADA!$B:$B,ESTOQUE!$B253)/O253,0)</f>
        <v>2.5185185185185186</v>
      </c>
      <c r="T253" s="93">
        <f t="shared" si="70"/>
        <v>25.185185185185187</v>
      </c>
      <c r="U253" s="93">
        <f t="shared" si="71"/>
        <v>110.81481481481482</v>
      </c>
    </row>
    <row r="254" spans="2:21" ht="17.100000000000001" customHeight="1" thickBot="1" x14ac:dyDescent="0.3">
      <c r="B254" s="34">
        <v>269</v>
      </c>
      <c r="C254" s="116" t="s">
        <v>19</v>
      </c>
      <c r="E254" s="116"/>
      <c r="F254" s="114"/>
      <c r="G254" s="114"/>
      <c r="H254" s="118"/>
      <c r="I254" s="119"/>
      <c r="J254" s="66">
        <f t="shared" si="64"/>
        <v>0</v>
      </c>
      <c r="K254" s="68">
        <f t="shared" si="67"/>
        <v>0</v>
      </c>
      <c r="L254" s="32">
        <f t="shared" ref="L254:L285" si="72">IF(J254&lt;H254,"ESTOQUE BAIXO",IF(J254&gt;I254,"ESTOQUE ALTO",IF(J254&gt;H254,"ESTOQUE NORMAL",)))</f>
        <v>0</v>
      </c>
      <c r="N254" s="26" t="e">
        <f>#REF!</f>
        <v>#REF!</v>
      </c>
      <c r="O254" s="27">
        <f>SUMIFS(ENTRADA!$F:$F,ENTRADA!$B:$B,ESTOQUE!$B254)</f>
        <v>0</v>
      </c>
      <c r="P254" s="27">
        <f>SUMIFS(SAIDA!$F:$F,SAIDA!$B:$B,ESTOQUE!$B254)</f>
        <v>0</v>
      </c>
      <c r="Q254" s="27">
        <f t="shared" si="69"/>
        <v>0</v>
      </c>
      <c r="R254" s="27" t="e">
        <f>Q254=#REF!</f>
        <v>#REF!</v>
      </c>
      <c r="S254" s="93">
        <f>IFERROR(SUMIFS(ENTRADA!$H:$H,ENTRADA!$B:$B,ESTOQUE!$B254)/O254,0)</f>
        <v>0</v>
      </c>
      <c r="T254" s="93">
        <f t="shared" si="70"/>
        <v>0</v>
      </c>
      <c r="U254" s="93">
        <f t="shared" si="71"/>
        <v>0</v>
      </c>
    </row>
    <row r="255" spans="2:21" ht="17.100000000000001" customHeight="1" thickBot="1" x14ac:dyDescent="0.3">
      <c r="B255" s="34">
        <v>270</v>
      </c>
      <c r="C255" s="116" t="s">
        <v>19</v>
      </c>
      <c r="D255" s="120"/>
      <c r="E255" s="116"/>
      <c r="F255" s="114"/>
      <c r="G255" s="114"/>
      <c r="H255" s="118"/>
      <c r="I255" s="119"/>
      <c r="J255" s="66">
        <f t="shared" si="64"/>
        <v>0</v>
      </c>
      <c r="K255" s="68">
        <f t="shared" si="67"/>
        <v>0</v>
      </c>
      <c r="L255" s="32">
        <f t="shared" si="72"/>
        <v>0</v>
      </c>
      <c r="N255" s="26">
        <f t="shared" si="68"/>
        <v>0</v>
      </c>
      <c r="O255" s="27">
        <f>SUMIFS(ENTRADA!$F:$F,ENTRADA!$B:$B,ESTOQUE!$B255)</f>
        <v>0</v>
      </c>
      <c r="P255" s="27">
        <f>SUMIFS(SAIDA!$F:$F,SAIDA!$B:$B,ESTOQUE!$B255)</f>
        <v>0</v>
      </c>
      <c r="Q255" s="27">
        <f t="shared" si="69"/>
        <v>0</v>
      </c>
      <c r="R255" s="27" t="e">
        <f>Q255=#REF!</f>
        <v>#REF!</v>
      </c>
      <c r="S255" s="93">
        <f>IFERROR(SUMIFS(ENTRADA!$H:$H,ENTRADA!$B:$B,ESTOQUE!$B255)/O255,0)</f>
        <v>0</v>
      </c>
      <c r="T255" s="93">
        <f t="shared" si="70"/>
        <v>0</v>
      </c>
      <c r="U255" s="93">
        <f t="shared" si="71"/>
        <v>0</v>
      </c>
    </row>
    <row r="256" spans="2:21" ht="17.100000000000001" customHeight="1" thickBot="1" x14ac:dyDescent="0.3">
      <c r="B256" s="34">
        <v>271</v>
      </c>
      <c r="C256" s="116" t="s">
        <v>19</v>
      </c>
      <c r="D256" s="120"/>
      <c r="E256" s="116"/>
      <c r="F256" s="114"/>
      <c r="G256" s="114"/>
      <c r="H256" s="118"/>
      <c r="I256" s="119"/>
      <c r="J256" s="66">
        <f t="shared" si="64"/>
        <v>0</v>
      </c>
      <c r="K256" s="68">
        <f t="shared" si="67"/>
        <v>0</v>
      </c>
      <c r="L256" s="32">
        <f t="shared" si="72"/>
        <v>0</v>
      </c>
      <c r="N256" s="26">
        <f t="shared" si="68"/>
        <v>0</v>
      </c>
      <c r="O256" s="27">
        <f>SUMIFS(ENTRADA!$F:$F,ENTRADA!$B:$B,ESTOQUE!$B256)</f>
        <v>0</v>
      </c>
      <c r="P256" s="27">
        <f>SUMIFS(SAIDA!$F:$F,SAIDA!$B:$B,ESTOQUE!$B256)</f>
        <v>0</v>
      </c>
      <c r="Q256" s="27">
        <f t="shared" si="69"/>
        <v>0</v>
      </c>
      <c r="R256" s="27" t="e">
        <f>Q256=#REF!</f>
        <v>#REF!</v>
      </c>
      <c r="S256" s="93">
        <f>IFERROR(SUMIFS(ENTRADA!$H:$H,ENTRADA!$B:$B,ESTOQUE!$B256)/O256,0)</f>
        <v>0</v>
      </c>
      <c r="T256" s="93">
        <f t="shared" si="70"/>
        <v>0</v>
      </c>
      <c r="U256" s="93">
        <f t="shared" si="71"/>
        <v>0</v>
      </c>
    </row>
    <row r="257" spans="2:21" ht="17.100000000000001" customHeight="1" thickBot="1" x14ac:dyDescent="0.3">
      <c r="B257" s="34">
        <v>272</v>
      </c>
      <c r="C257" s="116" t="s">
        <v>19</v>
      </c>
      <c r="D257" s="120"/>
      <c r="E257" s="116"/>
      <c r="F257" s="114"/>
      <c r="G257" s="114"/>
      <c r="H257" s="118"/>
      <c r="I257" s="119"/>
      <c r="J257" s="66">
        <f t="shared" si="64"/>
        <v>0</v>
      </c>
      <c r="K257" s="68">
        <f t="shared" si="67"/>
        <v>0</v>
      </c>
      <c r="L257" s="32">
        <f t="shared" si="72"/>
        <v>0</v>
      </c>
      <c r="N257" s="26">
        <f t="shared" si="68"/>
        <v>0</v>
      </c>
      <c r="O257" s="27">
        <f>SUMIFS(ENTRADA!$F:$F,ENTRADA!$B:$B,ESTOQUE!$B257)</f>
        <v>0</v>
      </c>
      <c r="P257" s="27">
        <f>SUMIFS(SAIDA!$F:$F,SAIDA!$B:$B,ESTOQUE!$B257)</f>
        <v>0</v>
      </c>
      <c r="Q257" s="27">
        <f t="shared" si="69"/>
        <v>0</v>
      </c>
      <c r="R257" s="27" t="e">
        <f>Q257=#REF!</f>
        <v>#REF!</v>
      </c>
      <c r="S257" s="93">
        <f>IFERROR(SUMIFS(ENTRADA!$H:$H,ENTRADA!$B:$B,ESTOQUE!$B257)/O257,0)</f>
        <v>0</v>
      </c>
      <c r="T257" s="93">
        <f t="shared" si="70"/>
        <v>0</v>
      </c>
      <c r="U257" s="93">
        <f t="shared" si="71"/>
        <v>0</v>
      </c>
    </row>
    <row r="258" spans="2:21" ht="17.100000000000001" customHeight="1" thickBot="1" x14ac:dyDescent="0.3">
      <c r="B258" s="34">
        <v>273</v>
      </c>
      <c r="C258" s="116" t="s">
        <v>19</v>
      </c>
      <c r="D258" s="120"/>
      <c r="E258" s="116"/>
      <c r="F258" s="114"/>
      <c r="G258" s="114"/>
      <c r="H258" s="118"/>
      <c r="I258" s="119"/>
      <c r="J258" s="66">
        <f t="shared" si="64"/>
        <v>0</v>
      </c>
      <c r="K258" s="68">
        <f t="shared" si="67"/>
        <v>0</v>
      </c>
      <c r="L258" s="32">
        <f t="shared" si="72"/>
        <v>0</v>
      </c>
      <c r="N258" s="26">
        <f t="shared" si="68"/>
        <v>0</v>
      </c>
      <c r="O258" s="27">
        <f>SUMIFS(ENTRADA!$F:$F,ENTRADA!$B:$B,ESTOQUE!$B258)</f>
        <v>0</v>
      </c>
      <c r="P258" s="27">
        <f>SUMIFS(SAIDA!$F:$F,SAIDA!$B:$B,ESTOQUE!$B258)</f>
        <v>0</v>
      </c>
      <c r="Q258" s="27">
        <f t="shared" si="69"/>
        <v>0</v>
      </c>
      <c r="R258" s="27" t="e">
        <f>Q258=#REF!</f>
        <v>#REF!</v>
      </c>
      <c r="S258" s="93">
        <f>IFERROR(SUMIFS(ENTRADA!$H:$H,ENTRADA!$B:$B,ESTOQUE!$B258)/O258,0)</f>
        <v>0</v>
      </c>
      <c r="T258" s="93">
        <f t="shared" si="70"/>
        <v>0</v>
      </c>
      <c r="U258" s="93">
        <f t="shared" si="71"/>
        <v>0</v>
      </c>
    </row>
    <row r="259" spans="2:21" ht="17.100000000000001" customHeight="1" thickBot="1" x14ac:dyDescent="0.3">
      <c r="B259" s="34">
        <v>274</v>
      </c>
      <c r="C259" s="116" t="s">
        <v>19</v>
      </c>
      <c r="D259" s="120"/>
      <c r="E259" s="116"/>
      <c r="F259" s="114"/>
      <c r="G259" s="114"/>
      <c r="H259" s="118"/>
      <c r="I259" s="119"/>
      <c r="J259" s="66">
        <f t="shared" si="64"/>
        <v>0</v>
      </c>
      <c r="K259" s="68">
        <f t="shared" si="67"/>
        <v>0</v>
      </c>
      <c r="L259" s="32">
        <f t="shared" si="72"/>
        <v>0</v>
      </c>
      <c r="N259" s="26">
        <f t="shared" si="68"/>
        <v>0</v>
      </c>
      <c r="O259" s="27">
        <f>SUMIFS(ENTRADA!$F:$F,ENTRADA!$B:$B,ESTOQUE!$B259)</f>
        <v>0</v>
      </c>
      <c r="P259" s="27">
        <f>SUMIFS(SAIDA!$F:$F,SAIDA!$B:$B,ESTOQUE!$B259)</f>
        <v>0</v>
      </c>
      <c r="Q259" s="27">
        <f t="shared" si="69"/>
        <v>0</v>
      </c>
      <c r="R259" s="27" t="e">
        <f>Q259=#REF!</f>
        <v>#REF!</v>
      </c>
      <c r="S259" s="93">
        <f>IFERROR(SUMIFS(ENTRADA!$H:$H,ENTRADA!$B:$B,ESTOQUE!$B259)/O259,0)</f>
        <v>0</v>
      </c>
      <c r="T259" s="93">
        <f t="shared" si="70"/>
        <v>0</v>
      </c>
      <c r="U259" s="93">
        <f t="shared" si="71"/>
        <v>0</v>
      </c>
    </row>
    <row r="260" spans="2:21" ht="17.100000000000001" customHeight="1" thickBot="1" x14ac:dyDescent="0.3">
      <c r="B260" s="34">
        <v>275</v>
      </c>
      <c r="C260" s="116" t="s">
        <v>19</v>
      </c>
      <c r="D260" s="120"/>
      <c r="E260" s="116"/>
      <c r="F260" s="114"/>
      <c r="G260" s="114"/>
      <c r="H260" s="118"/>
      <c r="I260" s="119"/>
      <c r="J260" s="66">
        <f t="shared" si="64"/>
        <v>0</v>
      </c>
      <c r="K260" s="68">
        <f t="shared" si="67"/>
        <v>0</v>
      </c>
      <c r="L260" s="32">
        <f t="shared" si="72"/>
        <v>0</v>
      </c>
      <c r="N260" s="26">
        <f t="shared" si="68"/>
        <v>0</v>
      </c>
      <c r="O260" s="27">
        <f>SUMIFS(ENTRADA!$F:$F,ENTRADA!$B:$B,ESTOQUE!$B260)</f>
        <v>0</v>
      </c>
      <c r="P260" s="27">
        <f>SUMIFS(SAIDA!$F:$F,SAIDA!$B:$B,ESTOQUE!$B260)</f>
        <v>0</v>
      </c>
      <c r="Q260" s="27">
        <f t="shared" si="69"/>
        <v>0</v>
      </c>
      <c r="R260" s="27" t="e">
        <f>Q260=#REF!</f>
        <v>#REF!</v>
      </c>
      <c r="S260" s="93">
        <f>IFERROR(SUMIFS(ENTRADA!$H:$H,ENTRADA!$B:$B,ESTOQUE!$B260)/O260,0)</f>
        <v>0</v>
      </c>
      <c r="T260" s="93">
        <f t="shared" si="70"/>
        <v>0</v>
      </c>
      <c r="U260" s="93">
        <f t="shared" si="71"/>
        <v>0</v>
      </c>
    </row>
    <row r="261" spans="2:21" ht="17.100000000000001" customHeight="1" thickBot="1" x14ac:dyDescent="0.3">
      <c r="B261" s="34">
        <v>276</v>
      </c>
      <c r="C261" s="116" t="s">
        <v>19</v>
      </c>
      <c r="D261" s="120"/>
      <c r="E261" s="116"/>
      <c r="F261" s="114"/>
      <c r="G261" s="114"/>
      <c r="H261" s="118"/>
      <c r="I261" s="119"/>
      <c r="J261" s="66">
        <f t="shared" si="64"/>
        <v>0</v>
      </c>
      <c r="K261" s="68">
        <f t="shared" si="67"/>
        <v>0</v>
      </c>
      <c r="L261" s="32">
        <f t="shared" si="72"/>
        <v>0</v>
      </c>
      <c r="N261" s="26">
        <f t="shared" si="68"/>
        <v>0</v>
      </c>
      <c r="O261" s="27">
        <f>SUMIFS(ENTRADA!$F:$F,ENTRADA!$B:$B,ESTOQUE!$B261)</f>
        <v>0</v>
      </c>
      <c r="P261" s="27">
        <f>SUMIFS(SAIDA!$F:$F,SAIDA!$B:$B,ESTOQUE!$B261)</f>
        <v>0</v>
      </c>
      <c r="Q261" s="27">
        <f t="shared" si="69"/>
        <v>0</v>
      </c>
      <c r="R261" s="27" t="e">
        <f>Q261=#REF!</f>
        <v>#REF!</v>
      </c>
      <c r="S261" s="93">
        <f>IFERROR(SUMIFS(ENTRADA!$H:$H,ENTRADA!$B:$B,ESTOQUE!$B261)/O261,0)</f>
        <v>0</v>
      </c>
      <c r="T261" s="93">
        <f t="shared" si="70"/>
        <v>0</v>
      </c>
      <c r="U261" s="93">
        <f t="shared" si="71"/>
        <v>0</v>
      </c>
    </row>
    <row r="262" spans="2:21" ht="17.100000000000001" customHeight="1" thickBot="1" x14ac:dyDescent="0.3">
      <c r="B262" s="34">
        <v>277</v>
      </c>
      <c r="C262" s="116" t="s">
        <v>19</v>
      </c>
      <c r="D262" s="120"/>
      <c r="E262" s="116"/>
      <c r="F262" s="114"/>
      <c r="G262" s="114"/>
      <c r="H262" s="118"/>
      <c r="I262" s="119"/>
      <c r="J262" s="66">
        <f t="shared" si="64"/>
        <v>0</v>
      </c>
      <c r="K262" s="68">
        <f t="shared" si="67"/>
        <v>0</v>
      </c>
      <c r="L262" s="32">
        <f t="shared" si="72"/>
        <v>0</v>
      </c>
      <c r="N262" s="26">
        <f t="shared" si="68"/>
        <v>0</v>
      </c>
      <c r="O262" s="27">
        <f>SUMIFS(ENTRADA!$F:$F,ENTRADA!$B:$B,ESTOQUE!$B262)</f>
        <v>0</v>
      </c>
      <c r="P262" s="27">
        <f>SUMIFS(SAIDA!$F:$F,SAIDA!$B:$B,ESTOQUE!$B262)</f>
        <v>0</v>
      </c>
      <c r="Q262" s="27">
        <f t="shared" si="69"/>
        <v>0</v>
      </c>
      <c r="R262" s="27" t="e">
        <f>Q262=#REF!</f>
        <v>#REF!</v>
      </c>
      <c r="S262" s="93">
        <f>IFERROR(SUMIFS(ENTRADA!$H:$H,ENTRADA!$B:$B,ESTOQUE!$B262)/O262,0)</f>
        <v>0</v>
      </c>
      <c r="T262" s="93">
        <f t="shared" si="70"/>
        <v>0</v>
      </c>
      <c r="U262" s="93">
        <f t="shared" si="71"/>
        <v>0</v>
      </c>
    </row>
    <row r="263" spans="2:21" ht="17.100000000000001" customHeight="1" thickBot="1" x14ac:dyDescent="0.3">
      <c r="B263" s="34">
        <v>278</v>
      </c>
      <c r="C263" s="116" t="s">
        <v>19</v>
      </c>
      <c r="D263" s="120"/>
      <c r="E263" s="116"/>
      <c r="F263" s="114"/>
      <c r="G263" s="114"/>
      <c r="H263" s="118"/>
      <c r="I263" s="119"/>
      <c r="J263" s="66">
        <f t="shared" si="64"/>
        <v>0</v>
      </c>
      <c r="K263" s="68">
        <f t="shared" si="67"/>
        <v>0</v>
      </c>
      <c r="L263" s="32">
        <f t="shared" si="72"/>
        <v>0</v>
      </c>
      <c r="N263" s="26">
        <f t="shared" si="68"/>
        <v>0</v>
      </c>
      <c r="O263" s="27">
        <f>SUMIFS(ENTRADA!$F:$F,ENTRADA!$B:$B,ESTOQUE!$B263)</f>
        <v>0</v>
      </c>
      <c r="P263" s="27">
        <f>SUMIFS(SAIDA!$F:$F,SAIDA!$B:$B,ESTOQUE!$B263)</f>
        <v>0</v>
      </c>
      <c r="Q263" s="27">
        <f t="shared" si="69"/>
        <v>0</v>
      </c>
      <c r="R263" s="27" t="e">
        <f>Q263=#REF!</f>
        <v>#REF!</v>
      </c>
      <c r="S263" s="93">
        <f>IFERROR(SUMIFS(ENTRADA!$H:$H,ENTRADA!$B:$B,ESTOQUE!$B263)/O263,0)</f>
        <v>0</v>
      </c>
      <c r="T263" s="93">
        <f t="shared" si="70"/>
        <v>0</v>
      </c>
      <c r="U263" s="93">
        <f t="shared" si="71"/>
        <v>0</v>
      </c>
    </row>
    <row r="264" spans="2:21" ht="17.100000000000001" customHeight="1" thickBot="1" x14ac:dyDescent="0.3">
      <c r="B264" s="34">
        <v>279</v>
      </c>
      <c r="C264" s="116" t="s">
        <v>19</v>
      </c>
      <c r="D264" s="120"/>
      <c r="E264" s="116"/>
      <c r="F264" s="114"/>
      <c r="G264" s="114"/>
      <c r="H264" s="118"/>
      <c r="I264" s="119"/>
      <c r="J264" s="66">
        <f t="shared" si="64"/>
        <v>0</v>
      </c>
      <c r="K264" s="68">
        <f t="shared" si="67"/>
        <v>0</v>
      </c>
      <c r="L264" s="32">
        <f t="shared" si="72"/>
        <v>0</v>
      </c>
      <c r="N264" s="26">
        <f t="shared" si="68"/>
        <v>0</v>
      </c>
      <c r="O264" s="27">
        <f>SUMIFS(ENTRADA!$F:$F,ENTRADA!$B:$B,ESTOQUE!$B264)</f>
        <v>0</v>
      </c>
      <c r="P264" s="27">
        <f>SUMIFS(SAIDA!$F:$F,SAIDA!$B:$B,ESTOQUE!$B264)</f>
        <v>0</v>
      </c>
      <c r="Q264" s="27">
        <f t="shared" si="69"/>
        <v>0</v>
      </c>
      <c r="R264" s="27" t="e">
        <f>Q264=#REF!</f>
        <v>#REF!</v>
      </c>
      <c r="S264" s="93">
        <f>IFERROR(SUMIFS(ENTRADA!$H:$H,ENTRADA!$B:$B,ESTOQUE!$B264)/O264,0)</f>
        <v>0</v>
      </c>
      <c r="T264" s="93">
        <f t="shared" si="70"/>
        <v>0</v>
      </c>
      <c r="U264" s="93">
        <f t="shared" si="71"/>
        <v>0</v>
      </c>
    </row>
    <row r="265" spans="2:21" ht="17.100000000000001" customHeight="1" thickBot="1" x14ac:dyDescent="0.3">
      <c r="B265" s="34">
        <v>280</v>
      </c>
      <c r="C265" s="116" t="s">
        <v>19</v>
      </c>
      <c r="D265" s="120"/>
      <c r="E265" s="116"/>
      <c r="F265" s="114"/>
      <c r="G265" s="114"/>
      <c r="H265" s="118"/>
      <c r="I265" s="119"/>
      <c r="J265" s="66">
        <f t="shared" si="64"/>
        <v>0</v>
      </c>
      <c r="K265" s="68">
        <f t="shared" si="67"/>
        <v>0</v>
      </c>
      <c r="L265" s="32">
        <f t="shared" si="72"/>
        <v>0</v>
      </c>
      <c r="N265" s="26">
        <f t="shared" si="68"/>
        <v>0</v>
      </c>
      <c r="O265" s="27">
        <f>SUMIFS(ENTRADA!$F:$F,ENTRADA!$B:$B,ESTOQUE!$B265)</f>
        <v>0</v>
      </c>
      <c r="P265" s="27">
        <f>SUMIFS(SAIDA!$F:$F,SAIDA!$B:$B,ESTOQUE!$B265)</f>
        <v>0</v>
      </c>
      <c r="Q265" s="27">
        <f t="shared" si="69"/>
        <v>0</v>
      </c>
      <c r="R265" s="27" t="e">
        <f>Q265=#REF!</f>
        <v>#REF!</v>
      </c>
      <c r="S265" s="93">
        <f>IFERROR(SUMIFS(ENTRADA!$H:$H,ENTRADA!$B:$B,ESTOQUE!$B265)/O265,0)</f>
        <v>0</v>
      </c>
      <c r="T265" s="93">
        <f t="shared" si="70"/>
        <v>0</v>
      </c>
      <c r="U265" s="93">
        <f t="shared" si="71"/>
        <v>0</v>
      </c>
    </row>
    <row r="266" spans="2:21" ht="17.100000000000001" customHeight="1" thickBot="1" x14ac:dyDescent="0.3">
      <c r="B266" s="34">
        <v>281</v>
      </c>
      <c r="C266" s="116" t="s">
        <v>19</v>
      </c>
      <c r="D266" s="120"/>
      <c r="E266" s="116"/>
      <c r="F266" s="114"/>
      <c r="G266" s="114"/>
      <c r="H266" s="118"/>
      <c r="I266" s="119"/>
      <c r="J266" s="66">
        <f t="shared" si="64"/>
        <v>0</v>
      </c>
      <c r="K266" s="68">
        <f t="shared" si="67"/>
        <v>0</v>
      </c>
      <c r="L266" s="32">
        <f t="shared" si="72"/>
        <v>0</v>
      </c>
      <c r="N266" s="26">
        <f t="shared" si="68"/>
        <v>0</v>
      </c>
      <c r="O266" s="27">
        <f>SUMIFS(ENTRADA!$F:$F,ENTRADA!$B:$B,ESTOQUE!$B266)</f>
        <v>0</v>
      </c>
      <c r="P266" s="27">
        <f>SUMIFS(SAIDA!$F:$F,SAIDA!$B:$B,ESTOQUE!$B266)</f>
        <v>0</v>
      </c>
      <c r="Q266" s="27">
        <f t="shared" si="69"/>
        <v>0</v>
      </c>
      <c r="R266" s="27" t="e">
        <f>Q266=#REF!</f>
        <v>#REF!</v>
      </c>
      <c r="S266" s="93">
        <f>IFERROR(SUMIFS(ENTRADA!$H:$H,ENTRADA!$B:$B,ESTOQUE!$B266)/O266,0)</f>
        <v>0</v>
      </c>
      <c r="T266" s="93">
        <f t="shared" si="70"/>
        <v>0</v>
      </c>
      <c r="U266" s="93">
        <f t="shared" si="71"/>
        <v>0</v>
      </c>
    </row>
    <row r="267" spans="2:21" ht="17.100000000000001" customHeight="1" thickBot="1" x14ac:dyDescent="0.3">
      <c r="B267" s="34">
        <v>282</v>
      </c>
      <c r="C267" s="116" t="s">
        <v>19</v>
      </c>
      <c r="D267" s="120"/>
      <c r="E267" s="116"/>
      <c r="F267" s="114"/>
      <c r="G267" s="114"/>
      <c r="H267" s="118"/>
      <c r="I267" s="119"/>
      <c r="J267" s="66">
        <f t="shared" si="64"/>
        <v>0</v>
      </c>
      <c r="K267" s="68">
        <f t="shared" si="67"/>
        <v>0</v>
      </c>
      <c r="L267" s="32">
        <f t="shared" si="72"/>
        <v>0</v>
      </c>
      <c r="N267" s="26">
        <f t="shared" si="68"/>
        <v>0</v>
      </c>
      <c r="O267" s="27">
        <f>SUMIFS(ENTRADA!$F:$F,ENTRADA!$B:$B,ESTOQUE!$B267)</f>
        <v>0</v>
      </c>
      <c r="P267" s="27">
        <f>SUMIFS(SAIDA!$F:$F,SAIDA!$B:$B,ESTOQUE!$B267)</f>
        <v>0</v>
      </c>
      <c r="Q267" s="27">
        <f t="shared" si="69"/>
        <v>0</v>
      </c>
      <c r="R267" s="27" t="e">
        <f>Q267=#REF!</f>
        <v>#REF!</v>
      </c>
      <c r="S267" s="93">
        <f>IFERROR(SUMIFS(ENTRADA!$H:$H,ENTRADA!$B:$B,ESTOQUE!$B267)/O267,0)</f>
        <v>0</v>
      </c>
      <c r="T267" s="93">
        <f t="shared" si="70"/>
        <v>0</v>
      </c>
      <c r="U267" s="93">
        <f t="shared" si="71"/>
        <v>0</v>
      </c>
    </row>
    <row r="268" spans="2:21" ht="17.100000000000001" customHeight="1" thickBot="1" x14ac:dyDescent="0.3">
      <c r="B268" s="34">
        <v>283</v>
      </c>
      <c r="C268" s="116" t="s">
        <v>19</v>
      </c>
      <c r="D268" s="120"/>
      <c r="E268" s="116"/>
      <c r="F268" s="114"/>
      <c r="G268" s="114"/>
      <c r="H268" s="118"/>
      <c r="I268" s="119"/>
      <c r="J268" s="66">
        <f t="shared" si="64"/>
        <v>0</v>
      </c>
      <c r="K268" s="68">
        <f t="shared" si="67"/>
        <v>0</v>
      </c>
      <c r="L268" s="32">
        <f t="shared" si="72"/>
        <v>0</v>
      </c>
      <c r="N268" s="26">
        <f t="shared" si="68"/>
        <v>0</v>
      </c>
      <c r="O268" s="27">
        <f>SUMIFS(ENTRADA!$F:$F,ENTRADA!$B:$B,ESTOQUE!$B268)</f>
        <v>0</v>
      </c>
      <c r="P268" s="27">
        <f>SUMIFS(SAIDA!$F:$F,SAIDA!$B:$B,ESTOQUE!$B268)</f>
        <v>0</v>
      </c>
      <c r="Q268" s="27">
        <f t="shared" si="69"/>
        <v>0</v>
      </c>
      <c r="R268" s="27" t="e">
        <f>Q268=#REF!</f>
        <v>#REF!</v>
      </c>
      <c r="S268" s="93">
        <f>IFERROR(SUMIFS(ENTRADA!$H:$H,ENTRADA!$B:$B,ESTOQUE!$B268)/O268,0)</f>
        <v>0</v>
      </c>
      <c r="T268" s="93">
        <f t="shared" si="70"/>
        <v>0</v>
      </c>
      <c r="U268" s="93">
        <f t="shared" si="71"/>
        <v>0</v>
      </c>
    </row>
    <row r="269" spans="2:21" ht="17.100000000000001" customHeight="1" thickBot="1" x14ac:dyDescent="0.3">
      <c r="B269" s="34">
        <v>284</v>
      </c>
      <c r="C269" s="116" t="s">
        <v>19</v>
      </c>
      <c r="D269" s="120"/>
      <c r="E269" s="116"/>
      <c r="F269" s="114"/>
      <c r="G269" s="114"/>
      <c r="H269" s="118"/>
      <c r="I269" s="119"/>
      <c r="J269" s="66">
        <f t="shared" si="64"/>
        <v>0</v>
      </c>
      <c r="K269" s="68">
        <f t="shared" si="67"/>
        <v>0</v>
      </c>
      <c r="L269" s="32">
        <f t="shared" si="72"/>
        <v>0</v>
      </c>
      <c r="N269" s="26">
        <f t="shared" si="68"/>
        <v>0</v>
      </c>
      <c r="O269" s="27">
        <f>SUMIFS(ENTRADA!$F:$F,ENTRADA!$B:$B,ESTOQUE!$B269)</f>
        <v>0</v>
      </c>
      <c r="P269" s="27">
        <f>SUMIFS(SAIDA!$F:$F,SAIDA!$B:$B,ESTOQUE!$B269)</f>
        <v>0</v>
      </c>
      <c r="Q269" s="27">
        <f t="shared" si="69"/>
        <v>0</v>
      </c>
      <c r="R269" s="27" t="e">
        <f>Q269=#REF!</f>
        <v>#REF!</v>
      </c>
      <c r="S269" s="93">
        <f>IFERROR(SUMIFS(ENTRADA!$H:$H,ENTRADA!$B:$B,ESTOQUE!$B269)/O269,0)</f>
        <v>0</v>
      </c>
      <c r="T269" s="93">
        <f t="shared" si="70"/>
        <v>0</v>
      </c>
      <c r="U269" s="93">
        <f t="shared" si="71"/>
        <v>0</v>
      </c>
    </row>
    <row r="270" spans="2:21" ht="17.100000000000001" customHeight="1" thickBot="1" x14ac:dyDescent="0.3">
      <c r="B270" s="34">
        <v>285</v>
      </c>
      <c r="C270" s="116" t="s">
        <v>19</v>
      </c>
      <c r="D270" s="120"/>
      <c r="E270" s="116"/>
      <c r="F270" s="114"/>
      <c r="G270" s="114"/>
      <c r="H270" s="118"/>
      <c r="I270" s="119"/>
      <c r="J270" s="66">
        <f t="shared" si="64"/>
        <v>0</v>
      </c>
      <c r="K270" s="68">
        <f t="shared" si="67"/>
        <v>0</v>
      </c>
      <c r="L270" s="32">
        <f t="shared" si="72"/>
        <v>0</v>
      </c>
      <c r="N270" s="26">
        <f t="shared" si="68"/>
        <v>0</v>
      </c>
      <c r="O270" s="27">
        <f>SUMIFS(ENTRADA!$F:$F,ENTRADA!$B:$B,ESTOQUE!$B270)</f>
        <v>0</v>
      </c>
      <c r="P270" s="27">
        <f>SUMIFS(SAIDA!$F:$F,SAIDA!$B:$B,ESTOQUE!$B270)</f>
        <v>0</v>
      </c>
      <c r="Q270" s="27">
        <f t="shared" si="69"/>
        <v>0</v>
      </c>
      <c r="R270" s="27" t="e">
        <f>Q270=#REF!</f>
        <v>#REF!</v>
      </c>
      <c r="S270" s="93">
        <f>IFERROR(SUMIFS(ENTRADA!$H:$H,ENTRADA!$B:$B,ESTOQUE!$B270)/O270,0)</f>
        <v>0</v>
      </c>
      <c r="T270" s="93">
        <f t="shared" si="70"/>
        <v>0</v>
      </c>
      <c r="U270" s="93">
        <f t="shared" si="71"/>
        <v>0</v>
      </c>
    </row>
    <row r="271" spans="2:21" ht="17.100000000000001" customHeight="1" thickBot="1" x14ac:dyDescent="0.3">
      <c r="B271" s="34">
        <v>286</v>
      </c>
      <c r="C271" s="116" t="s">
        <v>19</v>
      </c>
      <c r="D271" s="120"/>
      <c r="E271" s="116"/>
      <c r="F271" s="114"/>
      <c r="G271" s="114"/>
      <c r="H271" s="118"/>
      <c r="I271" s="119"/>
      <c r="J271" s="66">
        <f t="shared" si="64"/>
        <v>0</v>
      </c>
      <c r="K271" s="68">
        <f t="shared" si="67"/>
        <v>0</v>
      </c>
      <c r="L271" s="32">
        <f t="shared" si="72"/>
        <v>0</v>
      </c>
      <c r="N271" s="26">
        <f t="shared" si="68"/>
        <v>0</v>
      </c>
      <c r="O271" s="27">
        <f>SUMIFS(ENTRADA!$F:$F,ENTRADA!$B:$B,ESTOQUE!$B271)</f>
        <v>0</v>
      </c>
      <c r="P271" s="27">
        <f>SUMIFS(SAIDA!$F:$F,SAIDA!$B:$B,ESTOQUE!$B271)</f>
        <v>0</v>
      </c>
      <c r="Q271" s="27">
        <f t="shared" si="69"/>
        <v>0</v>
      </c>
      <c r="R271" s="27" t="e">
        <f>Q271=#REF!</f>
        <v>#REF!</v>
      </c>
      <c r="S271" s="93">
        <f>IFERROR(SUMIFS(ENTRADA!$H:$H,ENTRADA!$B:$B,ESTOQUE!$B271)/O271,0)</f>
        <v>0</v>
      </c>
      <c r="T271" s="93">
        <f t="shared" si="70"/>
        <v>0</v>
      </c>
      <c r="U271" s="93">
        <f t="shared" si="71"/>
        <v>0</v>
      </c>
    </row>
    <row r="272" spans="2:21" ht="17.100000000000001" customHeight="1" thickBot="1" x14ac:dyDescent="0.3">
      <c r="B272" s="34">
        <v>287</v>
      </c>
      <c r="C272" s="116" t="s">
        <v>19</v>
      </c>
      <c r="D272" s="120"/>
      <c r="E272" s="116"/>
      <c r="F272" s="114"/>
      <c r="G272" s="114"/>
      <c r="H272" s="118"/>
      <c r="I272" s="119"/>
      <c r="J272" s="66">
        <f t="shared" si="64"/>
        <v>0</v>
      </c>
      <c r="K272" s="68">
        <f t="shared" si="67"/>
        <v>0</v>
      </c>
      <c r="L272" s="32">
        <f t="shared" si="72"/>
        <v>0</v>
      </c>
      <c r="N272" s="26">
        <f t="shared" si="68"/>
        <v>0</v>
      </c>
      <c r="O272" s="27">
        <f>SUMIFS(ENTRADA!$F:$F,ENTRADA!$B:$B,ESTOQUE!$B272)</f>
        <v>0</v>
      </c>
      <c r="P272" s="27">
        <f>SUMIFS(SAIDA!$F:$F,SAIDA!$B:$B,ESTOQUE!$B272)</f>
        <v>0</v>
      </c>
      <c r="Q272" s="27">
        <f t="shared" si="69"/>
        <v>0</v>
      </c>
      <c r="R272" s="27" t="e">
        <f>Q272=#REF!</f>
        <v>#REF!</v>
      </c>
      <c r="S272" s="93">
        <f>IFERROR(SUMIFS(ENTRADA!$H:$H,ENTRADA!$B:$B,ESTOQUE!$B272)/O272,0)</f>
        <v>0</v>
      </c>
      <c r="T272" s="93">
        <f t="shared" si="70"/>
        <v>0</v>
      </c>
      <c r="U272" s="93">
        <f t="shared" si="71"/>
        <v>0</v>
      </c>
    </row>
    <row r="273" spans="2:21" ht="17.100000000000001" customHeight="1" thickBot="1" x14ac:dyDescent="0.3">
      <c r="B273" s="34">
        <v>288</v>
      </c>
      <c r="C273" s="116" t="s">
        <v>19</v>
      </c>
      <c r="D273" s="120"/>
      <c r="E273" s="116"/>
      <c r="F273" s="114"/>
      <c r="G273" s="114"/>
      <c r="H273" s="118"/>
      <c r="I273" s="119"/>
      <c r="J273" s="66">
        <f t="shared" si="64"/>
        <v>0</v>
      </c>
      <c r="K273" s="68">
        <f t="shared" si="67"/>
        <v>0</v>
      </c>
      <c r="L273" s="32">
        <f t="shared" si="72"/>
        <v>0</v>
      </c>
      <c r="N273" s="26">
        <f t="shared" si="68"/>
        <v>0</v>
      </c>
      <c r="O273" s="27">
        <f>SUMIFS(ENTRADA!$F:$F,ENTRADA!$B:$B,ESTOQUE!$B273)</f>
        <v>0</v>
      </c>
      <c r="P273" s="27">
        <f>SUMIFS(SAIDA!$F:$F,SAIDA!$B:$B,ESTOQUE!$B273)</f>
        <v>0</v>
      </c>
      <c r="Q273" s="27">
        <f t="shared" si="69"/>
        <v>0</v>
      </c>
      <c r="R273" s="27" t="e">
        <f>Q273=#REF!</f>
        <v>#REF!</v>
      </c>
      <c r="S273" s="93">
        <f>IFERROR(SUMIFS(ENTRADA!$H:$H,ENTRADA!$B:$B,ESTOQUE!$B273)/O273,0)</f>
        <v>0</v>
      </c>
      <c r="T273" s="93">
        <f t="shared" si="70"/>
        <v>0</v>
      </c>
      <c r="U273" s="93">
        <f t="shared" si="71"/>
        <v>0</v>
      </c>
    </row>
    <row r="274" spans="2:21" ht="17.100000000000001" customHeight="1" thickBot="1" x14ac:dyDescent="0.3">
      <c r="B274" s="34">
        <v>289</v>
      </c>
      <c r="C274" s="116" t="s">
        <v>19</v>
      </c>
      <c r="D274" s="120"/>
      <c r="E274" s="116"/>
      <c r="F274" s="114"/>
      <c r="G274" s="114"/>
      <c r="H274" s="118"/>
      <c r="I274" s="119"/>
      <c r="J274" s="66">
        <f t="shared" si="64"/>
        <v>0</v>
      </c>
      <c r="K274" s="68">
        <f t="shared" si="67"/>
        <v>0</v>
      </c>
      <c r="L274" s="32">
        <f t="shared" si="72"/>
        <v>0</v>
      </c>
      <c r="N274" s="26">
        <f t="shared" si="68"/>
        <v>0</v>
      </c>
      <c r="O274" s="27">
        <f>SUMIFS(ENTRADA!$F:$F,ENTRADA!$B:$B,ESTOQUE!$B274)</f>
        <v>0</v>
      </c>
      <c r="P274" s="27">
        <f>SUMIFS(SAIDA!$F:$F,SAIDA!$B:$B,ESTOQUE!$B274)</f>
        <v>0</v>
      </c>
      <c r="Q274" s="27">
        <f t="shared" si="69"/>
        <v>0</v>
      </c>
      <c r="R274" s="27" t="e">
        <f>Q274=#REF!</f>
        <v>#REF!</v>
      </c>
      <c r="S274" s="93">
        <f>IFERROR(SUMIFS(ENTRADA!$H:$H,ENTRADA!$B:$B,ESTOQUE!$B274)/O274,0)</f>
        <v>0</v>
      </c>
      <c r="T274" s="93">
        <f t="shared" si="70"/>
        <v>0</v>
      </c>
      <c r="U274" s="93">
        <f t="shared" si="71"/>
        <v>0</v>
      </c>
    </row>
    <row r="275" spans="2:21" ht="17.100000000000001" customHeight="1" thickBot="1" x14ac:dyDescent="0.3">
      <c r="B275" s="34">
        <v>290</v>
      </c>
      <c r="C275" s="116" t="s">
        <v>19</v>
      </c>
      <c r="D275" s="120"/>
      <c r="E275" s="116"/>
      <c r="F275" s="114"/>
      <c r="G275" s="114"/>
      <c r="H275" s="118"/>
      <c r="I275" s="119"/>
      <c r="J275" s="66">
        <f t="shared" si="64"/>
        <v>0</v>
      </c>
      <c r="K275" s="68">
        <f t="shared" si="67"/>
        <v>0</v>
      </c>
      <c r="L275" s="32">
        <f t="shared" si="72"/>
        <v>0</v>
      </c>
      <c r="N275" s="26">
        <f t="shared" si="68"/>
        <v>0</v>
      </c>
      <c r="O275" s="27">
        <f>SUMIFS(ENTRADA!$F:$F,ENTRADA!$B:$B,ESTOQUE!$B275)</f>
        <v>0</v>
      </c>
      <c r="P275" s="27">
        <f>SUMIFS(SAIDA!$F:$F,SAIDA!$B:$B,ESTOQUE!$B275)</f>
        <v>0</v>
      </c>
      <c r="Q275" s="27">
        <f t="shared" si="69"/>
        <v>0</v>
      </c>
      <c r="R275" s="27" t="e">
        <f>Q275=#REF!</f>
        <v>#REF!</v>
      </c>
      <c r="S275" s="93">
        <f>IFERROR(SUMIFS(ENTRADA!$H:$H,ENTRADA!$B:$B,ESTOQUE!$B275)/O275,0)</f>
        <v>0</v>
      </c>
      <c r="T275" s="93">
        <f t="shared" si="70"/>
        <v>0</v>
      </c>
      <c r="U275" s="93">
        <f t="shared" si="71"/>
        <v>0</v>
      </c>
    </row>
    <row r="276" spans="2:21" ht="17.100000000000001" customHeight="1" thickBot="1" x14ac:dyDescent="0.3">
      <c r="B276" s="34">
        <v>291</v>
      </c>
      <c r="C276" s="116" t="s">
        <v>19</v>
      </c>
      <c r="D276" s="120"/>
      <c r="E276" s="116"/>
      <c r="F276" s="114"/>
      <c r="G276" s="114"/>
      <c r="H276" s="118"/>
      <c r="I276" s="119"/>
      <c r="J276" s="66">
        <f t="shared" si="64"/>
        <v>0</v>
      </c>
      <c r="K276" s="68">
        <f t="shared" si="67"/>
        <v>0</v>
      </c>
      <c r="L276" s="32">
        <f t="shared" si="72"/>
        <v>0</v>
      </c>
      <c r="N276" s="26">
        <f t="shared" si="68"/>
        <v>0</v>
      </c>
      <c r="O276" s="27">
        <f>SUMIFS(ENTRADA!$F:$F,ENTRADA!$B:$B,ESTOQUE!$B276)</f>
        <v>0</v>
      </c>
      <c r="P276" s="27">
        <f>SUMIFS(SAIDA!$F:$F,SAIDA!$B:$B,ESTOQUE!$B276)</f>
        <v>0</v>
      </c>
      <c r="Q276" s="27">
        <f t="shared" si="69"/>
        <v>0</v>
      </c>
      <c r="R276" s="27" t="e">
        <f>Q276=#REF!</f>
        <v>#REF!</v>
      </c>
      <c r="S276" s="93">
        <f>IFERROR(SUMIFS(ENTRADA!$H:$H,ENTRADA!$B:$B,ESTOQUE!$B276)/O276,0)</f>
        <v>0</v>
      </c>
      <c r="T276" s="93">
        <f t="shared" si="70"/>
        <v>0</v>
      </c>
      <c r="U276" s="93">
        <f t="shared" si="71"/>
        <v>0</v>
      </c>
    </row>
    <row r="277" spans="2:21" ht="17.100000000000001" customHeight="1" thickBot="1" x14ac:dyDescent="0.3">
      <c r="B277" s="34">
        <v>292</v>
      </c>
      <c r="C277" s="116" t="s">
        <v>19</v>
      </c>
      <c r="D277" s="120"/>
      <c r="E277" s="116"/>
      <c r="F277" s="114"/>
      <c r="G277" s="114"/>
      <c r="H277" s="118"/>
      <c r="I277" s="119"/>
      <c r="J277" s="66">
        <f t="shared" si="64"/>
        <v>0</v>
      </c>
      <c r="K277" s="68">
        <f t="shared" si="67"/>
        <v>0</v>
      </c>
      <c r="L277" s="32">
        <f t="shared" si="72"/>
        <v>0</v>
      </c>
      <c r="N277" s="26">
        <f t="shared" si="68"/>
        <v>0</v>
      </c>
      <c r="O277" s="27">
        <f>SUMIFS(ENTRADA!$F:$F,ENTRADA!$B:$B,ESTOQUE!$B277)</f>
        <v>0</v>
      </c>
      <c r="P277" s="27">
        <f>SUMIFS(SAIDA!$F:$F,SAIDA!$B:$B,ESTOQUE!$B277)</f>
        <v>0</v>
      </c>
      <c r="Q277" s="27">
        <f t="shared" si="69"/>
        <v>0</v>
      </c>
      <c r="R277" s="27" t="e">
        <f>Q277=#REF!</f>
        <v>#REF!</v>
      </c>
      <c r="S277" s="93">
        <f>IFERROR(SUMIFS(ENTRADA!$H:$H,ENTRADA!$B:$B,ESTOQUE!$B277)/O277,0)</f>
        <v>0</v>
      </c>
      <c r="T277" s="93">
        <f t="shared" si="70"/>
        <v>0</v>
      </c>
      <c r="U277" s="93">
        <f t="shared" si="71"/>
        <v>0</v>
      </c>
    </row>
    <row r="278" spans="2:21" ht="17.100000000000001" customHeight="1" thickBot="1" x14ac:dyDescent="0.3">
      <c r="B278" s="34">
        <v>293</v>
      </c>
      <c r="C278" s="116" t="s">
        <v>19</v>
      </c>
      <c r="D278" s="120"/>
      <c r="E278" s="116"/>
      <c r="F278" s="114"/>
      <c r="G278" s="114"/>
      <c r="H278" s="118"/>
      <c r="I278" s="119"/>
      <c r="J278" s="66">
        <f t="shared" si="64"/>
        <v>0</v>
      </c>
      <c r="K278" s="68">
        <f t="shared" si="67"/>
        <v>0</v>
      </c>
      <c r="L278" s="32">
        <f t="shared" si="72"/>
        <v>0</v>
      </c>
      <c r="N278" s="26">
        <f t="shared" si="68"/>
        <v>0</v>
      </c>
      <c r="O278" s="27">
        <f>SUMIFS(ENTRADA!$F:$F,ENTRADA!$B:$B,ESTOQUE!$B278)</f>
        <v>0</v>
      </c>
      <c r="P278" s="27">
        <f>SUMIFS(SAIDA!$F:$F,SAIDA!$B:$B,ESTOQUE!$B278)</f>
        <v>0</v>
      </c>
      <c r="Q278" s="27">
        <f t="shared" si="69"/>
        <v>0</v>
      </c>
      <c r="R278" s="27" t="e">
        <f>Q278=#REF!</f>
        <v>#REF!</v>
      </c>
      <c r="S278" s="93">
        <f>IFERROR(SUMIFS(ENTRADA!$H:$H,ENTRADA!$B:$B,ESTOQUE!$B278)/O278,0)</f>
        <v>0</v>
      </c>
      <c r="T278" s="93">
        <f t="shared" si="70"/>
        <v>0</v>
      </c>
      <c r="U278" s="93">
        <f t="shared" si="71"/>
        <v>0</v>
      </c>
    </row>
    <row r="279" spans="2:21" ht="17.100000000000001" customHeight="1" thickBot="1" x14ac:dyDescent="0.3">
      <c r="B279" s="34">
        <v>294</v>
      </c>
      <c r="C279" s="116" t="s">
        <v>19</v>
      </c>
      <c r="D279" s="120"/>
      <c r="E279" s="116"/>
      <c r="F279" s="114"/>
      <c r="G279" s="114"/>
      <c r="H279" s="118"/>
      <c r="I279" s="119"/>
      <c r="J279" s="66">
        <f t="shared" si="64"/>
        <v>0</v>
      </c>
      <c r="K279" s="68">
        <f t="shared" si="67"/>
        <v>0</v>
      </c>
      <c r="L279" s="32">
        <f t="shared" si="72"/>
        <v>0</v>
      </c>
      <c r="N279" s="26">
        <f t="shared" si="68"/>
        <v>0</v>
      </c>
      <c r="O279" s="27">
        <f>SUMIFS(ENTRADA!$F:$F,ENTRADA!$B:$B,ESTOQUE!$B279)</f>
        <v>0</v>
      </c>
      <c r="P279" s="27">
        <f>SUMIFS(SAIDA!$F:$F,SAIDA!$B:$B,ESTOQUE!$B279)</f>
        <v>0</v>
      </c>
      <c r="Q279" s="27">
        <f t="shared" si="69"/>
        <v>0</v>
      </c>
      <c r="R279" s="27" t="e">
        <f>Q279=#REF!</f>
        <v>#REF!</v>
      </c>
      <c r="S279" s="93">
        <f>IFERROR(SUMIFS(ENTRADA!$H:$H,ENTRADA!$B:$B,ESTOQUE!$B279)/O279,0)</f>
        <v>0</v>
      </c>
      <c r="T279" s="93">
        <f t="shared" si="70"/>
        <v>0</v>
      </c>
      <c r="U279" s="93">
        <f t="shared" si="71"/>
        <v>0</v>
      </c>
    </row>
    <row r="280" spans="2:21" ht="17.100000000000001" customHeight="1" thickBot="1" x14ac:dyDescent="0.3">
      <c r="B280" s="34">
        <v>295</v>
      </c>
      <c r="C280" s="116" t="s">
        <v>19</v>
      </c>
      <c r="D280" s="120"/>
      <c r="E280" s="116"/>
      <c r="F280" s="114"/>
      <c r="G280" s="114"/>
      <c r="H280" s="118"/>
      <c r="I280" s="119"/>
      <c r="J280" s="66">
        <f t="shared" si="64"/>
        <v>0</v>
      </c>
      <c r="K280" s="68">
        <f t="shared" ref="K280:K311" si="73">I280-J280</f>
        <v>0</v>
      </c>
      <c r="L280" s="32">
        <f t="shared" si="72"/>
        <v>0</v>
      </c>
      <c r="N280" s="26">
        <f t="shared" si="68"/>
        <v>0</v>
      </c>
      <c r="O280" s="27">
        <f>SUMIFS(ENTRADA!$F:$F,ENTRADA!$B:$B,ESTOQUE!$B280)</f>
        <v>0</v>
      </c>
      <c r="P280" s="27">
        <f>SUMIFS(SAIDA!$F:$F,SAIDA!$B:$B,ESTOQUE!$B280)</f>
        <v>0</v>
      </c>
      <c r="Q280" s="27">
        <f t="shared" si="69"/>
        <v>0</v>
      </c>
      <c r="R280" s="27" t="e">
        <f>Q280=#REF!</f>
        <v>#REF!</v>
      </c>
      <c r="S280" s="93">
        <f>IFERROR(SUMIFS(ENTRADA!$H:$H,ENTRADA!$B:$B,ESTOQUE!$B280)/O280,0)</f>
        <v>0</v>
      </c>
      <c r="T280" s="93">
        <f t="shared" si="70"/>
        <v>0</v>
      </c>
      <c r="U280" s="93">
        <f t="shared" si="71"/>
        <v>0</v>
      </c>
    </row>
    <row r="281" spans="2:21" ht="17.100000000000001" customHeight="1" thickBot="1" x14ac:dyDescent="0.3">
      <c r="B281" s="34">
        <v>296</v>
      </c>
      <c r="C281" s="116" t="s">
        <v>19</v>
      </c>
      <c r="D281" s="120"/>
      <c r="E281" s="116"/>
      <c r="F281" s="114"/>
      <c r="G281" s="114"/>
      <c r="H281" s="118"/>
      <c r="I281" s="119"/>
      <c r="J281" s="66">
        <f t="shared" si="64"/>
        <v>0</v>
      </c>
      <c r="K281" s="68">
        <f t="shared" si="73"/>
        <v>0</v>
      </c>
      <c r="L281" s="32">
        <f t="shared" si="72"/>
        <v>0</v>
      </c>
      <c r="N281" s="26">
        <f t="shared" si="68"/>
        <v>0</v>
      </c>
      <c r="O281" s="27">
        <f>SUMIFS(ENTRADA!$F:$F,ENTRADA!$B:$B,ESTOQUE!$B281)</f>
        <v>0</v>
      </c>
      <c r="P281" s="27">
        <f>SUMIFS(SAIDA!$F:$F,SAIDA!$B:$B,ESTOQUE!$B281)</f>
        <v>0</v>
      </c>
      <c r="Q281" s="27">
        <f t="shared" si="69"/>
        <v>0</v>
      </c>
      <c r="R281" s="27" t="e">
        <f>Q281=#REF!</f>
        <v>#REF!</v>
      </c>
      <c r="S281" s="93">
        <f>IFERROR(SUMIFS(ENTRADA!$H:$H,ENTRADA!$B:$B,ESTOQUE!$B281)/O281,0)</f>
        <v>0</v>
      </c>
      <c r="T281" s="93">
        <f t="shared" si="70"/>
        <v>0</v>
      </c>
      <c r="U281" s="93">
        <f t="shared" si="71"/>
        <v>0</v>
      </c>
    </row>
    <row r="282" spans="2:21" ht="17.100000000000001" customHeight="1" thickBot="1" x14ac:dyDescent="0.3">
      <c r="B282" s="34">
        <v>297</v>
      </c>
      <c r="C282" s="116" t="s">
        <v>19</v>
      </c>
      <c r="D282" s="120"/>
      <c r="E282" s="116"/>
      <c r="F282" s="114"/>
      <c r="G282" s="114"/>
      <c r="H282" s="118"/>
      <c r="I282" s="119"/>
      <c r="J282" s="66">
        <f t="shared" ref="J282:J345" si="74">Q282</f>
        <v>0</v>
      </c>
      <c r="K282" s="68">
        <f t="shared" si="73"/>
        <v>0</v>
      </c>
      <c r="L282" s="32">
        <f t="shared" si="72"/>
        <v>0</v>
      </c>
      <c r="N282" s="26">
        <f t="shared" si="68"/>
        <v>0</v>
      </c>
      <c r="O282" s="27">
        <f>SUMIFS(ENTRADA!$F:$F,ENTRADA!$B:$B,ESTOQUE!$B282)</f>
        <v>0</v>
      </c>
      <c r="P282" s="27">
        <f>SUMIFS(SAIDA!$F:$F,SAIDA!$B:$B,ESTOQUE!$B282)</f>
        <v>0</v>
      </c>
      <c r="Q282" s="27">
        <f t="shared" si="69"/>
        <v>0</v>
      </c>
      <c r="R282" s="27" t="e">
        <f>Q282=#REF!</f>
        <v>#REF!</v>
      </c>
      <c r="S282" s="93">
        <f>IFERROR(SUMIFS(ENTRADA!$H:$H,ENTRADA!$B:$B,ESTOQUE!$B282)/O282,0)</f>
        <v>0</v>
      </c>
      <c r="T282" s="93">
        <f t="shared" si="70"/>
        <v>0</v>
      </c>
      <c r="U282" s="93">
        <f t="shared" si="71"/>
        <v>0</v>
      </c>
    </row>
    <row r="283" spans="2:21" ht="17.100000000000001" customHeight="1" thickBot="1" x14ac:dyDescent="0.3">
      <c r="B283" s="34">
        <v>298</v>
      </c>
      <c r="C283" s="116" t="s">
        <v>19</v>
      </c>
      <c r="D283" s="120"/>
      <c r="E283" s="116"/>
      <c r="F283" s="114"/>
      <c r="G283" s="114"/>
      <c r="H283" s="118"/>
      <c r="I283" s="119"/>
      <c r="J283" s="66">
        <f t="shared" si="74"/>
        <v>0</v>
      </c>
      <c r="K283" s="68">
        <f t="shared" si="73"/>
        <v>0</v>
      </c>
      <c r="L283" s="32">
        <f t="shared" si="72"/>
        <v>0</v>
      </c>
      <c r="N283" s="26">
        <f t="shared" si="68"/>
        <v>0</v>
      </c>
      <c r="O283" s="27">
        <f>SUMIFS(ENTRADA!$F:$F,ENTRADA!$B:$B,ESTOQUE!$B283)</f>
        <v>0</v>
      </c>
      <c r="P283" s="27">
        <f>SUMIFS(SAIDA!$F:$F,SAIDA!$B:$B,ESTOQUE!$B283)</f>
        <v>0</v>
      </c>
      <c r="Q283" s="27">
        <f t="shared" si="69"/>
        <v>0</v>
      </c>
      <c r="R283" s="27" t="e">
        <f>Q283=#REF!</f>
        <v>#REF!</v>
      </c>
      <c r="S283" s="93">
        <f>IFERROR(SUMIFS(ENTRADA!$H:$H,ENTRADA!$B:$B,ESTOQUE!$B283)/O283,0)</f>
        <v>0</v>
      </c>
      <c r="T283" s="93">
        <f t="shared" si="70"/>
        <v>0</v>
      </c>
      <c r="U283" s="93">
        <f t="shared" si="71"/>
        <v>0</v>
      </c>
    </row>
    <row r="284" spans="2:21" ht="17.100000000000001" customHeight="1" thickBot="1" x14ac:dyDescent="0.3">
      <c r="B284" s="34">
        <v>299</v>
      </c>
      <c r="C284" s="116" t="s">
        <v>19</v>
      </c>
      <c r="D284" s="120"/>
      <c r="E284" s="116"/>
      <c r="F284" s="114"/>
      <c r="G284" s="114"/>
      <c r="H284" s="118"/>
      <c r="I284" s="119"/>
      <c r="J284" s="66">
        <f t="shared" si="74"/>
        <v>0</v>
      </c>
      <c r="K284" s="68">
        <f t="shared" si="73"/>
        <v>0</v>
      </c>
      <c r="L284" s="32">
        <f t="shared" si="72"/>
        <v>0</v>
      </c>
      <c r="N284" s="26">
        <f t="shared" si="68"/>
        <v>0</v>
      </c>
      <c r="O284" s="27">
        <f>SUMIFS(ENTRADA!$F:$F,ENTRADA!$B:$B,ESTOQUE!$B284)</f>
        <v>0</v>
      </c>
      <c r="P284" s="27">
        <f>SUMIFS(SAIDA!$F:$F,SAIDA!$B:$B,ESTOQUE!$B284)</f>
        <v>0</v>
      </c>
      <c r="Q284" s="27">
        <f t="shared" si="69"/>
        <v>0</v>
      </c>
      <c r="R284" s="27" t="e">
        <f>Q284=#REF!</f>
        <v>#REF!</v>
      </c>
      <c r="S284" s="93">
        <f>IFERROR(SUMIFS(ENTRADA!$H:$H,ENTRADA!$B:$B,ESTOQUE!$B284)/O284,0)</f>
        <v>0</v>
      </c>
      <c r="T284" s="93">
        <f t="shared" si="70"/>
        <v>0</v>
      </c>
      <c r="U284" s="93">
        <f t="shared" si="71"/>
        <v>0</v>
      </c>
    </row>
    <row r="285" spans="2:21" ht="17.100000000000001" customHeight="1" thickBot="1" x14ac:dyDescent="0.3">
      <c r="B285" s="34">
        <v>300</v>
      </c>
      <c r="C285" s="116" t="s">
        <v>19</v>
      </c>
      <c r="D285" s="120"/>
      <c r="E285" s="116"/>
      <c r="F285" s="114"/>
      <c r="G285" s="114"/>
      <c r="H285" s="118"/>
      <c r="I285" s="119"/>
      <c r="J285" s="66">
        <f t="shared" si="74"/>
        <v>0</v>
      </c>
      <c r="K285" s="68">
        <f t="shared" si="73"/>
        <v>0</v>
      </c>
      <c r="L285" s="32">
        <f t="shared" si="72"/>
        <v>0</v>
      </c>
      <c r="N285" s="26">
        <f t="shared" si="68"/>
        <v>0</v>
      </c>
      <c r="O285" s="27">
        <f>SUMIFS(ENTRADA!$F:$F,ENTRADA!$B:$B,ESTOQUE!$B285)</f>
        <v>0</v>
      </c>
      <c r="P285" s="27">
        <f>SUMIFS(SAIDA!$F:$F,SAIDA!$B:$B,ESTOQUE!$B285)</f>
        <v>0</v>
      </c>
      <c r="Q285" s="27">
        <f t="shared" si="69"/>
        <v>0</v>
      </c>
      <c r="R285" s="27" t="e">
        <f>Q285=#REF!</f>
        <v>#REF!</v>
      </c>
      <c r="S285" s="93">
        <f>IFERROR(SUMIFS(ENTRADA!$H:$H,ENTRADA!$B:$B,ESTOQUE!$B285)/O285,0)</f>
        <v>0</v>
      </c>
      <c r="T285" s="93">
        <f t="shared" si="70"/>
        <v>0</v>
      </c>
      <c r="U285" s="93">
        <f t="shared" si="71"/>
        <v>0</v>
      </c>
    </row>
    <row r="286" spans="2:21" ht="17.100000000000001" customHeight="1" thickBot="1" x14ac:dyDescent="0.3">
      <c r="B286" s="34">
        <v>301</v>
      </c>
      <c r="C286" s="116" t="s">
        <v>19</v>
      </c>
      <c r="D286" s="120"/>
      <c r="E286" s="116"/>
      <c r="F286" s="114"/>
      <c r="G286" s="114"/>
      <c r="H286" s="118"/>
      <c r="I286" s="119"/>
      <c r="J286" s="66">
        <f t="shared" si="74"/>
        <v>0</v>
      </c>
      <c r="K286" s="68">
        <f t="shared" si="73"/>
        <v>0</v>
      </c>
      <c r="L286" s="32">
        <f t="shared" ref="L286:L317" si="75">IF(J286&lt;H286,"ESTOQUE BAIXO",IF(J286&gt;I286,"ESTOQUE ALTO",IF(J286&gt;H286,"ESTOQUE NORMAL",)))</f>
        <v>0</v>
      </c>
      <c r="N286" s="26">
        <f t="shared" si="68"/>
        <v>0</v>
      </c>
      <c r="O286" s="27">
        <f>SUMIFS(ENTRADA!$F:$F,ENTRADA!$B:$B,ESTOQUE!$B286)</f>
        <v>0</v>
      </c>
      <c r="P286" s="27">
        <f>SUMIFS(SAIDA!$F:$F,SAIDA!$B:$B,ESTOQUE!$B286)</f>
        <v>0</v>
      </c>
      <c r="Q286" s="27">
        <f t="shared" si="69"/>
        <v>0</v>
      </c>
      <c r="R286" s="27" t="e">
        <f>Q286=#REF!</f>
        <v>#REF!</v>
      </c>
      <c r="S286" s="93">
        <f>IFERROR(SUMIFS(ENTRADA!$H:$H,ENTRADA!$B:$B,ESTOQUE!$B286)/O286,0)</f>
        <v>0</v>
      </c>
      <c r="T286" s="93">
        <f t="shared" si="70"/>
        <v>0</v>
      </c>
      <c r="U286" s="93">
        <f t="shared" si="71"/>
        <v>0</v>
      </c>
    </row>
    <row r="287" spans="2:21" ht="17.100000000000001" customHeight="1" thickBot="1" x14ac:dyDescent="0.3">
      <c r="B287" s="34">
        <v>302</v>
      </c>
      <c r="C287" s="116" t="s">
        <v>19</v>
      </c>
      <c r="D287" s="120"/>
      <c r="E287" s="116"/>
      <c r="F287" s="114"/>
      <c r="G287" s="114"/>
      <c r="H287" s="118"/>
      <c r="I287" s="119"/>
      <c r="J287" s="66">
        <f t="shared" si="74"/>
        <v>0</v>
      </c>
      <c r="K287" s="68">
        <f t="shared" si="73"/>
        <v>0</v>
      </c>
      <c r="L287" s="32">
        <f t="shared" si="75"/>
        <v>0</v>
      </c>
      <c r="N287" s="26">
        <f t="shared" si="68"/>
        <v>0</v>
      </c>
      <c r="O287" s="27">
        <f>SUMIFS(ENTRADA!$F:$F,ENTRADA!$B:$B,ESTOQUE!$B287)</f>
        <v>0</v>
      </c>
      <c r="P287" s="27">
        <f>SUMIFS(SAIDA!$F:$F,SAIDA!$B:$B,ESTOQUE!$B287)</f>
        <v>0</v>
      </c>
      <c r="Q287" s="27">
        <f t="shared" si="69"/>
        <v>0</v>
      </c>
      <c r="R287" s="27" t="e">
        <f>Q287=#REF!</f>
        <v>#REF!</v>
      </c>
      <c r="S287" s="93">
        <f>IFERROR(SUMIFS(ENTRADA!$H:$H,ENTRADA!$B:$B,ESTOQUE!$B287)/O287,0)</f>
        <v>0</v>
      </c>
      <c r="T287" s="93">
        <f t="shared" si="70"/>
        <v>0</v>
      </c>
      <c r="U287" s="93">
        <f t="shared" si="71"/>
        <v>0</v>
      </c>
    </row>
    <row r="288" spans="2:21" ht="17.100000000000001" customHeight="1" thickBot="1" x14ac:dyDescent="0.3">
      <c r="B288" s="34">
        <v>303</v>
      </c>
      <c r="C288" s="116" t="s">
        <v>19</v>
      </c>
      <c r="D288" s="120"/>
      <c r="E288" s="116"/>
      <c r="F288" s="114"/>
      <c r="G288" s="114"/>
      <c r="H288" s="118"/>
      <c r="I288" s="119"/>
      <c r="J288" s="66">
        <f t="shared" si="74"/>
        <v>0</v>
      </c>
      <c r="K288" s="68">
        <f t="shared" si="73"/>
        <v>0</v>
      </c>
      <c r="L288" s="32">
        <f t="shared" si="75"/>
        <v>0</v>
      </c>
      <c r="N288" s="26">
        <f t="shared" si="68"/>
        <v>0</v>
      </c>
      <c r="O288" s="27">
        <f>SUMIFS(ENTRADA!$F:$F,ENTRADA!$B:$B,ESTOQUE!$B288)</f>
        <v>0</v>
      </c>
      <c r="P288" s="27">
        <f>SUMIFS(SAIDA!$F:$F,SAIDA!$B:$B,ESTOQUE!$B288)</f>
        <v>0</v>
      </c>
      <c r="Q288" s="27">
        <f t="shared" si="69"/>
        <v>0</v>
      </c>
      <c r="R288" s="27" t="e">
        <f>Q288=#REF!</f>
        <v>#REF!</v>
      </c>
      <c r="S288" s="93">
        <f>IFERROR(SUMIFS(ENTRADA!$H:$H,ENTRADA!$B:$B,ESTOQUE!$B288)/O288,0)</f>
        <v>0</v>
      </c>
      <c r="T288" s="93">
        <f t="shared" si="70"/>
        <v>0</v>
      </c>
      <c r="U288" s="93">
        <f t="shared" si="71"/>
        <v>0</v>
      </c>
    </row>
    <row r="289" spans="2:21" ht="17.100000000000001" customHeight="1" thickBot="1" x14ac:dyDescent="0.3">
      <c r="B289" s="34">
        <v>304</v>
      </c>
      <c r="C289" s="116" t="s">
        <v>19</v>
      </c>
      <c r="D289" s="120"/>
      <c r="E289" s="116"/>
      <c r="F289" s="114"/>
      <c r="G289" s="114"/>
      <c r="H289" s="118"/>
      <c r="I289" s="119"/>
      <c r="J289" s="66">
        <f t="shared" si="74"/>
        <v>0</v>
      </c>
      <c r="K289" s="68">
        <f t="shared" si="73"/>
        <v>0</v>
      </c>
      <c r="L289" s="32">
        <f t="shared" si="75"/>
        <v>0</v>
      </c>
      <c r="N289" s="26">
        <f t="shared" si="68"/>
        <v>0</v>
      </c>
      <c r="O289" s="27">
        <f>SUMIFS(ENTRADA!$F:$F,ENTRADA!$B:$B,ESTOQUE!$B289)</f>
        <v>0</v>
      </c>
      <c r="P289" s="27">
        <f>SUMIFS(SAIDA!$F:$F,SAIDA!$B:$B,ESTOQUE!$B289)</f>
        <v>0</v>
      </c>
      <c r="Q289" s="27">
        <f t="shared" si="69"/>
        <v>0</v>
      </c>
      <c r="R289" s="27" t="e">
        <f>Q289=#REF!</f>
        <v>#REF!</v>
      </c>
      <c r="S289" s="93">
        <f>IFERROR(SUMIFS(ENTRADA!$H:$H,ENTRADA!$B:$B,ESTOQUE!$B289)/O289,0)</f>
        <v>0</v>
      </c>
      <c r="T289" s="93">
        <f t="shared" si="70"/>
        <v>0</v>
      </c>
      <c r="U289" s="93">
        <f t="shared" si="71"/>
        <v>0</v>
      </c>
    </row>
    <row r="290" spans="2:21" ht="17.100000000000001" customHeight="1" thickBot="1" x14ac:dyDescent="0.3">
      <c r="B290" s="34">
        <v>305</v>
      </c>
      <c r="C290" s="116" t="s">
        <v>19</v>
      </c>
      <c r="D290" s="120"/>
      <c r="E290" s="116"/>
      <c r="F290" s="114"/>
      <c r="G290" s="114"/>
      <c r="H290" s="118"/>
      <c r="I290" s="119"/>
      <c r="J290" s="66">
        <f t="shared" si="74"/>
        <v>0</v>
      </c>
      <c r="K290" s="68">
        <f t="shared" si="73"/>
        <v>0</v>
      </c>
      <c r="L290" s="32">
        <f t="shared" si="75"/>
        <v>0</v>
      </c>
      <c r="N290" s="26">
        <f t="shared" si="68"/>
        <v>0</v>
      </c>
      <c r="O290" s="27">
        <f>SUMIFS(ENTRADA!$F:$F,ENTRADA!$B:$B,ESTOQUE!$B290)</f>
        <v>0</v>
      </c>
      <c r="P290" s="27">
        <f>SUMIFS(SAIDA!$F:$F,SAIDA!$B:$B,ESTOQUE!$B290)</f>
        <v>0</v>
      </c>
      <c r="Q290" s="27">
        <f t="shared" si="69"/>
        <v>0</v>
      </c>
      <c r="R290" s="27" t="e">
        <f>Q290=#REF!</f>
        <v>#REF!</v>
      </c>
      <c r="S290" s="93">
        <f>IFERROR(SUMIFS(ENTRADA!$H:$H,ENTRADA!$B:$B,ESTOQUE!$B290)/O290,0)</f>
        <v>0</v>
      </c>
      <c r="T290" s="93">
        <f t="shared" si="70"/>
        <v>0</v>
      </c>
      <c r="U290" s="93">
        <f t="shared" si="71"/>
        <v>0</v>
      </c>
    </row>
    <row r="291" spans="2:21" ht="17.100000000000001" customHeight="1" thickBot="1" x14ac:dyDescent="0.3">
      <c r="B291" s="34">
        <v>306</v>
      </c>
      <c r="C291" s="116" t="s">
        <v>19</v>
      </c>
      <c r="D291" s="120"/>
      <c r="E291" s="116"/>
      <c r="F291" s="114"/>
      <c r="G291" s="114"/>
      <c r="H291" s="118"/>
      <c r="I291" s="119"/>
      <c r="J291" s="66">
        <f t="shared" si="74"/>
        <v>0</v>
      </c>
      <c r="K291" s="68">
        <f t="shared" si="73"/>
        <v>0</v>
      </c>
      <c r="L291" s="32">
        <f t="shared" si="75"/>
        <v>0</v>
      </c>
      <c r="N291" s="26">
        <f t="shared" si="68"/>
        <v>0</v>
      </c>
      <c r="O291" s="27">
        <f>SUMIFS(ENTRADA!$F:$F,ENTRADA!$B:$B,ESTOQUE!$B291)</f>
        <v>0</v>
      </c>
      <c r="P291" s="27">
        <f>SUMIFS(SAIDA!$F:$F,SAIDA!$B:$B,ESTOQUE!$B291)</f>
        <v>0</v>
      </c>
      <c r="Q291" s="27">
        <f t="shared" si="69"/>
        <v>0</v>
      </c>
      <c r="R291" s="27" t="e">
        <f>Q291=#REF!</f>
        <v>#REF!</v>
      </c>
      <c r="S291" s="93">
        <f>IFERROR(SUMIFS(ENTRADA!$H:$H,ENTRADA!$B:$B,ESTOQUE!$B291)/O291,0)</f>
        <v>0</v>
      </c>
      <c r="T291" s="93">
        <f t="shared" si="70"/>
        <v>0</v>
      </c>
      <c r="U291" s="93">
        <f t="shared" si="71"/>
        <v>0</v>
      </c>
    </row>
    <row r="292" spans="2:21" ht="17.100000000000001" customHeight="1" thickBot="1" x14ac:dyDescent="0.3">
      <c r="B292" s="34">
        <v>307</v>
      </c>
      <c r="C292" s="116" t="s">
        <v>19</v>
      </c>
      <c r="D292" s="120"/>
      <c r="E292" s="116"/>
      <c r="F292" s="114"/>
      <c r="G292" s="114"/>
      <c r="H292" s="118"/>
      <c r="I292" s="119"/>
      <c r="J292" s="66">
        <f t="shared" si="74"/>
        <v>0</v>
      </c>
      <c r="K292" s="68">
        <f t="shared" si="73"/>
        <v>0</v>
      </c>
      <c r="L292" s="32">
        <f t="shared" si="75"/>
        <v>0</v>
      </c>
      <c r="N292" s="26">
        <f t="shared" si="68"/>
        <v>0</v>
      </c>
      <c r="O292" s="27">
        <f>SUMIFS(ENTRADA!$F:$F,ENTRADA!$B:$B,ESTOQUE!$B292)</f>
        <v>0</v>
      </c>
      <c r="P292" s="27">
        <f>SUMIFS(SAIDA!$F:$F,SAIDA!$B:$B,ESTOQUE!$B292)</f>
        <v>0</v>
      </c>
      <c r="Q292" s="27">
        <f t="shared" si="69"/>
        <v>0</v>
      </c>
      <c r="R292" s="27" t="e">
        <f>Q292=#REF!</f>
        <v>#REF!</v>
      </c>
      <c r="S292" s="93">
        <f>IFERROR(SUMIFS(ENTRADA!$H:$H,ENTRADA!$B:$B,ESTOQUE!$B292)/O292,0)</f>
        <v>0</v>
      </c>
      <c r="T292" s="93">
        <f t="shared" si="70"/>
        <v>0</v>
      </c>
      <c r="U292" s="93">
        <f t="shared" si="71"/>
        <v>0</v>
      </c>
    </row>
    <row r="293" spans="2:21" ht="17.100000000000001" customHeight="1" thickBot="1" x14ac:dyDescent="0.3">
      <c r="B293" s="34">
        <v>308</v>
      </c>
      <c r="C293" s="116" t="s">
        <v>19</v>
      </c>
      <c r="D293" s="120"/>
      <c r="E293" s="116"/>
      <c r="F293" s="114"/>
      <c r="G293" s="114"/>
      <c r="H293" s="118"/>
      <c r="I293" s="119"/>
      <c r="J293" s="66">
        <f t="shared" si="74"/>
        <v>0</v>
      </c>
      <c r="K293" s="68">
        <f t="shared" si="73"/>
        <v>0</v>
      </c>
      <c r="L293" s="32">
        <f t="shared" si="75"/>
        <v>0</v>
      </c>
      <c r="N293" s="26">
        <f t="shared" si="68"/>
        <v>0</v>
      </c>
      <c r="O293" s="27">
        <f>SUMIFS(ENTRADA!$F:$F,ENTRADA!$B:$B,ESTOQUE!$B293)</f>
        <v>0</v>
      </c>
      <c r="P293" s="27">
        <f>SUMIFS(SAIDA!$F:$F,SAIDA!$B:$B,ESTOQUE!$B293)</f>
        <v>0</v>
      </c>
      <c r="Q293" s="27">
        <f t="shared" si="69"/>
        <v>0</v>
      </c>
      <c r="R293" s="27" t="e">
        <f>Q293=#REF!</f>
        <v>#REF!</v>
      </c>
      <c r="S293" s="93">
        <f>IFERROR(SUMIFS(ENTRADA!$H:$H,ENTRADA!$B:$B,ESTOQUE!$B293)/O293,0)</f>
        <v>0</v>
      </c>
      <c r="T293" s="93">
        <f t="shared" si="70"/>
        <v>0</v>
      </c>
      <c r="U293" s="93">
        <f t="shared" si="71"/>
        <v>0</v>
      </c>
    </row>
    <row r="294" spans="2:21" ht="17.100000000000001" customHeight="1" thickBot="1" x14ac:dyDescent="0.3">
      <c r="B294" s="34">
        <v>309</v>
      </c>
      <c r="C294" s="116" t="s">
        <v>19</v>
      </c>
      <c r="D294" s="120"/>
      <c r="E294" s="116"/>
      <c r="F294" s="114"/>
      <c r="G294" s="114"/>
      <c r="H294" s="118"/>
      <c r="I294" s="119"/>
      <c r="J294" s="66">
        <f t="shared" si="74"/>
        <v>0</v>
      </c>
      <c r="K294" s="68">
        <f t="shared" si="73"/>
        <v>0</v>
      </c>
      <c r="L294" s="32">
        <f t="shared" si="75"/>
        <v>0</v>
      </c>
      <c r="N294" s="26">
        <f t="shared" si="68"/>
        <v>0</v>
      </c>
      <c r="O294" s="27">
        <f>SUMIFS(ENTRADA!$F:$F,ENTRADA!$B:$B,ESTOQUE!$B294)</f>
        <v>0</v>
      </c>
      <c r="P294" s="27">
        <f>SUMIFS(SAIDA!$F:$F,SAIDA!$B:$B,ESTOQUE!$B294)</f>
        <v>0</v>
      </c>
      <c r="Q294" s="27">
        <f t="shared" si="69"/>
        <v>0</v>
      </c>
      <c r="R294" s="27" t="e">
        <f>Q294=#REF!</f>
        <v>#REF!</v>
      </c>
      <c r="S294" s="93">
        <f>IFERROR(SUMIFS(ENTRADA!$H:$H,ENTRADA!$B:$B,ESTOQUE!$B294)/O294,0)</f>
        <v>0</v>
      </c>
      <c r="T294" s="93">
        <f t="shared" si="70"/>
        <v>0</v>
      </c>
      <c r="U294" s="93">
        <f t="shared" si="71"/>
        <v>0</v>
      </c>
    </row>
    <row r="295" spans="2:21" ht="17.100000000000001" customHeight="1" thickBot="1" x14ac:dyDescent="0.3">
      <c r="B295" s="34">
        <v>310</v>
      </c>
      <c r="C295" s="116" t="s">
        <v>19</v>
      </c>
      <c r="D295" s="120"/>
      <c r="E295" s="116"/>
      <c r="F295" s="114"/>
      <c r="G295" s="114"/>
      <c r="H295" s="118"/>
      <c r="I295" s="119"/>
      <c r="J295" s="66">
        <f t="shared" si="74"/>
        <v>0</v>
      </c>
      <c r="K295" s="68">
        <f t="shared" si="73"/>
        <v>0</v>
      </c>
      <c r="L295" s="32">
        <f t="shared" si="75"/>
        <v>0</v>
      </c>
      <c r="N295" s="26">
        <f t="shared" si="68"/>
        <v>0</v>
      </c>
      <c r="O295" s="27">
        <f>SUMIFS(ENTRADA!$F:$F,ENTRADA!$B:$B,ESTOQUE!$B295)</f>
        <v>0</v>
      </c>
      <c r="P295" s="27">
        <f>SUMIFS(SAIDA!$F:$F,SAIDA!$B:$B,ESTOQUE!$B295)</f>
        <v>0</v>
      </c>
      <c r="Q295" s="27">
        <f t="shared" si="69"/>
        <v>0</v>
      </c>
      <c r="R295" s="27" t="e">
        <f>Q295=#REF!</f>
        <v>#REF!</v>
      </c>
      <c r="S295" s="93">
        <f>IFERROR(SUMIFS(ENTRADA!$H:$H,ENTRADA!$B:$B,ESTOQUE!$B295)/O295,0)</f>
        <v>0</v>
      </c>
      <c r="T295" s="93">
        <f t="shared" si="70"/>
        <v>0</v>
      </c>
      <c r="U295" s="93">
        <f t="shared" si="71"/>
        <v>0</v>
      </c>
    </row>
    <row r="296" spans="2:21" ht="17.100000000000001" customHeight="1" thickBot="1" x14ac:dyDescent="0.3">
      <c r="B296" s="34">
        <v>311</v>
      </c>
      <c r="C296" s="116" t="s">
        <v>19</v>
      </c>
      <c r="D296" s="120"/>
      <c r="E296" s="116"/>
      <c r="F296" s="114"/>
      <c r="G296" s="114"/>
      <c r="H296" s="118"/>
      <c r="I296" s="119"/>
      <c r="J296" s="66">
        <f t="shared" si="74"/>
        <v>0</v>
      </c>
      <c r="K296" s="68">
        <f t="shared" si="73"/>
        <v>0</v>
      </c>
      <c r="L296" s="32">
        <f t="shared" si="75"/>
        <v>0</v>
      </c>
      <c r="N296" s="26">
        <f t="shared" si="68"/>
        <v>0</v>
      </c>
      <c r="O296" s="27">
        <f>SUMIFS(ENTRADA!$F:$F,ENTRADA!$B:$B,ESTOQUE!$B296)</f>
        <v>0</v>
      </c>
      <c r="P296" s="27">
        <f>SUMIFS(SAIDA!$F:$F,SAIDA!$B:$B,ESTOQUE!$B296)</f>
        <v>0</v>
      </c>
      <c r="Q296" s="27">
        <f t="shared" si="69"/>
        <v>0</v>
      </c>
      <c r="R296" s="27" t="e">
        <f>Q296=#REF!</f>
        <v>#REF!</v>
      </c>
      <c r="S296" s="93">
        <f>IFERROR(SUMIFS(ENTRADA!$H:$H,ENTRADA!$B:$B,ESTOQUE!$B296)/O296,0)</f>
        <v>0</v>
      </c>
      <c r="T296" s="93">
        <f t="shared" si="70"/>
        <v>0</v>
      </c>
      <c r="U296" s="93">
        <f t="shared" si="71"/>
        <v>0</v>
      </c>
    </row>
    <row r="297" spans="2:21" ht="17.100000000000001" customHeight="1" thickBot="1" x14ac:dyDescent="0.3">
      <c r="B297" s="34">
        <v>312</v>
      </c>
      <c r="C297" s="116" t="s">
        <v>19</v>
      </c>
      <c r="D297" s="120"/>
      <c r="E297" s="116"/>
      <c r="F297" s="114"/>
      <c r="G297" s="114"/>
      <c r="H297" s="118"/>
      <c r="I297" s="119"/>
      <c r="J297" s="66">
        <f t="shared" si="74"/>
        <v>0</v>
      </c>
      <c r="K297" s="68">
        <f t="shared" si="73"/>
        <v>0</v>
      </c>
      <c r="L297" s="32">
        <f t="shared" si="75"/>
        <v>0</v>
      </c>
      <c r="N297" s="26">
        <f t="shared" si="68"/>
        <v>0</v>
      </c>
      <c r="O297" s="27">
        <f>SUMIFS(ENTRADA!$F:$F,ENTRADA!$B:$B,ESTOQUE!$B297)</f>
        <v>0</v>
      </c>
      <c r="P297" s="27">
        <f>SUMIFS(SAIDA!$F:$F,SAIDA!$B:$B,ESTOQUE!$B297)</f>
        <v>0</v>
      </c>
      <c r="Q297" s="27">
        <f t="shared" si="69"/>
        <v>0</v>
      </c>
      <c r="R297" s="27" t="e">
        <f>Q297=#REF!</f>
        <v>#REF!</v>
      </c>
      <c r="S297" s="93">
        <f>IFERROR(SUMIFS(ENTRADA!$H:$H,ENTRADA!$B:$B,ESTOQUE!$B297)/O297,0)</f>
        <v>0</v>
      </c>
      <c r="T297" s="93">
        <f t="shared" si="70"/>
        <v>0</v>
      </c>
      <c r="U297" s="93">
        <f t="shared" si="71"/>
        <v>0</v>
      </c>
    </row>
    <row r="298" spans="2:21" ht="17.100000000000001" customHeight="1" thickBot="1" x14ac:dyDescent="0.3">
      <c r="B298" s="34">
        <v>313</v>
      </c>
      <c r="C298" s="116" t="s">
        <v>19</v>
      </c>
      <c r="D298" s="120"/>
      <c r="E298" s="116"/>
      <c r="F298" s="114"/>
      <c r="G298" s="114"/>
      <c r="H298" s="118"/>
      <c r="I298" s="119"/>
      <c r="J298" s="66">
        <f t="shared" si="74"/>
        <v>0</v>
      </c>
      <c r="K298" s="68">
        <f t="shared" si="73"/>
        <v>0</v>
      </c>
      <c r="L298" s="32">
        <f t="shared" si="75"/>
        <v>0</v>
      </c>
      <c r="N298" s="26">
        <f t="shared" si="68"/>
        <v>0</v>
      </c>
      <c r="O298" s="27">
        <f>SUMIFS(ENTRADA!$F:$F,ENTRADA!$B:$B,ESTOQUE!$B298)</f>
        <v>0</v>
      </c>
      <c r="P298" s="27">
        <f>SUMIFS(SAIDA!$F:$F,SAIDA!$B:$B,ESTOQUE!$B298)</f>
        <v>0</v>
      </c>
      <c r="Q298" s="27">
        <f t="shared" si="69"/>
        <v>0</v>
      </c>
      <c r="R298" s="27" t="e">
        <f>Q298=#REF!</f>
        <v>#REF!</v>
      </c>
      <c r="S298" s="93">
        <f>IFERROR(SUMIFS(ENTRADA!$H:$H,ENTRADA!$B:$B,ESTOQUE!$B298)/O298,0)</f>
        <v>0</v>
      </c>
      <c r="T298" s="93">
        <f t="shared" si="70"/>
        <v>0</v>
      </c>
      <c r="U298" s="93">
        <f t="shared" si="71"/>
        <v>0</v>
      </c>
    </row>
    <row r="299" spans="2:21" ht="17.100000000000001" customHeight="1" thickBot="1" x14ac:dyDescent="0.3">
      <c r="B299" s="34">
        <v>314</v>
      </c>
      <c r="C299" s="116" t="s">
        <v>19</v>
      </c>
      <c r="D299" s="120"/>
      <c r="E299" s="116"/>
      <c r="F299" s="114"/>
      <c r="G299" s="114"/>
      <c r="H299" s="118"/>
      <c r="I299" s="119"/>
      <c r="J299" s="66">
        <f t="shared" si="74"/>
        <v>0</v>
      </c>
      <c r="K299" s="68">
        <f t="shared" si="73"/>
        <v>0</v>
      </c>
      <c r="L299" s="32">
        <f t="shared" si="75"/>
        <v>0</v>
      </c>
      <c r="N299" s="26">
        <f t="shared" si="68"/>
        <v>0</v>
      </c>
      <c r="O299" s="27">
        <f>SUMIFS(ENTRADA!$F:$F,ENTRADA!$B:$B,ESTOQUE!$B299)</f>
        <v>0</v>
      </c>
      <c r="P299" s="27">
        <f>SUMIFS(SAIDA!$F:$F,SAIDA!$B:$B,ESTOQUE!$B299)</f>
        <v>0</v>
      </c>
      <c r="Q299" s="27">
        <f t="shared" si="69"/>
        <v>0</v>
      </c>
      <c r="R299" s="27" t="e">
        <f>Q299=#REF!</f>
        <v>#REF!</v>
      </c>
      <c r="S299" s="93">
        <f>IFERROR(SUMIFS(ENTRADA!$H:$H,ENTRADA!$B:$B,ESTOQUE!$B299)/O299,0)</f>
        <v>0</v>
      </c>
      <c r="T299" s="93">
        <f t="shared" si="70"/>
        <v>0</v>
      </c>
      <c r="U299" s="93">
        <f t="shared" si="71"/>
        <v>0</v>
      </c>
    </row>
    <row r="300" spans="2:21" ht="17.100000000000001" customHeight="1" thickBot="1" x14ac:dyDescent="0.3">
      <c r="B300" s="34">
        <v>315</v>
      </c>
      <c r="C300" s="116" t="s">
        <v>19</v>
      </c>
      <c r="D300" s="120"/>
      <c r="E300" s="116"/>
      <c r="F300" s="114"/>
      <c r="G300" s="114"/>
      <c r="H300" s="118"/>
      <c r="I300" s="119"/>
      <c r="J300" s="66">
        <f t="shared" si="74"/>
        <v>0</v>
      </c>
      <c r="K300" s="68">
        <f t="shared" si="73"/>
        <v>0</v>
      </c>
      <c r="L300" s="32">
        <f t="shared" si="75"/>
        <v>0</v>
      </c>
      <c r="N300" s="26">
        <f t="shared" si="68"/>
        <v>0</v>
      </c>
      <c r="O300" s="27">
        <f>SUMIFS(ENTRADA!$F:$F,ENTRADA!$B:$B,ESTOQUE!$B300)</f>
        <v>0</v>
      </c>
      <c r="P300" s="27">
        <f>SUMIFS(SAIDA!$F:$F,SAIDA!$B:$B,ESTOQUE!$B300)</f>
        <v>0</v>
      </c>
      <c r="Q300" s="27">
        <f t="shared" si="69"/>
        <v>0</v>
      </c>
      <c r="R300" s="27" t="e">
        <f>Q300=#REF!</f>
        <v>#REF!</v>
      </c>
      <c r="S300" s="93">
        <f>IFERROR(SUMIFS(ENTRADA!$H:$H,ENTRADA!$B:$B,ESTOQUE!$B300)/O300,0)</f>
        <v>0</v>
      </c>
      <c r="T300" s="93">
        <f t="shared" si="70"/>
        <v>0</v>
      </c>
      <c r="U300" s="93">
        <f t="shared" si="71"/>
        <v>0</v>
      </c>
    </row>
    <row r="301" spans="2:21" ht="17.100000000000001" customHeight="1" thickBot="1" x14ac:dyDescent="0.3">
      <c r="B301" s="34">
        <v>316</v>
      </c>
      <c r="C301" s="116" t="s">
        <v>19</v>
      </c>
      <c r="D301" s="120"/>
      <c r="E301" s="116"/>
      <c r="F301" s="114"/>
      <c r="G301" s="114"/>
      <c r="H301" s="118"/>
      <c r="I301" s="119"/>
      <c r="J301" s="66">
        <f t="shared" si="74"/>
        <v>0</v>
      </c>
      <c r="K301" s="68">
        <f t="shared" si="73"/>
        <v>0</v>
      </c>
      <c r="L301" s="32">
        <f t="shared" si="75"/>
        <v>0</v>
      </c>
      <c r="N301" s="26">
        <f t="shared" si="68"/>
        <v>0</v>
      </c>
      <c r="O301" s="27">
        <f>SUMIFS(ENTRADA!$F:$F,ENTRADA!$B:$B,ESTOQUE!$B301)</f>
        <v>0</v>
      </c>
      <c r="P301" s="27">
        <f>SUMIFS(SAIDA!$F:$F,SAIDA!$B:$B,ESTOQUE!$B301)</f>
        <v>0</v>
      </c>
      <c r="Q301" s="27">
        <f t="shared" si="69"/>
        <v>0</v>
      </c>
      <c r="R301" s="27" t="e">
        <f>Q301=#REF!</f>
        <v>#REF!</v>
      </c>
      <c r="S301" s="93">
        <f>IFERROR(SUMIFS(ENTRADA!$H:$H,ENTRADA!$B:$B,ESTOQUE!$B301)/O301,0)</f>
        <v>0</v>
      </c>
      <c r="T301" s="93">
        <f t="shared" si="70"/>
        <v>0</v>
      </c>
      <c r="U301" s="93">
        <f t="shared" si="71"/>
        <v>0</v>
      </c>
    </row>
    <row r="302" spans="2:21" ht="17.100000000000001" customHeight="1" thickBot="1" x14ac:dyDescent="0.3">
      <c r="B302" s="34">
        <v>317</v>
      </c>
      <c r="C302" s="116" t="s">
        <v>19</v>
      </c>
      <c r="D302" s="120"/>
      <c r="E302" s="116"/>
      <c r="F302" s="114"/>
      <c r="G302" s="114"/>
      <c r="H302" s="118"/>
      <c r="I302" s="119"/>
      <c r="J302" s="66">
        <f t="shared" si="74"/>
        <v>0</v>
      </c>
      <c r="K302" s="68">
        <f t="shared" si="73"/>
        <v>0</v>
      </c>
      <c r="L302" s="32">
        <f t="shared" si="75"/>
        <v>0</v>
      </c>
      <c r="N302" s="26">
        <f t="shared" si="68"/>
        <v>0</v>
      </c>
      <c r="O302" s="27">
        <f>SUMIFS(ENTRADA!$F:$F,ENTRADA!$B:$B,ESTOQUE!$B302)</f>
        <v>0</v>
      </c>
      <c r="P302" s="27">
        <f>SUMIFS(SAIDA!$F:$F,SAIDA!$B:$B,ESTOQUE!$B302)</f>
        <v>0</v>
      </c>
      <c r="Q302" s="27">
        <f t="shared" si="69"/>
        <v>0</v>
      </c>
      <c r="R302" s="27" t="e">
        <f>Q302=#REF!</f>
        <v>#REF!</v>
      </c>
      <c r="S302" s="93">
        <f>IFERROR(SUMIFS(ENTRADA!$H:$H,ENTRADA!$B:$B,ESTOQUE!$B302)/O302,0)</f>
        <v>0</v>
      </c>
      <c r="T302" s="93">
        <f t="shared" si="70"/>
        <v>0</v>
      </c>
      <c r="U302" s="93">
        <f t="shared" si="71"/>
        <v>0</v>
      </c>
    </row>
    <row r="303" spans="2:21" ht="17.100000000000001" customHeight="1" thickBot="1" x14ac:dyDescent="0.3">
      <c r="B303" s="34">
        <v>318</v>
      </c>
      <c r="C303" s="116" t="s">
        <v>19</v>
      </c>
      <c r="D303" s="120"/>
      <c r="E303" s="116"/>
      <c r="F303" s="114"/>
      <c r="G303" s="114"/>
      <c r="H303" s="118"/>
      <c r="I303" s="119"/>
      <c r="J303" s="66">
        <f t="shared" si="74"/>
        <v>0</v>
      </c>
      <c r="K303" s="68">
        <f t="shared" si="73"/>
        <v>0</v>
      </c>
      <c r="L303" s="32">
        <f t="shared" si="75"/>
        <v>0</v>
      </c>
      <c r="N303" s="26">
        <f t="shared" si="68"/>
        <v>0</v>
      </c>
      <c r="O303" s="27">
        <f>SUMIFS(ENTRADA!$F:$F,ENTRADA!$B:$B,ESTOQUE!$B303)</f>
        <v>0</v>
      </c>
      <c r="P303" s="27">
        <f>SUMIFS(SAIDA!$F:$F,SAIDA!$B:$B,ESTOQUE!$B303)</f>
        <v>0</v>
      </c>
      <c r="Q303" s="27">
        <f t="shared" si="69"/>
        <v>0</v>
      </c>
      <c r="R303" s="27" t="e">
        <f>Q303=#REF!</f>
        <v>#REF!</v>
      </c>
      <c r="S303" s="93">
        <f>IFERROR(SUMIFS(ENTRADA!$H:$H,ENTRADA!$B:$B,ESTOQUE!$B303)/O303,0)</f>
        <v>0</v>
      </c>
      <c r="T303" s="93">
        <f t="shared" si="70"/>
        <v>0</v>
      </c>
      <c r="U303" s="93">
        <f t="shared" si="71"/>
        <v>0</v>
      </c>
    </row>
    <row r="304" spans="2:21" ht="17.100000000000001" customHeight="1" thickBot="1" x14ac:dyDescent="0.3">
      <c r="B304" s="34">
        <v>319</v>
      </c>
      <c r="C304" s="116" t="s">
        <v>19</v>
      </c>
      <c r="D304" s="120"/>
      <c r="E304" s="116"/>
      <c r="F304" s="114"/>
      <c r="G304" s="114"/>
      <c r="H304" s="118"/>
      <c r="I304" s="119"/>
      <c r="J304" s="66">
        <f t="shared" si="74"/>
        <v>0</v>
      </c>
      <c r="K304" s="68">
        <f t="shared" si="73"/>
        <v>0</v>
      </c>
      <c r="L304" s="32">
        <f t="shared" si="75"/>
        <v>0</v>
      </c>
      <c r="N304" s="26">
        <f t="shared" si="68"/>
        <v>0</v>
      </c>
      <c r="O304" s="27">
        <f>SUMIFS(ENTRADA!$F:$F,ENTRADA!$B:$B,ESTOQUE!$B304)</f>
        <v>0</v>
      </c>
      <c r="P304" s="27">
        <f>SUMIFS(SAIDA!$F:$F,SAIDA!$B:$B,ESTOQUE!$B304)</f>
        <v>0</v>
      </c>
      <c r="Q304" s="27">
        <f t="shared" si="69"/>
        <v>0</v>
      </c>
      <c r="R304" s="27" t="e">
        <f>Q304=#REF!</f>
        <v>#REF!</v>
      </c>
      <c r="S304" s="93">
        <f>IFERROR(SUMIFS(ENTRADA!$H:$H,ENTRADA!$B:$B,ESTOQUE!$B304)/O304,0)</f>
        <v>0</v>
      </c>
      <c r="T304" s="93">
        <f t="shared" si="70"/>
        <v>0</v>
      </c>
      <c r="U304" s="93">
        <f t="shared" si="71"/>
        <v>0</v>
      </c>
    </row>
    <row r="305" spans="2:21" ht="17.100000000000001" customHeight="1" thickBot="1" x14ac:dyDescent="0.3">
      <c r="B305" s="34">
        <v>320</v>
      </c>
      <c r="C305" s="116" t="s">
        <v>19</v>
      </c>
      <c r="D305" s="120"/>
      <c r="E305" s="116"/>
      <c r="F305" s="114"/>
      <c r="G305" s="114"/>
      <c r="H305" s="118"/>
      <c r="I305" s="119"/>
      <c r="J305" s="66">
        <f t="shared" si="74"/>
        <v>0</v>
      </c>
      <c r="K305" s="68">
        <f t="shared" si="73"/>
        <v>0</v>
      </c>
      <c r="L305" s="32">
        <f t="shared" si="75"/>
        <v>0</v>
      </c>
      <c r="N305" s="26">
        <f t="shared" si="68"/>
        <v>0</v>
      </c>
      <c r="O305" s="27">
        <f>SUMIFS(ENTRADA!$F:$F,ENTRADA!$B:$B,ESTOQUE!$B305)</f>
        <v>0</v>
      </c>
      <c r="P305" s="27">
        <f>SUMIFS(SAIDA!$F:$F,SAIDA!$B:$B,ESTOQUE!$B305)</f>
        <v>0</v>
      </c>
      <c r="Q305" s="27">
        <f t="shared" si="69"/>
        <v>0</v>
      </c>
      <c r="R305" s="27" t="e">
        <f>Q305=#REF!</f>
        <v>#REF!</v>
      </c>
      <c r="S305" s="93">
        <f>IFERROR(SUMIFS(ENTRADA!$H:$H,ENTRADA!$B:$B,ESTOQUE!$B305)/O305,0)</f>
        <v>0</v>
      </c>
      <c r="T305" s="93">
        <f t="shared" si="70"/>
        <v>0</v>
      </c>
      <c r="U305" s="93">
        <f t="shared" si="71"/>
        <v>0</v>
      </c>
    </row>
    <row r="306" spans="2:21" ht="17.100000000000001" customHeight="1" thickBot="1" x14ac:dyDescent="0.3">
      <c r="B306" s="34">
        <v>321</v>
      </c>
      <c r="C306" s="116" t="s">
        <v>19</v>
      </c>
      <c r="D306" s="120"/>
      <c r="E306" s="116"/>
      <c r="F306" s="114"/>
      <c r="G306" s="114"/>
      <c r="H306" s="118"/>
      <c r="I306" s="119"/>
      <c r="J306" s="66">
        <f t="shared" si="74"/>
        <v>0</v>
      </c>
      <c r="K306" s="68">
        <f t="shared" si="73"/>
        <v>0</v>
      </c>
      <c r="L306" s="32">
        <f t="shared" si="75"/>
        <v>0</v>
      </c>
      <c r="N306" s="26">
        <f t="shared" si="68"/>
        <v>0</v>
      </c>
      <c r="O306" s="27">
        <f>SUMIFS(ENTRADA!$F:$F,ENTRADA!$B:$B,ESTOQUE!$B306)</f>
        <v>0</v>
      </c>
      <c r="P306" s="27">
        <f>SUMIFS(SAIDA!$F:$F,SAIDA!$B:$B,ESTOQUE!$B306)</f>
        <v>0</v>
      </c>
      <c r="Q306" s="27">
        <f t="shared" si="69"/>
        <v>0</v>
      </c>
      <c r="R306" s="27" t="e">
        <f>Q306=#REF!</f>
        <v>#REF!</v>
      </c>
      <c r="S306" s="93">
        <f>IFERROR(SUMIFS(ENTRADA!$H:$H,ENTRADA!$B:$B,ESTOQUE!$B306)/O306,0)</f>
        <v>0</v>
      </c>
      <c r="T306" s="93">
        <f t="shared" si="70"/>
        <v>0</v>
      </c>
      <c r="U306" s="93">
        <f t="shared" si="71"/>
        <v>0</v>
      </c>
    </row>
    <row r="307" spans="2:21" ht="17.100000000000001" customHeight="1" thickBot="1" x14ac:dyDescent="0.3">
      <c r="B307" s="34">
        <v>322</v>
      </c>
      <c r="C307" s="116" t="s">
        <v>19</v>
      </c>
      <c r="D307" s="120"/>
      <c r="E307" s="116"/>
      <c r="F307" s="114"/>
      <c r="G307" s="114"/>
      <c r="H307" s="118"/>
      <c r="I307" s="119"/>
      <c r="J307" s="66">
        <f t="shared" si="74"/>
        <v>0</v>
      </c>
      <c r="K307" s="68">
        <f t="shared" si="73"/>
        <v>0</v>
      </c>
      <c r="L307" s="32">
        <f t="shared" si="75"/>
        <v>0</v>
      </c>
      <c r="N307" s="26">
        <f t="shared" si="68"/>
        <v>0</v>
      </c>
      <c r="O307" s="27">
        <f>SUMIFS(ENTRADA!$F:$F,ENTRADA!$B:$B,ESTOQUE!$B307)</f>
        <v>0</v>
      </c>
      <c r="P307" s="27">
        <f>SUMIFS(SAIDA!$F:$F,SAIDA!$B:$B,ESTOQUE!$B307)</f>
        <v>0</v>
      </c>
      <c r="Q307" s="27">
        <f t="shared" si="69"/>
        <v>0</v>
      </c>
      <c r="R307" s="27" t="e">
        <f>Q307=#REF!</f>
        <v>#REF!</v>
      </c>
      <c r="S307" s="93">
        <f>IFERROR(SUMIFS(ENTRADA!$H:$H,ENTRADA!$B:$B,ESTOQUE!$B307)/O307,0)</f>
        <v>0</v>
      </c>
      <c r="T307" s="93">
        <f t="shared" si="70"/>
        <v>0</v>
      </c>
      <c r="U307" s="93">
        <f t="shared" si="71"/>
        <v>0</v>
      </c>
    </row>
    <row r="308" spans="2:21" ht="17.100000000000001" customHeight="1" thickBot="1" x14ac:dyDescent="0.3">
      <c r="B308" s="34">
        <v>323</v>
      </c>
      <c r="C308" s="116" t="s">
        <v>19</v>
      </c>
      <c r="D308" s="120"/>
      <c r="E308" s="116"/>
      <c r="F308" s="114"/>
      <c r="G308" s="114"/>
      <c r="H308" s="118"/>
      <c r="I308" s="119"/>
      <c r="J308" s="66">
        <f t="shared" si="74"/>
        <v>0</v>
      </c>
      <c r="K308" s="68">
        <f t="shared" si="73"/>
        <v>0</v>
      </c>
      <c r="L308" s="32">
        <f t="shared" si="75"/>
        <v>0</v>
      </c>
      <c r="N308" s="26">
        <f t="shared" si="68"/>
        <v>0</v>
      </c>
      <c r="O308" s="27">
        <f>SUMIFS(ENTRADA!$F:$F,ENTRADA!$B:$B,ESTOQUE!$B308)</f>
        <v>0</v>
      </c>
      <c r="P308" s="27">
        <f>SUMIFS(SAIDA!$F:$F,SAIDA!$B:$B,ESTOQUE!$B308)</f>
        <v>0</v>
      </c>
      <c r="Q308" s="27">
        <f t="shared" si="69"/>
        <v>0</v>
      </c>
      <c r="R308" s="27" t="e">
        <f>Q308=#REF!</f>
        <v>#REF!</v>
      </c>
      <c r="S308" s="93">
        <f>IFERROR(SUMIFS(ENTRADA!$H:$H,ENTRADA!$B:$B,ESTOQUE!$B308)/O308,0)</f>
        <v>0</v>
      </c>
      <c r="T308" s="93">
        <f t="shared" si="70"/>
        <v>0</v>
      </c>
      <c r="U308" s="93">
        <f t="shared" si="71"/>
        <v>0</v>
      </c>
    </row>
    <row r="309" spans="2:21" ht="17.100000000000001" customHeight="1" thickBot="1" x14ac:dyDescent="0.3">
      <c r="B309" s="34">
        <v>324</v>
      </c>
      <c r="C309" s="116" t="s">
        <v>19</v>
      </c>
      <c r="D309" s="120"/>
      <c r="E309" s="116"/>
      <c r="F309" s="114"/>
      <c r="G309" s="114"/>
      <c r="H309" s="118"/>
      <c r="I309" s="119"/>
      <c r="J309" s="66">
        <f t="shared" si="74"/>
        <v>0</v>
      </c>
      <c r="K309" s="68">
        <f t="shared" si="73"/>
        <v>0</v>
      </c>
      <c r="L309" s="32">
        <f t="shared" si="75"/>
        <v>0</v>
      </c>
      <c r="N309" s="26">
        <f t="shared" si="68"/>
        <v>0</v>
      </c>
      <c r="O309" s="27">
        <f>SUMIFS(ENTRADA!$F:$F,ENTRADA!$B:$B,ESTOQUE!$B309)</f>
        <v>0</v>
      </c>
      <c r="P309" s="27">
        <f>SUMIFS(SAIDA!$F:$F,SAIDA!$B:$B,ESTOQUE!$B309)</f>
        <v>0</v>
      </c>
      <c r="Q309" s="27">
        <f t="shared" si="69"/>
        <v>0</v>
      </c>
      <c r="R309" s="27" t="e">
        <f>Q309=#REF!</f>
        <v>#REF!</v>
      </c>
      <c r="S309" s="93">
        <f>IFERROR(SUMIFS(ENTRADA!$H:$H,ENTRADA!$B:$B,ESTOQUE!$B309)/O309,0)</f>
        <v>0</v>
      </c>
      <c r="T309" s="93">
        <f t="shared" si="70"/>
        <v>0</v>
      </c>
      <c r="U309" s="93">
        <f t="shared" si="71"/>
        <v>0</v>
      </c>
    </row>
    <row r="310" spans="2:21" ht="17.100000000000001" customHeight="1" thickBot="1" x14ac:dyDescent="0.3">
      <c r="B310" s="34">
        <v>325</v>
      </c>
      <c r="C310" s="116" t="s">
        <v>19</v>
      </c>
      <c r="D310" s="120"/>
      <c r="E310" s="116"/>
      <c r="F310" s="114"/>
      <c r="G310" s="114"/>
      <c r="H310" s="118"/>
      <c r="I310" s="119"/>
      <c r="J310" s="66">
        <f t="shared" si="74"/>
        <v>0</v>
      </c>
      <c r="K310" s="68">
        <f t="shared" si="73"/>
        <v>0</v>
      </c>
      <c r="L310" s="32">
        <f t="shared" si="75"/>
        <v>0</v>
      </c>
      <c r="N310" s="26">
        <f t="shared" si="68"/>
        <v>0</v>
      </c>
      <c r="O310" s="27">
        <f>SUMIFS(ENTRADA!$F:$F,ENTRADA!$B:$B,ESTOQUE!$B310)</f>
        <v>0</v>
      </c>
      <c r="P310" s="27">
        <f>SUMIFS(SAIDA!$F:$F,SAIDA!$B:$B,ESTOQUE!$B310)</f>
        <v>0</v>
      </c>
      <c r="Q310" s="27">
        <f t="shared" si="69"/>
        <v>0</v>
      </c>
      <c r="R310" s="27" t="e">
        <f>Q310=#REF!</f>
        <v>#REF!</v>
      </c>
      <c r="S310" s="93">
        <f>IFERROR(SUMIFS(ENTRADA!$H:$H,ENTRADA!$B:$B,ESTOQUE!$B310)/O310,0)</f>
        <v>0</v>
      </c>
      <c r="T310" s="93">
        <f t="shared" si="70"/>
        <v>0</v>
      </c>
      <c r="U310" s="93">
        <f t="shared" si="71"/>
        <v>0</v>
      </c>
    </row>
    <row r="311" spans="2:21" ht="17.100000000000001" customHeight="1" thickBot="1" x14ac:dyDescent="0.3">
      <c r="B311" s="34">
        <v>326</v>
      </c>
      <c r="C311" s="116" t="s">
        <v>19</v>
      </c>
      <c r="D311" s="120"/>
      <c r="E311" s="116"/>
      <c r="F311" s="114"/>
      <c r="G311" s="114"/>
      <c r="H311" s="118"/>
      <c r="I311" s="119"/>
      <c r="J311" s="66">
        <f t="shared" si="74"/>
        <v>0</v>
      </c>
      <c r="K311" s="68">
        <f t="shared" si="73"/>
        <v>0</v>
      </c>
      <c r="L311" s="32">
        <f t="shared" si="75"/>
        <v>0</v>
      </c>
      <c r="N311" s="26">
        <f t="shared" si="68"/>
        <v>0</v>
      </c>
      <c r="O311" s="27">
        <f>SUMIFS(ENTRADA!$F:$F,ENTRADA!$B:$B,ESTOQUE!$B311)</f>
        <v>0</v>
      </c>
      <c r="P311" s="27">
        <f>SUMIFS(SAIDA!$F:$F,SAIDA!$B:$B,ESTOQUE!$B311)</f>
        <v>0</v>
      </c>
      <c r="Q311" s="27">
        <f t="shared" si="69"/>
        <v>0</v>
      </c>
      <c r="R311" s="27" t="e">
        <f>Q311=#REF!</f>
        <v>#REF!</v>
      </c>
      <c r="S311" s="93">
        <f>IFERROR(SUMIFS(ENTRADA!$H:$H,ENTRADA!$B:$B,ESTOQUE!$B311)/O311,0)</f>
        <v>0</v>
      </c>
      <c r="T311" s="93">
        <f t="shared" si="70"/>
        <v>0</v>
      </c>
      <c r="U311" s="93">
        <f t="shared" si="71"/>
        <v>0</v>
      </c>
    </row>
    <row r="312" spans="2:21" ht="17.100000000000001" customHeight="1" thickBot="1" x14ac:dyDescent="0.3">
      <c r="B312" s="34">
        <v>327</v>
      </c>
      <c r="C312" s="116" t="s">
        <v>19</v>
      </c>
      <c r="D312" s="120"/>
      <c r="E312" s="116"/>
      <c r="F312" s="114"/>
      <c r="G312" s="114"/>
      <c r="H312" s="118"/>
      <c r="I312" s="119"/>
      <c r="J312" s="66">
        <f t="shared" si="74"/>
        <v>0</v>
      </c>
      <c r="K312" s="68">
        <f t="shared" ref="K312:K343" si="76">I312-J312</f>
        <v>0</v>
      </c>
      <c r="L312" s="32">
        <f t="shared" si="75"/>
        <v>0</v>
      </c>
      <c r="N312" s="26">
        <f t="shared" ref="N312:N367" si="77">D312</f>
        <v>0</v>
      </c>
      <c r="O312" s="27">
        <f>SUMIFS(ENTRADA!$F:$F,ENTRADA!$B:$B,ESTOQUE!$B312)</f>
        <v>0</v>
      </c>
      <c r="P312" s="27">
        <f>SUMIFS(SAIDA!$F:$F,SAIDA!$B:$B,ESTOQUE!$B312)</f>
        <v>0</v>
      </c>
      <c r="Q312" s="27">
        <f t="shared" ref="Q312:Q367" si="78">O312-P312</f>
        <v>0</v>
      </c>
      <c r="R312" s="27" t="e">
        <f>Q312=#REF!</f>
        <v>#REF!</v>
      </c>
      <c r="S312" s="93">
        <f>IFERROR(SUMIFS(ENTRADA!$H:$H,ENTRADA!$B:$B,ESTOQUE!$B312)/O312,0)</f>
        <v>0</v>
      </c>
      <c r="T312" s="93">
        <f t="shared" ref="T312:T367" si="79">Q312*S312</f>
        <v>0</v>
      </c>
      <c r="U312" s="93">
        <f t="shared" ref="U312:U367" si="80">P312*S312</f>
        <v>0</v>
      </c>
    </row>
    <row r="313" spans="2:21" ht="17.100000000000001" customHeight="1" thickBot="1" x14ac:dyDescent="0.3">
      <c r="B313" s="34">
        <v>328</v>
      </c>
      <c r="C313" s="116" t="s">
        <v>19</v>
      </c>
      <c r="D313" s="120"/>
      <c r="E313" s="116"/>
      <c r="F313" s="114"/>
      <c r="G313" s="114"/>
      <c r="H313" s="118"/>
      <c r="I313" s="119"/>
      <c r="J313" s="66">
        <f t="shared" si="74"/>
        <v>0</v>
      </c>
      <c r="K313" s="68">
        <f t="shared" si="76"/>
        <v>0</v>
      </c>
      <c r="L313" s="32">
        <f t="shared" si="75"/>
        <v>0</v>
      </c>
      <c r="N313" s="26">
        <f t="shared" si="77"/>
        <v>0</v>
      </c>
      <c r="O313" s="27">
        <f>SUMIFS(ENTRADA!$F:$F,ENTRADA!$B:$B,ESTOQUE!$B313)</f>
        <v>0</v>
      </c>
      <c r="P313" s="27">
        <f>SUMIFS(SAIDA!$F:$F,SAIDA!$B:$B,ESTOQUE!$B313)</f>
        <v>0</v>
      </c>
      <c r="Q313" s="27">
        <f t="shared" si="78"/>
        <v>0</v>
      </c>
      <c r="R313" s="27" t="e">
        <f>Q313=#REF!</f>
        <v>#REF!</v>
      </c>
      <c r="S313" s="93">
        <f>IFERROR(SUMIFS(ENTRADA!$H:$H,ENTRADA!$B:$B,ESTOQUE!$B313)/O313,0)</f>
        <v>0</v>
      </c>
      <c r="T313" s="93">
        <f t="shared" si="79"/>
        <v>0</v>
      </c>
      <c r="U313" s="93">
        <f t="shared" si="80"/>
        <v>0</v>
      </c>
    </row>
    <row r="314" spans="2:21" ht="17.100000000000001" customHeight="1" thickBot="1" x14ac:dyDescent="0.3">
      <c r="B314" s="34">
        <v>329</v>
      </c>
      <c r="C314" s="116" t="s">
        <v>19</v>
      </c>
      <c r="D314" s="120"/>
      <c r="E314" s="116"/>
      <c r="F314" s="114"/>
      <c r="G314" s="114"/>
      <c r="H314" s="118"/>
      <c r="I314" s="119"/>
      <c r="J314" s="66">
        <f t="shared" si="74"/>
        <v>0</v>
      </c>
      <c r="K314" s="68">
        <f t="shared" si="76"/>
        <v>0</v>
      </c>
      <c r="L314" s="32">
        <f t="shared" si="75"/>
        <v>0</v>
      </c>
      <c r="N314" s="26">
        <f t="shared" si="77"/>
        <v>0</v>
      </c>
      <c r="O314" s="27">
        <f>SUMIFS(ENTRADA!$F:$F,ENTRADA!$B:$B,ESTOQUE!$B314)</f>
        <v>0</v>
      </c>
      <c r="P314" s="27">
        <f>SUMIFS(SAIDA!$F:$F,SAIDA!$B:$B,ESTOQUE!$B314)</f>
        <v>0</v>
      </c>
      <c r="Q314" s="27">
        <f t="shared" si="78"/>
        <v>0</v>
      </c>
      <c r="R314" s="27" t="e">
        <f>Q314=#REF!</f>
        <v>#REF!</v>
      </c>
      <c r="S314" s="93">
        <f>IFERROR(SUMIFS(ENTRADA!$H:$H,ENTRADA!$B:$B,ESTOQUE!$B314)/O314,0)</f>
        <v>0</v>
      </c>
      <c r="T314" s="93">
        <f t="shared" si="79"/>
        <v>0</v>
      </c>
      <c r="U314" s="93">
        <f t="shared" si="80"/>
        <v>0</v>
      </c>
    </row>
    <row r="315" spans="2:21" ht="17.100000000000001" customHeight="1" thickBot="1" x14ac:dyDescent="0.3">
      <c r="B315" s="34">
        <v>330</v>
      </c>
      <c r="C315" s="116" t="s">
        <v>19</v>
      </c>
      <c r="D315" s="120"/>
      <c r="E315" s="116"/>
      <c r="F315" s="114"/>
      <c r="G315" s="114"/>
      <c r="H315" s="118"/>
      <c r="I315" s="119"/>
      <c r="J315" s="66">
        <f t="shared" si="74"/>
        <v>0</v>
      </c>
      <c r="K315" s="68">
        <f t="shared" si="76"/>
        <v>0</v>
      </c>
      <c r="L315" s="32">
        <f t="shared" si="75"/>
        <v>0</v>
      </c>
      <c r="N315" s="26">
        <f t="shared" si="77"/>
        <v>0</v>
      </c>
      <c r="O315" s="27">
        <f>SUMIFS(ENTRADA!$F:$F,ENTRADA!$B:$B,ESTOQUE!$B315)</f>
        <v>0</v>
      </c>
      <c r="P315" s="27">
        <f>SUMIFS(SAIDA!$F:$F,SAIDA!$B:$B,ESTOQUE!$B315)</f>
        <v>0</v>
      </c>
      <c r="Q315" s="27">
        <f t="shared" si="78"/>
        <v>0</v>
      </c>
      <c r="R315" s="27" t="e">
        <f>Q315=#REF!</f>
        <v>#REF!</v>
      </c>
      <c r="S315" s="93">
        <f>IFERROR(SUMIFS(ENTRADA!$H:$H,ENTRADA!$B:$B,ESTOQUE!$B315)/O315,0)</f>
        <v>0</v>
      </c>
      <c r="T315" s="93">
        <f t="shared" si="79"/>
        <v>0</v>
      </c>
      <c r="U315" s="93">
        <f t="shared" si="80"/>
        <v>0</v>
      </c>
    </row>
    <row r="316" spans="2:21" ht="17.100000000000001" customHeight="1" thickBot="1" x14ac:dyDescent="0.3">
      <c r="B316" s="34">
        <v>331</v>
      </c>
      <c r="C316" s="116" t="s">
        <v>19</v>
      </c>
      <c r="D316" s="120"/>
      <c r="E316" s="116"/>
      <c r="F316" s="114"/>
      <c r="G316" s="114"/>
      <c r="H316" s="118"/>
      <c r="I316" s="119"/>
      <c r="J316" s="66">
        <f t="shared" si="74"/>
        <v>0</v>
      </c>
      <c r="K316" s="68">
        <f t="shared" si="76"/>
        <v>0</v>
      </c>
      <c r="L316" s="32">
        <f t="shared" si="75"/>
        <v>0</v>
      </c>
      <c r="N316" s="26">
        <f t="shared" si="77"/>
        <v>0</v>
      </c>
      <c r="O316" s="27">
        <f>SUMIFS(ENTRADA!$F:$F,ENTRADA!$B:$B,ESTOQUE!$B316)</f>
        <v>0</v>
      </c>
      <c r="P316" s="27">
        <f>SUMIFS(SAIDA!$F:$F,SAIDA!$B:$B,ESTOQUE!$B316)</f>
        <v>0</v>
      </c>
      <c r="Q316" s="27">
        <f t="shared" si="78"/>
        <v>0</v>
      </c>
      <c r="R316" s="27" t="e">
        <f>Q316=#REF!</f>
        <v>#REF!</v>
      </c>
      <c r="S316" s="93">
        <f>IFERROR(SUMIFS(ENTRADA!$H:$H,ENTRADA!$B:$B,ESTOQUE!$B316)/O316,0)</f>
        <v>0</v>
      </c>
      <c r="T316" s="93">
        <f t="shared" si="79"/>
        <v>0</v>
      </c>
      <c r="U316" s="93">
        <f t="shared" si="80"/>
        <v>0</v>
      </c>
    </row>
    <row r="317" spans="2:21" ht="17.100000000000001" customHeight="1" thickBot="1" x14ac:dyDescent="0.3">
      <c r="B317" s="34">
        <v>332</v>
      </c>
      <c r="C317" s="116" t="s">
        <v>19</v>
      </c>
      <c r="D317" s="120"/>
      <c r="E317" s="116"/>
      <c r="F317" s="114"/>
      <c r="G317" s="114"/>
      <c r="H317" s="118"/>
      <c r="I317" s="119"/>
      <c r="J317" s="66">
        <f t="shared" si="74"/>
        <v>0</v>
      </c>
      <c r="K317" s="68">
        <f t="shared" si="76"/>
        <v>0</v>
      </c>
      <c r="L317" s="32">
        <f t="shared" si="75"/>
        <v>0</v>
      </c>
      <c r="N317" s="26">
        <f t="shared" si="77"/>
        <v>0</v>
      </c>
      <c r="O317" s="27">
        <f>SUMIFS(ENTRADA!$F:$F,ENTRADA!$B:$B,ESTOQUE!$B317)</f>
        <v>0</v>
      </c>
      <c r="P317" s="27">
        <f>SUMIFS(SAIDA!$F:$F,SAIDA!$B:$B,ESTOQUE!$B317)</f>
        <v>0</v>
      </c>
      <c r="Q317" s="27">
        <f t="shared" si="78"/>
        <v>0</v>
      </c>
      <c r="R317" s="27" t="e">
        <f>Q317=#REF!</f>
        <v>#REF!</v>
      </c>
      <c r="S317" s="93">
        <f>IFERROR(SUMIFS(ENTRADA!$H:$H,ENTRADA!$B:$B,ESTOQUE!$B317)/O317,0)</f>
        <v>0</v>
      </c>
      <c r="T317" s="93">
        <f t="shared" si="79"/>
        <v>0</v>
      </c>
      <c r="U317" s="93">
        <f t="shared" si="80"/>
        <v>0</v>
      </c>
    </row>
    <row r="318" spans="2:21" ht="17.100000000000001" customHeight="1" thickBot="1" x14ac:dyDescent="0.3">
      <c r="B318" s="34">
        <v>333</v>
      </c>
      <c r="C318" s="116" t="s">
        <v>19</v>
      </c>
      <c r="D318" s="120"/>
      <c r="E318" s="116"/>
      <c r="F318" s="114"/>
      <c r="G318" s="114"/>
      <c r="H318" s="118"/>
      <c r="I318" s="119"/>
      <c r="J318" s="66">
        <f t="shared" si="74"/>
        <v>0</v>
      </c>
      <c r="K318" s="68">
        <f t="shared" si="76"/>
        <v>0</v>
      </c>
      <c r="L318" s="32">
        <f t="shared" ref="L318:L349" si="81">IF(J318&lt;H318,"ESTOQUE BAIXO",IF(J318&gt;I318,"ESTOQUE ALTO",IF(J318&gt;H318,"ESTOQUE NORMAL",)))</f>
        <v>0</v>
      </c>
      <c r="N318" s="26">
        <f t="shared" si="77"/>
        <v>0</v>
      </c>
      <c r="O318" s="27">
        <f>SUMIFS(ENTRADA!$F:$F,ENTRADA!$B:$B,ESTOQUE!$B318)</f>
        <v>0</v>
      </c>
      <c r="P318" s="27">
        <f>SUMIFS(SAIDA!$F:$F,SAIDA!$B:$B,ESTOQUE!$B318)</f>
        <v>0</v>
      </c>
      <c r="Q318" s="27">
        <f t="shared" si="78"/>
        <v>0</v>
      </c>
      <c r="R318" s="27" t="e">
        <f>Q318=#REF!</f>
        <v>#REF!</v>
      </c>
      <c r="S318" s="93">
        <f>IFERROR(SUMIFS(ENTRADA!$H:$H,ENTRADA!$B:$B,ESTOQUE!$B318)/O318,0)</f>
        <v>0</v>
      </c>
      <c r="T318" s="93">
        <f t="shared" si="79"/>
        <v>0</v>
      </c>
      <c r="U318" s="93">
        <f t="shared" si="80"/>
        <v>0</v>
      </c>
    </row>
    <row r="319" spans="2:21" ht="17.100000000000001" customHeight="1" thickBot="1" x14ac:dyDescent="0.3">
      <c r="B319" s="34">
        <v>334</v>
      </c>
      <c r="C319" s="116" t="s">
        <v>19</v>
      </c>
      <c r="D319" s="120"/>
      <c r="E319" s="116"/>
      <c r="F319" s="114"/>
      <c r="G319" s="114"/>
      <c r="H319" s="118"/>
      <c r="I319" s="119"/>
      <c r="J319" s="66">
        <f t="shared" si="74"/>
        <v>0</v>
      </c>
      <c r="K319" s="68">
        <f t="shared" si="76"/>
        <v>0</v>
      </c>
      <c r="L319" s="32">
        <f t="shared" si="81"/>
        <v>0</v>
      </c>
      <c r="N319" s="26">
        <f t="shared" si="77"/>
        <v>0</v>
      </c>
      <c r="O319" s="27">
        <f>SUMIFS(ENTRADA!$F:$F,ENTRADA!$B:$B,ESTOQUE!$B319)</f>
        <v>0</v>
      </c>
      <c r="P319" s="27">
        <f>SUMIFS(SAIDA!$F:$F,SAIDA!$B:$B,ESTOQUE!$B319)</f>
        <v>0</v>
      </c>
      <c r="Q319" s="27">
        <f t="shared" si="78"/>
        <v>0</v>
      </c>
      <c r="R319" s="27" t="e">
        <f>Q319=#REF!</f>
        <v>#REF!</v>
      </c>
      <c r="S319" s="93">
        <f>IFERROR(SUMIFS(ENTRADA!$H:$H,ENTRADA!$B:$B,ESTOQUE!$B319)/O319,0)</f>
        <v>0</v>
      </c>
      <c r="T319" s="93">
        <f t="shared" si="79"/>
        <v>0</v>
      </c>
      <c r="U319" s="93">
        <f t="shared" si="80"/>
        <v>0</v>
      </c>
    </row>
    <row r="320" spans="2:21" ht="17.100000000000001" customHeight="1" thickBot="1" x14ac:dyDescent="0.3">
      <c r="B320" s="34">
        <v>335</v>
      </c>
      <c r="C320" s="116" t="s">
        <v>19</v>
      </c>
      <c r="D320" s="120"/>
      <c r="E320" s="116"/>
      <c r="F320" s="114"/>
      <c r="G320" s="114"/>
      <c r="H320" s="118"/>
      <c r="I320" s="119"/>
      <c r="J320" s="66">
        <f t="shared" si="74"/>
        <v>0</v>
      </c>
      <c r="K320" s="68">
        <f t="shared" si="76"/>
        <v>0</v>
      </c>
      <c r="L320" s="32">
        <f t="shared" si="81"/>
        <v>0</v>
      </c>
      <c r="N320" s="26">
        <f t="shared" si="77"/>
        <v>0</v>
      </c>
      <c r="O320" s="27">
        <f>SUMIFS(ENTRADA!$F:$F,ENTRADA!$B:$B,ESTOQUE!$B320)</f>
        <v>0</v>
      </c>
      <c r="P320" s="27">
        <f>SUMIFS(SAIDA!$F:$F,SAIDA!$B:$B,ESTOQUE!$B320)</f>
        <v>0</v>
      </c>
      <c r="Q320" s="27">
        <f t="shared" si="78"/>
        <v>0</v>
      </c>
      <c r="R320" s="27" t="e">
        <f>Q320=#REF!</f>
        <v>#REF!</v>
      </c>
      <c r="S320" s="93">
        <f>IFERROR(SUMIFS(ENTRADA!$H:$H,ENTRADA!$B:$B,ESTOQUE!$B320)/O320,0)</f>
        <v>0</v>
      </c>
      <c r="T320" s="93">
        <f t="shared" si="79"/>
        <v>0</v>
      </c>
      <c r="U320" s="93">
        <f t="shared" si="80"/>
        <v>0</v>
      </c>
    </row>
    <row r="321" spans="2:21" ht="17.100000000000001" customHeight="1" thickBot="1" x14ac:dyDescent="0.3">
      <c r="B321" s="34">
        <v>336</v>
      </c>
      <c r="C321" s="116" t="s">
        <v>19</v>
      </c>
      <c r="D321" s="120"/>
      <c r="E321" s="116"/>
      <c r="F321" s="114"/>
      <c r="G321" s="114"/>
      <c r="H321" s="118"/>
      <c r="I321" s="119"/>
      <c r="J321" s="66">
        <f t="shared" si="74"/>
        <v>0</v>
      </c>
      <c r="K321" s="68">
        <f t="shared" si="76"/>
        <v>0</v>
      </c>
      <c r="L321" s="32">
        <f t="shared" si="81"/>
        <v>0</v>
      </c>
      <c r="N321" s="26">
        <f t="shared" si="77"/>
        <v>0</v>
      </c>
      <c r="O321" s="27">
        <f>SUMIFS(ENTRADA!$F:$F,ENTRADA!$B:$B,ESTOQUE!$B321)</f>
        <v>0</v>
      </c>
      <c r="P321" s="27">
        <f>SUMIFS(SAIDA!$F:$F,SAIDA!$B:$B,ESTOQUE!$B321)</f>
        <v>0</v>
      </c>
      <c r="Q321" s="27">
        <f t="shared" si="78"/>
        <v>0</v>
      </c>
      <c r="R321" s="27" t="e">
        <f>Q321=#REF!</f>
        <v>#REF!</v>
      </c>
      <c r="S321" s="93">
        <f>IFERROR(SUMIFS(ENTRADA!$H:$H,ENTRADA!$B:$B,ESTOQUE!$B321)/O321,0)</f>
        <v>0</v>
      </c>
      <c r="T321" s="93">
        <f t="shared" si="79"/>
        <v>0</v>
      </c>
      <c r="U321" s="93">
        <f t="shared" si="80"/>
        <v>0</v>
      </c>
    </row>
    <row r="322" spans="2:21" ht="17.100000000000001" customHeight="1" thickBot="1" x14ac:dyDescent="0.3">
      <c r="B322" s="34">
        <v>337</v>
      </c>
      <c r="C322" s="116" t="s">
        <v>19</v>
      </c>
      <c r="D322" s="120"/>
      <c r="E322" s="116"/>
      <c r="F322" s="114"/>
      <c r="G322" s="114"/>
      <c r="H322" s="118"/>
      <c r="I322" s="119"/>
      <c r="J322" s="66">
        <f t="shared" si="74"/>
        <v>0</v>
      </c>
      <c r="K322" s="68">
        <f t="shared" si="76"/>
        <v>0</v>
      </c>
      <c r="L322" s="32">
        <f t="shared" si="81"/>
        <v>0</v>
      </c>
      <c r="N322" s="26">
        <f t="shared" si="77"/>
        <v>0</v>
      </c>
      <c r="O322" s="27">
        <f>SUMIFS(ENTRADA!$F:$F,ENTRADA!$B:$B,ESTOQUE!$B322)</f>
        <v>0</v>
      </c>
      <c r="P322" s="27">
        <f>SUMIFS(SAIDA!$F:$F,SAIDA!$B:$B,ESTOQUE!$B322)</f>
        <v>0</v>
      </c>
      <c r="Q322" s="27">
        <f t="shared" si="78"/>
        <v>0</v>
      </c>
      <c r="R322" s="27" t="e">
        <f>Q322=#REF!</f>
        <v>#REF!</v>
      </c>
      <c r="S322" s="93">
        <f>IFERROR(SUMIFS(ENTRADA!$H:$H,ENTRADA!$B:$B,ESTOQUE!$B322)/O322,0)</f>
        <v>0</v>
      </c>
      <c r="T322" s="93">
        <f t="shared" si="79"/>
        <v>0</v>
      </c>
      <c r="U322" s="93">
        <f t="shared" si="80"/>
        <v>0</v>
      </c>
    </row>
    <row r="323" spans="2:21" ht="17.100000000000001" customHeight="1" thickBot="1" x14ac:dyDescent="0.3">
      <c r="B323" s="34">
        <v>338</v>
      </c>
      <c r="C323" s="116" t="s">
        <v>19</v>
      </c>
      <c r="D323" s="120"/>
      <c r="E323" s="116"/>
      <c r="F323" s="114"/>
      <c r="G323" s="114"/>
      <c r="H323" s="118"/>
      <c r="I323" s="119"/>
      <c r="J323" s="66">
        <f t="shared" si="74"/>
        <v>0</v>
      </c>
      <c r="K323" s="68">
        <f t="shared" si="76"/>
        <v>0</v>
      </c>
      <c r="L323" s="32">
        <f t="shared" si="81"/>
        <v>0</v>
      </c>
      <c r="N323" s="26">
        <f t="shared" si="77"/>
        <v>0</v>
      </c>
      <c r="O323" s="27">
        <f>SUMIFS(ENTRADA!$F:$F,ENTRADA!$B:$B,ESTOQUE!$B323)</f>
        <v>0</v>
      </c>
      <c r="P323" s="27">
        <f>SUMIFS(SAIDA!$F:$F,SAIDA!$B:$B,ESTOQUE!$B323)</f>
        <v>0</v>
      </c>
      <c r="Q323" s="27">
        <f t="shared" si="78"/>
        <v>0</v>
      </c>
      <c r="R323" s="27" t="e">
        <f>Q323=#REF!</f>
        <v>#REF!</v>
      </c>
      <c r="S323" s="93">
        <f>IFERROR(SUMIFS(ENTRADA!$H:$H,ENTRADA!$B:$B,ESTOQUE!$B323)/O323,0)</f>
        <v>0</v>
      </c>
      <c r="T323" s="93">
        <f t="shared" si="79"/>
        <v>0</v>
      </c>
      <c r="U323" s="93">
        <f t="shared" si="80"/>
        <v>0</v>
      </c>
    </row>
    <row r="324" spans="2:21" ht="17.100000000000001" customHeight="1" thickBot="1" x14ac:dyDescent="0.3">
      <c r="B324" s="34">
        <v>339</v>
      </c>
      <c r="C324" s="116" t="s">
        <v>19</v>
      </c>
      <c r="D324" s="120"/>
      <c r="E324" s="116"/>
      <c r="F324" s="114"/>
      <c r="G324" s="114"/>
      <c r="H324" s="118"/>
      <c r="I324" s="119"/>
      <c r="J324" s="66">
        <f t="shared" si="74"/>
        <v>0</v>
      </c>
      <c r="K324" s="68">
        <f t="shared" si="76"/>
        <v>0</v>
      </c>
      <c r="L324" s="32">
        <f t="shared" si="81"/>
        <v>0</v>
      </c>
      <c r="N324" s="26">
        <f t="shared" si="77"/>
        <v>0</v>
      </c>
      <c r="O324" s="27">
        <f>SUMIFS(ENTRADA!$F:$F,ENTRADA!$B:$B,ESTOQUE!$B324)</f>
        <v>0</v>
      </c>
      <c r="P324" s="27">
        <f>SUMIFS(SAIDA!$F:$F,SAIDA!$B:$B,ESTOQUE!$B324)</f>
        <v>0</v>
      </c>
      <c r="Q324" s="27">
        <f t="shared" si="78"/>
        <v>0</v>
      </c>
      <c r="R324" s="27" t="e">
        <f>Q324=#REF!</f>
        <v>#REF!</v>
      </c>
      <c r="S324" s="93">
        <f>IFERROR(SUMIFS(ENTRADA!$H:$H,ENTRADA!$B:$B,ESTOQUE!$B324)/O324,0)</f>
        <v>0</v>
      </c>
      <c r="T324" s="93">
        <f t="shared" si="79"/>
        <v>0</v>
      </c>
      <c r="U324" s="93">
        <f t="shared" si="80"/>
        <v>0</v>
      </c>
    </row>
    <row r="325" spans="2:21" ht="17.100000000000001" customHeight="1" thickBot="1" x14ac:dyDescent="0.3">
      <c r="B325" s="34">
        <v>340</v>
      </c>
      <c r="C325" s="116" t="s">
        <v>19</v>
      </c>
      <c r="D325" s="120"/>
      <c r="E325" s="116"/>
      <c r="F325" s="114"/>
      <c r="G325" s="114"/>
      <c r="H325" s="118"/>
      <c r="I325" s="119"/>
      <c r="J325" s="66">
        <f t="shared" si="74"/>
        <v>0</v>
      </c>
      <c r="K325" s="68">
        <f t="shared" si="76"/>
        <v>0</v>
      </c>
      <c r="L325" s="32">
        <f t="shared" si="81"/>
        <v>0</v>
      </c>
      <c r="N325" s="26">
        <f t="shared" si="77"/>
        <v>0</v>
      </c>
      <c r="O325" s="27">
        <f>SUMIFS(ENTRADA!$F:$F,ENTRADA!$B:$B,ESTOQUE!$B325)</f>
        <v>0</v>
      </c>
      <c r="P325" s="27">
        <f>SUMIFS(SAIDA!$F:$F,SAIDA!$B:$B,ESTOQUE!$B325)</f>
        <v>0</v>
      </c>
      <c r="Q325" s="27">
        <f t="shared" si="78"/>
        <v>0</v>
      </c>
      <c r="R325" s="27" t="e">
        <f>Q325=#REF!</f>
        <v>#REF!</v>
      </c>
      <c r="S325" s="93">
        <f>IFERROR(SUMIFS(ENTRADA!$H:$H,ENTRADA!$B:$B,ESTOQUE!$B325)/O325,0)</f>
        <v>0</v>
      </c>
      <c r="T325" s="93">
        <f t="shared" si="79"/>
        <v>0</v>
      </c>
      <c r="U325" s="93">
        <f t="shared" si="80"/>
        <v>0</v>
      </c>
    </row>
    <row r="326" spans="2:21" ht="17.100000000000001" customHeight="1" thickBot="1" x14ac:dyDescent="0.3">
      <c r="B326" s="34">
        <v>341</v>
      </c>
      <c r="C326" s="116" t="s">
        <v>19</v>
      </c>
      <c r="D326" s="120"/>
      <c r="E326" s="116"/>
      <c r="F326" s="114"/>
      <c r="G326" s="114"/>
      <c r="H326" s="118"/>
      <c r="I326" s="119"/>
      <c r="J326" s="66">
        <f t="shared" si="74"/>
        <v>0</v>
      </c>
      <c r="K326" s="68">
        <f t="shared" si="76"/>
        <v>0</v>
      </c>
      <c r="L326" s="32">
        <f t="shared" si="81"/>
        <v>0</v>
      </c>
      <c r="N326" s="26">
        <f t="shared" si="77"/>
        <v>0</v>
      </c>
      <c r="O326" s="27">
        <f>SUMIFS(ENTRADA!$F:$F,ENTRADA!$B:$B,ESTOQUE!$B326)</f>
        <v>0</v>
      </c>
      <c r="P326" s="27">
        <f>SUMIFS(SAIDA!$F:$F,SAIDA!$B:$B,ESTOQUE!$B326)</f>
        <v>0</v>
      </c>
      <c r="Q326" s="27">
        <f t="shared" si="78"/>
        <v>0</v>
      </c>
      <c r="R326" s="27" t="e">
        <f>Q326=#REF!</f>
        <v>#REF!</v>
      </c>
      <c r="S326" s="93">
        <f>IFERROR(SUMIFS(ENTRADA!$H:$H,ENTRADA!$B:$B,ESTOQUE!$B326)/O326,0)</f>
        <v>0</v>
      </c>
      <c r="T326" s="93">
        <f t="shared" si="79"/>
        <v>0</v>
      </c>
      <c r="U326" s="93">
        <f t="shared" si="80"/>
        <v>0</v>
      </c>
    </row>
    <row r="327" spans="2:21" ht="17.100000000000001" customHeight="1" thickBot="1" x14ac:dyDescent="0.3">
      <c r="B327" s="34">
        <v>342</v>
      </c>
      <c r="C327" s="116" t="s">
        <v>19</v>
      </c>
      <c r="D327" s="120"/>
      <c r="E327" s="116"/>
      <c r="F327" s="114"/>
      <c r="G327" s="114"/>
      <c r="H327" s="118"/>
      <c r="I327" s="119"/>
      <c r="J327" s="66">
        <f t="shared" si="74"/>
        <v>0</v>
      </c>
      <c r="K327" s="68">
        <f t="shared" si="76"/>
        <v>0</v>
      </c>
      <c r="L327" s="32">
        <f t="shared" si="81"/>
        <v>0</v>
      </c>
      <c r="N327" s="26">
        <f t="shared" si="77"/>
        <v>0</v>
      </c>
      <c r="O327" s="27">
        <f>SUMIFS(ENTRADA!$F:$F,ENTRADA!$B:$B,ESTOQUE!$B327)</f>
        <v>0</v>
      </c>
      <c r="P327" s="27">
        <f>SUMIFS(SAIDA!$F:$F,SAIDA!$B:$B,ESTOQUE!$B327)</f>
        <v>0</v>
      </c>
      <c r="Q327" s="27">
        <f t="shared" si="78"/>
        <v>0</v>
      </c>
      <c r="R327" s="27" t="e">
        <f>Q327=#REF!</f>
        <v>#REF!</v>
      </c>
      <c r="S327" s="93">
        <f>IFERROR(SUMIFS(ENTRADA!$H:$H,ENTRADA!$B:$B,ESTOQUE!$B327)/O327,0)</f>
        <v>0</v>
      </c>
      <c r="T327" s="93">
        <f t="shared" si="79"/>
        <v>0</v>
      </c>
      <c r="U327" s="93">
        <f t="shared" si="80"/>
        <v>0</v>
      </c>
    </row>
    <row r="328" spans="2:21" ht="17.100000000000001" customHeight="1" thickBot="1" x14ac:dyDescent="0.3">
      <c r="B328" s="34">
        <v>343</v>
      </c>
      <c r="C328" s="116" t="s">
        <v>19</v>
      </c>
      <c r="D328" s="120"/>
      <c r="E328" s="116"/>
      <c r="F328" s="114"/>
      <c r="G328" s="114"/>
      <c r="H328" s="118"/>
      <c r="I328" s="119"/>
      <c r="J328" s="66">
        <f t="shared" si="74"/>
        <v>0</v>
      </c>
      <c r="K328" s="68">
        <f t="shared" si="76"/>
        <v>0</v>
      </c>
      <c r="L328" s="32">
        <f t="shared" si="81"/>
        <v>0</v>
      </c>
      <c r="N328" s="26">
        <f t="shared" si="77"/>
        <v>0</v>
      </c>
      <c r="O328" s="27">
        <f>SUMIFS(ENTRADA!$F:$F,ENTRADA!$B:$B,ESTOQUE!$B328)</f>
        <v>0</v>
      </c>
      <c r="P328" s="27">
        <f>SUMIFS(SAIDA!$F:$F,SAIDA!$B:$B,ESTOQUE!$B328)</f>
        <v>0</v>
      </c>
      <c r="Q328" s="27">
        <f t="shared" si="78"/>
        <v>0</v>
      </c>
      <c r="R328" s="27" t="e">
        <f>Q328=#REF!</f>
        <v>#REF!</v>
      </c>
      <c r="S328" s="93">
        <f>IFERROR(SUMIFS(ENTRADA!$H:$H,ENTRADA!$B:$B,ESTOQUE!$B328)/O328,0)</f>
        <v>0</v>
      </c>
      <c r="T328" s="93">
        <f t="shared" si="79"/>
        <v>0</v>
      </c>
      <c r="U328" s="93">
        <f t="shared" si="80"/>
        <v>0</v>
      </c>
    </row>
    <row r="329" spans="2:21" ht="17.100000000000001" customHeight="1" thickBot="1" x14ac:dyDescent="0.3">
      <c r="B329" s="34">
        <v>344</v>
      </c>
      <c r="C329" s="116" t="s">
        <v>19</v>
      </c>
      <c r="D329" s="120"/>
      <c r="E329" s="116"/>
      <c r="F329" s="114"/>
      <c r="G329" s="114"/>
      <c r="H329" s="118"/>
      <c r="I329" s="119"/>
      <c r="J329" s="66">
        <f t="shared" si="74"/>
        <v>0</v>
      </c>
      <c r="K329" s="68">
        <f t="shared" si="76"/>
        <v>0</v>
      </c>
      <c r="L329" s="32">
        <f t="shared" si="81"/>
        <v>0</v>
      </c>
      <c r="N329" s="26">
        <f t="shared" si="77"/>
        <v>0</v>
      </c>
      <c r="O329" s="27">
        <f>SUMIFS(ENTRADA!$F:$F,ENTRADA!$B:$B,ESTOQUE!$B329)</f>
        <v>0</v>
      </c>
      <c r="P329" s="27">
        <f>SUMIFS(SAIDA!$F:$F,SAIDA!$B:$B,ESTOQUE!$B329)</f>
        <v>0</v>
      </c>
      <c r="Q329" s="27">
        <f t="shared" si="78"/>
        <v>0</v>
      </c>
      <c r="R329" s="27" t="e">
        <f>Q329=#REF!</f>
        <v>#REF!</v>
      </c>
      <c r="S329" s="93">
        <f>IFERROR(SUMIFS(ENTRADA!$H:$H,ENTRADA!$B:$B,ESTOQUE!$B329)/O329,0)</f>
        <v>0</v>
      </c>
      <c r="T329" s="93">
        <f t="shared" si="79"/>
        <v>0</v>
      </c>
      <c r="U329" s="93">
        <f t="shared" si="80"/>
        <v>0</v>
      </c>
    </row>
    <row r="330" spans="2:21" ht="17.100000000000001" customHeight="1" thickBot="1" x14ac:dyDescent="0.3">
      <c r="B330" s="34">
        <v>345</v>
      </c>
      <c r="C330" s="116" t="s">
        <v>19</v>
      </c>
      <c r="D330" s="120"/>
      <c r="E330" s="116"/>
      <c r="F330" s="114"/>
      <c r="G330" s="114"/>
      <c r="H330" s="118"/>
      <c r="I330" s="119"/>
      <c r="J330" s="66">
        <f t="shared" si="74"/>
        <v>0</v>
      </c>
      <c r="K330" s="68">
        <f t="shared" si="76"/>
        <v>0</v>
      </c>
      <c r="L330" s="32">
        <f t="shared" si="81"/>
        <v>0</v>
      </c>
      <c r="N330" s="26">
        <f t="shared" si="77"/>
        <v>0</v>
      </c>
      <c r="O330" s="27">
        <f>SUMIFS(ENTRADA!$F:$F,ENTRADA!$B:$B,ESTOQUE!$B330)</f>
        <v>0</v>
      </c>
      <c r="P330" s="27">
        <f>SUMIFS(SAIDA!$F:$F,SAIDA!$B:$B,ESTOQUE!$B330)</f>
        <v>0</v>
      </c>
      <c r="Q330" s="27">
        <f t="shared" si="78"/>
        <v>0</v>
      </c>
      <c r="R330" s="27" t="e">
        <f>Q330=#REF!</f>
        <v>#REF!</v>
      </c>
      <c r="S330" s="93">
        <f>IFERROR(SUMIFS(ENTRADA!$H:$H,ENTRADA!$B:$B,ESTOQUE!$B330)/O330,0)</f>
        <v>0</v>
      </c>
      <c r="T330" s="93">
        <f t="shared" si="79"/>
        <v>0</v>
      </c>
      <c r="U330" s="93">
        <f t="shared" si="80"/>
        <v>0</v>
      </c>
    </row>
    <row r="331" spans="2:21" ht="17.100000000000001" customHeight="1" thickBot="1" x14ac:dyDescent="0.3">
      <c r="B331" s="34">
        <v>346</v>
      </c>
      <c r="C331" s="116" t="s">
        <v>19</v>
      </c>
      <c r="D331" s="120"/>
      <c r="E331" s="116"/>
      <c r="F331" s="114"/>
      <c r="G331" s="114"/>
      <c r="H331" s="118"/>
      <c r="I331" s="119"/>
      <c r="J331" s="66">
        <f t="shared" si="74"/>
        <v>0</v>
      </c>
      <c r="K331" s="68">
        <f t="shared" si="76"/>
        <v>0</v>
      </c>
      <c r="L331" s="32">
        <f t="shared" si="81"/>
        <v>0</v>
      </c>
      <c r="N331" s="26">
        <f t="shared" si="77"/>
        <v>0</v>
      </c>
      <c r="O331" s="27">
        <f>SUMIFS(ENTRADA!$F:$F,ENTRADA!$B:$B,ESTOQUE!$B331)</f>
        <v>0</v>
      </c>
      <c r="P331" s="27">
        <f>SUMIFS(SAIDA!$F:$F,SAIDA!$B:$B,ESTOQUE!$B331)</f>
        <v>0</v>
      </c>
      <c r="Q331" s="27">
        <f t="shared" si="78"/>
        <v>0</v>
      </c>
      <c r="R331" s="27" t="e">
        <f>Q331=#REF!</f>
        <v>#REF!</v>
      </c>
      <c r="S331" s="93">
        <f>IFERROR(SUMIFS(ENTRADA!$H:$H,ENTRADA!$B:$B,ESTOQUE!$B331)/O331,0)</f>
        <v>0</v>
      </c>
      <c r="T331" s="93">
        <f t="shared" si="79"/>
        <v>0</v>
      </c>
      <c r="U331" s="93">
        <f t="shared" si="80"/>
        <v>0</v>
      </c>
    </row>
    <row r="332" spans="2:21" ht="17.100000000000001" customHeight="1" thickBot="1" x14ac:dyDescent="0.3">
      <c r="B332" s="34">
        <v>347</v>
      </c>
      <c r="C332" s="116" t="s">
        <v>19</v>
      </c>
      <c r="D332" s="120"/>
      <c r="E332" s="116"/>
      <c r="F332" s="114"/>
      <c r="G332" s="114"/>
      <c r="H332" s="118"/>
      <c r="I332" s="119"/>
      <c r="J332" s="66">
        <f t="shared" si="74"/>
        <v>0</v>
      </c>
      <c r="K332" s="68">
        <f t="shared" si="76"/>
        <v>0</v>
      </c>
      <c r="L332" s="32">
        <f t="shared" si="81"/>
        <v>0</v>
      </c>
      <c r="N332" s="26">
        <f t="shared" si="77"/>
        <v>0</v>
      </c>
      <c r="O332" s="27">
        <f>SUMIFS(ENTRADA!$F:$F,ENTRADA!$B:$B,ESTOQUE!$B332)</f>
        <v>0</v>
      </c>
      <c r="P332" s="27">
        <f>SUMIFS(SAIDA!$F:$F,SAIDA!$B:$B,ESTOQUE!$B332)</f>
        <v>0</v>
      </c>
      <c r="Q332" s="27">
        <f t="shared" si="78"/>
        <v>0</v>
      </c>
      <c r="R332" s="27" t="e">
        <f>Q332=#REF!</f>
        <v>#REF!</v>
      </c>
      <c r="S332" s="93">
        <f>IFERROR(SUMIFS(ENTRADA!$H:$H,ENTRADA!$B:$B,ESTOQUE!$B332)/O332,0)</f>
        <v>0</v>
      </c>
      <c r="T332" s="93">
        <f t="shared" si="79"/>
        <v>0</v>
      </c>
      <c r="U332" s="93">
        <f t="shared" si="80"/>
        <v>0</v>
      </c>
    </row>
    <row r="333" spans="2:21" ht="17.100000000000001" customHeight="1" thickBot="1" x14ac:dyDescent="0.3">
      <c r="B333" s="34">
        <v>348</v>
      </c>
      <c r="C333" s="116" t="s">
        <v>19</v>
      </c>
      <c r="D333" s="120"/>
      <c r="E333" s="116"/>
      <c r="F333" s="114"/>
      <c r="G333" s="114"/>
      <c r="H333" s="118"/>
      <c r="I333" s="119"/>
      <c r="J333" s="66">
        <f t="shared" si="74"/>
        <v>0</v>
      </c>
      <c r="K333" s="68">
        <f t="shared" si="76"/>
        <v>0</v>
      </c>
      <c r="L333" s="32">
        <f t="shared" si="81"/>
        <v>0</v>
      </c>
      <c r="N333" s="26">
        <f t="shared" si="77"/>
        <v>0</v>
      </c>
      <c r="O333" s="27">
        <f>SUMIFS(ENTRADA!$F:$F,ENTRADA!$B:$B,ESTOQUE!$B333)</f>
        <v>0</v>
      </c>
      <c r="P333" s="27">
        <f>SUMIFS(SAIDA!$F:$F,SAIDA!$B:$B,ESTOQUE!$B333)</f>
        <v>0</v>
      </c>
      <c r="Q333" s="27">
        <f t="shared" si="78"/>
        <v>0</v>
      </c>
      <c r="R333" s="27" t="e">
        <f>Q333=#REF!</f>
        <v>#REF!</v>
      </c>
      <c r="S333" s="93">
        <f>IFERROR(SUMIFS(ENTRADA!$H:$H,ENTRADA!$B:$B,ESTOQUE!$B333)/O333,0)</f>
        <v>0</v>
      </c>
      <c r="T333" s="93">
        <f t="shared" si="79"/>
        <v>0</v>
      </c>
      <c r="U333" s="93">
        <f t="shared" si="80"/>
        <v>0</v>
      </c>
    </row>
    <row r="334" spans="2:21" ht="17.100000000000001" customHeight="1" thickBot="1" x14ac:dyDescent="0.3">
      <c r="B334" s="34">
        <v>349</v>
      </c>
      <c r="C334" s="116" t="s">
        <v>19</v>
      </c>
      <c r="D334" s="120"/>
      <c r="E334" s="116"/>
      <c r="F334" s="114"/>
      <c r="G334" s="114"/>
      <c r="H334" s="118"/>
      <c r="I334" s="119"/>
      <c r="J334" s="66">
        <f t="shared" si="74"/>
        <v>0</v>
      </c>
      <c r="K334" s="68">
        <f t="shared" si="76"/>
        <v>0</v>
      </c>
      <c r="L334" s="32">
        <f t="shared" si="81"/>
        <v>0</v>
      </c>
      <c r="N334" s="26">
        <f t="shared" si="77"/>
        <v>0</v>
      </c>
      <c r="O334" s="27">
        <f>SUMIFS(ENTRADA!$F:$F,ENTRADA!$B:$B,ESTOQUE!$B334)</f>
        <v>0</v>
      </c>
      <c r="P334" s="27">
        <f>SUMIFS(SAIDA!$F:$F,SAIDA!$B:$B,ESTOQUE!$B334)</f>
        <v>0</v>
      </c>
      <c r="Q334" s="27">
        <f t="shared" si="78"/>
        <v>0</v>
      </c>
      <c r="R334" s="27" t="e">
        <f>Q334=#REF!</f>
        <v>#REF!</v>
      </c>
      <c r="S334" s="93">
        <f>IFERROR(SUMIFS(ENTRADA!$H:$H,ENTRADA!$B:$B,ESTOQUE!$B334)/O334,0)</f>
        <v>0</v>
      </c>
      <c r="T334" s="93">
        <f t="shared" si="79"/>
        <v>0</v>
      </c>
      <c r="U334" s="93">
        <f t="shared" si="80"/>
        <v>0</v>
      </c>
    </row>
    <row r="335" spans="2:21" ht="17.100000000000001" customHeight="1" thickBot="1" x14ac:dyDescent="0.3">
      <c r="B335" s="34">
        <v>350</v>
      </c>
      <c r="C335" s="116" t="s">
        <v>19</v>
      </c>
      <c r="D335" s="120"/>
      <c r="E335" s="116"/>
      <c r="F335" s="114"/>
      <c r="G335" s="114"/>
      <c r="H335" s="118"/>
      <c r="I335" s="119"/>
      <c r="J335" s="66">
        <f t="shared" si="74"/>
        <v>0</v>
      </c>
      <c r="K335" s="68">
        <f t="shared" si="76"/>
        <v>0</v>
      </c>
      <c r="L335" s="32">
        <f t="shared" si="81"/>
        <v>0</v>
      </c>
      <c r="N335" s="26">
        <f t="shared" si="77"/>
        <v>0</v>
      </c>
      <c r="O335" s="27">
        <f>SUMIFS(ENTRADA!$F:$F,ENTRADA!$B:$B,ESTOQUE!$B335)</f>
        <v>0</v>
      </c>
      <c r="P335" s="27">
        <f>SUMIFS(SAIDA!$F:$F,SAIDA!$B:$B,ESTOQUE!$B335)</f>
        <v>0</v>
      </c>
      <c r="Q335" s="27">
        <f t="shared" si="78"/>
        <v>0</v>
      </c>
      <c r="R335" s="27" t="e">
        <f>Q335=#REF!</f>
        <v>#REF!</v>
      </c>
      <c r="S335" s="93">
        <f>IFERROR(SUMIFS(ENTRADA!$H:$H,ENTRADA!$B:$B,ESTOQUE!$B335)/O335,0)</f>
        <v>0</v>
      </c>
      <c r="T335" s="93">
        <f t="shared" si="79"/>
        <v>0</v>
      </c>
      <c r="U335" s="93">
        <f t="shared" si="80"/>
        <v>0</v>
      </c>
    </row>
    <row r="336" spans="2:21" ht="17.100000000000001" customHeight="1" thickBot="1" x14ac:dyDescent="0.3">
      <c r="B336" s="34">
        <v>351</v>
      </c>
      <c r="C336" s="116" t="s">
        <v>19</v>
      </c>
      <c r="D336" s="120"/>
      <c r="E336" s="116"/>
      <c r="F336" s="114"/>
      <c r="G336" s="114"/>
      <c r="H336" s="118"/>
      <c r="I336" s="119"/>
      <c r="J336" s="66">
        <f t="shared" si="74"/>
        <v>0</v>
      </c>
      <c r="K336" s="68">
        <f t="shared" si="76"/>
        <v>0</v>
      </c>
      <c r="L336" s="32">
        <f t="shared" si="81"/>
        <v>0</v>
      </c>
      <c r="N336" s="26">
        <f t="shared" si="77"/>
        <v>0</v>
      </c>
      <c r="O336" s="27">
        <f>SUMIFS(ENTRADA!$F:$F,ENTRADA!$B:$B,ESTOQUE!$B336)</f>
        <v>0</v>
      </c>
      <c r="P336" s="27">
        <f>SUMIFS(SAIDA!$F:$F,SAIDA!$B:$B,ESTOQUE!$B336)</f>
        <v>0</v>
      </c>
      <c r="Q336" s="27">
        <f t="shared" si="78"/>
        <v>0</v>
      </c>
      <c r="R336" s="27" t="e">
        <f>Q336=#REF!</f>
        <v>#REF!</v>
      </c>
      <c r="S336" s="93">
        <f>IFERROR(SUMIFS(ENTRADA!$H:$H,ENTRADA!$B:$B,ESTOQUE!$B336)/O336,0)</f>
        <v>0</v>
      </c>
      <c r="T336" s="93">
        <f t="shared" si="79"/>
        <v>0</v>
      </c>
      <c r="U336" s="93">
        <f t="shared" si="80"/>
        <v>0</v>
      </c>
    </row>
    <row r="337" spans="2:21" ht="17.100000000000001" customHeight="1" thickBot="1" x14ac:dyDescent="0.3">
      <c r="B337" s="34">
        <v>352</v>
      </c>
      <c r="C337" s="116" t="s">
        <v>19</v>
      </c>
      <c r="D337" s="120"/>
      <c r="E337" s="116"/>
      <c r="F337" s="114"/>
      <c r="G337" s="114"/>
      <c r="H337" s="118"/>
      <c r="I337" s="119"/>
      <c r="J337" s="66">
        <f t="shared" si="74"/>
        <v>0</v>
      </c>
      <c r="K337" s="68">
        <f t="shared" si="76"/>
        <v>0</v>
      </c>
      <c r="L337" s="32">
        <f t="shared" si="81"/>
        <v>0</v>
      </c>
      <c r="N337" s="26">
        <f t="shared" si="77"/>
        <v>0</v>
      </c>
      <c r="O337" s="27">
        <f>SUMIFS(ENTRADA!$F:$F,ENTRADA!$B:$B,ESTOQUE!$B337)</f>
        <v>0</v>
      </c>
      <c r="P337" s="27">
        <f>SUMIFS(SAIDA!$F:$F,SAIDA!$B:$B,ESTOQUE!$B337)</f>
        <v>0</v>
      </c>
      <c r="Q337" s="27">
        <f t="shared" si="78"/>
        <v>0</v>
      </c>
      <c r="R337" s="27" t="e">
        <f>Q337=#REF!</f>
        <v>#REF!</v>
      </c>
      <c r="S337" s="93">
        <f>IFERROR(SUMIFS(ENTRADA!$H:$H,ENTRADA!$B:$B,ESTOQUE!$B337)/O337,0)</f>
        <v>0</v>
      </c>
      <c r="T337" s="93">
        <f t="shared" si="79"/>
        <v>0</v>
      </c>
      <c r="U337" s="93">
        <f t="shared" si="80"/>
        <v>0</v>
      </c>
    </row>
    <row r="338" spans="2:21" ht="17.100000000000001" customHeight="1" thickBot="1" x14ac:dyDescent="0.3">
      <c r="B338" s="34">
        <v>353</v>
      </c>
      <c r="C338" s="116" t="s">
        <v>19</v>
      </c>
      <c r="D338" s="120"/>
      <c r="E338" s="116"/>
      <c r="F338" s="114"/>
      <c r="G338" s="114"/>
      <c r="H338" s="118"/>
      <c r="I338" s="119"/>
      <c r="J338" s="66">
        <f t="shared" si="74"/>
        <v>0</v>
      </c>
      <c r="K338" s="68">
        <f t="shared" si="76"/>
        <v>0</v>
      </c>
      <c r="L338" s="32">
        <f t="shared" si="81"/>
        <v>0</v>
      </c>
      <c r="N338" s="26">
        <f t="shared" si="77"/>
        <v>0</v>
      </c>
      <c r="O338" s="27">
        <f>SUMIFS(ENTRADA!$F:$F,ENTRADA!$B:$B,ESTOQUE!$B338)</f>
        <v>0</v>
      </c>
      <c r="P338" s="27">
        <f>SUMIFS(SAIDA!$F:$F,SAIDA!$B:$B,ESTOQUE!$B338)</f>
        <v>0</v>
      </c>
      <c r="Q338" s="27">
        <f t="shared" si="78"/>
        <v>0</v>
      </c>
      <c r="R338" s="27" t="e">
        <f>Q338=#REF!</f>
        <v>#REF!</v>
      </c>
      <c r="S338" s="93">
        <f>IFERROR(SUMIFS(ENTRADA!$H:$H,ENTRADA!$B:$B,ESTOQUE!$B338)/O338,0)</f>
        <v>0</v>
      </c>
      <c r="T338" s="93">
        <f t="shared" si="79"/>
        <v>0</v>
      </c>
      <c r="U338" s="93">
        <f t="shared" si="80"/>
        <v>0</v>
      </c>
    </row>
    <row r="339" spans="2:21" ht="17.100000000000001" customHeight="1" thickBot="1" x14ac:dyDescent="0.3">
      <c r="B339" s="34">
        <v>354</v>
      </c>
      <c r="C339" s="116" t="s">
        <v>19</v>
      </c>
      <c r="D339" s="120"/>
      <c r="E339" s="116"/>
      <c r="F339" s="114"/>
      <c r="G339" s="114"/>
      <c r="H339" s="118"/>
      <c r="I339" s="119"/>
      <c r="J339" s="66">
        <f t="shared" si="74"/>
        <v>0</v>
      </c>
      <c r="K339" s="68">
        <f t="shared" si="76"/>
        <v>0</v>
      </c>
      <c r="L339" s="32">
        <f t="shared" si="81"/>
        <v>0</v>
      </c>
      <c r="N339" s="26">
        <f t="shared" si="77"/>
        <v>0</v>
      </c>
      <c r="O339" s="27">
        <f>SUMIFS(ENTRADA!$F:$F,ENTRADA!$B:$B,ESTOQUE!$B339)</f>
        <v>0</v>
      </c>
      <c r="P339" s="27">
        <f>SUMIFS(SAIDA!$F:$F,SAIDA!$B:$B,ESTOQUE!$B339)</f>
        <v>0</v>
      </c>
      <c r="Q339" s="27">
        <f t="shared" si="78"/>
        <v>0</v>
      </c>
      <c r="R339" s="27" t="e">
        <f>Q339=#REF!</f>
        <v>#REF!</v>
      </c>
      <c r="S339" s="93">
        <f>IFERROR(SUMIFS(ENTRADA!$H:$H,ENTRADA!$B:$B,ESTOQUE!$B339)/O339,0)</f>
        <v>0</v>
      </c>
      <c r="T339" s="93">
        <f t="shared" si="79"/>
        <v>0</v>
      </c>
      <c r="U339" s="93">
        <f t="shared" si="80"/>
        <v>0</v>
      </c>
    </row>
    <row r="340" spans="2:21" ht="17.100000000000001" customHeight="1" thickBot="1" x14ac:dyDescent="0.3">
      <c r="B340" s="34">
        <v>355</v>
      </c>
      <c r="C340" s="116" t="s">
        <v>19</v>
      </c>
      <c r="D340" s="120"/>
      <c r="E340" s="116"/>
      <c r="F340" s="114"/>
      <c r="G340" s="114"/>
      <c r="H340" s="118"/>
      <c r="I340" s="119"/>
      <c r="J340" s="66">
        <f t="shared" si="74"/>
        <v>0</v>
      </c>
      <c r="K340" s="68">
        <f t="shared" si="76"/>
        <v>0</v>
      </c>
      <c r="L340" s="32">
        <f t="shared" si="81"/>
        <v>0</v>
      </c>
      <c r="N340" s="26">
        <f t="shared" si="77"/>
        <v>0</v>
      </c>
      <c r="O340" s="27">
        <f>SUMIFS(ENTRADA!$F:$F,ENTRADA!$B:$B,ESTOQUE!$B340)</f>
        <v>0</v>
      </c>
      <c r="P340" s="27">
        <f>SUMIFS(SAIDA!$F:$F,SAIDA!$B:$B,ESTOQUE!$B340)</f>
        <v>0</v>
      </c>
      <c r="Q340" s="27">
        <f t="shared" si="78"/>
        <v>0</v>
      </c>
      <c r="R340" s="27" t="e">
        <f>Q340=#REF!</f>
        <v>#REF!</v>
      </c>
      <c r="S340" s="93">
        <f>IFERROR(SUMIFS(ENTRADA!$H:$H,ENTRADA!$B:$B,ESTOQUE!$B340)/O340,0)</f>
        <v>0</v>
      </c>
      <c r="T340" s="93">
        <f t="shared" si="79"/>
        <v>0</v>
      </c>
      <c r="U340" s="93">
        <f t="shared" si="80"/>
        <v>0</v>
      </c>
    </row>
    <row r="341" spans="2:21" ht="17.100000000000001" customHeight="1" thickBot="1" x14ac:dyDescent="0.3">
      <c r="B341" s="34">
        <v>356</v>
      </c>
      <c r="C341" s="116" t="s">
        <v>19</v>
      </c>
      <c r="D341" s="120"/>
      <c r="E341" s="116"/>
      <c r="F341" s="114"/>
      <c r="G341" s="114"/>
      <c r="H341" s="118"/>
      <c r="I341" s="119"/>
      <c r="J341" s="66">
        <f t="shared" si="74"/>
        <v>0</v>
      </c>
      <c r="K341" s="68">
        <f t="shared" si="76"/>
        <v>0</v>
      </c>
      <c r="L341" s="32">
        <f t="shared" si="81"/>
        <v>0</v>
      </c>
      <c r="N341" s="26">
        <f t="shared" si="77"/>
        <v>0</v>
      </c>
      <c r="O341" s="27">
        <f>SUMIFS(ENTRADA!$F:$F,ENTRADA!$B:$B,ESTOQUE!$B341)</f>
        <v>0</v>
      </c>
      <c r="P341" s="27">
        <f>SUMIFS(SAIDA!$F:$F,SAIDA!$B:$B,ESTOQUE!$B341)</f>
        <v>0</v>
      </c>
      <c r="Q341" s="27">
        <f t="shared" si="78"/>
        <v>0</v>
      </c>
      <c r="R341" s="27" t="e">
        <f>Q341=#REF!</f>
        <v>#REF!</v>
      </c>
      <c r="S341" s="93">
        <f>IFERROR(SUMIFS(ENTRADA!$H:$H,ENTRADA!$B:$B,ESTOQUE!$B341)/O341,0)</f>
        <v>0</v>
      </c>
      <c r="T341" s="93">
        <f t="shared" si="79"/>
        <v>0</v>
      </c>
      <c r="U341" s="93">
        <f t="shared" si="80"/>
        <v>0</v>
      </c>
    </row>
    <row r="342" spans="2:21" ht="17.100000000000001" customHeight="1" thickBot="1" x14ac:dyDescent="0.3">
      <c r="B342" s="34">
        <v>357</v>
      </c>
      <c r="C342" s="116" t="s">
        <v>19</v>
      </c>
      <c r="D342" s="120"/>
      <c r="E342" s="116"/>
      <c r="F342" s="114"/>
      <c r="G342" s="114"/>
      <c r="H342" s="118"/>
      <c r="I342" s="119"/>
      <c r="J342" s="66">
        <f t="shared" si="74"/>
        <v>0</v>
      </c>
      <c r="K342" s="68">
        <f t="shared" si="76"/>
        <v>0</v>
      </c>
      <c r="L342" s="32">
        <f t="shared" si="81"/>
        <v>0</v>
      </c>
      <c r="N342" s="26">
        <f t="shared" si="77"/>
        <v>0</v>
      </c>
      <c r="O342" s="27">
        <f>SUMIFS(ENTRADA!$F:$F,ENTRADA!$B:$B,ESTOQUE!$B342)</f>
        <v>0</v>
      </c>
      <c r="P342" s="27">
        <f>SUMIFS(SAIDA!$F:$F,SAIDA!$B:$B,ESTOQUE!$B342)</f>
        <v>0</v>
      </c>
      <c r="Q342" s="27">
        <f t="shared" si="78"/>
        <v>0</v>
      </c>
      <c r="R342" s="27" t="e">
        <f>Q342=#REF!</f>
        <v>#REF!</v>
      </c>
      <c r="S342" s="93">
        <f>IFERROR(SUMIFS(ENTRADA!$H:$H,ENTRADA!$B:$B,ESTOQUE!$B342)/O342,0)</f>
        <v>0</v>
      </c>
      <c r="T342" s="93">
        <f t="shared" si="79"/>
        <v>0</v>
      </c>
      <c r="U342" s="93">
        <f t="shared" si="80"/>
        <v>0</v>
      </c>
    </row>
    <row r="343" spans="2:21" ht="17.100000000000001" customHeight="1" thickBot="1" x14ac:dyDescent="0.3">
      <c r="B343" s="34">
        <v>358</v>
      </c>
      <c r="C343" s="116" t="s">
        <v>19</v>
      </c>
      <c r="D343" s="120"/>
      <c r="E343" s="116"/>
      <c r="F343" s="114"/>
      <c r="G343" s="114"/>
      <c r="H343" s="118"/>
      <c r="I343" s="119"/>
      <c r="J343" s="66">
        <f t="shared" si="74"/>
        <v>0</v>
      </c>
      <c r="K343" s="68">
        <f t="shared" si="76"/>
        <v>0</v>
      </c>
      <c r="L343" s="32">
        <f t="shared" si="81"/>
        <v>0</v>
      </c>
      <c r="N343" s="26">
        <f t="shared" si="77"/>
        <v>0</v>
      </c>
      <c r="O343" s="27">
        <f>SUMIFS(ENTRADA!$F:$F,ENTRADA!$B:$B,ESTOQUE!$B343)</f>
        <v>0</v>
      </c>
      <c r="P343" s="27">
        <f>SUMIFS(SAIDA!$F:$F,SAIDA!$B:$B,ESTOQUE!$B343)</f>
        <v>0</v>
      </c>
      <c r="Q343" s="27">
        <f t="shared" si="78"/>
        <v>0</v>
      </c>
      <c r="R343" s="27" t="e">
        <f>Q343=#REF!</f>
        <v>#REF!</v>
      </c>
      <c r="S343" s="93">
        <f>IFERROR(SUMIFS(ENTRADA!$H:$H,ENTRADA!$B:$B,ESTOQUE!$B343)/O343,0)</f>
        <v>0</v>
      </c>
      <c r="T343" s="93">
        <f t="shared" si="79"/>
        <v>0</v>
      </c>
      <c r="U343" s="93">
        <f t="shared" si="80"/>
        <v>0</v>
      </c>
    </row>
    <row r="344" spans="2:21" ht="17.100000000000001" customHeight="1" thickBot="1" x14ac:dyDescent="0.3">
      <c r="B344" s="34">
        <v>359</v>
      </c>
      <c r="C344" s="116" t="s">
        <v>19</v>
      </c>
      <c r="D344" s="120"/>
      <c r="E344" s="116"/>
      <c r="F344" s="114"/>
      <c r="G344" s="114"/>
      <c r="H344" s="118"/>
      <c r="I344" s="119"/>
      <c r="J344" s="66">
        <f t="shared" si="74"/>
        <v>0</v>
      </c>
      <c r="K344" s="68">
        <f t="shared" ref="K344:K367" si="82">I344-J344</f>
        <v>0</v>
      </c>
      <c r="L344" s="32">
        <f t="shared" si="81"/>
        <v>0</v>
      </c>
      <c r="N344" s="26">
        <f t="shared" si="77"/>
        <v>0</v>
      </c>
      <c r="O344" s="27">
        <f>SUMIFS(ENTRADA!$F:$F,ENTRADA!$B:$B,ESTOQUE!$B344)</f>
        <v>0</v>
      </c>
      <c r="P344" s="27">
        <f>SUMIFS(SAIDA!$F:$F,SAIDA!$B:$B,ESTOQUE!$B344)</f>
        <v>0</v>
      </c>
      <c r="Q344" s="27">
        <f t="shared" si="78"/>
        <v>0</v>
      </c>
      <c r="R344" s="27" t="e">
        <f>Q344=#REF!</f>
        <v>#REF!</v>
      </c>
      <c r="S344" s="93">
        <f>IFERROR(SUMIFS(ENTRADA!$H:$H,ENTRADA!$B:$B,ESTOQUE!$B344)/O344,0)</f>
        <v>0</v>
      </c>
      <c r="T344" s="93">
        <f t="shared" si="79"/>
        <v>0</v>
      </c>
      <c r="U344" s="93">
        <f t="shared" si="80"/>
        <v>0</v>
      </c>
    </row>
    <row r="345" spans="2:21" ht="17.100000000000001" customHeight="1" thickBot="1" x14ac:dyDescent="0.3">
      <c r="B345" s="34">
        <v>360</v>
      </c>
      <c r="C345" s="116" t="s">
        <v>19</v>
      </c>
      <c r="D345" s="120"/>
      <c r="E345" s="116"/>
      <c r="F345" s="114"/>
      <c r="G345" s="114"/>
      <c r="H345" s="118"/>
      <c r="I345" s="119"/>
      <c r="J345" s="66">
        <f t="shared" si="74"/>
        <v>0</v>
      </c>
      <c r="K345" s="68">
        <f t="shared" si="82"/>
        <v>0</v>
      </c>
      <c r="L345" s="32">
        <f t="shared" si="81"/>
        <v>0</v>
      </c>
      <c r="N345" s="26">
        <f t="shared" si="77"/>
        <v>0</v>
      </c>
      <c r="O345" s="27">
        <f>SUMIFS(ENTRADA!$F:$F,ENTRADA!$B:$B,ESTOQUE!$B345)</f>
        <v>0</v>
      </c>
      <c r="P345" s="27">
        <f>SUMIFS(SAIDA!$F:$F,SAIDA!$B:$B,ESTOQUE!$B345)</f>
        <v>0</v>
      </c>
      <c r="Q345" s="27">
        <f t="shared" si="78"/>
        <v>0</v>
      </c>
      <c r="R345" s="27" t="e">
        <f>Q345=#REF!</f>
        <v>#REF!</v>
      </c>
      <c r="S345" s="93">
        <f>IFERROR(SUMIFS(ENTRADA!$H:$H,ENTRADA!$B:$B,ESTOQUE!$B345)/O345,0)</f>
        <v>0</v>
      </c>
      <c r="T345" s="93">
        <f t="shared" si="79"/>
        <v>0</v>
      </c>
      <c r="U345" s="93">
        <f t="shared" si="80"/>
        <v>0</v>
      </c>
    </row>
    <row r="346" spans="2:21" ht="17.100000000000001" customHeight="1" thickBot="1" x14ac:dyDescent="0.3">
      <c r="B346" s="34">
        <v>361</v>
      </c>
      <c r="C346" s="116" t="s">
        <v>19</v>
      </c>
      <c r="D346" s="120"/>
      <c r="E346" s="116"/>
      <c r="F346" s="114"/>
      <c r="G346" s="114"/>
      <c r="H346" s="118"/>
      <c r="I346" s="119"/>
      <c r="J346" s="66">
        <f t="shared" ref="J346:J367" si="83">Q346</f>
        <v>0</v>
      </c>
      <c r="K346" s="68">
        <f t="shared" si="82"/>
        <v>0</v>
      </c>
      <c r="L346" s="32">
        <f t="shared" si="81"/>
        <v>0</v>
      </c>
      <c r="N346" s="26">
        <f t="shared" si="77"/>
        <v>0</v>
      </c>
      <c r="O346" s="27">
        <f>SUMIFS(ENTRADA!$F:$F,ENTRADA!$B:$B,ESTOQUE!$B346)</f>
        <v>0</v>
      </c>
      <c r="P346" s="27">
        <f>SUMIFS(SAIDA!$F:$F,SAIDA!$B:$B,ESTOQUE!$B346)</f>
        <v>0</v>
      </c>
      <c r="Q346" s="27">
        <f t="shared" si="78"/>
        <v>0</v>
      </c>
      <c r="R346" s="27" t="e">
        <f>Q346=#REF!</f>
        <v>#REF!</v>
      </c>
      <c r="S346" s="93">
        <f>IFERROR(SUMIFS(ENTRADA!$H:$H,ENTRADA!$B:$B,ESTOQUE!$B346)/O346,0)</f>
        <v>0</v>
      </c>
      <c r="T346" s="93">
        <f t="shared" si="79"/>
        <v>0</v>
      </c>
      <c r="U346" s="93">
        <f t="shared" si="80"/>
        <v>0</v>
      </c>
    </row>
    <row r="347" spans="2:21" ht="17.100000000000001" customHeight="1" thickBot="1" x14ac:dyDescent="0.3">
      <c r="B347" s="34">
        <v>362</v>
      </c>
      <c r="C347" s="116" t="s">
        <v>19</v>
      </c>
      <c r="D347" s="120"/>
      <c r="E347" s="116"/>
      <c r="F347" s="114"/>
      <c r="G347" s="114"/>
      <c r="H347" s="118"/>
      <c r="I347" s="119"/>
      <c r="J347" s="66">
        <f t="shared" si="83"/>
        <v>0</v>
      </c>
      <c r="K347" s="68">
        <f t="shared" si="82"/>
        <v>0</v>
      </c>
      <c r="L347" s="32">
        <f t="shared" si="81"/>
        <v>0</v>
      </c>
      <c r="N347" s="26">
        <f t="shared" si="77"/>
        <v>0</v>
      </c>
      <c r="O347" s="27">
        <f>SUMIFS(ENTRADA!$F:$F,ENTRADA!$B:$B,ESTOQUE!$B347)</f>
        <v>0</v>
      </c>
      <c r="P347" s="27">
        <f>SUMIFS(SAIDA!$F:$F,SAIDA!$B:$B,ESTOQUE!$B347)</f>
        <v>0</v>
      </c>
      <c r="Q347" s="27">
        <f t="shared" si="78"/>
        <v>0</v>
      </c>
      <c r="R347" s="27" t="e">
        <f>Q347=#REF!</f>
        <v>#REF!</v>
      </c>
      <c r="S347" s="93">
        <f>IFERROR(SUMIFS(ENTRADA!$H:$H,ENTRADA!$B:$B,ESTOQUE!$B347)/O347,0)</f>
        <v>0</v>
      </c>
      <c r="T347" s="93">
        <f t="shared" si="79"/>
        <v>0</v>
      </c>
      <c r="U347" s="93">
        <f t="shared" si="80"/>
        <v>0</v>
      </c>
    </row>
    <row r="348" spans="2:21" ht="17.100000000000001" customHeight="1" thickBot="1" x14ac:dyDescent="0.3">
      <c r="B348" s="34">
        <v>363</v>
      </c>
      <c r="C348" s="116" t="s">
        <v>19</v>
      </c>
      <c r="D348" s="120"/>
      <c r="E348" s="116"/>
      <c r="F348" s="114"/>
      <c r="G348" s="114"/>
      <c r="H348" s="118"/>
      <c r="I348" s="119"/>
      <c r="J348" s="66">
        <f t="shared" si="83"/>
        <v>0</v>
      </c>
      <c r="K348" s="68">
        <f t="shared" si="82"/>
        <v>0</v>
      </c>
      <c r="L348" s="32">
        <f t="shared" si="81"/>
        <v>0</v>
      </c>
      <c r="N348" s="26">
        <f t="shared" si="77"/>
        <v>0</v>
      </c>
      <c r="O348" s="27">
        <f>SUMIFS(ENTRADA!$F:$F,ENTRADA!$B:$B,ESTOQUE!$B348)</f>
        <v>0</v>
      </c>
      <c r="P348" s="27">
        <f>SUMIFS(SAIDA!$F:$F,SAIDA!$B:$B,ESTOQUE!$B348)</f>
        <v>0</v>
      </c>
      <c r="Q348" s="27">
        <f t="shared" si="78"/>
        <v>0</v>
      </c>
      <c r="R348" s="27" t="e">
        <f>Q348=#REF!</f>
        <v>#REF!</v>
      </c>
      <c r="S348" s="93">
        <f>IFERROR(SUMIFS(ENTRADA!$H:$H,ENTRADA!$B:$B,ESTOQUE!$B348)/O348,0)</f>
        <v>0</v>
      </c>
      <c r="T348" s="93">
        <f t="shared" si="79"/>
        <v>0</v>
      </c>
      <c r="U348" s="93">
        <f t="shared" si="80"/>
        <v>0</v>
      </c>
    </row>
    <row r="349" spans="2:21" ht="17.100000000000001" customHeight="1" thickBot="1" x14ac:dyDescent="0.3">
      <c r="B349" s="34">
        <v>364</v>
      </c>
      <c r="C349" s="116" t="s">
        <v>19</v>
      </c>
      <c r="D349" s="120"/>
      <c r="E349" s="116"/>
      <c r="F349" s="114"/>
      <c r="G349" s="114"/>
      <c r="H349" s="118"/>
      <c r="I349" s="119"/>
      <c r="J349" s="66">
        <f t="shared" si="83"/>
        <v>0</v>
      </c>
      <c r="K349" s="68">
        <f t="shared" si="82"/>
        <v>0</v>
      </c>
      <c r="L349" s="32">
        <f t="shared" si="81"/>
        <v>0</v>
      </c>
      <c r="N349" s="26">
        <f t="shared" si="77"/>
        <v>0</v>
      </c>
      <c r="O349" s="27">
        <f>SUMIFS(ENTRADA!$F:$F,ENTRADA!$B:$B,ESTOQUE!$B349)</f>
        <v>0</v>
      </c>
      <c r="P349" s="27">
        <f>SUMIFS(SAIDA!$F:$F,SAIDA!$B:$B,ESTOQUE!$B349)</f>
        <v>0</v>
      </c>
      <c r="Q349" s="27">
        <f t="shared" si="78"/>
        <v>0</v>
      </c>
      <c r="R349" s="27" t="e">
        <f>Q349=#REF!</f>
        <v>#REF!</v>
      </c>
      <c r="S349" s="93">
        <f>IFERROR(SUMIFS(ENTRADA!$H:$H,ENTRADA!$B:$B,ESTOQUE!$B349)/O349,0)</f>
        <v>0</v>
      </c>
      <c r="T349" s="93">
        <f t="shared" si="79"/>
        <v>0</v>
      </c>
      <c r="U349" s="93">
        <f t="shared" si="80"/>
        <v>0</v>
      </c>
    </row>
    <row r="350" spans="2:21" ht="17.100000000000001" customHeight="1" thickBot="1" x14ac:dyDescent="0.3">
      <c r="B350" s="34">
        <v>365</v>
      </c>
      <c r="C350" s="116" t="s">
        <v>19</v>
      </c>
      <c r="D350" s="120"/>
      <c r="E350" s="116"/>
      <c r="F350" s="114"/>
      <c r="G350" s="114"/>
      <c r="H350" s="118"/>
      <c r="I350" s="119"/>
      <c r="J350" s="66">
        <f t="shared" si="83"/>
        <v>0</v>
      </c>
      <c r="K350" s="68">
        <f t="shared" si="82"/>
        <v>0</v>
      </c>
      <c r="L350" s="32">
        <f t="shared" ref="L350:L367" si="84">IF(J350&lt;H350,"ESTOQUE BAIXO",IF(J350&gt;I350,"ESTOQUE ALTO",IF(J350&gt;H350,"ESTOQUE NORMAL",)))</f>
        <v>0</v>
      </c>
      <c r="N350" s="26">
        <f t="shared" si="77"/>
        <v>0</v>
      </c>
      <c r="O350" s="27">
        <f>SUMIFS(ENTRADA!$F:$F,ENTRADA!$B:$B,ESTOQUE!$B350)</f>
        <v>0</v>
      </c>
      <c r="P350" s="27">
        <f>SUMIFS(SAIDA!$F:$F,SAIDA!$B:$B,ESTOQUE!$B350)</f>
        <v>0</v>
      </c>
      <c r="Q350" s="27">
        <f t="shared" si="78"/>
        <v>0</v>
      </c>
      <c r="R350" s="27" t="e">
        <f>Q350=#REF!</f>
        <v>#REF!</v>
      </c>
      <c r="S350" s="93">
        <f>IFERROR(SUMIFS(ENTRADA!$H:$H,ENTRADA!$B:$B,ESTOQUE!$B350)/O350,0)</f>
        <v>0</v>
      </c>
      <c r="T350" s="93">
        <f t="shared" si="79"/>
        <v>0</v>
      </c>
      <c r="U350" s="93">
        <f t="shared" si="80"/>
        <v>0</v>
      </c>
    </row>
    <row r="351" spans="2:21" ht="17.100000000000001" customHeight="1" thickBot="1" x14ac:dyDescent="0.3">
      <c r="B351" s="34">
        <v>366</v>
      </c>
      <c r="C351" s="116" t="s">
        <v>19</v>
      </c>
      <c r="D351" s="120"/>
      <c r="E351" s="116"/>
      <c r="F351" s="114"/>
      <c r="G351" s="114"/>
      <c r="H351" s="118"/>
      <c r="I351" s="119"/>
      <c r="J351" s="66">
        <f t="shared" si="83"/>
        <v>0</v>
      </c>
      <c r="K351" s="68">
        <f t="shared" si="82"/>
        <v>0</v>
      </c>
      <c r="L351" s="32">
        <f t="shared" si="84"/>
        <v>0</v>
      </c>
      <c r="N351" s="26">
        <f t="shared" si="77"/>
        <v>0</v>
      </c>
      <c r="O351" s="27">
        <f>SUMIFS(ENTRADA!$F:$F,ENTRADA!$B:$B,ESTOQUE!$B351)</f>
        <v>0</v>
      </c>
      <c r="P351" s="27">
        <f>SUMIFS(SAIDA!$F:$F,SAIDA!$B:$B,ESTOQUE!$B351)</f>
        <v>0</v>
      </c>
      <c r="Q351" s="27">
        <f t="shared" si="78"/>
        <v>0</v>
      </c>
      <c r="R351" s="27" t="e">
        <f>Q351=#REF!</f>
        <v>#REF!</v>
      </c>
      <c r="S351" s="93">
        <f>IFERROR(SUMIFS(ENTRADA!$H:$H,ENTRADA!$B:$B,ESTOQUE!$B351)/O351,0)</f>
        <v>0</v>
      </c>
      <c r="T351" s="93">
        <f t="shared" si="79"/>
        <v>0</v>
      </c>
      <c r="U351" s="93">
        <f t="shared" si="80"/>
        <v>0</v>
      </c>
    </row>
    <row r="352" spans="2:21" ht="17.100000000000001" customHeight="1" thickBot="1" x14ac:dyDescent="0.3">
      <c r="B352" s="34">
        <v>367</v>
      </c>
      <c r="C352" s="116" t="s">
        <v>19</v>
      </c>
      <c r="D352" s="120"/>
      <c r="E352" s="116"/>
      <c r="F352" s="114"/>
      <c r="G352" s="114"/>
      <c r="H352" s="118"/>
      <c r="I352" s="119"/>
      <c r="J352" s="66">
        <f t="shared" si="83"/>
        <v>0</v>
      </c>
      <c r="K352" s="68">
        <f t="shared" si="82"/>
        <v>0</v>
      </c>
      <c r="L352" s="32">
        <f t="shared" si="84"/>
        <v>0</v>
      </c>
      <c r="N352" s="26">
        <f t="shared" si="77"/>
        <v>0</v>
      </c>
      <c r="O352" s="27">
        <f>SUMIFS(ENTRADA!$F:$F,ENTRADA!$B:$B,ESTOQUE!$B352)</f>
        <v>0</v>
      </c>
      <c r="P352" s="27">
        <f>SUMIFS(SAIDA!$F:$F,SAIDA!$B:$B,ESTOQUE!$B352)</f>
        <v>0</v>
      </c>
      <c r="Q352" s="27">
        <f t="shared" si="78"/>
        <v>0</v>
      </c>
      <c r="R352" s="27" t="e">
        <f>Q352=#REF!</f>
        <v>#REF!</v>
      </c>
      <c r="S352" s="93">
        <f>IFERROR(SUMIFS(ENTRADA!$H:$H,ENTRADA!$B:$B,ESTOQUE!$B352)/O352,0)</f>
        <v>0</v>
      </c>
      <c r="T352" s="93">
        <f t="shared" si="79"/>
        <v>0</v>
      </c>
      <c r="U352" s="93">
        <f t="shared" si="80"/>
        <v>0</v>
      </c>
    </row>
    <row r="353" spans="2:21" ht="17.100000000000001" customHeight="1" thickBot="1" x14ac:dyDescent="0.3">
      <c r="B353" s="34">
        <v>368</v>
      </c>
      <c r="C353" s="116" t="s">
        <v>19</v>
      </c>
      <c r="D353" s="120"/>
      <c r="E353" s="116"/>
      <c r="F353" s="114"/>
      <c r="G353" s="114"/>
      <c r="H353" s="118"/>
      <c r="I353" s="119"/>
      <c r="J353" s="66">
        <f t="shared" si="83"/>
        <v>0</v>
      </c>
      <c r="K353" s="68">
        <f t="shared" si="82"/>
        <v>0</v>
      </c>
      <c r="L353" s="32">
        <f t="shared" si="84"/>
        <v>0</v>
      </c>
      <c r="N353" s="26">
        <f t="shared" si="77"/>
        <v>0</v>
      </c>
      <c r="O353" s="27">
        <f>SUMIFS(ENTRADA!$F:$F,ENTRADA!$B:$B,ESTOQUE!$B353)</f>
        <v>0</v>
      </c>
      <c r="P353" s="27">
        <f>SUMIFS(SAIDA!$F:$F,SAIDA!$B:$B,ESTOQUE!$B353)</f>
        <v>0</v>
      </c>
      <c r="Q353" s="27">
        <f t="shared" si="78"/>
        <v>0</v>
      </c>
      <c r="R353" s="27" t="e">
        <f>Q353=#REF!</f>
        <v>#REF!</v>
      </c>
      <c r="S353" s="93">
        <f>IFERROR(SUMIFS(ENTRADA!$H:$H,ENTRADA!$B:$B,ESTOQUE!$B353)/O353,0)</f>
        <v>0</v>
      </c>
      <c r="T353" s="93">
        <f t="shared" si="79"/>
        <v>0</v>
      </c>
      <c r="U353" s="93">
        <f t="shared" si="80"/>
        <v>0</v>
      </c>
    </row>
    <row r="354" spans="2:21" ht="17.100000000000001" customHeight="1" thickBot="1" x14ac:dyDescent="0.3">
      <c r="B354" s="34">
        <v>369</v>
      </c>
      <c r="C354" s="116" t="s">
        <v>19</v>
      </c>
      <c r="D354" s="120"/>
      <c r="E354" s="116"/>
      <c r="F354" s="114"/>
      <c r="G354" s="114"/>
      <c r="H354" s="118"/>
      <c r="I354" s="119"/>
      <c r="J354" s="66">
        <f t="shared" si="83"/>
        <v>0</v>
      </c>
      <c r="K354" s="68">
        <f t="shared" si="82"/>
        <v>0</v>
      </c>
      <c r="L354" s="32">
        <f t="shared" si="84"/>
        <v>0</v>
      </c>
      <c r="N354" s="26">
        <f t="shared" si="77"/>
        <v>0</v>
      </c>
      <c r="O354" s="27">
        <f>SUMIFS(ENTRADA!$F:$F,ENTRADA!$B:$B,ESTOQUE!$B354)</f>
        <v>0</v>
      </c>
      <c r="P354" s="27">
        <f>SUMIFS(SAIDA!$F:$F,SAIDA!$B:$B,ESTOQUE!$B354)</f>
        <v>0</v>
      </c>
      <c r="Q354" s="27">
        <f t="shared" si="78"/>
        <v>0</v>
      </c>
      <c r="R354" s="27" t="e">
        <f>Q354=#REF!</f>
        <v>#REF!</v>
      </c>
      <c r="S354" s="93">
        <f>IFERROR(SUMIFS(ENTRADA!$H:$H,ENTRADA!$B:$B,ESTOQUE!$B354)/O354,0)</f>
        <v>0</v>
      </c>
      <c r="T354" s="93">
        <f t="shared" si="79"/>
        <v>0</v>
      </c>
      <c r="U354" s="93">
        <f t="shared" si="80"/>
        <v>0</v>
      </c>
    </row>
    <row r="355" spans="2:21" ht="17.100000000000001" customHeight="1" thickBot="1" x14ac:dyDescent="0.3">
      <c r="B355" s="34">
        <v>370</v>
      </c>
      <c r="C355" s="116" t="s">
        <v>19</v>
      </c>
      <c r="D355" s="120"/>
      <c r="E355" s="116"/>
      <c r="F355" s="114"/>
      <c r="G355" s="114"/>
      <c r="H355" s="118"/>
      <c r="I355" s="119"/>
      <c r="J355" s="66">
        <f t="shared" si="83"/>
        <v>0</v>
      </c>
      <c r="K355" s="68">
        <f t="shared" si="82"/>
        <v>0</v>
      </c>
      <c r="L355" s="32">
        <f t="shared" si="84"/>
        <v>0</v>
      </c>
      <c r="N355" s="26">
        <f t="shared" si="77"/>
        <v>0</v>
      </c>
      <c r="O355" s="27">
        <f>SUMIFS(ENTRADA!$F:$F,ENTRADA!$B:$B,ESTOQUE!$B355)</f>
        <v>0</v>
      </c>
      <c r="P355" s="27">
        <f>SUMIFS(SAIDA!$F:$F,SAIDA!$B:$B,ESTOQUE!$B355)</f>
        <v>0</v>
      </c>
      <c r="Q355" s="27">
        <f t="shared" si="78"/>
        <v>0</v>
      </c>
      <c r="R355" s="27" t="e">
        <f>Q355=#REF!</f>
        <v>#REF!</v>
      </c>
      <c r="S355" s="93">
        <f>IFERROR(SUMIFS(ENTRADA!$H:$H,ENTRADA!$B:$B,ESTOQUE!$B355)/O355,0)</f>
        <v>0</v>
      </c>
      <c r="T355" s="93">
        <f t="shared" si="79"/>
        <v>0</v>
      </c>
      <c r="U355" s="93">
        <f t="shared" si="80"/>
        <v>0</v>
      </c>
    </row>
    <row r="356" spans="2:21" ht="17.100000000000001" customHeight="1" thickBot="1" x14ac:dyDescent="0.3">
      <c r="B356" s="34">
        <v>371</v>
      </c>
      <c r="C356" s="116" t="s">
        <v>19</v>
      </c>
      <c r="D356" s="120"/>
      <c r="E356" s="116"/>
      <c r="F356" s="114"/>
      <c r="G356" s="114"/>
      <c r="H356" s="118"/>
      <c r="I356" s="119"/>
      <c r="J356" s="66">
        <f t="shared" si="83"/>
        <v>0</v>
      </c>
      <c r="K356" s="68">
        <f t="shared" si="82"/>
        <v>0</v>
      </c>
      <c r="L356" s="32">
        <f t="shared" si="84"/>
        <v>0</v>
      </c>
      <c r="N356" s="26">
        <f t="shared" si="77"/>
        <v>0</v>
      </c>
      <c r="O356" s="27">
        <f>SUMIFS(ENTRADA!$F:$F,ENTRADA!$B:$B,ESTOQUE!$B356)</f>
        <v>0</v>
      </c>
      <c r="P356" s="27">
        <f>SUMIFS(SAIDA!$F:$F,SAIDA!$B:$B,ESTOQUE!$B356)</f>
        <v>0</v>
      </c>
      <c r="Q356" s="27">
        <f t="shared" si="78"/>
        <v>0</v>
      </c>
      <c r="R356" s="27" t="e">
        <f>Q356=#REF!</f>
        <v>#REF!</v>
      </c>
      <c r="S356" s="93">
        <f>IFERROR(SUMIFS(ENTRADA!$H:$H,ENTRADA!$B:$B,ESTOQUE!$B356)/O356,0)</f>
        <v>0</v>
      </c>
      <c r="T356" s="93">
        <f t="shared" si="79"/>
        <v>0</v>
      </c>
      <c r="U356" s="93">
        <f t="shared" si="80"/>
        <v>0</v>
      </c>
    </row>
    <row r="357" spans="2:21" ht="17.100000000000001" customHeight="1" thickBot="1" x14ac:dyDescent="0.3">
      <c r="B357" s="34">
        <v>372</v>
      </c>
      <c r="C357" s="116" t="s">
        <v>19</v>
      </c>
      <c r="D357" s="120"/>
      <c r="E357" s="116"/>
      <c r="F357" s="114"/>
      <c r="G357" s="114"/>
      <c r="H357" s="118"/>
      <c r="I357" s="119"/>
      <c r="J357" s="66">
        <f t="shared" si="83"/>
        <v>0</v>
      </c>
      <c r="K357" s="68">
        <f t="shared" si="82"/>
        <v>0</v>
      </c>
      <c r="L357" s="32">
        <f t="shared" si="84"/>
        <v>0</v>
      </c>
      <c r="N357" s="26">
        <f t="shared" si="77"/>
        <v>0</v>
      </c>
      <c r="O357" s="27">
        <f>SUMIFS(ENTRADA!$F:$F,ENTRADA!$B:$B,ESTOQUE!$B357)</f>
        <v>0</v>
      </c>
      <c r="P357" s="27">
        <f>SUMIFS(SAIDA!$F:$F,SAIDA!$B:$B,ESTOQUE!$B357)</f>
        <v>0</v>
      </c>
      <c r="Q357" s="27">
        <f t="shared" si="78"/>
        <v>0</v>
      </c>
      <c r="R357" s="27" t="e">
        <f>Q357=#REF!</f>
        <v>#REF!</v>
      </c>
      <c r="S357" s="93">
        <f>IFERROR(SUMIFS(ENTRADA!$H:$H,ENTRADA!$B:$B,ESTOQUE!$B357)/O357,0)</f>
        <v>0</v>
      </c>
      <c r="T357" s="93">
        <f t="shared" si="79"/>
        <v>0</v>
      </c>
      <c r="U357" s="93">
        <f t="shared" si="80"/>
        <v>0</v>
      </c>
    </row>
    <row r="358" spans="2:21" ht="17.100000000000001" customHeight="1" thickBot="1" x14ac:dyDescent="0.3">
      <c r="B358" s="34">
        <v>373</v>
      </c>
      <c r="C358" s="116" t="s">
        <v>19</v>
      </c>
      <c r="D358" s="120"/>
      <c r="E358" s="116"/>
      <c r="F358" s="114"/>
      <c r="G358" s="114"/>
      <c r="H358" s="118"/>
      <c r="I358" s="119"/>
      <c r="J358" s="66">
        <f t="shared" si="83"/>
        <v>0</v>
      </c>
      <c r="K358" s="68">
        <f t="shared" si="82"/>
        <v>0</v>
      </c>
      <c r="L358" s="32">
        <f t="shared" si="84"/>
        <v>0</v>
      </c>
      <c r="N358" s="26">
        <f t="shared" si="77"/>
        <v>0</v>
      </c>
      <c r="O358" s="27">
        <f>SUMIFS(ENTRADA!$F:$F,ENTRADA!$B:$B,ESTOQUE!$B358)</f>
        <v>0</v>
      </c>
      <c r="P358" s="27">
        <f>SUMIFS(SAIDA!$F:$F,SAIDA!$B:$B,ESTOQUE!$B358)</f>
        <v>0</v>
      </c>
      <c r="Q358" s="27">
        <f t="shared" si="78"/>
        <v>0</v>
      </c>
      <c r="R358" s="27" t="e">
        <f>Q358=#REF!</f>
        <v>#REF!</v>
      </c>
      <c r="S358" s="93">
        <f>IFERROR(SUMIFS(ENTRADA!$H:$H,ENTRADA!$B:$B,ESTOQUE!$B358)/O358,0)</f>
        <v>0</v>
      </c>
      <c r="T358" s="93">
        <f t="shared" si="79"/>
        <v>0</v>
      </c>
      <c r="U358" s="93">
        <f t="shared" si="80"/>
        <v>0</v>
      </c>
    </row>
    <row r="359" spans="2:21" ht="17.100000000000001" customHeight="1" thickBot="1" x14ac:dyDescent="0.3">
      <c r="B359" s="34">
        <v>374</v>
      </c>
      <c r="C359" s="116" t="s">
        <v>19</v>
      </c>
      <c r="D359" s="120"/>
      <c r="E359" s="116"/>
      <c r="F359" s="114"/>
      <c r="G359" s="114"/>
      <c r="H359" s="118"/>
      <c r="I359" s="119"/>
      <c r="J359" s="66">
        <f t="shared" si="83"/>
        <v>0</v>
      </c>
      <c r="K359" s="68">
        <f t="shared" si="82"/>
        <v>0</v>
      </c>
      <c r="L359" s="32">
        <f t="shared" si="84"/>
        <v>0</v>
      </c>
      <c r="N359" s="26">
        <f t="shared" si="77"/>
        <v>0</v>
      </c>
      <c r="O359" s="27">
        <f>SUMIFS(ENTRADA!$F:$F,ENTRADA!$B:$B,ESTOQUE!$B359)</f>
        <v>0</v>
      </c>
      <c r="P359" s="27">
        <f>SUMIFS(SAIDA!$F:$F,SAIDA!$B:$B,ESTOQUE!$B359)</f>
        <v>0</v>
      </c>
      <c r="Q359" s="27">
        <f t="shared" si="78"/>
        <v>0</v>
      </c>
      <c r="R359" s="27" t="e">
        <f>Q359=#REF!</f>
        <v>#REF!</v>
      </c>
      <c r="S359" s="93">
        <f>IFERROR(SUMIFS(ENTRADA!$H:$H,ENTRADA!$B:$B,ESTOQUE!$B359)/O359,0)</f>
        <v>0</v>
      </c>
      <c r="T359" s="93">
        <f t="shared" si="79"/>
        <v>0</v>
      </c>
      <c r="U359" s="93">
        <f t="shared" si="80"/>
        <v>0</v>
      </c>
    </row>
    <row r="360" spans="2:21" ht="17.100000000000001" customHeight="1" thickBot="1" x14ac:dyDescent="0.3">
      <c r="B360" s="34">
        <v>375</v>
      </c>
      <c r="C360" s="116" t="s">
        <v>19</v>
      </c>
      <c r="D360" s="120"/>
      <c r="E360" s="116"/>
      <c r="F360" s="114"/>
      <c r="G360" s="114"/>
      <c r="H360" s="118"/>
      <c r="I360" s="119"/>
      <c r="J360" s="66">
        <f t="shared" si="83"/>
        <v>0</v>
      </c>
      <c r="K360" s="68">
        <f t="shared" si="82"/>
        <v>0</v>
      </c>
      <c r="L360" s="32">
        <f t="shared" si="84"/>
        <v>0</v>
      </c>
      <c r="N360" s="26">
        <f t="shared" si="77"/>
        <v>0</v>
      </c>
      <c r="O360" s="27">
        <f>SUMIFS(ENTRADA!$F:$F,ENTRADA!$B:$B,ESTOQUE!$B360)</f>
        <v>0</v>
      </c>
      <c r="P360" s="27">
        <f>SUMIFS(SAIDA!$F:$F,SAIDA!$B:$B,ESTOQUE!$B360)</f>
        <v>0</v>
      </c>
      <c r="Q360" s="27">
        <f t="shared" si="78"/>
        <v>0</v>
      </c>
      <c r="R360" s="27" t="e">
        <f>Q360=#REF!</f>
        <v>#REF!</v>
      </c>
      <c r="S360" s="93">
        <f>IFERROR(SUMIFS(ENTRADA!$H:$H,ENTRADA!$B:$B,ESTOQUE!$B360)/O360,0)</f>
        <v>0</v>
      </c>
      <c r="T360" s="93">
        <f t="shared" si="79"/>
        <v>0</v>
      </c>
      <c r="U360" s="93">
        <f t="shared" si="80"/>
        <v>0</v>
      </c>
    </row>
    <row r="361" spans="2:21" ht="17.100000000000001" customHeight="1" thickBot="1" x14ac:dyDescent="0.3">
      <c r="B361" s="34">
        <v>376</v>
      </c>
      <c r="C361" s="116" t="s">
        <v>19</v>
      </c>
      <c r="D361" s="120"/>
      <c r="E361" s="116"/>
      <c r="F361" s="114"/>
      <c r="G361" s="114"/>
      <c r="H361" s="118"/>
      <c r="I361" s="119"/>
      <c r="J361" s="66">
        <f t="shared" si="83"/>
        <v>0</v>
      </c>
      <c r="K361" s="68">
        <f t="shared" si="82"/>
        <v>0</v>
      </c>
      <c r="L361" s="32">
        <f t="shared" si="84"/>
        <v>0</v>
      </c>
      <c r="N361" s="26">
        <f t="shared" si="77"/>
        <v>0</v>
      </c>
      <c r="O361" s="27">
        <f>SUMIFS(ENTRADA!$F:$F,ENTRADA!$B:$B,ESTOQUE!$B361)</f>
        <v>0</v>
      </c>
      <c r="P361" s="27">
        <f>SUMIFS(SAIDA!$F:$F,SAIDA!$B:$B,ESTOQUE!$B361)</f>
        <v>0</v>
      </c>
      <c r="Q361" s="27">
        <f t="shared" si="78"/>
        <v>0</v>
      </c>
      <c r="R361" s="27" t="e">
        <f>Q361=#REF!</f>
        <v>#REF!</v>
      </c>
      <c r="S361" s="93">
        <f>IFERROR(SUMIFS(ENTRADA!$H:$H,ENTRADA!$B:$B,ESTOQUE!$B361)/O361,0)</f>
        <v>0</v>
      </c>
      <c r="T361" s="93">
        <f t="shared" si="79"/>
        <v>0</v>
      </c>
      <c r="U361" s="93">
        <f t="shared" si="80"/>
        <v>0</v>
      </c>
    </row>
    <row r="362" spans="2:21" ht="17.100000000000001" customHeight="1" thickBot="1" x14ac:dyDescent="0.3">
      <c r="B362" s="34">
        <v>377</v>
      </c>
      <c r="C362" s="116" t="s">
        <v>19</v>
      </c>
      <c r="D362" s="120"/>
      <c r="E362" s="116"/>
      <c r="F362" s="114"/>
      <c r="G362" s="114"/>
      <c r="H362" s="118"/>
      <c r="I362" s="119"/>
      <c r="J362" s="66">
        <f t="shared" si="83"/>
        <v>0</v>
      </c>
      <c r="K362" s="68">
        <f t="shared" si="82"/>
        <v>0</v>
      </c>
      <c r="L362" s="32">
        <f t="shared" si="84"/>
        <v>0</v>
      </c>
      <c r="N362" s="26">
        <f t="shared" si="77"/>
        <v>0</v>
      </c>
      <c r="O362" s="27">
        <f>SUMIFS(ENTRADA!$F:$F,ENTRADA!$B:$B,ESTOQUE!$B362)</f>
        <v>0</v>
      </c>
      <c r="P362" s="27">
        <f>SUMIFS(SAIDA!$F:$F,SAIDA!$B:$B,ESTOQUE!$B362)</f>
        <v>0</v>
      </c>
      <c r="Q362" s="27">
        <f t="shared" si="78"/>
        <v>0</v>
      </c>
      <c r="R362" s="27" t="e">
        <f>Q362=#REF!</f>
        <v>#REF!</v>
      </c>
      <c r="S362" s="93">
        <f>IFERROR(SUMIFS(ENTRADA!$H:$H,ENTRADA!$B:$B,ESTOQUE!$B362)/O362,0)</f>
        <v>0</v>
      </c>
      <c r="T362" s="93">
        <f t="shared" si="79"/>
        <v>0</v>
      </c>
      <c r="U362" s="93">
        <f t="shared" si="80"/>
        <v>0</v>
      </c>
    </row>
    <row r="363" spans="2:21" ht="17.100000000000001" customHeight="1" thickBot="1" x14ac:dyDescent="0.3">
      <c r="B363" s="34">
        <v>378</v>
      </c>
      <c r="C363" s="116" t="s">
        <v>19</v>
      </c>
      <c r="D363" s="120"/>
      <c r="E363" s="116"/>
      <c r="F363" s="114"/>
      <c r="G363" s="114"/>
      <c r="H363" s="118"/>
      <c r="I363" s="119"/>
      <c r="J363" s="66">
        <f t="shared" si="83"/>
        <v>0</v>
      </c>
      <c r="K363" s="68">
        <f t="shared" si="82"/>
        <v>0</v>
      </c>
      <c r="L363" s="32">
        <f t="shared" si="84"/>
        <v>0</v>
      </c>
      <c r="N363" s="26">
        <f t="shared" si="77"/>
        <v>0</v>
      </c>
      <c r="O363" s="27">
        <f>SUMIFS(ENTRADA!$F:$F,ENTRADA!$B:$B,ESTOQUE!$B363)</f>
        <v>0</v>
      </c>
      <c r="P363" s="27">
        <f>SUMIFS(SAIDA!$F:$F,SAIDA!$B:$B,ESTOQUE!$B363)</f>
        <v>0</v>
      </c>
      <c r="Q363" s="27">
        <f t="shared" si="78"/>
        <v>0</v>
      </c>
      <c r="R363" s="27" t="e">
        <f>Q363=#REF!</f>
        <v>#REF!</v>
      </c>
      <c r="S363" s="93">
        <f>IFERROR(SUMIFS(ENTRADA!$H:$H,ENTRADA!$B:$B,ESTOQUE!$B363)/O363,0)</f>
        <v>0</v>
      </c>
      <c r="T363" s="93">
        <f t="shared" si="79"/>
        <v>0</v>
      </c>
      <c r="U363" s="93">
        <f t="shared" si="80"/>
        <v>0</v>
      </c>
    </row>
    <row r="364" spans="2:21" ht="17.100000000000001" customHeight="1" thickBot="1" x14ac:dyDescent="0.3">
      <c r="B364" s="34">
        <v>379</v>
      </c>
      <c r="C364" s="116" t="s">
        <v>19</v>
      </c>
      <c r="D364" s="120"/>
      <c r="E364" s="116"/>
      <c r="F364" s="114"/>
      <c r="G364" s="114"/>
      <c r="H364" s="118"/>
      <c r="I364" s="119"/>
      <c r="J364" s="66">
        <f t="shared" si="83"/>
        <v>0</v>
      </c>
      <c r="K364" s="68">
        <f t="shared" si="82"/>
        <v>0</v>
      </c>
      <c r="L364" s="32">
        <f t="shared" si="84"/>
        <v>0</v>
      </c>
      <c r="N364" s="26">
        <f t="shared" si="77"/>
        <v>0</v>
      </c>
      <c r="O364" s="27">
        <f>SUMIFS(ENTRADA!$F:$F,ENTRADA!$B:$B,ESTOQUE!$B364)</f>
        <v>0</v>
      </c>
      <c r="P364" s="27">
        <f>SUMIFS(SAIDA!$F:$F,SAIDA!$B:$B,ESTOQUE!$B364)</f>
        <v>0</v>
      </c>
      <c r="Q364" s="27">
        <f t="shared" si="78"/>
        <v>0</v>
      </c>
      <c r="R364" s="27" t="e">
        <f>Q364=#REF!</f>
        <v>#REF!</v>
      </c>
      <c r="S364" s="93">
        <f>IFERROR(SUMIFS(ENTRADA!$H:$H,ENTRADA!$B:$B,ESTOQUE!$B364)/O364,0)</f>
        <v>0</v>
      </c>
      <c r="T364" s="93">
        <f t="shared" si="79"/>
        <v>0</v>
      </c>
      <c r="U364" s="93">
        <f t="shared" si="80"/>
        <v>0</v>
      </c>
    </row>
    <row r="365" spans="2:21" ht="17.100000000000001" customHeight="1" thickBot="1" x14ac:dyDescent="0.3">
      <c r="B365" s="34">
        <v>380</v>
      </c>
      <c r="C365" s="116" t="s">
        <v>19</v>
      </c>
      <c r="D365" s="120"/>
      <c r="E365" s="116"/>
      <c r="F365" s="114"/>
      <c r="G365" s="114"/>
      <c r="H365" s="118"/>
      <c r="I365" s="119"/>
      <c r="J365" s="66">
        <f t="shared" si="83"/>
        <v>0</v>
      </c>
      <c r="K365" s="68">
        <f t="shared" si="82"/>
        <v>0</v>
      </c>
      <c r="L365" s="32">
        <f t="shared" si="84"/>
        <v>0</v>
      </c>
      <c r="N365" s="26">
        <f t="shared" si="77"/>
        <v>0</v>
      </c>
      <c r="O365" s="27">
        <f>SUMIFS(ENTRADA!$F:$F,ENTRADA!$B:$B,ESTOQUE!$B365)</f>
        <v>0</v>
      </c>
      <c r="P365" s="27">
        <f>SUMIFS(SAIDA!$F:$F,SAIDA!$B:$B,ESTOQUE!$B365)</f>
        <v>0</v>
      </c>
      <c r="Q365" s="27">
        <f t="shared" si="78"/>
        <v>0</v>
      </c>
      <c r="R365" s="27" t="e">
        <f>Q365=#REF!</f>
        <v>#REF!</v>
      </c>
      <c r="S365" s="93">
        <f>IFERROR(SUMIFS(ENTRADA!$H:$H,ENTRADA!$B:$B,ESTOQUE!$B365)/O365,0)</f>
        <v>0</v>
      </c>
      <c r="T365" s="93">
        <f t="shared" si="79"/>
        <v>0</v>
      </c>
      <c r="U365" s="93">
        <f t="shared" si="80"/>
        <v>0</v>
      </c>
    </row>
    <row r="366" spans="2:21" ht="1.5" customHeight="1" thickBot="1" x14ac:dyDescent="0.3">
      <c r="B366" s="34">
        <v>381</v>
      </c>
      <c r="C366" s="116" t="s">
        <v>19</v>
      </c>
      <c r="D366" s="120"/>
      <c r="E366" s="116"/>
      <c r="F366" s="114"/>
      <c r="G366" s="114"/>
      <c r="H366" s="118"/>
      <c r="I366" s="119"/>
      <c r="J366" s="66">
        <f t="shared" si="83"/>
        <v>0</v>
      </c>
      <c r="K366" s="68">
        <f t="shared" si="82"/>
        <v>0</v>
      </c>
      <c r="L366" s="32">
        <f t="shared" si="84"/>
        <v>0</v>
      </c>
      <c r="N366" s="26">
        <f t="shared" si="77"/>
        <v>0</v>
      </c>
      <c r="O366" s="27">
        <f>SUMIFS(ENTRADA!$F:$F,ENTRADA!$B:$B,ESTOQUE!$B366)</f>
        <v>0</v>
      </c>
      <c r="P366" s="27">
        <f>SUMIFS(SAIDA!$F:$F,SAIDA!$B:$B,ESTOQUE!$B366)</f>
        <v>0</v>
      </c>
      <c r="Q366" s="27">
        <f t="shared" si="78"/>
        <v>0</v>
      </c>
      <c r="R366" s="27" t="e">
        <f>Q366=#REF!</f>
        <v>#REF!</v>
      </c>
      <c r="S366" s="93">
        <f>IFERROR(SUMIFS(ENTRADA!$H:$H,ENTRADA!$B:$B,ESTOQUE!$B366)/O366,0)</f>
        <v>0</v>
      </c>
      <c r="T366" s="93">
        <f t="shared" si="79"/>
        <v>0</v>
      </c>
      <c r="U366" s="93">
        <f t="shared" si="80"/>
        <v>0</v>
      </c>
    </row>
    <row r="367" spans="2:21" ht="5.25" customHeight="1" thickBot="1" x14ac:dyDescent="0.3">
      <c r="B367" s="34">
        <v>382</v>
      </c>
      <c r="C367" s="116" t="s">
        <v>19</v>
      </c>
      <c r="D367" s="120"/>
      <c r="E367" s="116"/>
      <c r="F367" s="114"/>
      <c r="G367" s="114"/>
      <c r="H367" s="118"/>
      <c r="I367" s="119"/>
      <c r="J367" s="66">
        <f t="shared" si="83"/>
        <v>0</v>
      </c>
      <c r="K367" s="68">
        <f t="shared" si="82"/>
        <v>0</v>
      </c>
      <c r="L367" s="32">
        <f t="shared" si="84"/>
        <v>0</v>
      </c>
      <c r="N367" s="26">
        <f t="shared" si="77"/>
        <v>0</v>
      </c>
      <c r="O367" s="27">
        <f>SUMIFS(ENTRADA!$F:$F,ENTRADA!$B:$B,ESTOQUE!$B367)</f>
        <v>0</v>
      </c>
      <c r="P367" s="27">
        <f>SUMIFS(SAIDA!$F:$F,SAIDA!$B:$B,ESTOQUE!$B367)</f>
        <v>0</v>
      </c>
      <c r="Q367" s="27">
        <f t="shared" si="78"/>
        <v>0</v>
      </c>
      <c r="R367" s="27" t="e">
        <f>Q367=#REF!</f>
        <v>#REF!</v>
      </c>
      <c r="S367" s="93">
        <f>IFERROR(SUMIFS(ENTRADA!$H:$H,ENTRADA!$B:$B,ESTOQUE!$B367)/O367,0)</f>
        <v>0</v>
      </c>
      <c r="T367" s="93">
        <f t="shared" si="79"/>
        <v>0</v>
      </c>
      <c r="U367" s="93">
        <f t="shared" si="80"/>
        <v>0</v>
      </c>
    </row>
    <row r="370" ht="19.5" customHeight="1" x14ac:dyDescent="0.25"/>
    <row r="371" ht="19.5" customHeight="1" x14ac:dyDescent="0.25"/>
    <row r="372" ht="19.5" customHeight="1" x14ac:dyDescent="0.25"/>
    <row r="373" ht="19.5" customHeight="1" x14ac:dyDescent="0.25"/>
    <row r="374" ht="19.5" customHeight="1" x14ac:dyDescent="0.25"/>
    <row r="375" ht="19.5" customHeight="1" x14ac:dyDescent="0.25"/>
    <row r="376" ht="19.5" customHeight="1" x14ac:dyDescent="0.25"/>
    <row r="377" ht="19.5" customHeight="1" x14ac:dyDescent="0.25"/>
    <row r="378" ht="19.5" customHeight="1" x14ac:dyDescent="0.25"/>
  </sheetData>
  <sheetProtection formatCells="0" formatColumns="0" formatRows="0" insertColumns="0" insertRows="0" insertHyperlinks="0" deleteColumns="0" deleteRows="0" sort="0" autoFilter="0" pivotTables="0"/>
  <autoFilter ref="B1:L367" xr:uid="{5AB3F75F-38DE-4A16-B8FA-3DED2C34426C}"/>
  <sortState xmlns:xlrd2="http://schemas.microsoft.com/office/spreadsheetml/2017/richdata2" ref="B2:L51">
    <sortCondition ref="D2:D51"/>
    <sortCondition ref="C2:C51"/>
  </sortState>
  <phoneticPr fontId="10" type="noConversion"/>
  <conditionalFormatting sqref="B1:B1048576">
    <cfRule type="duplicateValues" dxfId="22" priority="291"/>
  </conditionalFormatting>
  <conditionalFormatting sqref="D2:D130">
    <cfRule type="duplicateValues" dxfId="21" priority="859"/>
  </conditionalFormatting>
  <conditionalFormatting sqref="D139:D154">
    <cfRule type="duplicateValues" dxfId="20" priority="14"/>
  </conditionalFormatting>
  <conditionalFormatting sqref="D155:D157">
    <cfRule type="duplicateValues" dxfId="19" priority="13"/>
  </conditionalFormatting>
  <conditionalFormatting sqref="D158">
    <cfRule type="duplicateValues" dxfId="18" priority="12"/>
  </conditionalFormatting>
  <conditionalFormatting sqref="D159:D163">
    <cfRule type="duplicateValues" dxfId="17" priority="11"/>
  </conditionalFormatting>
  <conditionalFormatting sqref="D164:D167">
    <cfRule type="duplicateValues" dxfId="16" priority="10"/>
  </conditionalFormatting>
  <conditionalFormatting sqref="D177:D178">
    <cfRule type="duplicateValues" dxfId="15" priority="9"/>
  </conditionalFormatting>
  <conditionalFormatting sqref="D179:D181">
    <cfRule type="duplicateValues" dxfId="14" priority="8"/>
  </conditionalFormatting>
  <conditionalFormatting sqref="D182">
    <cfRule type="duplicateValues" dxfId="13" priority="7"/>
  </conditionalFormatting>
  <conditionalFormatting sqref="D184:D190 D131:D138 D1 D168:D176 D197:D199 D255:D1048576 D202:D253">
    <cfRule type="duplicateValues" dxfId="12" priority="932"/>
  </conditionalFormatting>
  <conditionalFormatting sqref="D191:D192">
    <cfRule type="duplicateValues" dxfId="11" priority="6"/>
  </conditionalFormatting>
  <conditionalFormatting sqref="D193">
    <cfRule type="duplicateValues" dxfId="10" priority="5"/>
  </conditionalFormatting>
  <conditionalFormatting sqref="D194">
    <cfRule type="duplicateValues" dxfId="9" priority="4"/>
  </conditionalFormatting>
  <conditionalFormatting sqref="D195:D196">
    <cfRule type="duplicateValues" dxfId="8" priority="3"/>
  </conditionalFormatting>
  <conditionalFormatting sqref="D200">
    <cfRule type="duplicateValues" dxfId="7" priority="2"/>
  </conditionalFormatting>
  <conditionalFormatting sqref="D201">
    <cfRule type="duplicateValues" dxfId="6" priority="1"/>
  </conditionalFormatting>
  <conditionalFormatting sqref="L2:L367">
    <cfRule type="containsText" dxfId="5" priority="17" operator="containsText" text="0">
      <formula>NOT(ISERROR(SEARCH("0",L2)))</formula>
    </cfRule>
    <cfRule type="containsText" dxfId="4" priority="45" stopIfTrue="1" operator="containsText" text="ESTOQUE ALTO">
      <formula>NOT(ISERROR(SEARCH("ESTOQUE ALTO",L2)))</formula>
    </cfRule>
    <cfRule type="containsText" dxfId="3" priority="46" stopIfTrue="1" operator="containsText" text="ESTOQUE NORMAL">
      <formula>NOT(ISERROR(SEARCH("ESTOQUE NORMAL",L2)))</formula>
    </cfRule>
    <cfRule type="containsText" dxfId="2" priority="47" stopIfTrue="1" operator="containsText" text="ESTOQUE BAIXO">
      <formula>NOT(ISERROR(SEARCH("ESTOQUE BAIXO",L2)))</formula>
    </cfRule>
  </conditionalFormatting>
  <conditionalFormatting sqref="N2:N367">
    <cfRule type="duplicateValues" dxfId="1" priority="930"/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47" fitToHeight="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pageSetUpPr fitToPage="1"/>
  </sheetPr>
  <dimension ref="A1:AC4348"/>
  <sheetViews>
    <sheetView zoomScale="84" zoomScaleNormal="100" workbookViewId="0">
      <pane ySplit="1" topLeftCell="A4274" activePane="bottomLeft" state="frozen"/>
      <selection pane="bottomLeft" activeCell="B4283" sqref="B4283"/>
    </sheetView>
  </sheetViews>
  <sheetFormatPr defaultColWidth="9.28515625" defaultRowHeight="15" x14ac:dyDescent="0.25"/>
  <cols>
    <col min="1" max="1" width="15.42578125" style="9" customWidth="1"/>
    <col min="2" max="2" width="13.5703125" style="2" bestFit="1" customWidth="1"/>
    <col min="3" max="3" width="21.5703125" style="6" bestFit="1" customWidth="1"/>
    <col min="4" max="4" width="47.5703125" style="3" customWidth="1"/>
    <col min="5" max="5" width="17.5703125" style="6" bestFit="1" customWidth="1"/>
    <col min="6" max="6" width="18.42578125" style="4" bestFit="1" customWidth="1"/>
    <col min="7" max="7" width="18.5703125" style="7" hidden="1" customWidth="1"/>
    <col min="8" max="8" width="21" style="7" hidden="1" customWidth="1"/>
    <col min="9" max="9" width="17.5703125" style="5" hidden="1" customWidth="1"/>
    <col min="10" max="10" width="16.28515625" style="5" hidden="1" customWidth="1"/>
    <col min="11" max="11" width="24.28515625" style="1" hidden="1" customWidth="1"/>
    <col min="12" max="16384" width="9.28515625" style="1"/>
  </cols>
  <sheetData>
    <row r="1" spans="1:29" x14ac:dyDescent="0.25">
      <c r="A1" s="81" t="s">
        <v>288</v>
      </c>
      <c r="B1" s="82" t="s">
        <v>289</v>
      </c>
      <c r="C1" s="73" t="s">
        <v>1</v>
      </c>
      <c r="D1" s="83" t="s">
        <v>11</v>
      </c>
      <c r="E1" s="83" t="s">
        <v>5</v>
      </c>
      <c r="F1" s="84" t="s">
        <v>290</v>
      </c>
      <c r="G1" s="45" t="s">
        <v>291</v>
      </c>
      <c r="H1" s="45" t="s">
        <v>292</v>
      </c>
      <c r="I1" s="46" t="s">
        <v>293</v>
      </c>
      <c r="J1" s="46" t="s">
        <v>8</v>
      </c>
      <c r="K1" s="47" t="s">
        <v>285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</row>
    <row r="2" spans="1:29" ht="15.75" customHeight="1" x14ac:dyDescent="0.25">
      <c r="A2" s="136">
        <v>45253</v>
      </c>
      <c r="B2" s="129">
        <v>111</v>
      </c>
      <c r="C2" s="49" t="s">
        <v>19</v>
      </c>
      <c r="D2" s="110" t="str">
        <f>IF(ISBLANK($B2),"",IFERROR(VLOOKUP($B2,ESTOQUE!$B$2:$D$97168,3,FALSE),"Produto não cadastrado"))</f>
        <v>LUVA DE VAQUETA MARROM</v>
      </c>
      <c r="E2" s="99" t="str">
        <f>_xlfn.XLOOKUP(B2,ESTOQUE!B:B,ESTOQUE!G:G,"",0)</f>
        <v>PAR</v>
      </c>
      <c r="F2" s="99">
        <v>9</v>
      </c>
      <c r="G2" s="144"/>
      <c r="H2" s="144"/>
      <c r="I2" s="145"/>
      <c r="J2" s="145"/>
      <c r="K2" s="54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 spans="1:29" ht="15.75" customHeight="1" x14ac:dyDescent="0.25">
      <c r="A3" s="136">
        <v>45253</v>
      </c>
      <c r="B3" s="129">
        <v>257</v>
      </c>
      <c r="C3" s="49" t="s">
        <v>19</v>
      </c>
      <c r="D3" s="110" t="str">
        <f>IF(ISBLANK($B3),"",IFERROR(VLOOKUP($B3,ESTOQUE!$B$2:$D$97168,3,FALSE),"Produto não cadastrado"))</f>
        <v xml:space="preserve">LUVA MULTITATO </v>
      </c>
      <c r="E3" s="99" t="str">
        <f>_xlfn.XLOOKUP(B3,ESTOQUE!B:B,ESTOQUE!G:G,"",0)</f>
        <v>UND</v>
      </c>
      <c r="F3" s="99">
        <v>10</v>
      </c>
      <c r="G3" s="144"/>
      <c r="H3" s="144"/>
      <c r="I3" s="145"/>
      <c r="J3" s="145"/>
      <c r="K3" s="54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 spans="1:29" ht="15.75" customHeight="1" x14ac:dyDescent="0.25">
      <c r="A4" s="58">
        <v>45929</v>
      </c>
      <c r="B4" s="55">
        <v>2</v>
      </c>
      <c r="C4" s="49" t="s">
        <v>19</v>
      </c>
      <c r="D4" s="50" t="str">
        <f>IF(ISBLANK($B4),"",IFERROR(VLOOKUP($B4,ESTOQUE!$B$2:$D$97168,3,FALSE),"Produto não cadastrado"))</f>
        <v>AVENTAL DE RASPA TAM 1X60MT</v>
      </c>
      <c r="E4" s="49" t="str">
        <f>_xlfn.XLOOKUP(B4,ESTOQUE!B:B,ESTOQUE!G:G,"",0)</f>
        <v>UND</v>
      </c>
      <c r="F4" s="49">
        <v>4</v>
      </c>
      <c r="G4" s="51"/>
      <c r="H4" s="51"/>
      <c r="I4" s="52"/>
      <c r="J4" s="52"/>
      <c r="K4" s="54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</row>
    <row r="5" spans="1:29" ht="15.75" customHeight="1" x14ac:dyDescent="0.25">
      <c r="A5" s="58">
        <v>45929</v>
      </c>
      <c r="B5" s="55">
        <v>39</v>
      </c>
      <c r="C5" s="49" t="s">
        <v>19</v>
      </c>
      <c r="D5" s="50" t="str">
        <f>IF(ISBLANK($B5),"",IFERROR(VLOOKUP($B5,ESTOQUE!$B$2:$D$97168,3,FALSE),"Produto não cadastrado"))</f>
        <v>BOTINA OP. BICO PVC Nº 41</v>
      </c>
      <c r="E5" s="49" t="str">
        <f>_xlfn.XLOOKUP(B5,ESTOQUE!B:B,ESTOQUE!G:G,"",0)</f>
        <v>PAR</v>
      </c>
      <c r="F5" s="49">
        <v>1</v>
      </c>
      <c r="G5" s="51"/>
      <c r="H5" s="51"/>
      <c r="I5" s="52"/>
      <c r="J5" s="52"/>
      <c r="K5" s="54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</row>
    <row r="6" spans="1:29" ht="15.75" customHeight="1" x14ac:dyDescent="0.25">
      <c r="A6" s="58">
        <v>45929</v>
      </c>
      <c r="B6" s="60">
        <v>40</v>
      </c>
      <c r="C6" s="49" t="s">
        <v>19</v>
      </c>
      <c r="D6" s="50" t="str">
        <f>IF(ISBLANK($B6),"",IFERROR(VLOOKUP($B6,ESTOQUE!$B$2:$D$97168,3,FALSE),"Produto não cadastrado"))</f>
        <v>BOTINA OP. BICO PVC Nº 42</v>
      </c>
      <c r="E6" s="49" t="str">
        <f>_xlfn.XLOOKUP(B6,ESTOQUE!B:B,ESTOQUE!G:G,"",0)</f>
        <v>PAR</v>
      </c>
      <c r="F6" s="96">
        <v>1</v>
      </c>
      <c r="G6" s="51"/>
      <c r="H6" s="51"/>
      <c r="I6" s="52"/>
      <c r="J6" s="52"/>
      <c r="K6" s="54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</row>
    <row r="7" spans="1:29" ht="15.75" customHeight="1" x14ac:dyDescent="0.25">
      <c r="A7" s="58">
        <v>45929</v>
      </c>
      <c r="B7" s="60">
        <v>37</v>
      </c>
      <c r="C7" s="49" t="s">
        <v>19</v>
      </c>
      <c r="D7" s="50" t="str">
        <f>IF(ISBLANK($B7),"",IFERROR(VLOOKUP($B7,ESTOQUE!$B$2:$D$97168,3,FALSE),"Produto não cadastrado"))</f>
        <v>BOTINA OP. BICO PVC Nº 39</v>
      </c>
      <c r="E7" s="49" t="str">
        <f>_xlfn.XLOOKUP(B7,ESTOQUE!B:B,ESTOQUE!G:G,"",0)</f>
        <v>PAR</v>
      </c>
      <c r="F7" s="96">
        <v>1</v>
      </c>
      <c r="G7" s="51"/>
      <c r="H7" s="51"/>
      <c r="I7" s="52"/>
      <c r="J7" s="52"/>
      <c r="K7" s="54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</row>
    <row r="8" spans="1:29" ht="15.75" customHeight="1" x14ac:dyDescent="0.25">
      <c r="A8" s="58">
        <v>45929</v>
      </c>
      <c r="B8" s="55">
        <v>42</v>
      </c>
      <c r="C8" s="49" t="s">
        <v>19</v>
      </c>
      <c r="D8" s="50" t="str">
        <f>IF(ISBLANK($B8),"",IFERROR(VLOOKUP($B8,ESTOQUE!$B$2:$D$97168,3,FALSE),"Produto não cadastrado"))</f>
        <v>BOTINA OP. BICO PVC Nº 44</v>
      </c>
      <c r="E8" s="49" t="str">
        <f>_xlfn.XLOOKUP(B8,ESTOQUE!B:B,ESTOQUE!G:G,"",0)</f>
        <v>PAR</v>
      </c>
      <c r="F8" s="49">
        <v>1</v>
      </c>
      <c r="G8" s="51"/>
      <c r="H8" s="51"/>
      <c r="I8" s="52"/>
      <c r="J8" s="52"/>
      <c r="K8" s="54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</row>
    <row r="9" spans="1:29" ht="15.75" customHeight="1" x14ac:dyDescent="0.25">
      <c r="A9" s="58">
        <v>45929</v>
      </c>
      <c r="B9" s="55">
        <v>47</v>
      </c>
      <c r="C9" s="49" t="s">
        <v>19</v>
      </c>
      <c r="D9" s="50" t="str">
        <f>IF(ISBLANK($B9),"",IFERROR(VLOOKUP($B9,ESTOQUE!$B$2:$D$97168,3,FALSE),"Produto não cadastrado"))</f>
        <v>CALÇA CINZA OP. C/ FAIXA REFLETIVA TAM: GG</v>
      </c>
      <c r="E9" s="49" t="str">
        <f>_xlfn.XLOOKUP(B9,ESTOQUE!B:B,ESTOQUE!G:G,"",0)</f>
        <v>UND</v>
      </c>
      <c r="F9" s="49">
        <v>1</v>
      </c>
      <c r="G9" s="51"/>
      <c r="H9" s="51"/>
      <c r="I9" s="52"/>
      <c r="J9" s="52"/>
      <c r="K9" s="54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</row>
    <row r="10" spans="1:29" ht="15.75" customHeight="1" x14ac:dyDescent="0.25">
      <c r="A10" s="58">
        <v>45929</v>
      </c>
      <c r="B10" s="60">
        <v>49</v>
      </c>
      <c r="C10" s="49" t="s">
        <v>19</v>
      </c>
      <c r="D10" s="50" t="str">
        <f>IF(ISBLANK($B10),"",IFERROR(VLOOKUP($B10,ESTOQUE!$B$2:$D$97168,3,FALSE),"Produto não cadastrado"))</f>
        <v>CALÇA CINZA OP. C/ FAIXA REFLETIVA TAM: P</v>
      </c>
      <c r="E10" s="49" t="str">
        <f>_xlfn.XLOOKUP(B10,ESTOQUE!B:B,ESTOQUE!G:G,"",0)</f>
        <v>UND</v>
      </c>
      <c r="F10" s="96">
        <v>2</v>
      </c>
      <c r="G10" s="51"/>
      <c r="H10" s="51"/>
      <c r="I10" s="52"/>
      <c r="J10" s="52"/>
      <c r="K10" s="5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</row>
    <row r="11" spans="1:29" ht="15.75" customHeight="1" x14ac:dyDescent="0.25">
      <c r="A11" s="58">
        <v>45929</v>
      </c>
      <c r="B11" s="55">
        <v>71</v>
      </c>
      <c r="C11" s="49" t="s">
        <v>19</v>
      </c>
      <c r="D11" s="50" t="str">
        <f>IF(ISBLANK($B11),"",IFERROR(VLOOKUP($B11,ESTOQUE!$B$2:$D$97168,3,FALSE),"Produto não cadastrado"))</f>
        <v>CAMISA LARANJA OP. C/ FAIXA REFLETIVA TAM: XG</v>
      </c>
      <c r="E11" s="49" t="str">
        <f>_xlfn.XLOOKUP(B11,ESTOQUE!B:B,ESTOQUE!G:G,"",0)</f>
        <v>UND</v>
      </c>
      <c r="F11" s="49">
        <v>1</v>
      </c>
      <c r="G11" s="51"/>
      <c r="H11" s="51"/>
      <c r="I11" s="52"/>
      <c r="J11" s="52"/>
      <c r="K11" s="54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</row>
    <row r="12" spans="1:29" ht="15.75" customHeight="1" x14ac:dyDescent="0.25">
      <c r="A12" s="58">
        <v>45929</v>
      </c>
      <c r="B12" s="55">
        <v>96</v>
      </c>
      <c r="C12" s="49" t="s">
        <v>19</v>
      </c>
      <c r="D12" s="50" t="str">
        <f>IF(ISBLANK($B12),"",IFERROR(VLOOKUP($B12,ESTOQUE!$B$2:$D$97168,3,FALSE),"Produto não cadastrado"))</f>
        <v xml:space="preserve">CINTO DE SEGURANÇA MODELO:C70 </v>
      </c>
      <c r="E12" s="49" t="str">
        <f>_xlfn.XLOOKUP(B12,ESTOQUE!B:B,ESTOQUE!G:G,"",0)</f>
        <v>UND</v>
      </c>
      <c r="F12" s="49">
        <v>1</v>
      </c>
      <c r="G12" s="51"/>
      <c r="H12" s="51"/>
      <c r="I12" s="52"/>
      <c r="J12" s="52"/>
      <c r="K12" s="54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</row>
    <row r="13" spans="1:29" ht="15.75" customHeight="1" x14ac:dyDescent="0.25">
      <c r="A13" s="58">
        <v>45929</v>
      </c>
      <c r="B13" s="55">
        <v>234</v>
      </c>
      <c r="C13" s="49" t="s">
        <v>19</v>
      </c>
      <c r="D13" s="50" t="str">
        <f>IF(ISBLANK($B13),"",IFERROR(VLOOKUP($B13,ESTOQUE!$B$2:$D$97168,3,FALSE),"Produto não cadastrado"))</f>
        <v>CONE PLASTICOR DE SINALIZACAO 75cm</v>
      </c>
      <c r="E13" s="49" t="str">
        <f>_xlfn.XLOOKUP(B13,ESTOQUE!B:B,ESTOQUE!G:G,"",0)</f>
        <v>UND</v>
      </c>
      <c r="F13" s="49">
        <v>20</v>
      </c>
      <c r="G13" s="51"/>
      <c r="H13" s="51"/>
      <c r="I13" s="52"/>
      <c r="J13" s="52"/>
      <c r="K13" s="5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</row>
    <row r="14" spans="1:29" ht="15.75" customHeight="1" x14ac:dyDescent="0.25">
      <c r="A14" s="58">
        <v>45929</v>
      </c>
      <c r="B14" s="55">
        <v>105</v>
      </c>
      <c r="C14" s="49" t="s">
        <v>19</v>
      </c>
      <c r="D14" s="50" t="str">
        <f>IF(ISBLANK($B14),"",IFERROR(VLOOKUP($B14,ESTOQUE!$B$2:$D$97168,3,FALSE),"Produto não cadastrado"))</f>
        <v>JARDINEIRA AMARELA BOTA Nº 43</v>
      </c>
      <c r="E14" s="49" t="str">
        <f>_xlfn.XLOOKUP(B14,ESTOQUE!B:B,ESTOQUE!G:G,"",0)</f>
        <v>UND</v>
      </c>
      <c r="F14" s="49">
        <v>1</v>
      </c>
      <c r="G14" s="51"/>
      <c r="H14" s="51"/>
      <c r="I14" s="52"/>
      <c r="J14" s="52"/>
      <c r="K14" s="54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</row>
    <row r="15" spans="1:29" ht="15.75" customHeight="1" x14ac:dyDescent="0.25">
      <c r="A15" s="58">
        <v>45929</v>
      </c>
      <c r="B15" s="55">
        <v>161</v>
      </c>
      <c r="C15" s="49" t="s">
        <v>19</v>
      </c>
      <c r="D15" s="50" t="str">
        <f>IF(ISBLANK($B15),"",IFERROR(VLOOKUP($B15,ESTOQUE!$B$2:$D$97168,3,FALSE),"Produto não cadastrado"))</f>
        <v>JUGULAR</v>
      </c>
      <c r="E15" s="49" t="str">
        <f>_xlfn.XLOOKUP(B15,ESTOQUE!B:B,ESTOQUE!G:G,"",0)</f>
        <v>UND</v>
      </c>
      <c r="F15" s="49">
        <v>1</v>
      </c>
      <c r="G15" s="51"/>
      <c r="H15" s="51"/>
      <c r="I15" s="52"/>
      <c r="J15" s="52"/>
      <c r="K15" s="54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</row>
    <row r="16" spans="1:29" ht="15.75" customHeight="1" x14ac:dyDescent="0.25">
      <c r="A16" s="58">
        <v>45929</v>
      </c>
      <c r="B16" s="48">
        <v>110</v>
      </c>
      <c r="C16" s="49" t="s">
        <v>19</v>
      </c>
      <c r="D16" s="50" t="str">
        <f>IF(ISBLANK($B16),"",IFERROR(VLOOKUP($B16,ESTOQUE!$B$2:$D$97168,3,FALSE),"Produto não cadastrado"))</f>
        <v>LUVA DE RASPA CANO LONGO</v>
      </c>
      <c r="E16" s="49" t="str">
        <f>_xlfn.XLOOKUP(B16,ESTOQUE!B:B,ESTOQUE!G:G,"",0)</f>
        <v>PAR</v>
      </c>
      <c r="F16" s="97">
        <v>5</v>
      </c>
      <c r="G16" s="51"/>
      <c r="H16" s="51"/>
      <c r="I16" s="52"/>
      <c r="J16" s="52"/>
      <c r="K16" s="54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</row>
    <row r="17" spans="1:29" ht="15.75" customHeight="1" x14ac:dyDescent="0.25">
      <c r="A17" s="58">
        <v>45929</v>
      </c>
      <c r="B17" s="60">
        <v>141</v>
      </c>
      <c r="C17" s="49" t="s">
        <v>19</v>
      </c>
      <c r="D17" s="50" t="str">
        <f>IF(ISBLANK($B17),"",IFERROR(VLOOKUP($B17,ESTOQUE!$B$2:$D$97168,3,FALSE),"Produto não cadastrado"))</f>
        <v xml:space="preserve">LUVA DE VAQUETA </v>
      </c>
      <c r="E17" s="49" t="str">
        <f>_xlfn.XLOOKUP(B17,ESTOQUE!B:B,ESTOQUE!G:G,"",0)</f>
        <v>PAR</v>
      </c>
      <c r="F17" s="96">
        <v>7</v>
      </c>
      <c r="G17" s="51"/>
      <c r="H17" s="51"/>
      <c r="I17" s="52"/>
      <c r="J17" s="52"/>
      <c r="K17" s="54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</row>
    <row r="18" spans="1:29" ht="15.75" customHeight="1" x14ac:dyDescent="0.25">
      <c r="A18" s="58">
        <v>45929</v>
      </c>
      <c r="B18" s="60">
        <v>189</v>
      </c>
      <c r="C18" s="49" t="s">
        <v>19</v>
      </c>
      <c r="D18" s="50" t="str">
        <f>IF(ISBLANK($B18),"",IFERROR(VLOOKUP($B18,ESTOQUE!$B$2:$D$97168,3,FALSE),"Produto não cadastrado"))</f>
        <v xml:space="preserve">LUVA DE VAQUETA MISTA </v>
      </c>
      <c r="E18" s="49" t="s">
        <v>31</v>
      </c>
      <c r="F18" s="96">
        <v>3</v>
      </c>
      <c r="G18" s="51"/>
      <c r="H18" s="51"/>
      <c r="I18" s="52"/>
      <c r="J18" s="52"/>
      <c r="K18" s="54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</row>
    <row r="19" spans="1:29" ht="15.75" customHeight="1" x14ac:dyDescent="0.25">
      <c r="A19" s="58">
        <v>45929</v>
      </c>
      <c r="B19" s="60">
        <v>207</v>
      </c>
      <c r="C19" s="49" t="s">
        <v>19</v>
      </c>
      <c r="D19" s="50" t="str">
        <f>IF(ISBLANK($B19),"",IFERROR(VLOOKUP($B19,ESTOQUE!$B$2:$D$97168,3,FALSE),"Produto não cadastrado"))</f>
        <v>LUVA POLIESTER ANTICORTE BANHADA PU TAM 9</v>
      </c>
      <c r="E19" s="49" t="str">
        <f>_xlfn.XLOOKUP(B19,ESTOQUE!B:B,ESTOQUE!G:G,"",0)</f>
        <v>PAR</v>
      </c>
      <c r="F19" s="96">
        <v>1</v>
      </c>
      <c r="G19" s="51"/>
      <c r="H19" s="51"/>
      <c r="I19" s="52"/>
      <c r="J19" s="52"/>
      <c r="K19" s="54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</row>
    <row r="20" spans="1:29" ht="15.75" customHeight="1" x14ac:dyDescent="0.25">
      <c r="A20" s="58">
        <v>45929</v>
      </c>
      <c r="B20" s="60">
        <v>144</v>
      </c>
      <c r="C20" s="49" t="s">
        <v>19</v>
      </c>
      <c r="D20" s="50" t="str">
        <f>IF(ISBLANK($B20),"",IFERROR(VLOOKUP($B20,ESTOQUE!$B$2:$D$97168,3,FALSE),"Produto não cadastrado"))</f>
        <v>MASCARA PFF2-S C/ FILTRO</v>
      </c>
      <c r="E20" s="49" t="str">
        <f>_xlfn.XLOOKUP(B20,ESTOQUE!B:B,ESTOQUE!G:G,"",0)</f>
        <v>UND</v>
      </c>
      <c r="F20" s="96">
        <v>9</v>
      </c>
      <c r="G20" s="51"/>
      <c r="H20" s="51"/>
      <c r="I20" s="52"/>
      <c r="J20" s="52"/>
      <c r="K20" s="54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</row>
    <row r="21" spans="1:29" ht="15.75" customHeight="1" x14ac:dyDescent="0.25">
      <c r="A21" s="58">
        <v>45929</v>
      </c>
      <c r="B21" s="60">
        <v>126</v>
      </c>
      <c r="C21" s="49" t="s">
        <v>19</v>
      </c>
      <c r="D21" s="50" t="str">
        <f>IF(ISBLANK($B21),"",IFERROR(VLOOKUP($B21,ESTOQUE!$B$2:$D$97168,3,FALSE),"Produto não cadastrado"))</f>
        <v>OCULOS DE PROTEÇÃO ESCURO</v>
      </c>
      <c r="E21" s="49" t="str">
        <f>_xlfn.XLOOKUP(B21,ESTOQUE!B:B,ESTOQUE!G:G,"",0)</f>
        <v>UND</v>
      </c>
      <c r="F21" s="96">
        <v>1</v>
      </c>
      <c r="G21" s="51"/>
      <c r="H21" s="51"/>
      <c r="I21" s="52"/>
      <c r="J21" s="52"/>
      <c r="K21" s="54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</row>
    <row r="22" spans="1:29" ht="15.75" customHeight="1" x14ac:dyDescent="0.25">
      <c r="A22" s="58">
        <v>45929</v>
      </c>
      <c r="B22" s="55">
        <v>124</v>
      </c>
      <c r="C22" s="49" t="s">
        <v>19</v>
      </c>
      <c r="D22" s="50" t="str">
        <f>IF(ISBLANK($B22),"",IFERROR(VLOOKUP($B22,ESTOQUE!$B$2:$D$97168,3,FALSE),"Produto não cadastrado"))</f>
        <v xml:space="preserve">OCULOS DE PROTEÇÃO INCOLOR </v>
      </c>
      <c r="E22" s="49" t="str">
        <f>_xlfn.XLOOKUP(B22,ESTOQUE!B:B,ESTOQUE!G:G,"",0)</f>
        <v>UND</v>
      </c>
      <c r="F22" s="49">
        <v>2</v>
      </c>
      <c r="G22" s="51"/>
      <c r="H22" s="51"/>
      <c r="I22" s="52"/>
      <c r="J22" s="52"/>
      <c r="K22" s="54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</row>
    <row r="23" spans="1:29" ht="15.75" customHeight="1" x14ac:dyDescent="0.25">
      <c r="A23" s="58">
        <v>45929</v>
      </c>
      <c r="B23" s="55">
        <v>129</v>
      </c>
      <c r="C23" s="49" t="s">
        <v>19</v>
      </c>
      <c r="D23" s="50" t="str">
        <f>IF(ISBLANK($B23),"",IFERROR(VLOOKUP($B23,ESTOQUE!$B$2:$D$97168,3,FALSE),"Produto não cadastrado"))</f>
        <v>PERNEIRA DE RASPA</v>
      </c>
      <c r="E23" s="49" t="str">
        <f>_xlfn.XLOOKUP(B23,ESTOQUE!B:B,ESTOQUE!G:G,"",0)</f>
        <v>PAR</v>
      </c>
      <c r="F23" s="49">
        <v>2</v>
      </c>
      <c r="G23" s="51"/>
      <c r="H23" s="51"/>
      <c r="I23" s="52"/>
      <c r="J23" s="52"/>
      <c r="K23" s="54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</row>
    <row r="24" spans="1:29" ht="15.75" customHeight="1" x14ac:dyDescent="0.25">
      <c r="A24" s="58">
        <v>45929</v>
      </c>
      <c r="B24" s="55">
        <v>130</v>
      </c>
      <c r="C24" s="49" t="s">
        <v>19</v>
      </c>
      <c r="D24" s="50" t="str">
        <f>IF(ISBLANK($B24),"",IFERROR(VLOOKUP($B24,ESTOQUE!$B$2:$D$97168,3,FALSE),"Produto não cadastrado"))</f>
        <v>PROTETOR AUDITIVO TIPO CONCHA L-300</v>
      </c>
      <c r="E24" s="49" t="str">
        <f>_xlfn.XLOOKUP(B24,ESTOQUE!B:B,ESTOQUE!G:G,"",0)</f>
        <v>UND</v>
      </c>
      <c r="F24" s="49">
        <v>2</v>
      </c>
      <c r="G24" s="51"/>
      <c r="H24" s="51"/>
      <c r="I24" s="52"/>
      <c r="J24" s="52"/>
      <c r="K24" s="54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</row>
    <row r="25" spans="1:29" ht="15.75" customHeight="1" x14ac:dyDescent="0.25">
      <c r="A25" s="58">
        <v>45929</v>
      </c>
      <c r="B25" s="55">
        <v>139</v>
      </c>
      <c r="C25" s="49" t="s">
        <v>19</v>
      </c>
      <c r="D25" s="50" t="str">
        <f>IF(ISBLANK($B25),"",IFERROR(VLOOKUP($B25,ESTOQUE!$B$2:$D$97168,3,FALSE),"Produto não cadastrado"))</f>
        <v>PROTETOR AURICULAR TIPO PLUG</v>
      </c>
      <c r="E25" s="49" t="str">
        <f>_xlfn.XLOOKUP(B25,ESTOQUE!B:B,ESTOQUE!G:G,"",0)</f>
        <v>UND</v>
      </c>
      <c r="F25" s="49">
        <v>4</v>
      </c>
      <c r="G25" s="51"/>
      <c r="H25" s="51"/>
      <c r="I25" s="52"/>
      <c r="J25" s="52"/>
      <c r="K25" s="54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</row>
    <row r="26" spans="1:29" ht="15.75" customHeight="1" x14ac:dyDescent="0.25">
      <c r="A26" s="58">
        <v>45929</v>
      </c>
      <c r="B26" s="55">
        <v>135</v>
      </c>
      <c r="C26" s="49" t="s">
        <v>19</v>
      </c>
      <c r="D26" s="50" t="str">
        <f>IF(ISBLANK($B26),"",IFERROR(VLOOKUP($B26,ESTOQUE!$B$2:$D$97168,3,FALSE),"Produto não cadastrado"))</f>
        <v>TALABARTE DUPLO TIPO Y</v>
      </c>
      <c r="E26" s="49" t="str">
        <f>_xlfn.XLOOKUP(B26,ESTOQUE!B:B,ESTOQUE!G:G,"",0)</f>
        <v>UND</v>
      </c>
      <c r="F26" s="49">
        <v>1</v>
      </c>
      <c r="G26" s="51"/>
      <c r="H26" s="51"/>
      <c r="I26" s="52"/>
      <c r="J26" s="52"/>
      <c r="K26" s="54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</row>
    <row r="27" spans="1:29" ht="15.75" customHeight="1" x14ac:dyDescent="0.25">
      <c r="A27" s="59">
        <v>45930</v>
      </c>
      <c r="B27" s="55">
        <v>228</v>
      </c>
      <c r="C27" s="49" t="s">
        <v>19</v>
      </c>
      <c r="D27" s="50" t="str">
        <f>IF(ISBLANK($B27),"",IFERROR(VLOOKUP($B27,ESTOQUE!$B$2:$D$97168,3,FALSE),"Produto não cadastrado"))</f>
        <v xml:space="preserve">BALACLAVA  </v>
      </c>
      <c r="E27" s="49" t="str">
        <f>_xlfn.XLOOKUP(B27,ESTOQUE!B:B,ESTOQUE!G:G,"",0)</f>
        <v>UND</v>
      </c>
      <c r="F27" s="49">
        <v>5</v>
      </c>
      <c r="G27" s="51"/>
      <c r="H27" s="51"/>
      <c r="I27" s="52"/>
      <c r="J27" s="52"/>
      <c r="K27" s="54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</row>
    <row r="28" spans="1:29" ht="15.75" customHeight="1" x14ac:dyDescent="0.25">
      <c r="A28" s="59">
        <v>45930</v>
      </c>
      <c r="B28" s="48">
        <v>38</v>
      </c>
      <c r="C28" s="49" t="s">
        <v>19</v>
      </c>
      <c r="D28" s="50" t="str">
        <f>IF(ISBLANK($B28),"",IFERROR(VLOOKUP($B28,ESTOQUE!$B$2:$D$97168,3,FALSE),"Produto não cadastrado"))</f>
        <v>BOTINA OP. BICO PVC Nº 40</v>
      </c>
      <c r="E28" s="49" t="str">
        <f>_xlfn.XLOOKUP(B28,ESTOQUE!B:B,ESTOQUE!G:G,"",0)</f>
        <v>PAR</v>
      </c>
      <c r="F28" s="97">
        <v>1</v>
      </c>
      <c r="G28" s="51"/>
      <c r="H28" s="51"/>
      <c r="I28" s="52"/>
      <c r="J28" s="52"/>
      <c r="K28" s="54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</row>
    <row r="29" spans="1:29" ht="15.75" customHeight="1" x14ac:dyDescent="0.25">
      <c r="A29" s="59">
        <v>45930</v>
      </c>
      <c r="B29" s="60">
        <v>39</v>
      </c>
      <c r="C29" s="49" t="s">
        <v>19</v>
      </c>
      <c r="D29" s="50" t="str">
        <f>IF(ISBLANK($B29),"",IFERROR(VLOOKUP($B29,ESTOQUE!$B$2:$D$97168,3,FALSE),"Produto não cadastrado"))</f>
        <v>BOTINA OP. BICO PVC Nº 41</v>
      </c>
      <c r="E29" s="49" t="str">
        <f>_xlfn.XLOOKUP(B29,ESTOQUE!B:B,ESTOQUE!G:G,"",0)</f>
        <v>PAR</v>
      </c>
      <c r="F29" s="96">
        <v>1</v>
      </c>
      <c r="G29" s="51"/>
      <c r="H29" s="51"/>
      <c r="I29" s="52"/>
      <c r="J29" s="52"/>
      <c r="K29" s="54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</row>
    <row r="30" spans="1:29" ht="15.75" customHeight="1" x14ac:dyDescent="0.25">
      <c r="A30" s="59">
        <v>45930</v>
      </c>
      <c r="B30" s="60">
        <v>242</v>
      </c>
      <c r="C30" s="49" t="s">
        <v>19</v>
      </c>
      <c r="D30" s="50" t="str">
        <f>IF(ISBLANK($B30),"",IFERROR(VLOOKUP($B30,ESTOQUE!$B$2:$D$97168,3,FALSE),"Produto não cadastrado"))</f>
        <v>BOTINA SEGURANÇA MATATARSO 41 ADM</v>
      </c>
      <c r="E30" s="49" t="str">
        <f>_xlfn.XLOOKUP(B30,ESTOQUE!B:B,ESTOQUE!G:G,"",0)</f>
        <v>PAR</v>
      </c>
      <c r="F30" s="96">
        <v>1</v>
      </c>
      <c r="G30" s="51"/>
      <c r="H30" s="51"/>
      <c r="I30" s="52"/>
      <c r="J30" s="52"/>
      <c r="K30" s="54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</row>
    <row r="31" spans="1:29" ht="15.75" customHeight="1" x14ac:dyDescent="0.25">
      <c r="A31" s="59">
        <v>45930</v>
      </c>
      <c r="B31" s="60">
        <v>46</v>
      </c>
      <c r="C31" s="49" t="s">
        <v>19</v>
      </c>
      <c r="D31" s="50" t="str">
        <f>IF(ISBLANK($B31),"",IFERROR(VLOOKUP($B31,ESTOQUE!$B$2:$D$97168,3,FALSE),"Produto não cadastrado"))</f>
        <v>CALÇA CINZA OP. C/ FAIXA REFLETIVA TAM: G</v>
      </c>
      <c r="E31" s="49" t="str">
        <f>_xlfn.XLOOKUP(B31,ESTOQUE!B:B,ESTOQUE!G:G,"",0)</f>
        <v>UND</v>
      </c>
      <c r="F31" s="96">
        <v>1</v>
      </c>
      <c r="G31" s="51"/>
      <c r="H31" s="51"/>
      <c r="I31" s="52"/>
      <c r="J31" s="52"/>
      <c r="K31" s="54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</row>
    <row r="32" spans="1:29" ht="15.75" customHeight="1" x14ac:dyDescent="0.25">
      <c r="A32" s="59">
        <v>45930</v>
      </c>
      <c r="B32" s="60">
        <v>47</v>
      </c>
      <c r="C32" s="49" t="s">
        <v>19</v>
      </c>
      <c r="D32" s="50" t="str">
        <f>IF(ISBLANK($B32),"",IFERROR(VLOOKUP($B32,ESTOQUE!$B$2:$D$97168,3,FALSE),"Produto não cadastrado"))</f>
        <v>CALÇA CINZA OP. C/ FAIXA REFLETIVA TAM: GG</v>
      </c>
      <c r="E32" s="49" t="str">
        <f>_xlfn.XLOOKUP(B32,ESTOQUE!B:B,ESTOQUE!G:G,"",0)</f>
        <v>UND</v>
      </c>
      <c r="F32" s="96">
        <v>2</v>
      </c>
      <c r="G32" s="51"/>
      <c r="H32" s="51"/>
      <c r="I32" s="52"/>
      <c r="J32" s="52"/>
      <c r="K32" s="54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</row>
    <row r="33" spans="1:29" ht="15.75" customHeight="1" x14ac:dyDescent="0.25">
      <c r="A33" s="59">
        <v>45930</v>
      </c>
      <c r="B33" s="60">
        <v>49</v>
      </c>
      <c r="C33" s="49" t="s">
        <v>19</v>
      </c>
      <c r="D33" s="50" t="str">
        <f>IF(ISBLANK($B33),"",IFERROR(VLOOKUP($B33,ESTOQUE!$B$2:$D$97168,3,FALSE),"Produto não cadastrado"))</f>
        <v>CALÇA CINZA OP. C/ FAIXA REFLETIVA TAM: P</v>
      </c>
      <c r="E33" s="49" t="str">
        <f>_xlfn.XLOOKUP(B33,ESTOQUE!B:B,ESTOQUE!G:G,"",0)</f>
        <v>UND</v>
      </c>
      <c r="F33" s="96">
        <v>1</v>
      </c>
      <c r="G33" s="51"/>
      <c r="H33" s="51"/>
      <c r="I33" s="52"/>
      <c r="J33" s="52"/>
      <c r="K33" s="54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</row>
    <row r="34" spans="1:29" ht="15.75" customHeight="1" x14ac:dyDescent="0.25">
      <c r="A34" s="59">
        <v>45930</v>
      </c>
      <c r="B34" s="60">
        <v>50</v>
      </c>
      <c r="C34" s="49" t="s">
        <v>19</v>
      </c>
      <c r="D34" s="50" t="str">
        <f>IF(ISBLANK($B34),"",IFERROR(VLOOKUP($B34,ESTOQUE!$B$2:$D$97168,3,FALSE),"Produto não cadastrado"))</f>
        <v>CALÇA CINZA OP. C/ FAIXA REFLETIVA TAM: XG</v>
      </c>
      <c r="E34" s="49" t="str">
        <f>_xlfn.XLOOKUP(B34,ESTOQUE!B:B,ESTOQUE!G:G,"",0)</f>
        <v>UND</v>
      </c>
      <c r="F34" s="96">
        <v>1</v>
      </c>
      <c r="G34" s="51"/>
      <c r="H34" s="51"/>
      <c r="I34" s="52"/>
      <c r="J34" s="52"/>
      <c r="K34" s="54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</row>
    <row r="35" spans="1:29" ht="15.75" customHeight="1" x14ac:dyDescent="0.25">
      <c r="A35" s="59">
        <v>45930</v>
      </c>
      <c r="B35" s="60">
        <v>67</v>
      </c>
      <c r="C35" s="49" t="s">
        <v>19</v>
      </c>
      <c r="D35" s="50" t="str">
        <f>IF(ISBLANK($B35),"",IFERROR(VLOOKUP($B35,ESTOQUE!$B$2:$D$97168,3,FALSE),"Produto não cadastrado"))</f>
        <v>CAMISA LARANJA OP. C/ FAIXA REFLETIVA TAM: G</v>
      </c>
      <c r="E35" s="49" t="str">
        <f>_xlfn.XLOOKUP(B35,ESTOQUE!B:B,ESTOQUE!G:G,"",0)</f>
        <v>UND</v>
      </c>
      <c r="F35" s="96">
        <v>5</v>
      </c>
      <c r="G35" s="51"/>
      <c r="H35" s="51"/>
      <c r="I35" s="52"/>
      <c r="J35" s="52"/>
      <c r="K35" s="54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</row>
    <row r="36" spans="1:29" ht="15.75" customHeight="1" x14ac:dyDescent="0.25">
      <c r="A36" s="59">
        <v>45930</v>
      </c>
      <c r="B36" s="60">
        <v>68</v>
      </c>
      <c r="C36" s="49" t="s">
        <v>19</v>
      </c>
      <c r="D36" s="50" t="str">
        <f>IF(ISBLANK($B36),"",IFERROR(VLOOKUP($B36,ESTOQUE!$B$2:$D$97168,3,FALSE),"Produto não cadastrado"))</f>
        <v>CAMISA LARANJA OP. C/ FAIXA REFLETIVA TAM: GG</v>
      </c>
      <c r="E36" s="49" t="str">
        <f>_xlfn.XLOOKUP(B36,ESTOQUE!B:B,ESTOQUE!G:G,"",0)</f>
        <v>UND</v>
      </c>
      <c r="F36" s="96">
        <v>1</v>
      </c>
      <c r="G36" s="51"/>
      <c r="H36" s="51"/>
      <c r="I36" s="52"/>
      <c r="J36" s="52"/>
      <c r="K36" s="5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</row>
    <row r="37" spans="1:29" ht="15.75" customHeight="1" x14ac:dyDescent="0.25">
      <c r="A37" s="59">
        <v>45930</v>
      </c>
      <c r="B37" s="60">
        <v>69</v>
      </c>
      <c r="C37" s="49" t="s">
        <v>19</v>
      </c>
      <c r="D37" s="50" t="str">
        <f>IF(ISBLANK($B37),"",IFERROR(VLOOKUP($B37,ESTOQUE!$B$2:$D$97168,3,FALSE),"Produto não cadastrado"))</f>
        <v>CAMISA LARANJA OP. C/ FAIXA REFLETIVA TAM: M</v>
      </c>
      <c r="E37" s="49" t="str">
        <f>_xlfn.XLOOKUP(B37,ESTOQUE!B:B,ESTOQUE!G:G,"",0)</f>
        <v>UND</v>
      </c>
      <c r="F37" s="96">
        <v>5</v>
      </c>
      <c r="G37" s="51"/>
      <c r="H37" s="51"/>
      <c r="I37" s="52"/>
      <c r="J37" s="52"/>
      <c r="K37" s="54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</row>
    <row r="38" spans="1:29" ht="15.75" customHeight="1" x14ac:dyDescent="0.25">
      <c r="A38" s="59">
        <v>45930</v>
      </c>
      <c r="B38" s="60">
        <v>96</v>
      </c>
      <c r="C38" s="49" t="s">
        <v>19</v>
      </c>
      <c r="D38" s="50" t="str">
        <f>IF(ISBLANK($B38),"",IFERROR(VLOOKUP($B38,ESTOQUE!$B$2:$D$97168,3,FALSE),"Produto não cadastrado"))</f>
        <v xml:space="preserve">CINTO DE SEGURANÇA MODELO:C70 </v>
      </c>
      <c r="E38" s="49" t="str">
        <f>_xlfn.XLOOKUP(B38,ESTOQUE!B:B,ESTOQUE!G:G,"",0)</f>
        <v>UND</v>
      </c>
      <c r="F38" s="96">
        <v>1</v>
      </c>
      <c r="G38" s="51"/>
      <c r="H38" s="51"/>
      <c r="I38" s="52"/>
      <c r="J38" s="52"/>
      <c r="K38" s="54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</row>
    <row r="39" spans="1:29" ht="15.75" customHeight="1" x14ac:dyDescent="0.25">
      <c r="A39" s="59">
        <v>45930</v>
      </c>
      <c r="B39" s="60">
        <v>97</v>
      </c>
      <c r="C39" s="49" t="s">
        <v>19</v>
      </c>
      <c r="D39" s="50" t="str">
        <f>IF(ISBLANK($B39),"",IFERROR(VLOOKUP($B39,ESTOQUE!$B$2:$D$97168,3,FALSE),"Produto não cadastrado"))</f>
        <v>COLETE REFLETIVO LARANJA M</v>
      </c>
      <c r="E39" s="49" t="str">
        <f>_xlfn.XLOOKUP(B39,ESTOQUE!B:B,ESTOQUE!G:G,"",0)</f>
        <v>UND</v>
      </c>
      <c r="F39" s="96">
        <v>1</v>
      </c>
      <c r="G39" s="51"/>
      <c r="H39" s="51"/>
      <c r="I39" s="52"/>
      <c r="J39" s="52"/>
      <c r="K39" s="54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</row>
    <row r="40" spans="1:29" ht="15.75" customHeight="1" x14ac:dyDescent="0.25">
      <c r="A40" s="59">
        <v>45930</v>
      </c>
      <c r="B40" s="60">
        <v>110</v>
      </c>
      <c r="C40" s="49" t="s">
        <v>19</v>
      </c>
      <c r="D40" s="50" t="str">
        <f>IF(ISBLANK($B40),"",IFERROR(VLOOKUP($B40,ESTOQUE!$B$2:$D$97168,3,FALSE),"Produto não cadastrado"))</f>
        <v>LUVA DE RASPA CANO LONGO</v>
      </c>
      <c r="E40" s="49" t="str">
        <f>_xlfn.XLOOKUP(B40,ESTOQUE!B:B,ESTOQUE!G:G,"",0)</f>
        <v>PAR</v>
      </c>
      <c r="F40" s="96">
        <v>1</v>
      </c>
      <c r="G40" s="51"/>
      <c r="H40" s="51"/>
      <c r="I40" s="52"/>
      <c r="J40" s="52"/>
      <c r="K40" s="54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</row>
    <row r="41" spans="1:29" ht="15.75" customHeight="1" x14ac:dyDescent="0.25">
      <c r="A41" s="59">
        <v>45930</v>
      </c>
      <c r="B41" s="60">
        <v>141</v>
      </c>
      <c r="C41" s="49" t="s">
        <v>19</v>
      </c>
      <c r="D41" s="50" t="str">
        <f>IF(ISBLANK($B41),"",IFERROR(VLOOKUP($B41,ESTOQUE!$B$2:$D$97168,3,FALSE),"Produto não cadastrado"))</f>
        <v xml:space="preserve">LUVA DE VAQUETA </v>
      </c>
      <c r="E41" s="49" t="str">
        <f>_xlfn.XLOOKUP(B41,ESTOQUE!B:B,ESTOQUE!G:G,"",0)</f>
        <v>PAR</v>
      </c>
      <c r="F41" s="96">
        <v>7</v>
      </c>
      <c r="G41" s="51"/>
      <c r="H41" s="51"/>
      <c r="I41" s="52"/>
      <c r="J41" s="52"/>
      <c r="K41" s="54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</row>
    <row r="42" spans="1:29" ht="15.75" customHeight="1" x14ac:dyDescent="0.25">
      <c r="A42" s="59">
        <v>45930</v>
      </c>
      <c r="B42" s="60">
        <v>189</v>
      </c>
      <c r="C42" s="49" t="s">
        <v>19</v>
      </c>
      <c r="D42" s="50" t="str">
        <f>IF(ISBLANK($B42),"",IFERROR(VLOOKUP($B42,ESTOQUE!$B$2:$D$97168,3,FALSE),"Produto não cadastrado"))</f>
        <v xml:space="preserve">LUVA DE VAQUETA MISTA </v>
      </c>
      <c r="E42" s="49" t="s">
        <v>31</v>
      </c>
      <c r="F42" s="96">
        <v>1</v>
      </c>
      <c r="G42" s="51"/>
      <c r="H42" s="51"/>
      <c r="I42" s="52"/>
      <c r="J42" s="52"/>
      <c r="K42" s="54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</row>
    <row r="43" spans="1:29" ht="15.75" customHeight="1" x14ac:dyDescent="0.25">
      <c r="A43" s="59">
        <v>45930</v>
      </c>
      <c r="B43" s="60">
        <v>114</v>
      </c>
      <c r="C43" s="49" t="s">
        <v>19</v>
      </c>
      <c r="D43" s="50" t="str">
        <f>IF(ISBLANK($B43),"",IFERROR(VLOOKUP($B43,ESTOQUE!$B$2:$D$97168,3,FALSE),"Produto não cadastrado"))</f>
        <v xml:space="preserve">LUVA LATEX NITRILICA </v>
      </c>
      <c r="E43" s="49" t="str">
        <f>_xlfn.XLOOKUP(B43,ESTOQUE!B:B,ESTOQUE!G:G,"",0)</f>
        <v>PAR</v>
      </c>
      <c r="F43" s="96">
        <v>4</v>
      </c>
      <c r="G43" s="51"/>
      <c r="H43" s="51"/>
      <c r="I43" s="52"/>
      <c r="J43" s="52"/>
      <c r="K43" s="54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</row>
    <row r="44" spans="1:29" ht="15.75" customHeight="1" x14ac:dyDescent="0.25">
      <c r="A44" s="59">
        <v>45930</v>
      </c>
      <c r="B44" s="60">
        <v>207</v>
      </c>
      <c r="C44" s="49" t="s">
        <v>19</v>
      </c>
      <c r="D44" s="50" t="str">
        <f>IF(ISBLANK($B44),"",IFERROR(VLOOKUP($B44,ESTOQUE!$B$2:$D$97168,3,FALSE),"Produto não cadastrado"))</f>
        <v>LUVA POLIESTER ANTICORTE BANHADA PU TAM 9</v>
      </c>
      <c r="E44" s="49" t="str">
        <f>_xlfn.XLOOKUP(B44,ESTOQUE!B:B,ESTOQUE!G:G,"",0)</f>
        <v>PAR</v>
      </c>
      <c r="F44" s="96">
        <v>8</v>
      </c>
      <c r="G44" s="51"/>
      <c r="H44" s="51"/>
      <c r="I44" s="52"/>
      <c r="J44" s="52"/>
      <c r="K44" s="54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</row>
    <row r="45" spans="1:29" ht="15.75" customHeight="1" x14ac:dyDescent="0.25">
      <c r="A45" s="59">
        <v>45930</v>
      </c>
      <c r="B45" s="60">
        <v>118</v>
      </c>
      <c r="C45" s="49" t="s">
        <v>19</v>
      </c>
      <c r="D45" s="50" t="str">
        <f>IF(ISBLANK($B45),"",IFERROR(VLOOKUP($B45,ESTOQUE!$B$2:$D$97168,3,FALSE),"Produto não cadastrado"))</f>
        <v>MACACÃO DE PROTEÇÃO TYVEK</v>
      </c>
      <c r="E45" s="49" t="str">
        <f>_xlfn.XLOOKUP(B45,ESTOQUE!B:B,ESTOQUE!G:G,"",0)</f>
        <v>UND</v>
      </c>
      <c r="F45" s="96">
        <v>1</v>
      </c>
      <c r="G45" s="51"/>
      <c r="H45" s="51"/>
      <c r="I45" s="52"/>
      <c r="J45" s="52"/>
      <c r="K45" s="54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</row>
    <row r="46" spans="1:29" ht="15.75" customHeight="1" x14ac:dyDescent="0.25">
      <c r="A46" s="59">
        <v>45930</v>
      </c>
      <c r="B46" s="60">
        <v>144</v>
      </c>
      <c r="C46" s="49" t="s">
        <v>19</v>
      </c>
      <c r="D46" s="50" t="str">
        <f>IF(ISBLANK($B46),"",IFERROR(VLOOKUP($B46,ESTOQUE!$B$2:$D$97168,3,FALSE),"Produto não cadastrado"))</f>
        <v>MASCARA PFF2-S C/ FILTRO</v>
      </c>
      <c r="E46" s="49" t="str">
        <f>_xlfn.XLOOKUP(B46,ESTOQUE!B:B,ESTOQUE!G:G,"",0)</f>
        <v>UND</v>
      </c>
      <c r="F46" s="98">
        <v>45</v>
      </c>
      <c r="G46" s="29"/>
      <c r="H46" s="51"/>
      <c r="I46" s="52"/>
      <c r="J46" s="52"/>
      <c r="K46" s="54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</row>
    <row r="47" spans="1:29" ht="15.75" customHeight="1" x14ac:dyDescent="0.25">
      <c r="A47" s="59">
        <v>45930</v>
      </c>
      <c r="B47" s="60">
        <v>126</v>
      </c>
      <c r="C47" s="49" t="s">
        <v>19</v>
      </c>
      <c r="D47" s="50" t="str">
        <f>IF(ISBLANK($B47),"",IFERROR(VLOOKUP($B47,ESTOQUE!$B$2:$D$97168,3,FALSE),"Produto não cadastrado"))</f>
        <v>OCULOS DE PROTEÇÃO ESCURO</v>
      </c>
      <c r="E47" s="49" t="str">
        <f>_xlfn.XLOOKUP(B47,ESTOQUE!B:B,ESTOQUE!G:G,"",0)</f>
        <v>UND</v>
      </c>
      <c r="F47" s="96">
        <v>3</v>
      </c>
      <c r="G47" s="51"/>
      <c r="H47" s="51"/>
      <c r="I47" s="52"/>
      <c r="J47" s="52"/>
      <c r="K47" s="54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</row>
    <row r="48" spans="1:29" ht="15.75" customHeight="1" x14ac:dyDescent="0.25">
      <c r="A48" s="59">
        <v>45930</v>
      </c>
      <c r="B48" s="60">
        <v>124</v>
      </c>
      <c r="C48" s="49" t="s">
        <v>19</v>
      </c>
      <c r="D48" s="50" t="str">
        <f>IF(ISBLANK($B48),"",IFERROR(VLOOKUP($B48,ESTOQUE!$B$2:$D$97168,3,FALSE),"Produto não cadastrado"))</f>
        <v xml:space="preserve">OCULOS DE PROTEÇÃO INCOLOR </v>
      </c>
      <c r="E48" s="49" t="str">
        <f>_xlfn.XLOOKUP(B48,ESTOQUE!B:B,ESTOQUE!G:G,"",0)</f>
        <v>UND</v>
      </c>
      <c r="F48" s="96">
        <v>1</v>
      </c>
      <c r="G48" s="51"/>
      <c r="H48" s="51"/>
      <c r="I48" s="52"/>
      <c r="J48" s="52"/>
      <c r="K48" s="54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</row>
    <row r="49" spans="1:29" ht="15.75" customHeight="1" x14ac:dyDescent="0.25">
      <c r="A49" s="59">
        <v>45930</v>
      </c>
      <c r="B49" s="60">
        <v>139</v>
      </c>
      <c r="C49" s="49" t="s">
        <v>19</v>
      </c>
      <c r="D49" s="50" t="str">
        <f>IF(ISBLANK($B49),"",IFERROR(VLOOKUP($B49,ESTOQUE!$B$2:$D$97168,3,FALSE),"Produto não cadastrado"))</f>
        <v>PROTETOR AURICULAR TIPO PLUG</v>
      </c>
      <c r="E49" s="49" t="str">
        <f>_xlfn.XLOOKUP(B49,ESTOQUE!B:B,ESTOQUE!G:G,"",0)</f>
        <v>UND</v>
      </c>
      <c r="F49" s="96">
        <v>12</v>
      </c>
      <c r="G49" s="51"/>
      <c r="H49" s="51"/>
      <c r="I49" s="52"/>
      <c r="J49" s="52"/>
      <c r="K49" s="54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</row>
    <row r="50" spans="1:29" ht="15.75" customHeight="1" x14ac:dyDescent="0.25">
      <c r="A50" s="59">
        <v>45930</v>
      </c>
      <c r="B50" s="60">
        <v>135</v>
      </c>
      <c r="C50" s="49" t="s">
        <v>19</v>
      </c>
      <c r="D50" s="50" t="str">
        <f>IF(ISBLANK($B50),"",IFERROR(VLOOKUP($B50,ESTOQUE!$B$2:$D$97168,3,FALSE),"Produto não cadastrado"))</f>
        <v>TALABARTE DUPLO TIPO Y</v>
      </c>
      <c r="E50" s="49" t="str">
        <f>_xlfn.XLOOKUP(B50,ESTOQUE!B:B,ESTOQUE!G:G,"",0)</f>
        <v>UND</v>
      </c>
      <c r="F50" s="96">
        <v>1</v>
      </c>
      <c r="G50" s="61"/>
      <c r="H50" s="61"/>
      <c r="I50" s="52"/>
      <c r="J50" s="52"/>
      <c r="K50" s="5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</row>
    <row r="51" spans="1:29" ht="15.75" customHeight="1" x14ac:dyDescent="0.25">
      <c r="A51" s="59">
        <v>45930</v>
      </c>
      <c r="B51" s="60">
        <v>136</v>
      </c>
      <c r="C51" s="49" t="s">
        <v>19</v>
      </c>
      <c r="D51" s="50" t="str">
        <f>IF(ISBLANK($B51),"",IFERROR(VLOOKUP($B51,ESTOQUE!$B$2:$D$97168,3,FALSE),"Produto não cadastrado"))</f>
        <v>TAYCO CARTUCHO P/ GASES TGV-500 - MASCARA</v>
      </c>
      <c r="E51" s="49" t="str">
        <f>_xlfn.XLOOKUP(B51,ESTOQUE!B:B,ESTOQUE!G:G,"",0)</f>
        <v>UND</v>
      </c>
      <c r="F51" s="96">
        <v>1</v>
      </c>
      <c r="G51" s="61"/>
      <c r="H51" s="61"/>
      <c r="I51" s="52"/>
      <c r="J51" s="52"/>
      <c r="K51" s="5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</row>
    <row r="52" spans="1:29" ht="15.75" customHeight="1" x14ac:dyDescent="0.25">
      <c r="A52" s="59">
        <v>45931</v>
      </c>
      <c r="B52" s="23">
        <v>11</v>
      </c>
      <c r="C52" s="49" t="s">
        <v>19</v>
      </c>
      <c r="D52" s="50" t="str">
        <f>IF(ISBLANK($B52),"",IFERROR(VLOOKUP($B52,ESTOQUE!$B$2:$D$97168,3,FALSE),"Produto não cadastrado"))</f>
        <v>BOTA PVC CANO LONGO Nº 43</v>
      </c>
      <c r="E52" s="49" t="str">
        <f>_xlfn.XLOOKUP(B52,ESTOQUE!B:B,ESTOQUE!G:G,"",0)</f>
        <v>PAR</v>
      </c>
      <c r="F52" s="88">
        <v>1</v>
      </c>
      <c r="G52" s="61"/>
      <c r="H52" s="61"/>
      <c r="I52" s="52"/>
      <c r="J52" s="52"/>
      <c r="K52" s="5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</row>
    <row r="53" spans="1:29" ht="15.75" customHeight="1" x14ac:dyDescent="0.25">
      <c r="A53" s="59">
        <v>45931</v>
      </c>
      <c r="B53" s="23">
        <v>38</v>
      </c>
      <c r="C53" s="49" t="s">
        <v>19</v>
      </c>
      <c r="D53" s="50" t="str">
        <f>IF(ISBLANK($B53),"",IFERROR(VLOOKUP($B53,ESTOQUE!$B$2:$D$97168,3,FALSE),"Produto não cadastrado"))</f>
        <v>BOTINA OP. BICO PVC Nº 40</v>
      </c>
      <c r="E53" s="49" t="str">
        <f>_xlfn.XLOOKUP(B53,ESTOQUE!B:B,ESTOQUE!G:G,"",0)</f>
        <v>PAR</v>
      </c>
      <c r="F53" s="88">
        <v>2</v>
      </c>
      <c r="G53" s="61"/>
      <c r="H53" s="61"/>
      <c r="I53" s="52"/>
      <c r="J53" s="52"/>
      <c r="K53" s="5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</row>
    <row r="54" spans="1:29" ht="15.75" customHeight="1" x14ac:dyDescent="0.25">
      <c r="A54" s="59">
        <v>45931</v>
      </c>
      <c r="B54" s="23">
        <v>40</v>
      </c>
      <c r="C54" s="49" t="s">
        <v>19</v>
      </c>
      <c r="D54" s="50" t="str">
        <f>IF(ISBLANK($B54),"",IFERROR(VLOOKUP($B54,ESTOQUE!$B$2:$D$97168,3,FALSE),"Produto não cadastrado"))</f>
        <v>BOTINA OP. BICO PVC Nº 42</v>
      </c>
      <c r="E54" s="49" t="str">
        <f>_xlfn.XLOOKUP(B54,ESTOQUE!B:B,ESTOQUE!G:G,"",0)</f>
        <v>PAR</v>
      </c>
      <c r="F54" s="88">
        <v>3</v>
      </c>
      <c r="G54" s="61"/>
      <c r="H54" s="61"/>
      <c r="I54" s="52"/>
      <c r="J54" s="52"/>
      <c r="K54" s="5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</row>
    <row r="55" spans="1:29" ht="15.75" customHeight="1" x14ac:dyDescent="0.25">
      <c r="A55" s="59">
        <v>45931</v>
      </c>
      <c r="B55" s="23">
        <v>41</v>
      </c>
      <c r="C55" s="49" t="s">
        <v>19</v>
      </c>
      <c r="D55" s="50" t="str">
        <f>IF(ISBLANK($B55),"",IFERROR(VLOOKUP($B55,ESTOQUE!$B$2:$D$97168,3,FALSE),"Produto não cadastrado"))</f>
        <v>BOTINA OP. BICO PVC Nº 43</v>
      </c>
      <c r="E55" s="49" t="str">
        <f>_xlfn.XLOOKUP(B55,ESTOQUE!B:B,ESTOQUE!G:G,"",0)</f>
        <v>PAR</v>
      </c>
      <c r="F55" s="88">
        <v>2</v>
      </c>
      <c r="G55" s="61"/>
      <c r="H55" s="51"/>
      <c r="I55" s="52"/>
      <c r="J55" s="52"/>
      <c r="K55" s="5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</row>
    <row r="56" spans="1:29" ht="15.75" customHeight="1" x14ac:dyDescent="0.25">
      <c r="A56" s="59">
        <v>45931</v>
      </c>
      <c r="B56" s="23">
        <v>46</v>
      </c>
      <c r="C56" s="49" t="s">
        <v>19</v>
      </c>
      <c r="D56" s="50" t="str">
        <f>IF(ISBLANK($B56),"",IFERROR(VLOOKUP($B56,ESTOQUE!$B$2:$D$97168,3,FALSE),"Produto não cadastrado"))</f>
        <v>CALÇA CINZA OP. C/ FAIXA REFLETIVA TAM: G</v>
      </c>
      <c r="E56" s="49" t="str">
        <f>_xlfn.XLOOKUP(B56,ESTOQUE!B:B,ESTOQUE!G:G,"",0)</f>
        <v>UND</v>
      </c>
      <c r="F56" s="88">
        <v>3</v>
      </c>
      <c r="G56" s="61"/>
      <c r="H56" s="61"/>
      <c r="I56" s="52"/>
      <c r="J56" s="52"/>
      <c r="K56" s="5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</row>
    <row r="57" spans="1:29" ht="15.75" customHeight="1" x14ac:dyDescent="0.25">
      <c r="A57" s="59">
        <v>45931</v>
      </c>
      <c r="B57" s="60">
        <v>49</v>
      </c>
      <c r="C57" s="49" t="s">
        <v>19</v>
      </c>
      <c r="D57" s="50" t="str">
        <f>IF(ISBLANK($B57),"",IFERROR(VLOOKUP($B57,ESTOQUE!$B$2:$D$97168,3,FALSE),"Produto não cadastrado"))</f>
        <v>CALÇA CINZA OP. C/ FAIXA REFLETIVA TAM: P</v>
      </c>
      <c r="E57" s="49" t="str">
        <f>_xlfn.XLOOKUP(B57,ESTOQUE!B:B,ESTOQUE!G:G,"",0)</f>
        <v>UND</v>
      </c>
      <c r="F57" s="96">
        <v>1</v>
      </c>
      <c r="G57" s="61"/>
      <c r="H57" s="61"/>
      <c r="I57" s="52"/>
      <c r="J57" s="52"/>
      <c r="K57" s="5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</row>
    <row r="58" spans="1:29" ht="15.75" customHeight="1" x14ac:dyDescent="0.25">
      <c r="A58" s="59">
        <v>45931</v>
      </c>
      <c r="B58" s="48">
        <v>60</v>
      </c>
      <c r="C58" s="49" t="s">
        <v>19</v>
      </c>
      <c r="D58" s="50" t="str">
        <f>IF(ISBLANK($B58),"",IFERROR(VLOOKUP($B58,ESTOQUE!$B$2:$D$97168,3,FALSE),"Produto não cadastrado"))</f>
        <v>CAMISA ADM MASCULINA TAM: G</v>
      </c>
      <c r="E58" s="49" t="str">
        <f>_xlfn.XLOOKUP(B58,ESTOQUE!B:B,ESTOQUE!G:G,"",0)</f>
        <v>UND</v>
      </c>
      <c r="F58" s="97">
        <v>1</v>
      </c>
      <c r="G58" s="61"/>
      <c r="H58" s="61"/>
      <c r="I58" s="52"/>
      <c r="J58" s="52"/>
      <c r="K58" s="5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</row>
    <row r="59" spans="1:29" ht="15.75" customHeight="1" x14ac:dyDescent="0.25">
      <c r="A59" s="59">
        <v>45931</v>
      </c>
      <c r="B59" s="60">
        <v>68</v>
      </c>
      <c r="C59" s="49" t="s">
        <v>19</v>
      </c>
      <c r="D59" s="50" t="str">
        <f>IF(ISBLANK($B59),"",IFERROR(VLOOKUP($B59,ESTOQUE!$B$2:$D$97168,3,FALSE),"Produto não cadastrado"))</f>
        <v>CAMISA LARANJA OP. C/ FAIXA REFLETIVA TAM: GG</v>
      </c>
      <c r="E59" s="49" t="str">
        <f>_xlfn.XLOOKUP(B59,ESTOQUE!B:B,ESTOQUE!G:G,"",0)</f>
        <v>UND</v>
      </c>
      <c r="F59" s="96">
        <v>1</v>
      </c>
      <c r="G59" s="61"/>
      <c r="H59" s="61"/>
      <c r="I59" s="52"/>
      <c r="J59" s="52"/>
      <c r="K59" s="5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</row>
    <row r="60" spans="1:29" ht="15.75" customHeight="1" x14ac:dyDescent="0.25">
      <c r="A60" s="59">
        <v>45931</v>
      </c>
      <c r="B60" s="60">
        <v>103</v>
      </c>
      <c r="C60" s="49" t="s">
        <v>19</v>
      </c>
      <c r="D60" s="50" t="str">
        <f>IF(ISBLANK($B60),"",IFERROR(VLOOKUP($B60,ESTOQUE!$B$2:$D$97168,3,FALSE),"Produto não cadastrado"))</f>
        <v>JARDINEIRA AMARELA BOTA Nº 41</v>
      </c>
      <c r="E60" s="49" t="str">
        <f>_xlfn.XLOOKUP(B60,ESTOQUE!B:B,ESTOQUE!G:G,"",0)</f>
        <v>UND</v>
      </c>
      <c r="F60" s="96">
        <v>1</v>
      </c>
      <c r="G60" s="61"/>
      <c r="H60" s="61"/>
      <c r="I60" s="52"/>
      <c r="J60" s="52"/>
      <c r="K60" s="5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</row>
    <row r="61" spans="1:29" ht="15.75" customHeight="1" x14ac:dyDescent="0.25">
      <c r="A61" s="59">
        <v>45931</v>
      </c>
      <c r="B61" s="60">
        <v>105</v>
      </c>
      <c r="C61" s="49" t="s">
        <v>19</v>
      </c>
      <c r="D61" s="50" t="str">
        <f>IF(ISBLANK($B61),"",IFERROR(VLOOKUP($B61,ESTOQUE!$B$2:$D$97168,3,FALSE),"Produto não cadastrado"))</f>
        <v>JARDINEIRA AMARELA BOTA Nº 43</v>
      </c>
      <c r="E61" s="49" t="str">
        <f>_xlfn.XLOOKUP(B61,ESTOQUE!B:B,ESTOQUE!G:G,"",0)</f>
        <v>UND</v>
      </c>
      <c r="F61" s="96">
        <v>1</v>
      </c>
      <c r="G61" s="61"/>
      <c r="H61" s="61"/>
      <c r="I61" s="52"/>
      <c r="J61" s="52"/>
      <c r="K61" s="5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</row>
    <row r="62" spans="1:29" ht="15.75" customHeight="1" x14ac:dyDescent="0.25">
      <c r="A62" s="59">
        <v>45931</v>
      </c>
      <c r="B62" s="60">
        <v>110</v>
      </c>
      <c r="C62" s="49" t="s">
        <v>19</v>
      </c>
      <c r="D62" s="50" t="str">
        <f>IF(ISBLANK($B62),"",IFERROR(VLOOKUP($B62,ESTOQUE!$B$2:$D$97168,3,FALSE),"Produto não cadastrado"))</f>
        <v>LUVA DE RASPA CANO LONGO</v>
      </c>
      <c r="E62" s="49" t="str">
        <f>_xlfn.XLOOKUP(B62,ESTOQUE!B:B,ESTOQUE!G:G,"",0)</f>
        <v>PAR</v>
      </c>
      <c r="F62" s="96">
        <v>2</v>
      </c>
      <c r="G62" s="61"/>
      <c r="H62" s="61"/>
      <c r="I62" s="52"/>
      <c r="J62" s="52"/>
      <c r="K62" s="5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</row>
    <row r="63" spans="1:29" ht="15.75" customHeight="1" x14ac:dyDescent="0.25">
      <c r="A63" s="59">
        <v>45931</v>
      </c>
      <c r="B63" s="60">
        <v>141</v>
      </c>
      <c r="C63" s="49" t="s">
        <v>19</v>
      </c>
      <c r="D63" s="50" t="str">
        <f>IF(ISBLANK($B63),"",IFERROR(VLOOKUP($B63,ESTOQUE!$B$2:$D$97168,3,FALSE),"Produto não cadastrado"))</f>
        <v xml:space="preserve">LUVA DE VAQUETA </v>
      </c>
      <c r="E63" s="49" t="str">
        <f>_xlfn.XLOOKUP(B63,ESTOQUE!B:B,ESTOQUE!G:G,"",0)</f>
        <v>PAR</v>
      </c>
      <c r="F63" s="96">
        <v>3</v>
      </c>
      <c r="G63" s="61"/>
      <c r="H63" s="61"/>
      <c r="I63" s="52"/>
      <c r="J63" s="52"/>
      <c r="K63" s="5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</row>
    <row r="64" spans="1:29" ht="15.75" customHeight="1" x14ac:dyDescent="0.25">
      <c r="A64" s="59">
        <v>45931</v>
      </c>
      <c r="B64" s="60">
        <v>207</v>
      </c>
      <c r="C64" s="49" t="s">
        <v>19</v>
      </c>
      <c r="D64" s="50" t="str">
        <f>IF(ISBLANK($B64),"",IFERROR(VLOOKUP($B64,ESTOQUE!$B$2:$D$97168,3,FALSE),"Produto não cadastrado"))</f>
        <v>LUVA POLIESTER ANTICORTE BANHADA PU TAM 9</v>
      </c>
      <c r="E64" s="49" t="str">
        <f>_xlfn.XLOOKUP(B64,ESTOQUE!B:B,ESTOQUE!G:G,"",0)</f>
        <v>PAR</v>
      </c>
      <c r="F64" s="96">
        <v>1</v>
      </c>
      <c r="G64" s="61"/>
      <c r="H64" s="61"/>
      <c r="I64" s="52"/>
      <c r="J64" s="52"/>
      <c r="K64" s="5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</row>
    <row r="65" spans="1:29" ht="15.75" customHeight="1" x14ac:dyDescent="0.25">
      <c r="A65" s="59">
        <v>45931</v>
      </c>
      <c r="B65" s="60">
        <v>144</v>
      </c>
      <c r="C65" s="49" t="s">
        <v>19</v>
      </c>
      <c r="D65" s="50" t="str">
        <f>IF(ISBLANK($B65),"",IFERROR(VLOOKUP($B65,ESTOQUE!$B$2:$D$97168,3,FALSE),"Produto não cadastrado"))</f>
        <v>MASCARA PFF2-S C/ FILTRO</v>
      </c>
      <c r="E65" s="49" t="str">
        <f>_xlfn.XLOOKUP(B65,ESTOQUE!B:B,ESTOQUE!G:G,"",0)</f>
        <v>UND</v>
      </c>
      <c r="F65" s="96">
        <v>24</v>
      </c>
      <c r="G65" s="61"/>
      <c r="H65" s="61"/>
      <c r="I65" s="52"/>
      <c r="J65" s="52"/>
      <c r="K65" s="5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</row>
    <row r="66" spans="1:29" ht="15.75" customHeight="1" x14ac:dyDescent="0.25">
      <c r="A66" s="59">
        <v>45931</v>
      </c>
      <c r="B66" s="60">
        <v>126</v>
      </c>
      <c r="C66" s="49" t="s">
        <v>19</v>
      </c>
      <c r="D66" s="50" t="str">
        <f>IF(ISBLANK($B66),"",IFERROR(VLOOKUP($B66,ESTOQUE!$B$2:$D$97168,3,FALSE),"Produto não cadastrado"))</f>
        <v>OCULOS DE PROTEÇÃO ESCURO</v>
      </c>
      <c r="E66" s="49" t="str">
        <f>_xlfn.XLOOKUP(B66,ESTOQUE!B:B,ESTOQUE!G:G,"",0)</f>
        <v>UND</v>
      </c>
      <c r="F66" s="96">
        <v>1</v>
      </c>
      <c r="G66" s="61"/>
      <c r="H66" s="61"/>
      <c r="I66" s="52"/>
      <c r="J66" s="52"/>
      <c r="K66" s="5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</row>
    <row r="67" spans="1:29" ht="15.75" customHeight="1" x14ac:dyDescent="0.25">
      <c r="A67" s="59">
        <v>45931</v>
      </c>
      <c r="B67" s="60">
        <v>124</v>
      </c>
      <c r="C67" s="49" t="s">
        <v>19</v>
      </c>
      <c r="D67" s="50" t="str">
        <f>IF(ISBLANK($B67),"",IFERROR(VLOOKUP($B67,ESTOQUE!$B$2:$D$97168,3,FALSE),"Produto não cadastrado"))</f>
        <v xml:space="preserve">OCULOS DE PROTEÇÃO INCOLOR </v>
      </c>
      <c r="E67" s="49" t="str">
        <f>_xlfn.XLOOKUP(B67,ESTOQUE!B:B,ESTOQUE!G:G,"",0)</f>
        <v>UND</v>
      </c>
      <c r="F67" s="96">
        <v>1</v>
      </c>
      <c r="G67" s="61"/>
      <c r="H67" s="61"/>
      <c r="I67" s="52"/>
      <c r="J67" s="52"/>
      <c r="K67" s="5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</row>
    <row r="68" spans="1:29" ht="15.75" customHeight="1" x14ac:dyDescent="0.25">
      <c r="A68" s="59">
        <v>45931</v>
      </c>
      <c r="B68" s="60">
        <v>129</v>
      </c>
      <c r="C68" s="49" t="s">
        <v>19</v>
      </c>
      <c r="D68" s="50" t="str">
        <f>IF(ISBLANK($B68),"",IFERROR(VLOOKUP($B68,ESTOQUE!$B$2:$D$97168,3,FALSE),"Produto não cadastrado"))</f>
        <v>PERNEIRA DE RASPA</v>
      </c>
      <c r="E68" s="49" t="str">
        <f>_xlfn.XLOOKUP(B68,ESTOQUE!B:B,ESTOQUE!G:G,"",0)</f>
        <v>PAR</v>
      </c>
      <c r="F68" s="96">
        <v>1</v>
      </c>
      <c r="G68" s="61"/>
      <c r="H68" s="61"/>
      <c r="I68" s="52"/>
      <c r="J68" s="52"/>
      <c r="K68" s="5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</row>
    <row r="69" spans="1:29" ht="15.75" customHeight="1" x14ac:dyDescent="0.25">
      <c r="A69" s="59">
        <v>45933</v>
      </c>
      <c r="B69" s="60">
        <v>39</v>
      </c>
      <c r="C69" s="49" t="s">
        <v>19</v>
      </c>
      <c r="D69" s="50" t="str">
        <f>IF(ISBLANK($B69),"",IFERROR(VLOOKUP($B69,ESTOQUE!$B$2:$D$97168,3,FALSE),"Produto não cadastrado"))</f>
        <v>BOTINA OP. BICO PVC Nº 41</v>
      </c>
      <c r="E69" s="49" t="str">
        <f>_xlfn.XLOOKUP(B69,ESTOQUE!B:B,ESTOQUE!G:G,"",0)</f>
        <v>PAR</v>
      </c>
      <c r="F69" s="96">
        <v>1</v>
      </c>
      <c r="G69" s="61"/>
      <c r="H69" s="61"/>
      <c r="I69" s="52"/>
      <c r="J69" s="52"/>
      <c r="K69" s="5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</row>
    <row r="70" spans="1:29" ht="15.75" customHeight="1" x14ac:dyDescent="0.25">
      <c r="A70" s="59">
        <v>45933</v>
      </c>
      <c r="B70" s="60">
        <v>41</v>
      </c>
      <c r="C70" s="49" t="s">
        <v>19</v>
      </c>
      <c r="D70" s="50" t="str">
        <f>IF(ISBLANK($B70),"",IFERROR(VLOOKUP($B70,ESTOQUE!$B$2:$D$97168,3,FALSE),"Produto não cadastrado"))</f>
        <v>BOTINA OP. BICO PVC Nº 43</v>
      </c>
      <c r="E70" s="49" t="str">
        <f>_xlfn.XLOOKUP(B70,ESTOQUE!B:B,ESTOQUE!G:G,"",0)</f>
        <v>PAR</v>
      </c>
      <c r="F70" s="96">
        <v>1</v>
      </c>
      <c r="G70" s="61"/>
      <c r="H70" s="61"/>
      <c r="I70" s="52"/>
      <c r="J70" s="52"/>
      <c r="K70" s="5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</row>
    <row r="71" spans="1:29" ht="15.75" customHeight="1" x14ac:dyDescent="0.25">
      <c r="A71" s="59">
        <v>45933</v>
      </c>
      <c r="B71" s="60">
        <v>238</v>
      </c>
      <c r="C71" s="49" t="s">
        <v>19</v>
      </c>
      <c r="D71" s="50" t="str">
        <f>IF(ISBLANK($B71),"",IFERROR(VLOOKUP($B71,ESTOQUE!$B$2:$D$97168,3,FALSE),"Produto não cadastrado"))</f>
        <v>BOTINA SEGURANÇA MATATARSO 37 ADM</v>
      </c>
      <c r="E71" s="49" t="str">
        <f>_xlfn.XLOOKUP(B71,ESTOQUE!B:B,ESTOQUE!G:G,"",0)</f>
        <v>PAR</v>
      </c>
      <c r="F71" s="96">
        <v>1</v>
      </c>
      <c r="G71" s="61"/>
      <c r="H71" s="61"/>
      <c r="I71" s="52"/>
      <c r="J71" s="52"/>
      <c r="K71" s="5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</row>
    <row r="72" spans="1:29" ht="15.75" customHeight="1" x14ac:dyDescent="0.25">
      <c r="A72" s="59">
        <v>45933</v>
      </c>
      <c r="B72" s="60">
        <v>241</v>
      </c>
      <c r="C72" s="49" t="s">
        <v>19</v>
      </c>
      <c r="D72" s="50" t="str">
        <f>IF(ISBLANK($B72),"",IFERROR(VLOOKUP($B72,ESTOQUE!$B$2:$D$97168,3,FALSE),"Produto não cadastrado"))</f>
        <v>BOTINA SEGURANÇA MATATARSO 40 ADM</v>
      </c>
      <c r="E72" s="49" t="str">
        <f>_xlfn.XLOOKUP(B72,ESTOQUE!B:B,ESTOQUE!G:G,"",0)</f>
        <v>PAR</v>
      </c>
      <c r="F72" s="96">
        <v>2</v>
      </c>
      <c r="G72" s="61"/>
      <c r="H72" s="61"/>
      <c r="I72" s="52"/>
      <c r="J72" s="52"/>
      <c r="K72" s="5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</row>
    <row r="73" spans="1:29" ht="15.75" customHeight="1" x14ac:dyDescent="0.25">
      <c r="A73" s="59">
        <v>45933</v>
      </c>
      <c r="B73" s="60">
        <v>242</v>
      </c>
      <c r="C73" s="49" t="s">
        <v>19</v>
      </c>
      <c r="D73" s="50" t="str">
        <f>IF(ISBLANK($B73),"",IFERROR(VLOOKUP($B73,ESTOQUE!$B$2:$D$97168,3,FALSE),"Produto não cadastrado"))</f>
        <v>BOTINA SEGURANÇA MATATARSO 41 ADM</v>
      </c>
      <c r="E73" s="49" t="str">
        <f>_xlfn.XLOOKUP(B73,ESTOQUE!B:B,ESTOQUE!G:G,"",0)</f>
        <v>PAR</v>
      </c>
      <c r="F73" s="96">
        <v>2</v>
      </c>
      <c r="G73" s="61"/>
      <c r="H73" s="61"/>
      <c r="I73" s="52"/>
      <c r="J73" s="52"/>
      <c r="K73" s="54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</row>
    <row r="74" spans="1:29" ht="15.75" customHeight="1" x14ac:dyDescent="0.25">
      <c r="A74" s="59">
        <v>45933</v>
      </c>
      <c r="B74" s="62">
        <v>46</v>
      </c>
      <c r="C74" s="49" t="s">
        <v>19</v>
      </c>
      <c r="D74" s="50" t="str">
        <f>IF(ISBLANK($B74),"",IFERROR(VLOOKUP($B74,ESTOQUE!$B$2:$D$97168,3,FALSE),"Produto não cadastrado"))</f>
        <v>CALÇA CINZA OP. C/ FAIXA REFLETIVA TAM: G</v>
      </c>
      <c r="E74" s="49" t="str">
        <f>_xlfn.XLOOKUP(B74,ESTOQUE!B:B,ESTOQUE!G:G,"",0)</f>
        <v>UND</v>
      </c>
      <c r="F74" s="49">
        <v>4</v>
      </c>
      <c r="G74" s="61"/>
      <c r="H74" s="61"/>
      <c r="I74" s="52"/>
      <c r="J74" s="52"/>
      <c r="K74" s="54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</row>
    <row r="75" spans="1:29" ht="15.75" customHeight="1" x14ac:dyDescent="0.25">
      <c r="A75" s="59">
        <v>45933</v>
      </c>
      <c r="B75" s="55">
        <v>47</v>
      </c>
      <c r="C75" s="49" t="s">
        <v>19</v>
      </c>
      <c r="D75" s="50" t="str">
        <f>IF(ISBLANK($B75),"",IFERROR(VLOOKUP($B75,ESTOQUE!$B$2:$D$97168,3,FALSE),"Produto não cadastrado"))</f>
        <v>CALÇA CINZA OP. C/ FAIXA REFLETIVA TAM: GG</v>
      </c>
      <c r="E75" s="49" t="str">
        <f>_xlfn.XLOOKUP(B75,ESTOQUE!B:B,ESTOQUE!G:G,"",0)</f>
        <v>UND</v>
      </c>
      <c r="F75" s="49">
        <v>1</v>
      </c>
      <c r="G75" s="61"/>
      <c r="H75" s="61"/>
      <c r="I75" s="52"/>
      <c r="J75" s="52"/>
      <c r="K75" s="5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</row>
    <row r="76" spans="1:29" ht="15.75" customHeight="1" x14ac:dyDescent="0.25">
      <c r="A76" s="59">
        <v>45933</v>
      </c>
      <c r="B76" s="55">
        <v>67</v>
      </c>
      <c r="C76" s="49" t="s">
        <v>19</v>
      </c>
      <c r="D76" s="50" t="str">
        <f>IF(ISBLANK($B76),"",IFERROR(VLOOKUP($B76,ESTOQUE!$B$2:$D$97168,3,FALSE),"Produto não cadastrado"))</f>
        <v>CAMISA LARANJA OP. C/ FAIXA REFLETIVA TAM: G</v>
      </c>
      <c r="E76" s="49" t="str">
        <f>_xlfn.XLOOKUP(B76,ESTOQUE!B:B,ESTOQUE!G:G,"",0)</f>
        <v>UND</v>
      </c>
      <c r="F76" s="49">
        <v>4</v>
      </c>
      <c r="G76" s="61"/>
      <c r="H76" s="61"/>
      <c r="I76" s="52"/>
      <c r="J76" s="52"/>
      <c r="K76" s="5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</row>
    <row r="77" spans="1:29" ht="15.75" customHeight="1" x14ac:dyDescent="0.25">
      <c r="A77" s="59">
        <v>45933</v>
      </c>
      <c r="B77" s="55">
        <v>68</v>
      </c>
      <c r="C77" s="49" t="s">
        <v>19</v>
      </c>
      <c r="D77" s="50" t="str">
        <f>IF(ISBLANK($B77),"",IFERROR(VLOOKUP($B77,ESTOQUE!$B$2:$D$97168,3,FALSE),"Produto não cadastrado"))</f>
        <v>CAMISA LARANJA OP. C/ FAIXA REFLETIVA TAM: GG</v>
      </c>
      <c r="E77" s="49" t="str">
        <f>_xlfn.XLOOKUP(B77,ESTOQUE!B:B,ESTOQUE!G:G,"",0)</f>
        <v>UND</v>
      </c>
      <c r="F77" s="49">
        <v>1</v>
      </c>
      <c r="G77" s="61"/>
      <c r="H77" s="61"/>
      <c r="I77" s="52"/>
      <c r="J77" s="52"/>
      <c r="K77" s="5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</row>
    <row r="78" spans="1:29" ht="15.75" customHeight="1" x14ac:dyDescent="0.25">
      <c r="A78" s="59">
        <v>45933</v>
      </c>
      <c r="B78" s="57">
        <v>75</v>
      </c>
      <c r="C78" s="49" t="s">
        <v>19</v>
      </c>
      <c r="D78" s="50" t="str">
        <f>IF(ISBLANK($B78),"",IFERROR(VLOOKUP($B78,ESTOQUE!$B$2:$D$97168,3,FALSE),"Produto não cadastrado"))</f>
        <v>CAPACETE CAMPER AZUL ESCURO</v>
      </c>
      <c r="E78" s="49" t="str">
        <f>_xlfn.XLOOKUP(B78,ESTOQUE!B:B,ESTOQUE!G:G,"",0)</f>
        <v>UND</v>
      </c>
      <c r="F78" s="49">
        <v>1</v>
      </c>
      <c r="G78" s="61"/>
      <c r="H78" s="61"/>
      <c r="I78" s="52"/>
      <c r="J78" s="52"/>
      <c r="K78" s="5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</row>
    <row r="79" spans="1:29" ht="15.75" customHeight="1" x14ac:dyDescent="0.25">
      <c r="A79" s="59">
        <v>45933</v>
      </c>
      <c r="B79" s="60">
        <v>110</v>
      </c>
      <c r="C79" s="49" t="s">
        <v>19</v>
      </c>
      <c r="D79" s="50" t="str">
        <f>IF(ISBLANK($B79),"",IFERROR(VLOOKUP($B79,ESTOQUE!$B$2:$D$97168,3,FALSE),"Produto não cadastrado"))</f>
        <v>LUVA DE RASPA CANO LONGO</v>
      </c>
      <c r="E79" s="49" t="str">
        <f>_xlfn.XLOOKUP(B79,ESTOQUE!B:B,ESTOQUE!G:G,"",0)</f>
        <v>PAR</v>
      </c>
      <c r="F79" s="96">
        <v>3</v>
      </c>
      <c r="G79" s="61"/>
      <c r="H79" s="61"/>
      <c r="I79" s="52"/>
      <c r="J79" s="52"/>
      <c r="K79" s="5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</row>
    <row r="80" spans="1:29" ht="15.75" customHeight="1" x14ac:dyDescent="0.25">
      <c r="A80" s="59">
        <v>45933</v>
      </c>
      <c r="B80" s="60">
        <v>114</v>
      </c>
      <c r="C80" s="49" t="s">
        <v>19</v>
      </c>
      <c r="D80" s="50" t="str">
        <f>IF(ISBLANK($B80),"",IFERROR(VLOOKUP($B80,ESTOQUE!$B$2:$D$97168,3,FALSE),"Produto não cadastrado"))</f>
        <v xml:space="preserve">LUVA LATEX NITRILICA </v>
      </c>
      <c r="E80" s="49" t="str">
        <f>_xlfn.XLOOKUP(B80,ESTOQUE!B:B,ESTOQUE!G:G,"",0)</f>
        <v>PAR</v>
      </c>
      <c r="F80" s="96">
        <v>13</v>
      </c>
      <c r="G80" s="61"/>
      <c r="H80" s="61"/>
      <c r="I80" s="52"/>
      <c r="J80" s="52"/>
      <c r="K80" s="54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</row>
    <row r="81" spans="1:29" ht="15.75" customHeight="1" x14ac:dyDescent="0.25">
      <c r="A81" s="59">
        <v>45933</v>
      </c>
      <c r="B81" s="55">
        <v>207</v>
      </c>
      <c r="C81" s="49" t="s">
        <v>19</v>
      </c>
      <c r="D81" s="50" t="str">
        <f>IF(ISBLANK($B81),"",IFERROR(VLOOKUP($B81,ESTOQUE!$B$2:$D$97168,3,FALSE),"Produto não cadastrado"))</f>
        <v>LUVA POLIESTER ANTICORTE BANHADA PU TAM 9</v>
      </c>
      <c r="E81" s="49" t="str">
        <f>_xlfn.XLOOKUP(B81,ESTOQUE!B:B,ESTOQUE!G:G,"",0)</f>
        <v>PAR</v>
      </c>
      <c r="F81" s="49">
        <v>12</v>
      </c>
      <c r="G81" s="61"/>
      <c r="H81" s="61"/>
      <c r="I81" s="52"/>
      <c r="J81" s="52"/>
      <c r="K81" s="5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</row>
    <row r="82" spans="1:29" ht="15.75" customHeight="1" x14ac:dyDescent="0.25">
      <c r="A82" s="59">
        <v>45933</v>
      </c>
      <c r="B82" s="55">
        <v>118</v>
      </c>
      <c r="C82" s="49" t="s">
        <v>19</v>
      </c>
      <c r="D82" s="50" t="str">
        <f>IF(ISBLANK($B82),"",IFERROR(VLOOKUP($B82,ESTOQUE!$B$2:$D$97168,3,FALSE),"Produto não cadastrado"))</f>
        <v>MACACÃO DE PROTEÇÃO TYVEK</v>
      </c>
      <c r="E82" s="49" t="str">
        <f>_xlfn.XLOOKUP(B82,ESTOQUE!B:B,ESTOQUE!G:G,"",0)</f>
        <v>UND</v>
      </c>
      <c r="F82" s="49">
        <v>4</v>
      </c>
      <c r="G82" s="64"/>
      <c r="H82" s="64"/>
      <c r="I82" s="52"/>
      <c r="J82" s="52"/>
      <c r="K82" s="5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</row>
    <row r="83" spans="1:29" ht="15.75" customHeight="1" x14ac:dyDescent="0.25">
      <c r="A83" s="59">
        <v>45933</v>
      </c>
      <c r="B83" s="55">
        <v>144</v>
      </c>
      <c r="C83" s="49" t="s">
        <v>19</v>
      </c>
      <c r="D83" s="50" t="str">
        <f>IF(ISBLANK($B83),"",IFERROR(VLOOKUP($B83,ESTOQUE!$B$2:$D$97168,3,FALSE),"Produto não cadastrado"))</f>
        <v>MASCARA PFF2-S C/ FILTRO</v>
      </c>
      <c r="E83" s="49" t="str">
        <f>_xlfn.XLOOKUP(B83,ESTOQUE!B:B,ESTOQUE!G:G,"",0)</f>
        <v>UND</v>
      </c>
      <c r="F83" s="96">
        <v>38</v>
      </c>
      <c r="G83" s="61"/>
      <c r="H83" s="61"/>
      <c r="I83" s="52"/>
      <c r="J83" s="52"/>
      <c r="K83" s="5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</row>
    <row r="84" spans="1:29" ht="15.75" customHeight="1" x14ac:dyDescent="0.25">
      <c r="A84" s="59">
        <v>45933</v>
      </c>
      <c r="B84" s="55">
        <v>126</v>
      </c>
      <c r="C84" s="49" t="s">
        <v>19</v>
      </c>
      <c r="D84" s="50" t="str">
        <f>IF(ISBLANK($B84),"",IFERROR(VLOOKUP($B84,ESTOQUE!$B$2:$D$97168,3,FALSE),"Produto não cadastrado"))</f>
        <v>OCULOS DE PROTEÇÃO ESCURO</v>
      </c>
      <c r="E84" s="49" t="str">
        <f>_xlfn.XLOOKUP(B84,ESTOQUE!B:B,ESTOQUE!G:G,"",0)</f>
        <v>UND</v>
      </c>
      <c r="F84" s="49">
        <v>5</v>
      </c>
      <c r="G84" s="61"/>
      <c r="H84" s="61"/>
      <c r="I84" s="52"/>
      <c r="J84" s="52"/>
      <c r="K84" s="5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</row>
    <row r="85" spans="1:29" ht="15.75" customHeight="1" x14ac:dyDescent="0.25">
      <c r="A85" s="59">
        <v>45933</v>
      </c>
      <c r="B85" s="55">
        <v>126</v>
      </c>
      <c r="C85" s="49" t="s">
        <v>19</v>
      </c>
      <c r="D85" s="50" t="str">
        <f>IF(ISBLANK($B85),"",IFERROR(VLOOKUP($B85,ESTOQUE!$B$2:$D$97168,3,FALSE),"Produto não cadastrado"))</f>
        <v>OCULOS DE PROTEÇÃO ESCURO</v>
      </c>
      <c r="E85" s="49" t="str">
        <f>_xlfn.XLOOKUP(B85,ESTOQUE!B:B,ESTOQUE!G:G,"",0)</f>
        <v>UND</v>
      </c>
      <c r="F85" s="96">
        <v>2</v>
      </c>
      <c r="G85" s="61"/>
      <c r="H85" s="61"/>
      <c r="I85" s="52"/>
      <c r="J85" s="52"/>
      <c r="K85" s="5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</row>
    <row r="86" spans="1:29" ht="15.75" customHeight="1" x14ac:dyDescent="0.25">
      <c r="A86" s="59">
        <v>45933</v>
      </c>
      <c r="B86" s="55">
        <v>129</v>
      </c>
      <c r="C86" s="49" t="s">
        <v>19</v>
      </c>
      <c r="D86" s="50" t="str">
        <f>IF(ISBLANK($B86),"",IFERROR(VLOOKUP($B86,ESTOQUE!$B$2:$D$97168,3,FALSE),"Produto não cadastrado"))</f>
        <v>PERNEIRA DE RASPA</v>
      </c>
      <c r="E86" s="49" t="str">
        <f>_xlfn.XLOOKUP(B86,ESTOQUE!B:B,ESTOQUE!G:G,"",0)</f>
        <v>PAR</v>
      </c>
      <c r="F86" s="96">
        <v>1</v>
      </c>
      <c r="G86" s="61"/>
      <c r="H86" s="61"/>
      <c r="I86" s="52"/>
      <c r="J86" s="52"/>
      <c r="K86" s="5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</row>
    <row r="87" spans="1:29" ht="15.75" customHeight="1" x14ac:dyDescent="0.25">
      <c r="A87" s="59">
        <v>45933</v>
      </c>
      <c r="B87" s="55">
        <v>211</v>
      </c>
      <c r="C87" s="49" t="s">
        <v>19</v>
      </c>
      <c r="D87" s="50" t="str">
        <f>IF(ISBLANK($B87),"",IFERROR(VLOOKUP($B87,ESTOQUE!$B$2:$D$97168,3,FALSE),"Produto não cadastrado"))</f>
        <v>RESPIRADOR SEMIFACIAL T 9500</v>
      </c>
      <c r="E87" s="49" t="str">
        <f>_xlfn.XLOOKUP(B87,ESTOQUE!B:B,ESTOQUE!G:G,"",0)</f>
        <v>UND</v>
      </c>
      <c r="F87" s="96">
        <v>1</v>
      </c>
      <c r="G87" s="61"/>
      <c r="H87" s="61"/>
      <c r="I87" s="52"/>
      <c r="J87" s="52"/>
      <c r="K87" s="5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</row>
    <row r="88" spans="1:29" ht="15.75" customHeight="1" x14ac:dyDescent="0.25">
      <c r="A88" s="59">
        <v>45933</v>
      </c>
      <c r="B88" s="60">
        <v>136</v>
      </c>
      <c r="C88" s="49" t="s">
        <v>19</v>
      </c>
      <c r="D88" s="50" t="str">
        <f>IF(ISBLANK($B88),"",IFERROR(VLOOKUP($B88,ESTOQUE!$B$2:$D$97168,3,FALSE),"Produto não cadastrado"))</f>
        <v>TAYCO CARTUCHO P/ GASES TGV-500 - MASCARA</v>
      </c>
      <c r="E88" s="49" t="str">
        <f>_xlfn.XLOOKUP(B88,ESTOQUE!B:B,ESTOQUE!G:G,"",0)</f>
        <v>UND</v>
      </c>
      <c r="F88" s="96">
        <v>1</v>
      </c>
      <c r="G88" s="61"/>
      <c r="H88" s="61"/>
      <c r="I88" s="52"/>
      <c r="J88" s="52"/>
      <c r="K88" s="5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</row>
    <row r="89" spans="1:29" ht="15.75" customHeight="1" x14ac:dyDescent="0.25">
      <c r="A89" s="59">
        <v>45933</v>
      </c>
      <c r="B89" s="60">
        <v>19</v>
      </c>
      <c r="C89" s="49" t="s">
        <v>19</v>
      </c>
      <c r="D89" s="50" t="str">
        <f>IF(ISBLANK($B89),"",IFERROR(VLOOKUP($B89,ESTOQUE!$B$2:$D$97168,3,FALSE),"Produto não cadastrado"))</f>
        <v>BOTA PVC CANO MEDIO Nº 40</v>
      </c>
      <c r="E89" s="49" t="str">
        <f>_xlfn.XLOOKUP(B89,ESTOQUE!B:B,ESTOQUE!G:G,"",0)</f>
        <v>PAR</v>
      </c>
      <c r="F89" s="96">
        <v>1</v>
      </c>
      <c r="G89" s="51"/>
      <c r="H89" s="61"/>
      <c r="I89" s="52"/>
      <c r="J89" s="52"/>
      <c r="K89" s="5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</row>
    <row r="90" spans="1:29" ht="15.75" customHeight="1" x14ac:dyDescent="0.25">
      <c r="A90" s="59">
        <v>45933</v>
      </c>
      <c r="B90" s="60">
        <v>46</v>
      </c>
      <c r="C90" s="49" t="s">
        <v>19</v>
      </c>
      <c r="D90" s="50" t="str">
        <f>IF(ISBLANK($B90),"",IFERROR(VLOOKUP($B90,ESTOQUE!$B$2:$D$97168,3,FALSE),"Produto não cadastrado"))</f>
        <v>CALÇA CINZA OP. C/ FAIXA REFLETIVA TAM: G</v>
      </c>
      <c r="E90" s="49" t="str">
        <f>_xlfn.XLOOKUP(B90,ESTOQUE!B:B,ESTOQUE!G:G,"",0)</f>
        <v>UND</v>
      </c>
      <c r="F90" s="96">
        <v>3</v>
      </c>
      <c r="G90" s="61"/>
      <c r="H90" s="61"/>
      <c r="I90" s="52"/>
      <c r="J90" s="52"/>
      <c r="K90" s="54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</row>
    <row r="91" spans="1:29" ht="15.75" customHeight="1" x14ac:dyDescent="0.25">
      <c r="A91" s="59">
        <v>45933</v>
      </c>
      <c r="B91" s="60">
        <v>47</v>
      </c>
      <c r="C91" s="49" t="s">
        <v>19</v>
      </c>
      <c r="D91" s="50" t="str">
        <f>IF(ISBLANK($B91),"",IFERROR(VLOOKUP($B91,ESTOQUE!$B$2:$D$97168,3,FALSE),"Produto não cadastrado"))</f>
        <v>CALÇA CINZA OP. C/ FAIXA REFLETIVA TAM: GG</v>
      </c>
      <c r="E91" s="49" t="str">
        <f>_xlfn.XLOOKUP(B91,ESTOQUE!B:B,ESTOQUE!G:G,"",0)</f>
        <v>UND</v>
      </c>
      <c r="F91" s="96">
        <v>1</v>
      </c>
      <c r="G91" s="61"/>
      <c r="H91" s="61"/>
      <c r="I91" s="52"/>
      <c r="J91" s="52"/>
      <c r="K91" s="5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</row>
    <row r="92" spans="1:29" ht="15.75" customHeight="1" x14ac:dyDescent="0.25">
      <c r="A92" s="59">
        <v>45933</v>
      </c>
      <c r="B92" s="60">
        <v>67</v>
      </c>
      <c r="C92" s="49" t="s">
        <v>19</v>
      </c>
      <c r="D92" s="50" t="str">
        <f>IF(ISBLANK($B92),"",IFERROR(VLOOKUP($B92,ESTOQUE!$B$2:$D$97168,3,FALSE),"Produto não cadastrado"))</f>
        <v>CAMISA LARANJA OP. C/ FAIXA REFLETIVA TAM: G</v>
      </c>
      <c r="E92" s="49" t="str">
        <f>_xlfn.XLOOKUP(B92,ESTOQUE!B:B,ESTOQUE!G:G,"",0)</f>
        <v>UND</v>
      </c>
      <c r="F92" s="96">
        <v>1</v>
      </c>
      <c r="G92" s="61"/>
      <c r="H92" s="61"/>
      <c r="I92" s="52"/>
      <c r="J92" s="52"/>
      <c r="K92" s="5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</row>
    <row r="93" spans="1:29" ht="15.75" customHeight="1" x14ac:dyDescent="0.25">
      <c r="A93" s="59">
        <v>45933</v>
      </c>
      <c r="B93" s="60">
        <v>56</v>
      </c>
      <c r="C93" s="49" t="s">
        <v>19</v>
      </c>
      <c r="D93" s="50" t="str">
        <f>IF(ISBLANK($B93),"",IFERROR(VLOOKUP($B93,ESTOQUE!$B$2:$D$97168,3,FALSE),"Produto não cadastrado"))</f>
        <v>CAMISA ADM FEMININA TAM: G</v>
      </c>
      <c r="E93" s="49" t="str">
        <f>_xlfn.XLOOKUP(B93,ESTOQUE!B:B,ESTOQUE!G:G,"",0)</f>
        <v>UND</v>
      </c>
      <c r="F93" s="96">
        <v>1</v>
      </c>
      <c r="G93" s="61"/>
      <c r="H93" s="61"/>
      <c r="I93" s="52"/>
      <c r="J93" s="52"/>
      <c r="K93" s="5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</row>
    <row r="94" spans="1:29" ht="15.75" customHeight="1" x14ac:dyDescent="0.25">
      <c r="A94" s="59">
        <v>45933</v>
      </c>
      <c r="B94" s="60">
        <v>68</v>
      </c>
      <c r="C94" s="49" t="s">
        <v>19</v>
      </c>
      <c r="D94" s="50" t="str">
        <f>IF(ISBLANK($B94),"",IFERROR(VLOOKUP($B94,ESTOQUE!$B$2:$D$97168,3,FALSE),"Produto não cadastrado"))</f>
        <v>CAMISA LARANJA OP. C/ FAIXA REFLETIVA TAM: GG</v>
      </c>
      <c r="E94" s="49" t="str">
        <f>_xlfn.XLOOKUP(B94,ESTOQUE!B:B,ESTOQUE!G:G,"",0)</f>
        <v>UND</v>
      </c>
      <c r="F94" s="96">
        <v>3</v>
      </c>
      <c r="G94" s="61"/>
      <c r="H94" s="61"/>
      <c r="I94" s="52"/>
      <c r="J94" s="52"/>
      <c r="K94" s="5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</row>
    <row r="95" spans="1:29" ht="15.75" customHeight="1" x14ac:dyDescent="0.25">
      <c r="A95" s="59">
        <v>45933</v>
      </c>
      <c r="B95" s="60">
        <v>69</v>
      </c>
      <c r="C95" s="49" t="s">
        <v>19</v>
      </c>
      <c r="D95" s="50" t="str">
        <f>IF(ISBLANK($B95),"",IFERROR(VLOOKUP($B95,ESTOQUE!$B$2:$D$97168,3,FALSE),"Produto não cadastrado"))</f>
        <v>CAMISA LARANJA OP. C/ FAIXA REFLETIVA TAM: M</v>
      </c>
      <c r="E95" s="49" t="str">
        <f>_xlfn.XLOOKUP(B95,ESTOQUE!B:B,ESTOQUE!G:G,"",0)</f>
        <v>UND</v>
      </c>
      <c r="F95" s="96">
        <v>2</v>
      </c>
      <c r="G95" s="61"/>
      <c r="H95" s="61"/>
      <c r="I95" s="52"/>
      <c r="J95" s="52"/>
      <c r="K95" s="5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</row>
    <row r="96" spans="1:29" ht="15.75" customHeight="1" x14ac:dyDescent="0.25">
      <c r="A96" s="59">
        <v>45934</v>
      </c>
      <c r="B96" s="60">
        <v>75</v>
      </c>
      <c r="C96" s="49" t="s">
        <v>19</v>
      </c>
      <c r="D96" s="50" t="str">
        <f>IF(ISBLANK($B96),"",IFERROR(VLOOKUP($B96,ESTOQUE!$B$2:$D$97168,3,FALSE),"Produto não cadastrado"))</f>
        <v>CAPACETE CAMPER AZUL ESCURO</v>
      </c>
      <c r="E96" s="49" t="str">
        <f>_xlfn.XLOOKUP(B96,ESTOQUE!B:B,ESTOQUE!G:G,"",0)</f>
        <v>UND</v>
      </c>
      <c r="F96" s="96">
        <v>1</v>
      </c>
      <c r="G96" s="61"/>
      <c r="H96" s="61"/>
      <c r="I96" s="52"/>
      <c r="J96" s="52"/>
      <c r="K96" s="5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</row>
    <row r="97" spans="1:29" ht="15.75" customHeight="1" x14ac:dyDescent="0.25">
      <c r="A97" s="59">
        <v>45934</v>
      </c>
      <c r="B97" s="8">
        <v>96</v>
      </c>
      <c r="C97" s="49" t="s">
        <v>19</v>
      </c>
      <c r="D97" s="50" t="str">
        <f>IF(ISBLANK($B97),"",IFERROR(VLOOKUP($B97,ESTOQUE!$B$2:$D$97168,3,FALSE),"Produto não cadastrado"))</f>
        <v xml:space="preserve">CINTO DE SEGURANÇA MODELO:C70 </v>
      </c>
      <c r="E97" s="49" t="str">
        <f>_xlfn.XLOOKUP(B97,ESTOQUE!B:B,ESTOQUE!G:G,"",0)</f>
        <v>UND</v>
      </c>
      <c r="F97" s="49">
        <v>7</v>
      </c>
      <c r="G97" s="61"/>
      <c r="H97" s="61"/>
      <c r="I97" s="52"/>
      <c r="J97" s="52"/>
      <c r="K97" s="54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</row>
    <row r="98" spans="1:29" ht="15.75" customHeight="1" x14ac:dyDescent="0.25">
      <c r="A98" s="59">
        <v>45934</v>
      </c>
      <c r="B98" s="8">
        <v>95</v>
      </c>
      <c r="C98" s="49" t="s">
        <v>19</v>
      </c>
      <c r="D98" s="50" t="str">
        <f>IF(ISBLANK($B98),"",IFERROR(VLOOKUP($B98,ESTOQUE!$B$2:$D$97168,3,FALSE),"Produto não cadastrado"))</f>
        <v>CARNEIRA P/ CAPACETE LIBUS</v>
      </c>
      <c r="E98" s="49" t="str">
        <f>_xlfn.XLOOKUP(B98,ESTOQUE!B:B,ESTOQUE!G:G,"",0)</f>
        <v>UND</v>
      </c>
      <c r="F98" s="49">
        <v>1</v>
      </c>
      <c r="G98" s="61"/>
      <c r="H98" s="61"/>
      <c r="I98" s="52"/>
      <c r="J98" s="52"/>
      <c r="K98" s="5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</row>
    <row r="99" spans="1:29" ht="15.75" customHeight="1" x14ac:dyDescent="0.25">
      <c r="A99" s="59">
        <v>45934</v>
      </c>
      <c r="B99" s="57">
        <v>189</v>
      </c>
      <c r="C99" s="49" t="s">
        <v>19</v>
      </c>
      <c r="D99" s="50" t="str">
        <f>IF(ISBLANK($B99),"",IFERROR(VLOOKUP($B99,ESTOQUE!$B$2:$D$97168,3,FALSE),"Produto não cadastrado"))</f>
        <v xml:space="preserve">LUVA DE VAQUETA MISTA </v>
      </c>
      <c r="E99" s="49" t="str">
        <f>_xlfn.XLOOKUP(B99,ESTOQUE!B:B,ESTOQUE!G:G,"",0)</f>
        <v>UND</v>
      </c>
      <c r="F99" s="49">
        <v>14</v>
      </c>
      <c r="G99" s="61"/>
      <c r="H99" s="61"/>
      <c r="I99" s="52"/>
      <c r="J99" s="52"/>
      <c r="K99" s="5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</row>
    <row r="100" spans="1:29" ht="15.75" customHeight="1" x14ac:dyDescent="0.25">
      <c r="A100" s="59">
        <v>45934</v>
      </c>
      <c r="B100" s="57">
        <v>19</v>
      </c>
      <c r="C100" s="49" t="s">
        <v>19</v>
      </c>
      <c r="D100" s="50" t="str">
        <f>IF(ISBLANK($B100),"",IFERROR(VLOOKUP($B100,ESTOQUE!$B$2:$D$97168,3,FALSE),"Produto não cadastrado"))</f>
        <v>BOTA PVC CANO MEDIO Nº 40</v>
      </c>
      <c r="E100" s="49" t="str">
        <f>_xlfn.XLOOKUP(B100,ESTOQUE!B:B,ESTOQUE!G:G,"",0)</f>
        <v>PAR</v>
      </c>
      <c r="F100" s="49">
        <v>1</v>
      </c>
      <c r="G100" s="61"/>
      <c r="H100" s="51"/>
      <c r="I100" s="52"/>
      <c r="J100" s="52"/>
      <c r="K100" s="5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</row>
    <row r="101" spans="1:29" ht="15.75" customHeight="1" x14ac:dyDescent="0.25">
      <c r="A101" s="59">
        <v>45934</v>
      </c>
      <c r="B101" s="57">
        <v>46</v>
      </c>
      <c r="C101" s="49" t="s">
        <v>19</v>
      </c>
      <c r="D101" s="50" t="str">
        <f>IF(ISBLANK($B101),"",IFERROR(VLOOKUP($B101,ESTOQUE!$B$2:$D$97168,3,FALSE),"Produto não cadastrado"))</f>
        <v>CALÇA CINZA OP. C/ FAIXA REFLETIVA TAM: G</v>
      </c>
      <c r="E101" s="49" t="str">
        <f>_xlfn.XLOOKUP(B101,ESTOQUE!B:B,ESTOQUE!G:G,"",0)</f>
        <v>UND</v>
      </c>
      <c r="F101" s="49">
        <v>11</v>
      </c>
      <c r="G101" s="61"/>
      <c r="H101" s="61"/>
      <c r="I101" s="52"/>
      <c r="J101" s="52"/>
      <c r="K101" s="5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</row>
    <row r="102" spans="1:29" ht="15.75" customHeight="1" x14ac:dyDescent="0.25">
      <c r="A102" s="59">
        <v>45934</v>
      </c>
      <c r="B102" s="55">
        <v>47</v>
      </c>
      <c r="C102" s="49" t="s">
        <v>19</v>
      </c>
      <c r="D102" s="50" t="str">
        <f>IF(ISBLANK($B102),"",IFERROR(VLOOKUP($B102,ESTOQUE!$B$2:$D$97168,3,FALSE),"Produto não cadastrado"))</f>
        <v>CALÇA CINZA OP. C/ FAIXA REFLETIVA TAM: GG</v>
      </c>
      <c r="E102" s="49" t="str">
        <f>_xlfn.XLOOKUP(B102,ESTOQUE!B:B,ESTOQUE!G:G,"",0)</f>
        <v>UND</v>
      </c>
      <c r="F102" s="49">
        <v>4</v>
      </c>
      <c r="G102" s="61"/>
      <c r="H102" s="51"/>
      <c r="I102" s="52"/>
      <c r="J102" s="52"/>
      <c r="K102" s="5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</row>
    <row r="103" spans="1:29" ht="15.75" customHeight="1" x14ac:dyDescent="0.25">
      <c r="A103" s="59">
        <v>45934</v>
      </c>
      <c r="B103" s="60">
        <v>49</v>
      </c>
      <c r="C103" s="49" t="s">
        <v>19</v>
      </c>
      <c r="D103" s="50" t="str">
        <f>IF(ISBLANK($B103),"",IFERROR(VLOOKUP($B103,ESTOQUE!$B$2:$D$97168,3,FALSE),"Produto não cadastrado"))</f>
        <v>CALÇA CINZA OP. C/ FAIXA REFLETIVA TAM: P</v>
      </c>
      <c r="E103" s="49" t="str">
        <f>_xlfn.XLOOKUP(B103,ESTOQUE!B:B,ESTOQUE!G:G,"",0)</f>
        <v>UND</v>
      </c>
      <c r="F103" s="99">
        <v>4</v>
      </c>
      <c r="G103" s="61"/>
      <c r="H103" s="51"/>
      <c r="I103" s="52"/>
      <c r="J103" s="52"/>
      <c r="K103" s="5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</row>
    <row r="104" spans="1:29" ht="15.75" customHeight="1" x14ac:dyDescent="0.25">
      <c r="A104" s="59">
        <v>45934</v>
      </c>
      <c r="B104" s="60">
        <v>68</v>
      </c>
      <c r="C104" s="49" t="s">
        <v>19</v>
      </c>
      <c r="D104" s="50" t="str">
        <f>IF(ISBLANK($B104),"",IFERROR(VLOOKUP($B104,ESTOQUE!$B$2:$D$97168,3,FALSE),"Produto não cadastrado"))</f>
        <v>CAMISA LARANJA OP. C/ FAIXA REFLETIVA TAM: GG</v>
      </c>
      <c r="E104" s="49" t="str">
        <f>_xlfn.XLOOKUP(B104,ESTOQUE!B:B,ESTOQUE!G:G,"",0)</f>
        <v>UND</v>
      </c>
      <c r="F104" s="96">
        <v>5</v>
      </c>
      <c r="G104" s="61"/>
      <c r="H104" s="51"/>
      <c r="I104" s="52"/>
      <c r="J104" s="52"/>
      <c r="K104" s="5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</row>
    <row r="105" spans="1:29" ht="15.75" customHeight="1" x14ac:dyDescent="0.25">
      <c r="A105" s="59">
        <v>45934</v>
      </c>
      <c r="B105" s="60">
        <v>69</v>
      </c>
      <c r="C105" s="49" t="s">
        <v>19</v>
      </c>
      <c r="D105" s="50" t="str">
        <f>IF(ISBLANK($B105),"",IFERROR(VLOOKUP($B105,ESTOQUE!$B$2:$D$97168,3,FALSE),"Produto não cadastrado"))</f>
        <v>CAMISA LARANJA OP. C/ FAIXA REFLETIVA TAM: M</v>
      </c>
      <c r="E105" s="49" t="str">
        <f>_xlfn.XLOOKUP(B105,ESTOQUE!B:B,ESTOQUE!G:G,"",0)</f>
        <v>UND</v>
      </c>
      <c r="F105" s="49">
        <v>6</v>
      </c>
      <c r="G105" s="61"/>
      <c r="H105" s="61"/>
      <c r="I105" s="52"/>
      <c r="J105" s="52"/>
      <c r="K105" s="5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</row>
    <row r="106" spans="1:29" ht="15.75" customHeight="1" x14ac:dyDescent="0.25">
      <c r="A106" s="59">
        <v>45934</v>
      </c>
      <c r="B106" s="8">
        <v>96</v>
      </c>
      <c r="C106" s="49" t="s">
        <v>19</v>
      </c>
      <c r="D106" s="50" t="str">
        <f>IF(ISBLANK($B106),"",IFERROR(VLOOKUP($B106,ESTOQUE!$B$2:$D$97168,3,FALSE),"Produto não cadastrado"))</f>
        <v xml:space="preserve">CINTO DE SEGURANÇA MODELO:C70 </v>
      </c>
      <c r="E106" s="49" t="str">
        <f>_xlfn.XLOOKUP(B106,ESTOQUE!B:B,ESTOQUE!G:G,"",0)</f>
        <v>UND</v>
      </c>
      <c r="F106" s="49">
        <v>2</v>
      </c>
      <c r="G106" s="61"/>
      <c r="H106" s="61"/>
      <c r="I106" s="52"/>
      <c r="J106" s="52"/>
      <c r="K106" s="5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</row>
    <row r="107" spans="1:29" ht="15.75" customHeight="1" x14ac:dyDescent="0.25">
      <c r="A107" s="59">
        <v>45934</v>
      </c>
      <c r="B107" s="8">
        <v>161</v>
      </c>
      <c r="C107" s="49" t="s">
        <v>19</v>
      </c>
      <c r="D107" s="50" t="str">
        <f>IF(ISBLANK($B107),"",IFERROR(VLOOKUP($B107,ESTOQUE!$B$2:$D$97168,3,FALSE),"Produto não cadastrado"))</f>
        <v>JUGULAR</v>
      </c>
      <c r="E107" s="49" t="str">
        <f>_xlfn.XLOOKUP(B107,ESTOQUE!B:B,ESTOQUE!G:G,"",0)</f>
        <v>UND</v>
      </c>
      <c r="F107" s="96">
        <v>6</v>
      </c>
      <c r="G107" s="51"/>
      <c r="H107" s="51"/>
      <c r="I107" s="52"/>
      <c r="J107" s="52"/>
      <c r="K107" s="5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</row>
    <row r="108" spans="1:29" ht="15.75" customHeight="1" x14ac:dyDescent="0.25">
      <c r="A108" s="59">
        <v>45934</v>
      </c>
      <c r="B108" s="8">
        <v>207</v>
      </c>
      <c r="C108" s="49" t="s">
        <v>19</v>
      </c>
      <c r="D108" s="50" t="str">
        <f>IF(ISBLANK($B108),"",IFERROR(VLOOKUP($B108,ESTOQUE!$B$2:$D$97168,3,FALSE),"Produto não cadastrado"))</f>
        <v>LUVA POLIESTER ANTICORTE BANHADA PU TAM 9</v>
      </c>
      <c r="E108" s="49" t="str">
        <f>_xlfn.XLOOKUP(B108,ESTOQUE!B:B,ESTOQUE!G:G,"",0)</f>
        <v>PAR</v>
      </c>
      <c r="F108" s="96">
        <v>4</v>
      </c>
      <c r="G108" s="61"/>
      <c r="H108" s="61"/>
      <c r="I108" s="52"/>
      <c r="J108" s="52"/>
      <c r="K108" s="5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</row>
    <row r="109" spans="1:29" ht="15.75" customHeight="1" x14ac:dyDescent="0.25">
      <c r="A109" s="59">
        <v>45934</v>
      </c>
      <c r="B109" s="8">
        <v>144</v>
      </c>
      <c r="C109" s="49" t="s">
        <v>19</v>
      </c>
      <c r="D109" s="50" t="str">
        <f>IF(ISBLANK($B109),"",IFERROR(VLOOKUP($B109,ESTOQUE!$B$2:$D$97168,3,FALSE),"Produto não cadastrado"))</f>
        <v>MASCARA PFF2-S C/ FILTRO</v>
      </c>
      <c r="E109" s="49" t="str">
        <f>_xlfn.XLOOKUP(B109,ESTOQUE!B:B,ESTOQUE!G:G,"",0)</f>
        <v>UND</v>
      </c>
      <c r="F109" s="49">
        <v>31</v>
      </c>
      <c r="G109" s="61"/>
      <c r="H109" s="51"/>
      <c r="I109" s="52"/>
      <c r="J109" s="52"/>
      <c r="K109" s="5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</row>
    <row r="110" spans="1:29" ht="15.75" customHeight="1" x14ac:dyDescent="0.25">
      <c r="A110" s="59">
        <v>45934</v>
      </c>
      <c r="B110" s="60">
        <v>126</v>
      </c>
      <c r="C110" s="49" t="s">
        <v>19</v>
      </c>
      <c r="D110" s="50" t="str">
        <f>IF(ISBLANK($B110),"",IFERROR(VLOOKUP($B110,ESTOQUE!$B$2:$D$97168,3,FALSE),"Produto não cadastrado"))</f>
        <v>OCULOS DE PROTEÇÃO ESCURO</v>
      </c>
      <c r="E110" s="49" t="str">
        <f>_xlfn.XLOOKUP(B110,ESTOQUE!B:B,ESTOQUE!G:G,"",0)</f>
        <v>UND</v>
      </c>
      <c r="F110" s="49">
        <v>6</v>
      </c>
      <c r="G110" s="61"/>
      <c r="H110" s="51"/>
      <c r="I110" s="52"/>
      <c r="J110" s="52"/>
      <c r="K110" s="5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</row>
    <row r="111" spans="1:29" ht="15.75" customHeight="1" x14ac:dyDescent="0.25">
      <c r="A111" s="59">
        <v>45934</v>
      </c>
      <c r="B111" s="8">
        <v>124</v>
      </c>
      <c r="C111" s="49" t="s">
        <v>19</v>
      </c>
      <c r="D111" s="50" t="str">
        <f>IF(ISBLANK($B111),"",IFERROR(VLOOKUP($B111,ESTOQUE!$B$2:$D$97168,3,FALSE),"Produto não cadastrado"))</f>
        <v xml:space="preserve">OCULOS DE PROTEÇÃO INCOLOR </v>
      </c>
      <c r="E111" s="49" t="str">
        <f>_xlfn.XLOOKUP(B111,ESTOQUE!B:B,ESTOQUE!G:G,"",0)</f>
        <v>UND</v>
      </c>
      <c r="F111" s="96">
        <v>4</v>
      </c>
      <c r="G111" s="61"/>
      <c r="H111" s="61"/>
      <c r="I111" s="52"/>
      <c r="J111" s="52"/>
      <c r="K111" s="5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</row>
    <row r="112" spans="1:29" ht="15.75" customHeight="1" x14ac:dyDescent="0.25">
      <c r="A112" s="59">
        <v>45934</v>
      </c>
      <c r="B112" s="8">
        <v>135</v>
      </c>
      <c r="C112" s="49" t="s">
        <v>19</v>
      </c>
      <c r="D112" s="50" t="str">
        <f>IF(ISBLANK($B112),"",IFERROR(VLOOKUP($B112,ESTOQUE!$B$2:$D$97168,3,FALSE),"Produto não cadastrado"))</f>
        <v>TALABARTE DUPLO TIPO Y</v>
      </c>
      <c r="E112" s="49" t="str">
        <f>_xlfn.XLOOKUP(B112,ESTOQUE!B:B,ESTOQUE!G:G,"",0)</f>
        <v>UND</v>
      </c>
      <c r="F112" s="96">
        <v>7</v>
      </c>
      <c r="G112" s="61"/>
      <c r="H112" s="61"/>
      <c r="I112" s="52"/>
      <c r="J112" s="52"/>
      <c r="K112" s="5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</row>
    <row r="113" spans="1:29" ht="15.75" customHeight="1" x14ac:dyDescent="0.25">
      <c r="A113" s="59">
        <v>45934</v>
      </c>
      <c r="B113" s="8">
        <v>46</v>
      </c>
      <c r="C113" s="49" t="s">
        <v>19</v>
      </c>
      <c r="D113" s="50" t="str">
        <f>IF(ISBLANK($B113),"",IFERROR(VLOOKUP($B113,ESTOQUE!$B$2:$D$97168,3,FALSE),"Produto não cadastrado"))</f>
        <v>CALÇA CINZA OP. C/ FAIXA REFLETIVA TAM: G</v>
      </c>
      <c r="E113" s="49" t="str">
        <f>_xlfn.XLOOKUP(B113,ESTOQUE!B:B,ESTOQUE!G:G,"",0)</f>
        <v>UND</v>
      </c>
      <c r="F113" s="96">
        <v>5</v>
      </c>
      <c r="G113" s="61"/>
      <c r="H113" s="61"/>
      <c r="I113" s="52"/>
      <c r="J113" s="52"/>
      <c r="K113" s="5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</row>
    <row r="114" spans="1:29" ht="15.75" customHeight="1" x14ac:dyDescent="0.25">
      <c r="A114" s="59">
        <v>45937</v>
      </c>
      <c r="B114" s="57">
        <v>47</v>
      </c>
      <c r="C114" s="49" t="s">
        <v>19</v>
      </c>
      <c r="D114" s="50" t="str">
        <f>IF(ISBLANK($B114),"",IFERROR(VLOOKUP($B114,ESTOQUE!$B$2:$D$97168,3,FALSE),"Produto não cadastrado"))</f>
        <v>CALÇA CINZA OP. C/ FAIXA REFLETIVA TAM: GG</v>
      </c>
      <c r="E114" s="49" t="str">
        <f>_xlfn.XLOOKUP(B114,ESTOQUE!B:B,ESTOQUE!G:G,"",0)</f>
        <v>UND</v>
      </c>
      <c r="F114" s="49">
        <v>3</v>
      </c>
      <c r="G114" s="51"/>
      <c r="H114" s="51"/>
      <c r="I114" s="52"/>
      <c r="J114" s="52"/>
      <c r="K114" s="5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</row>
    <row r="115" spans="1:29" ht="15.75" customHeight="1" x14ac:dyDescent="0.25">
      <c r="A115" s="59">
        <v>45937</v>
      </c>
      <c r="B115" s="57">
        <v>49</v>
      </c>
      <c r="C115" s="49" t="s">
        <v>19</v>
      </c>
      <c r="D115" s="50" t="str">
        <f>IF(ISBLANK($B115),"",IFERROR(VLOOKUP($B115,ESTOQUE!$B$2:$D$97168,3,FALSE),"Produto não cadastrado"))</f>
        <v>CALÇA CINZA OP. C/ FAIXA REFLETIVA TAM: P</v>
      </c>
      <c r="E115" s="49" t="str">
        <f>_xlfn.XLOOKUP(B115,ESTOQUE!B:B,ESTOQUE!G:G,"",0)</f>
        <v>UND</v>
      </c>
      <c r="F115" s="96">
        <v>1</v>
      </c>
      <c r="G115" s="51"/>
      <c r="H115" s="51"/>
      <c r="I115" s="52"/>
      <c r="J115" s="52"/>
      <c r="K115" s="5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</row>
    <row r="116" spans="1:29" ht="15.75" customHeight="1" x14ac:dyDescent="0.25">
      <c r="A116" s="59">
        <v>45937</v>
      </c>
      <c r="B116" s="55">
        <v>71</v>
      </c>
      <c r="C116" s="49" t="s">
        <v>19</v>
      </c>
      <c r="D116" s="50" t="str">
        <f>IF(ISBLANK($B116),"",IFERROR(VLOOKUP($B116,ESTOQUE!$B$2:$D$97168,3,FALSE),"Produto não cadastrado"))</f>
        <v>CAMISA LARANJA OP. C/ FAIXA REFLETIVA TAM: XG</v>
      </c>
      <c r="E116" s="49" t="str">
        <f>_xlfn.XLOOKUP(B116,ESTOQUE!B:B,ESTOQUE!G:G,"",0)</f>
        <v>UND</v>
      </c>
      <c r="F116" s="96">
        <v>1</v>
      </c>
      <c r="G116" s="51"/>
      <c r="H116" s="51"/>
      <c r="I116" s="52"/>
      <c r="J116" s="52"/>
      <c r="K116" s="5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</row>
    <row r="117" spans="1:29" ht="15.75" customHeight="1" x14ac:dyDescent="0.25">
      <c r="A117" s="59">
        <v>45937</v>
      </c>
      <c r="B117" s="55">
        <v>144</v>
      </c>
      <c r="C117" s="49" t="s">
        <v>19</v>
      </c>
      <c r="D117" s="50" t="str">
        <f>IF(ISBLANK($B117),"",IFERROR(VLOOKUP($B117,ESTOQUE!$B$2:$D$97168,3,FALSE),"Produto não cadastrado"))</f>
        <v>MASCARA PFF2-S C/ FILTRO</v>
      </c>
      <c r="E117" s="49" t="str">
        <f>_xlfn.XLOOKUP(B117,ESTOQUE!B:B,ESTOQUE!G:G,"",0)</f>
        <v>UND</v>
      </c>
      <c r="F117" s="96">
        <v>29</v>
      </c>
      <c r="G117" s="51"/>
      <c r="H117" s="51"/>
      <c r="I117" s="52"/>
      <c r="J117" s="52"/>
      <c r="K117" s="5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</row>
    <row r="118" spans="1:29" ht="15.75" customHeight="1" x14ac:dyDescent="0.25">
      <c r="A118" s="59">
        <v>45937</v>
      </c>
      <c r="B118" s="65">
        <v>126</v>
      </c>
      <c r="C118" s="49" t="s">
        <v>19</v>
      </c>
      <c r="D118" s="50" t="str">
        <f>IF(ISBLANK($B118),"",IFERROR(VLOOKUP($B118,ESTOQUE!$B$2:$D$97168,3,FALSE),"Produto não cadastrado"))</f>
        <v>OCULOS DE PROTEÇÃO ESCURO</v>
      </c>
      <c r="E118" s="49" t="str">
        <f>_xlfn.XLOOKUP(B118,ESTOQUE!B:B,ESTOQUE!G:G,"",0)</f>
        <v>UND</v>
      </c>
      <c r="F118" s="49">
        <v>7</v>
      </c>
      <c r="G118" s="51"/>
      <c r="H118" s="51"/>
      <c r="I118" s="52"/>
      <c r="J118" s="52"/>
      <c r="K118" s="5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</row>
    <row r="119" spans="1:29" ht="15.75" customHeight="1" x14ac:dyDescent="0.25">
      <c r="A119" s="59">
        <v>45937</v>
      </c>
      <c r="B119" s="65">
        <v>135</v>
      </c>
      <c r="C119" s="49" t="s">
        <v>19</v>
      </c>
      <c r="D119" s="50" t="str">
        <f>IF(ISBLANK($B119),"",IFERROR(VLOOKUP($B119,ESTOQUE!$B$2:$D$97168,3,FALSE),"Produto não cadastrado"))</f>
        <v>TALABARTE DUPLO TIPO Y</v>
      </c>
      <c r="E119" s="49" t="str">
        <f>_xlfn.XLOOKUP(B119,ESTOQUE!B:B,ESTOQUE!G:G,"",0)</f>
        <v>UND</v>
      </c>
      <c r="F119" s="96">
        <v>1</v>
      </c>
      <c r="G119" s="51"/>
      <c r="H119" s="51"/>
      <c r="I119" s="52"/>
      <c r="J119" s="52"/>
      <c r="K119" s="5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</row>
    <row r="120" spans="1:29" ht="15.75" customHeight="1" x14ac:dyDescent="0.25">
      <c r="A120" s="59">
        <v>45937</v>
      </c>
      <c r="B120" s="65">
        <v>194</v>
      </c>
      <c r="C120" s="49" t="s">
        <v>19</v>
      </c>
      <c r="D120" s="50" t="str">
        <f>IF(ISBLANK($B120),"",IFERROR(VLOOKUP($B120,ESTOQUE!$B$2:$D$97168,3,FALSE),"Produto não cadastrado"))</f>
        <v>VISEIRA ACOPLADA</v>
      </c>
      <c r="E120" s="49" t="str">
        <f>_xlfn.XLOOKUP(B120,ESTOQUE!B:B,ESTOQUE!G:G,"",0)</f>
        <v>UND</v>
      </c>
      <c r="F120" s="96">
        <v>1</v>
      </c>
      <c r="G120" s="51"/>
      <c r="H120" s="51"/>
      <c r="I120" s="52"/>
      <c r="J120" s="52"/>
      <c r="K120" s="5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</row>
    <row r="121" spans="1:29" ht="15.75" customHeight="1" x14ac:dyDescent="0.25">
      <c r="A121" s="59">
        <v>45937</v>
      </c>
      <c r="B121" s="65">
        <v>116</v>
      </c>
      <c r="C121" s="49" t="s">
        <v>19</v>
      </c>
      <c r="D121" s="50" t="str">
        <f>IF(ISBLANK($B121),"",IFERROR(VLOOKUP($B121,ESTOQUE!$B$2:$D$97168,3,FALSE),"Produto não cadastrado"))</f>
        <v>LUVA PVC LINEA - CANO LONGO</v>
      </c>
      <c r="E121" s="49" t="str">
        <f>_xlfn.XLOOKUP(B121,ESTOQUE!B:B,ESTOQUE!G:G,"",0)</f>
        <v>PAR</v>
      </c>
      <c r="F121" s="96">
        <v>1</v>
      </c>
      <c r="G121" s="51"/>
      <c r="H121" s="51"/>
      <c r="I121" s="52"/>
      <c r="J121" s="52"/>
      <c r="K121" s="5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</row>
    <row r="122" spans="1:29" ht="15.75" customHeight="1" x14ac:dyDescent="0.25">
      <c r="A122" s="59">
        <v>45938</v>
      </c>
      <c r="B122" s="65">
        <v>36</v>
      </c>
      <c r="C122" s="49" t="s">
        <v>19</v>
      </c>
      <c r="D122" s="50" t="str">
        <f>IF(ISBLANK($B122),"",IFERROR(VLOOKUP($B122,ESTOQUE!$B$2:$D$97168,3,FALSE),"Produto não cadastrado"))</f>
        <v>BOTINA OP. BICO PVC Nº 38</v>
      </c>
      <c r="E122" s="49" t="str">
        <f>_xlfn.XLOOKUP(B122,ESTOQUE!B:B,ESTOQUE!G:G,"",0)</f>
        <v>PAR</v>
      </c>
      <c r="F122" s="49">
        <v>1</v>
      </c>
      <c r="G122" s="51"/>
      <c r="H122" s="51"/>
      <c r="I122" s="52"/>
      <c r="J122" s="52"/>
      <c r="K122" s="5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</row>
    <row r="123" spans="1:29" ht="15.75" customHeight="1" x14ac:dyDescent="0.25">
      <c r="A123" s="59">
        <v>45938</v>
      </c>
      <c r="B123" s="65">
        <v>38</v>
      </c>
      <c r="C123" s="49" t="s">
        <v>19</v>
      </c>
      <c r="D123" s="50" t="str">
        <f>IF(ISBLANK($B123),"",IFERROR(VLOOKUP($B123,ESTOQUE!$B$2:$D$97168,3,FALSE),"Produto não cadastrado"))</f>
        <v>BOTINA OP. BICO PVC Nº 40</v>
      </c>
      <c r="E123" s="49" t="str">
        <f>_xlfn.XLOOKUP(B123,ESTOQUE!B:B,ESTOQUE!G:G,"",0)</f>
        <v>PAR</v>
      </c>
      <c r="F123" s="96">
        <v>2</v>
      </c>
      <c r="G123" s="51"/>
      <c r="H123" s="51"/>
      <c r="I123" s="52"/>
      <c r="J123" s="52"/>
      <c r="K123" s="5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</row>
    <row r="124" spans="1:29" ht="15.75" customHeight="1" x14ac:dyDescent="0.25">
      <c r="A124" s="59">
        <v>45938</v>
      </c>
      <c r="B124" s="65">
        <v>41</v>
      </c>
      <c r="C124" s="49" t="s">
        <v>19</v>
      </c>
      <c r="D124" s="50" t="str">
        <f>IF(ISBLANK($B124),"",IFERROR(VLOOKUP($B124,ESTOQUE!$B$2:$D$97168,3,FALSE),"Produto não cadastrado"))</f>
        <v>BOTINA OP. BICO PVC Nº 43</v>
      </c>
      <c r="E124" s="49" t="str">
        <f>_xlfn.XLOOKUP(B124,ESTOQUE!B:B,ESTOQUE!G:G,"",0)</f>
        <v>PAR</v>
      </c>
      <c r="F124" s="96">
        <v>1</v>
      </c>
      <c r="G124" s="51"/>
      <c r="H124" s="51"/>
      <c r="I124" s="52"/>
      <c r="J124" s="52"/>
      <c r="K124" s="5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</row>
    <row r="125" spans="1:29" ht="15.75" customHeight="1" x14ac:dyDescent="0.25">
      <c r="A125" s="59">
        <v>45938</v>
      </c>
      <c r="B125" s="139">
        <v>46</v>
      </c>
      <c r="C125" s="49" t="s">
        <v>19</v>
      </c>
      <c r="D125" s="50" t="str">
        <f>IF(ISBLANK($B125),"",IFERROR(VLOOKUP($B125,ESTOQUE!$B$2:$D$97168,3,FALSE),"Produto não cadastrado"))</f>
        <v>CALÇA CINZA OP. C/ FAIXA REFLETIVA TAM: G</v>
      </c>
      <c r="E125" s="49" t="str">
        <f>_xlfn.XLOOKUP(B125,ESTOQUE!B:B,ESTOQUE!G:G,"",0)</f>
        <v>UND</v>
      </c>
      <c r="F125" s="96">
        <v>4</v>
      </c>
      <c r="G125" s="51"/>
      <c r="H125" s="51"/>
      <c r="I125" s="52"/>
      <c r="J125" s="52"/>
      <c r="K125" s="5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</row>
    <row r="126" spans="1:29" ht="15.75" customHeight="1" x14ac:dyDescent="0.25">
      <c r="A126" s="59">
        <v>45938</v>
      </c>
      <c r="B126" s="139">
        <v>47</v>
      </c>
      <c r="C126" s="49" t="s">
        <v>19</v>
      </c>
      <c r="D126" s="50" t="str">
        <f>IF(ISBLANK($B126),"",IFERROR(VLOOKUP($B126,ESTOQUE!$B$2:$D$97168,3,FALSE),"Produto não cadastrado"))</f>
        <v>CALÇA CINZA OP. C/ FAIXA REFLETIVA TAM: GG</v>
      </c>
      <c r="E126" s="49" t="str">
        <f>_xlfn.XLOOKUP(B126,ESTOQUE!B:B,ESTOQUE!G:G,"",0)</f>
        <v>UND</v>
      </c>
      <c r="F126" s="96">
        <v>3</v>
      </c>
      <c r="G126" s="51"/>
      <c r="H126" s="51"/>
      <c r="I126" s="52"/>
      <c r="J126" s="52"/>
      <c r="K126" s="5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</row>
    <row r="127" spans="1:29" ht="15.75" customHeight="1" x14ac:dyDescent="0.25">
      <c r="A127" s="59">
        <v>45938</v>
      </c>
      <c r="B127" s="8">
        <v>69</v>
      </c>
      <c r="C127" s="49" t="s">
        <v>19</v>
      </c>
      <c r="D127" s="50" t="str">
        <f>IF(ISBLANK($B127),"",IFERROR(VLOOKUP($B127,ESTOQUE!$B$2:$D$97168,3,FALSE),"Produto não cadastrado"))</f>
        <v>CAMISA LARANJA OP. C/ FAIXA REFLETIVA TAM: M</v>
      </c>
      <c r="E127" s="49" t="str">
        <f>_xlfn.XLOOKUP(B127,ESTOQUE!B:B,ESTOQUE!G:G,"",0)</f>
        <v>UND</v>
      </c>
      <c r="F127" s="96">
        <v>1</v>
      </c>
      <c r="G127" s="51"/>
      <c r="H127" s="51"/>
      <c r="I127" s="52"/>
      <c r="J127" s="52"/>
      <c r="K127" s="5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</row>
    <row r="128" spans="1:29" ht="15.75" customHeight="1" x14ac:dyDescent="0.25">
      <c r="A128" s="59">
        <v>45938</v>
      </c>
      <c r="B128" s="8">
        <v>96</v>
      </c>
      <c r="C128" s="49" t="s">
        <v>19</v>
      </c>
      <c r="D128" s="50" t="str">
        <f>IF(ISBLANK($B128),"",IFERROR(VLOOKUP($B128,ESTOQUE!$B$2:$D$97168,3,FALSE),"Produto não cadastrado"))</f>
        <v xml:space="preserve">CINTO DE SEGURANÇA MODELO:C70 </v>
      </c>
      <c r="E128" s="49" t="str">
        <f>_xlfn.XLOOKUP(B128,ESTOQUE!B:B,ESTOQUE!G:G,"",0)</f>
        <v>UND</v>
      </c>
      <c r="F128" s="96">
        <v>5</v>
      </c>
      <c r="G128" s="51"/>
      <c r="H128" s="51"/>
      <c r="I128" s="52"/>
      <c r="J128" s="52"/>
      <c r="K128" s="54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</row>
    <row r="129" spans="1:11" x14ac:dyDescent="0.25">
      <c r="A129" s="59">
        <v>45938</v>
      </c>
      <c r="B129" s="8">
        <v>161</v>
      </c>
      <c r="C129" s="49" t="s">
        <v>19</v>
      </c>
      <c r="D129" s="50" t="str">
        <f>IF(ISBLANK($B129),"",IFERROR(VLOOKUP($B129,ESTOQUE!$B$2:$D$97168,3,FALSE),"Produto não cadastrado"))</f>
        <v>JUGULAR</v>
      </c>
      <c r="E129" s="49" t="str">
        <f>_xlfn.XLOOKUP(B129,ESTOQUE!B:B,ESTOQUE!G:G,"",0)</f>
        <v>UND</v>
      </c>
      <c r="F129" s="96">
        <v>2</v>
      </c>
      <c r="G129" s="140"/>
      <c r="H129" s="140"/>
      <c r="I129" s="141"/>
      <c r="J129" s="141"/>
      <c r="K129" s="63"/>
    </row>
    <row r="130" spans="1:11" x14ac:dyDescent="0.25">
      <c r="A130" s="59">
        <v>45938</v>
      </c>
      <c r="B130" s="57">
        <v>117</v>
      </c>
      <c r="C130" s="49" t="s">
        <v>19</v>
      </c>
      <c r="D130" s="50" t="str">
        <f>IF(ISBLANK($B130),"",IFERROR(VLOOKUP($B130,ESTOQUE!$B$2:$D$97168,3,FALSE),"Produto não cadastrado"))</f>
        <v>LUVA PIGMENTADA</v>
      </c>
      <c r="E130" s="49" t="str">
        <f>_xlfn.XLOOKUP(B130,ESTOQUE!B:B,ESTOQUE!G:G,"",0)</f>
        <v>PAR</v>
      </c>
      <c r="F130" s="49">
        <v>4</v>
      </c>
      <c r="G130" s="140"/>
      <c r="H130" s="140"/>
      <c r="I130" s="141"/>
      <c r="J130" s="141"/>
      <c r="K130" s="100"/>
    </row>
    <row r="131" spans="1:11" x14ac:dyDescent="0.25">
      <c r="A131" s="59">
        <v>45938</v>
      </c>
      <c r="B131" s="57">
        <v>207</v>
      </c>
      <c r="C131" s="49" t="s">
        <v>19</v>
      </c>
      <c r="D131" s="50" t="str">
        <f>IF(ISBLANK($B131),"",IFERROR(VLOOKUP($B131,ESTOQUE!$B$2:$D$97168,3,FALSE),"Produto não cadastrado"))</f>
        <v>LUVA POLIESTER ANTICORTE BANHADA PU TAM 9</v>
      </c>
      <c r="E131" s="49" t="str">
        <f>_xlfn.XLOOKUP(B131,ESTOQUE!B:B,ESTOQUE!G:G,"",0)</f>
        <v>PAR</v>
      </c>
      <c r="F131" s="49">
        <v>5</v>
      </c>
      <c r="G131" s="146"/>
      <c r="H131" s="146"/>
      <c r="I131" s="147"/>
      <c r="J131" s="147"/>
      <c r="K131" s="63"/>
    </row>
    <row r="132" spans="1:11" x14ac:dyDescent="0.25">
      <c r="A132" s="59">
        <v>45938</v>
      </c>
      <c r="B132" s="57">
        <v>192</v>
      </c>
      <c r="C132" s="49" t="s">
        <v>19</v>
      </c>
      <c r="D132" s="50" t="str">
        <f>IF(ISBLANK($B132),"",IFERROR(VLOOKUP($B132,ESTOQUE!$B$2:$D$97168,3,FALSE),"Produto não cadastrado"))</f>
        <v>LUVA QUIMICA ( 2 OU 3)</v>
      </c>
      <c r="E132" s="49" t="str">
        <f>_xlfn.XLOOKUP(B132,ESTOQUE!B:B,ESTOQUE!G:G,"",0)</f>
        <v>UND</v>
      </c>
      <c r="F132" s="49">
        <v>1</v>
      </c>
      <c r="G132" s="146"/>
      <c r="H132" s="146"/>
      <c r="I132" s="147"/>
      <c r="J132" s="147"/>
      <c r="K132" s="63"/>
    </row>
    <row r="133" spans="1:11" x14ac:dyDescent="0.25">
      <c r="A133" s="59">
        <v>45938</v>
      </c>
      <c r="B133" s="57">
        <v>118</v>
      </c>
      <c r="C133" s="49" t="s">
        <v>19</v>
      </c>
      <c r="D133" s="50" t="str">
        <f>IF(ISBLANK($B133),"",IFERROR(VLOOKUP($B133,ESTOQUE!$B$2:$D$97168,3,FALSE),"Produto não cadastrado"))</f>
        <v>MACACÃO DE PROTEÇÃO TYVEK</v>
      </c>
      <c r="E133" s="49" t="str">
        <f>_xlfn.XLOOKUP(B133,ESTOQUE!B:B,ESTOQUE!G:G,"",0)</f>
        <v>UND</v>
      </c>
      <c r="F133" s="49">
        <v>2</v>
      </c>
      <c r="G133" s="146"/>
      <c r="H133" s="146"/>
      <c r="I133" s="147"/>
      <c r="J133" s="147"/>
      <c r="K133" s="63"/>
    </row>
    <row r="134" spans="1:11" x14ac:dyDescent="0.25">
      <c r="A134" s="59">
        <v>45938</v>
      </c>
      <c r="B134" s="57">
        <v>144</v>
      </c>
      <c r="C134" s="49" t="s">
        <v>19</v>
      </c>
      <c r="D134" s="50" t="str">
        <f>IF(ISBLANK($B134),"",IFERROR(VLOOKUP($B134,ESTOQUE!$B$2:$D$97168,3,FALSE),"Produto não cadastrado"))</f>
        <v>MASCARA PFF2-S C/ FILTRO</v>
      </c>
      <c r="E134" s="49" t="str">
        <f>_xlfn.XLOOKUP(B134,ESTOQUE!B:B,ESTOQUE!G:G,"",0)</f>
        <v>UND</v>
      </c>
      <c r="F134" s="49">
        <v>50</v>
      </c>
      <c r="G134" s="146"/>
      <c r="H134" s="146"/>
      <c r="I134" s="147"/>
      <c r="J134" s="147"/>
      <c r="K134" s="63"/>
    </row>
    <row r="135" spans="1:11" x14ac:dyDescent="0.25">
      <c r="A135" s="59">
        <v>45938</v>
      </c>
      <c r="B135" s="57">
        <v>126</v>
      </c>
      <c r="C135" s="49" t="s">
        <v>19</v>
      </c>
      <c r="D135" s="50" t="str">
        <f>IF(ISBLANK($B135),"",IFERROR(VLOOKUP($B135,ESTOQUE!$B$2:$D$97168,3,FALSE),"Produto não cadastrado"))</f>
        <v>OCULOS DE PROTEÇÃO ESCURO</v>
      </c>
      <c r="E135" s="49" t="str">
        <f>_xlfn.XLOOKUP(B135,ESTOQUE!B:B,ESTOQUE!G:G,"",0)</f>
        <v>UND</v>
      </c>
      <c r="F135" s="49">
        <v>6</v>
      </c>
      <c r="G135" s="146"/>
      <c r="H135" s="146"/>
      <c r="I135" s="147"/>
      <c r="J135" s="147"/>
      <c r="K135" s="63"/>
    </row>
    <row r="136" spans="1:11" x14ac:dyDescent="0.25">
      <c r="A136" s="59">
        <v>45938</v>
      </c>
      <c r="B136" s="57">
        <v>124</v>
      </c>
      <c r="C136" s="49" t="s">
        <v>19</v>
      </c>
      <c r="D136" s="50" t="str">
        <f>IF(ISBLANK($B136),"",IFERROR(VLOOKUP($B136,ESTOQUE!$B$2:$D$97168,3,FALSE),"Produto não cadastrado"))</f>
        <v xml:space="preserve">OCULOS DE PROTEÇÃO INCOLOR </v>
      </c>
      <c r="E136" s="49" t="str">
        <f>_xlfn.XLOOKUP(B136,ESTOQUE!B:B,ESTOQUE!G:G,"",0)</f>
        <v>UND</v>
      </c>
      <c r="F136" s="49">
        <v>1</v>
      </c>
      <c r="G136" s="146"/>
      <c r="H136" s="146"/>
      <c r="I136" s="147"/>
      <c r="J136" s="147"/>
      <c r="K136" s="63"/>
    </row>
    <row r="137" spans="1:11" x14ac:dyDescent="0.25">
      <c r="A137" s="59">
        <v>45938</v>
      </c>
      <c r="B137" s="57">
        <v>139</v>
      </c>
      <c r="C137" s="49" t="s">
        <v>19</v>
      </c>
      <c r="D137" s="50" t="str">
        <f>IF(ISBLANK($B137),"",IFERROR(VLOOKUP($B137,ESTOQUE!$B$2:$D$97168,3,FALSE),"Produto não cadastrado"))</f>
        <v>PROTETOR AURICULAR TIPO PLUG</v>
      </c>
      <c r="E137" s="49" t="str">
        <f>_xlfn.XLOOKUP(B137,ESTOQUE!B:B,ESTOQUE!G:G,"",0)</f>
        <v>UND</v>
      </c>
      <c r="F137" s="49">
        <v>1</v>
      </c>
      <c r="G137" s="146"/>
      <c r="H137" s="146"/>
      <c r="I137" s="147"/>
      <c r="J137" s="147"/>
      <c r="K137" s="63"/>
    </row>
    <row r="138" spans="1:11" x14ac:dyDescent="0.25">
      <c r="A138" s="59">
        <v>45938</v>
      </c>
      <c r="B138" s="57">
        <v>135</v>
      </c>
      <c r="C138" s="49" t="s">
        <v>19</v>
      </c>
      <c r="D138" s="50" t="str">
        <f>IF(ISBLANK($B138),"",IFERROR(VLOOKUP($B138,ESTOQUE!$B$2:$D$97168,3,FALSE),"Produto não cadastrado"))</f>
        <v>TALABARTE DUPLO TIPO Y</v>
      </c>
      <c r="E138" s="49" t="str">
        <f>_xlfn.XLOOKUP(B138,ESTOQUE!B:B,ESTOQUE!G:G,"",0)</f>
        <v>UND</v>
      </c>
      <c r="F138" s="49">
        <v>18</v>
      </c>
      <c r="G138" s="146"/>
      <c r="H138" s="146"/>
      <c r="I138" s="147"/>
      <c r="J138" s="147"/>
      <c r="K138" s="63"/>
    </row>
    <row r="139" spans="1:11" x14ac:dyDescent="0.25">
      <c r="A139" s="138">
        <v>45938</v>
      </c>
      <c r="B139" s="57">
        <v>96</v>
      </c>
      <c r="C139" s="49" t="s">
        <v>19</v>
      </c>
      <c r="D139" s="50" t="str">
        <f>IF(ISBLANK($B139),"",IFERROR(VLOOKUP($B139,ESTOQUE!$B$2:$D$97168,3,FALSE),"Produto não cadastrado"))</f>
        <v xml:space="preserve">CINTO DE SEGURANÇA MODELO:C70 </v>
      </c>
      <c r="E139" s="49" t="str">
        <f>_xlfn.XLOOKUP(B139,ESTOQUE!B:B,ESTOQUE!G:G,"",0)</f>
        <v>UND</v>
      </c>
      <c r="F139" s="49">
        <v>17</v>
      </c>
      <c r="G139" s="146"/>
      <c r="H139" s="146"/>
      <c r="I139" s="147"/>
      <c r="J139" s="147"/>
      <c r="K139" s="63"/>
    </row>
    <row r="140" spans="1:11" x14ac:dyDescent="0.25">
      <c r="A140" s="138">
        <v>45938</v>
      </c>
      <c r="B140" s="57">
        <v>142</v>
      </c>
      <c r="C140" s="49" t="s">
        <v>19</v>
      </c>
      <c r="D140" s="50" t="str">
        <f>IF(ISBLANK($B140),"",IFERROR(VLOOKUP($B140,ESTOQUE!$B$2:$D$97168,3,FALSE),"Produto não cadastrado"))</f>
        <v>TRAVA QUEDA P/ CABO DE AÇO 8mm</v>
      </c>
      <c r="E140" s="49" t="str">
        <f>_xlfn.XLOOKUP(B140,ESTOQUE!B:B,ESTOQUE!G:G,"",0)</f>
        <v>UND</v>
      </c>
      <c r="F140" s="49">
        <v>1</v>
      </c>
      <c r="G140" s="146"/>
      <c r="H140" s="146"/>
      <c r="I140" s="147"/>
      <c r="J140" s="147"/>
      <c r="K140" s="63"/>
    </row>
    <row r="141" spans="1:11" x14ac:dyDescent="0.25">
      <c r="A141" s="56">
        <v>45938</v>
      </c>
      <c r="B141" s="57">
        <v>118</v>
      </c>
      <c r="C141" s="49" t="s">
        <v>19</v>
      </c>
      <c r="D141" s="50" t="str">
        <f>IF(ISBLANK($B141),"",IFERROR(VLOOKUP($B141,ESTOQUE!$B$2:$D$97168,3,FALSE),"Produto não cadastrado"))</f>
        <v>MACACÃO DE PROTEÇÃO TYVEK</v>
      </c>
      <c r="E141" s="49" t="str">
        <f>_xlfn.XLOOKUP(B141,ESTOQUE!B:B,ESTOQUE!G:G,"",0)</f>
        <v>UND</v>
      </c>
      <c r="F141" s="49">
        <v>1</v>
      </c>
      <c r="G141" s="146"/>
      <c r="H141" s="146"/>
      <c r="I141" s="147"/>
      <c r="J141" s="147"/>
      <c r="K141" s="63"/>
    </row>
    <row r="142" spans="1:11" x14ac:dyDescent="0.25">
      <c r="A142" s="56">
        <v>45938</v>
      </c>
      <c r="B142" s="57">
        <v>144</v>
      </c>
      <c r="C142" s="49" t="s">
        <v>19</v>
      </c>
      <c r="D142" s="50" t="str">
        <f>IF(ISBLANK($B142),"",IFERROR(VLOOKUP($B142,ESTOQUE!$B$2:$D$97168,3,FALSE),"Produto não cadastrado"))</f>
        <v>MASCARA PFF2-S C/ FILTRO</v>
      </c>
      <c r="E142" s="49" t="str">
        <f>_xlfn.XLOOKUP(B142,ESTOQUE!B:B,ESTOQUE!G:G,"",0)</f>
        <v>UND</v>
      </c>
      <c r="F142" s="49">
        <v>25</v>
      </c>
      <c r="G142" s="146"/>
      <c r="H142" s="146"/>
      <c r="I142" s="147"/>
      <c r="J142" s="147"/>
      <c r="K142" s="63"/>
    </row>
    <row r="143" spans="1:11" x14ac:dyDescent="0.25">
      <c r="A143" s="56">
        <v>45938</v>
      </c>
      <c r="B143" s="57">
        <v>126</v>
      </c>
      <c r="C143" s="49" t="s">
        <v>19</v>
      </c>
      <c r="D143" s="50" t="str">
        <f>IF(ISBLANK($B143),"",IFERROR(VLOOKUP($B143,ESTOQUE!$B$2:$D$97168,3,FALSE),"Produto não cadastrado"))</f>
        <v>OCULOS DE PROTEÇÃO ESCURO</v>
      </c>
      <c r="E143" s="49" t="str">
        <f>_xlfn.XLOOKUP(B143,ESTOQUE!B:B,ESTOQUE!G:G,"",0)</f>
        <v>UND</v>
      </c>
      <c r="F143" s="49">
        <v>4</v>
      </c>
      <c r="G143" s="146"/>
      <c r="H143" s="146"/>
      <c r="I143" s="147"/>
      <c r="J143" s="147"/>
      <c r="K143" s="63"/>
    </row>
    <row r="144" spans="1:11" x14ac:dyDescent="0.25">
      <c r="A144" s="56">
        <v>45938</v>
      </c>
      <c r="B144" s="57">
        <v>207</v>
      </c>
      <c r="C144" s="49" t="s">
        <v>19</v>
      </c>
      <c r="D144" s="50" t="str">
        <f>IF(ISBLANK($B144),"",IFERROR(VLOOKUP($B144,ESTOQUE!$B$2:$D$97168,3,FALSE),"Produto não cadastrado"))</f>
        <v>LUVA POLIESTER ANTICORTE BANHADA PU TAM 9</v>
      </c>
      <c r="E144" s="49" t="str">
        <f>_xlfn.XLOOKUP(B144,ESTOQUE!B:B,ESTOQUE!G:G,"",0)</f>
        <v>PAR</v>
      </c>
      <c r="F144" s="49">
        <v>1</v>
      </c>
      <c r="G144" s="146"/>
      <c r="H144" s="146"/>
      <c r="I144" s="147"/>
      <c r="J144" s="147"/>
      <c r="K144" s="63"/>
    </row>
    <row r="145" spans="1:11" x14ac:dyDescent="0.25">
      <c r="A145" s="56">
        <v>45938</v>
      </c>
      <c r="B145" s="57">
        <v>46</v>
      </c>
      <c r="C145" s="49" t="s">
        <v>19</v>
      </c>
      <c r="D145" s="50" t="str">
        <f>IF(ISBLANK($B145),"",IFERROR(VLOOKUP($B145,ESTOQUE!$B$2:$D$97168,3,FALSE),"Produto não cadastrado"))</f>
        <v>CALÇA CINZA OP. C/ FAIXA REFLETIVA TAM: G</v>
      </c>
      <c r="E145" s="49" t="str">
        <f>_xlfn.XLOOKUP(B145,ESTOQUE!B:B,ESTOQUE!G:G,"",0)</f>
        <v>UND</v>
      </c>
      <c r="F145" s="49">
        <v>3</v>
      </c>
      <c r="G145" s="146"/>
      <c r="H145" s="146"/>
      <c r="I145" s="147"/>
      <c r="J145" s="147"/>
      <c r="K145" s="63"/>
    </row>
    <row r="146" spans="1:11" x14ac:dyDescent="0.25">
      <c r="A146" s="56">
        <v>45938</v>
      </c>
      <c r="B146" s="57">
        <v>48</v>
      </c>
      <c r="C146" s="49" t="s">
        <v>19</v>
      </c>
      <c r="D146" s="50" t="str">
        <f>IF(ISBLANK($B146),"",IFERROR(VLOOKUP($B146,ESTOQUE!$B$2:$D$97168,3,FALSE),"Produto não cadastrado"))</f>
        <v>CALÇA CINZA OP. C/ FAIXA REFLETIVA TAM: M</v>
      </c>
      <c r="E146" s="49" t="str">
        <f>_xlfn.XLOOKUP(B146,ESTOQUE!B:B,ESTOQUE!G:G,"",0)</f>
        <v>UND</v>
      </c>
      <c r="F146" s="49">
        <v>6</v>
      </c>
      <c r="G146" s="146"/>
      <c r="H146" s="146"/>
      <c r="I146" s="147"/>
      <c r="J146" s="147"/>
      <c r="K146" s="63"/>
    </row>
    <row r="147" spans="1:11" x14ac:dyDescent="0.25">
      <c r="A147" s="56">
        <v>45938</v>
      </c>
      <c r="B147" s="57">
        <v>67</v>
      </c>
      <c r="C147" s="49" t="s">
        <v>19</v>
      </c>
      <c r="D147" s="50" t="str">
        <f>IF(ISBLANK($B147),"",IFERROR(VLOOKUP($B147,ESTOQUE!$B$2:$D$97168,3,FALSE),"Produto não cadastrado"))</f>
        <v>CAMISA LARANJA OP. C/ FAIXA REFLETIVA TAM: G</v>
      </c>
      <c r="E147" s="49" t="str">
        <f>_xlfn.XLOOKUP(B147,ESTOQUE!B:B,ESTOQUE!G:G,"",0)</f>
        <v>UND</v>
      </c>
      <c r="F147" s="49">
        <v>4</v>
      </c>
      <c r="G147" s="146"/>
      <c r="H147" s="146"/>
      <c r="I147" s="147"/>
      <c r="J147" s="147"/>
      <c r="K147" s="63"/>
    </row>
    <row r="148" spans="1:11" x14ac:dyDescent="0.25">
      <c r="A148" s="56">
        <v>45939</v>
      </c>
      <c r="B148" s="57">
        <v>2</v>
      </c>
      <c r="C148" s="49" t="s">
        <v>19</v>
      </c>
      <c r="D148" s="50" t="str">
        <f>IF(ISBLANK($B148),"",IFERROR(VLOOKUP($B148,ESTOQUE!$B$2:$D$97168,3,FALSE),"Produto não cadastrado"))</f>
        <v>AVENTAL DE RASPA TAM 1X60MT</v>
      </c>
      <c r="E148" s="49" t="str">
        <f>_xlfn.XLOOKUP(B148,ESTOQUE!B:B,ESTOQUE!G:G,"",0)</f>
        <v>UND</v>
      </c>
      <c r="F148" s="49">
        <v>1</v>
      </c>
      <c r="G148" s="146"/>
      <c r="H148" s="146"/>
      <c r="I148" s="147"/>
      <c r="J148" s="147"/>
      <c r="K148" s="63"/>
    </row>
    <row r="149" spans="1:11" x14ac:dyDescent="0.25">
      <c r="A149" s="56">
        <v>45939</v>
      </c>
      <c r="B149" s="57">
        <v>38</v>
      </c>
      <c r="C149" s="49" t="s">
        <v>19</v>
      </c>
      <c r="D149" s="50" t="str">
        <f>IF(ISBLANK($B149),"",IFERROR(VLOOKUP($B149,ESTOQUE!$B$2:$D$97168,3,FALSE),"Produto não cadastrado"))</f>
        <v>BOTINA OP. BICO PVC Nº 40</v>
      </c>
      <c r="E149" s="49" t="str">
        <f>_xlfn.XLOOKUP(B149,ESTOQUE!B:B,ESTOQUE!G:G,"",0)</f>
        <v>PAR</v>
      </c>
      <c r="F149" s="49">
        <v>1</v>
      </c>
      <c r="G149" s="146"/>
      <c r="H149" s="146"/>
      <c r="I149" s="147"/>
      <c r="J149" s="147"/>
      <c r="K149" s="63"/>
    </row>
    <row r="150" spans="1:11" x14ac:dyDescent="0.25">
      <c r="A150" s="56">
        <v>45939</v>
      </c>
      <c r="B150" s="57">
        <v>46</v>
      </c>
      <c r="C150" s="49" t="s">
        <v>19</v>
      </c>
      <c r="D150" s="50" t="str">
        <f>IF(ISBLANK($B150),"",IFERROR(VLOOKUP($B150,ESTOQUE!$B$2:$D$97168,3,FALSE),"Produto não cadastrado"))</f>
        <v>CALÇA CINZA OP. C/ FAIXA REFLETIVA TAM: G</v>
      </c>
      <c r="E150" s="49" t="str">
        <f>_xlfn.XLOOKUP(B150,ESTOQUE!B:B,ESTOQUE!G:G,"",0)</f>
        <v>UND</v>
      </c>
      <c r="F150" s="49">
        <v>4</v>
      </c>
      <c r="G150" s="146"/>
      <c r="H150" s="146"/>
      <c r="I150" s="147"/>
      <c r="J150" s="147"/>
      <c r="K150" s="63"/>
    </row>
    <row r="151" spans="1:11" x14ac:dyDescent="0.25">
      <c r="A151" s="56">
        <v>45939</v>
      </c>
      <c r="B151" s="57">
        <v>47</v>
      </c>
      <c r="C151" s="49" t="s">
        <v>19</v>
      </c>
      <c r="D151" s="50" t="str">
        <f>IF(ISBLANK($B151),"",IFERROR(VLOOKUP($B151,ESTOQUE!$B$2:$D$97168,3,FALSE),"Produto não cadastrado"))</f>
        <v>CALÇA CINZA OP. C/ FAIXA REFLETIVA TAM: GG</v>
      </c>
      <c r="E151" s="49" t="str">
        <f>_xlfn.XLOOKUP(B151,ESTOQUE!B:B,ESTOQUE!G:G,"",0)</f>
        <v>UND</v>
      </c>
      <c r="F151" s="49">
        <v>1</v>
      </c>
      <c r="G151" s="146"/>
      <c r="H151" s="146"/>
      <c r="I151" s="147"/>
      <c r="J151" s="147"/>
      <c r="K151" s="63"/>
    </row>
    <row r="152" spans="1:11" x14ac:dyDescent="0.25">
      <c r="A152" s="56">
        <v>45939</v>
      </c>
      <c r="B152" s="57">
        <v>49</v>
      </c>
      <c r="C152" s="49" t="s">
        <v>19</v>
      </c>
      <c r="D152" s="50" t="str">
        <f>IF(ISBLANK($B152),"",IFERROR(VLOOKUP($B152,ESTOQUE!$B$2:$D$97168,3,FALSE),"Produto não cadastrado"))</f>
        <v>CALÇA CINZA OP. C/ FAIXA REFLETIVA TAM: P</v>
      </c>
      <c r="E152" s="49" t="str">
        <f>_xlfn.XLOOKUP(B152,ESTOQUE!B:B,ESTOQUE!G:G,"",0)</f>
        <v>UND</v>
      </c>
      <c r="F152" s="49">
        <v>4</v>
      </c>
      <c r="G152" s="146"/>
      <c r="H152" s="146"/>
      <c r="I152" s="147"/>
      <c r="J152" s="147"/>
      <c r="K152" s="63"/>
    </row>
    <row r="153" spans="1:11" x14ac:dyDescent="0.25">
      <c r="A153" s="56">
        <v>45939</v>
      </c>
      <c r="B153" s="57">
        <v>58</v>
      </c>
      <c r="C153" s="49" t="s">
        <v>19</v>
      </c>
      <c r="D153" s="50" t="str">
        <f>IF(ISBLANK($B153),"",IFERROR(VLOOKUP($B153,ESTOQUE!$B$2:$D$97168,3,FALSE),"Produto não cadastrado"))</f>
        <v>CAMISA ADM FEMININA TAM: M</v>
      </c>
      <c r="E153" s="49" t="str">
        <f>_xlfn.XLOOKUP(B153,ESTOQUE!B:B,ESTOQUE!G:G,"",0)</f>
        <v>UND</v>
      </c>
      <c r="F153" s="49">
        <v>2</v>
      </c>
      <c r="G153" s="146"/>
      <c r="H153" s="146"/>
      <c r="I153" s="147"/>
      <c r="J153" s="147"/>
      <c r="K153" s="63"/>
    </row>
    <row r="154" spans="1:11" x14ac:dyDescent="0.25">
      <c r="A154" s="56">
        <v>45939</v>
      </c>
      <c r="B154" s="57">
        <v>67</v>
      </c>
      <c r="C154" s="49" t="s">
        <v>19</v>
      </c>
      <c r="D154" s="50" t="str">
        <f>IF(ISBLANK($B154),"",IFERROR(VLOOKUP($B154,ESTOQUE!$B$2:$D$97168,3,FALSE),"Produto não cadastrado"))</f>
        <v>CAMISA LARANJA OP. C/ FAIXA REFLETIVA TAM: G</v>
      </c>
      <c r="E154" s="49" t="str">
        <f>_xlfn.XLOOKUP(B154,ESTOQUE!B:B,ESTOQUE!G:G,"",0)</f>
        <v>UND</v>
      </c>
      <c r="F154" s="49">
        <v>2</v>
      </c>
      <c r="G154" s="146"/>
      <c r="H154" s="146"/>
      <c r="I154" s="147"/>
      <c r="J154" s="147"/>
      <c r="K154" s="63"/>
    </row>
    <row r="155" spans="1:11" x14ac:dyDescent="0.25">
      <c r="A155" s="56">
        <v>45939</v>
      </c>
      <c r="B155" s="57">
        <v>68</v>
      </c>
      <c r="C155" s="49" t="s">
        <v>19</v>
      </c>
      <c r="D155" s="50" t="str">
        <f>IF(ISBLANK($B155),"",IFERROR(VLOOKUP($B155,ESTOQUE!$B$2:$D$97168,3,FALSE),"Produto não cadastrado"))</f>
        <v>CAMISA LARANJA OP. C/ FAIXA REFLETIVA TAM: GG</v>
      </c>
      <c r="E155" s="49" t="str">
        <f>_xlfn.XLOOKUP(B155,ESTOQUE!B:B,ESTOQUE!G:G,"",0)</f>
        <v>UND</v>
      </c>
      <c r="F155" s="49">
        <v>1</v>
      </c>
      <c r="G155" s="146"/>
      <c r="H155" s="146"/>
      <c r="I155" s="147"/>
      <c r="J155" s="147"/>
      <c r="K155" s="63"/>
    </row>
    <row r="156" spans="1:11" x14ac:dyDescent="0.25">
      <c r="A156" s="56">
        <v>45939</v>
      </c>
      <c r="B156" s="57">
        <v>69</v>
      </c>
      <c r="C156" s="49" t="s">
        <v>19</v>
      </c>
      <c r="D156" s="50" t="str">
        <f>IF(ISBLANK($B156),"",IFERROR(VLOOKUP($B156,ESTOQUE!$B$2:$D$97168,3,FALSE),"Produto não cadastrado"))</f>
        <v>CAMISA LARANJA OP. C/ FAIXA REFLETIVA TAM: M</v>
      </c>
      <c r="E156" s="49" t="str">
        <f>_xlfn.XLOOKUP(B156,ESTOQUE!B:B,ESTOQUE!G:G,"",0)</f>
        <v>UND</v>
      </c>
      <c r="F156" s="49">
        <v>1</v>
      </c>
      <c r="G156" s="146"/>
      <c r="H156" s="146"/>
      <c r="I156" s="147"/>
      <c r="J156" s="147"/>
      <c r="K156" s="63"/>
    </row>
    <row r="157" spans="1:11" x14ac:dyDescent="0.25">
      <c r="A157" s="56">
        <v>45939</v>
      </c>
      <c r="B157" s="57">
        <v>70</v>
      </c>
      <c r="C157" s="49" t="s">
        <v>19</v>
      </c>
      <c r="D157" s="50" t="str">
        <f>IF(ISBLANK($B157),"",IFERROR(VLOOKUP($B157,ESTOQUE!$B$2:$D$97168,3,FALSE),"Produto não cadastrado"))</f>
        <v>CAMISA LARANJA OP. C/ FAIXA REFLETIVA TAM: P</v>
      </c>
      <c r="E157" s="49" t="str">
        <f>_xlfn.XLOOKUP(B157,ESTOQUE!B:B,ESTOQUE!G:G,"",0)</f>
        <v>UND</v>
      </c>
      <c r="F157" s="49">
        <v>2</v>
      </c>
      <c r="G157" s="146"/>
      <c r="H157" s="146"/>
      <c r="I157" s="147"/>
      <c r="J157" s="147"/>
      <c r="K157" s="63"/>
    </row>
    <row r="158" spans="1:11" x14ac:dyDescent="0.25">
      <c r="A158" s="56">
        <v>45939</v>
      </c>
      <c r="B158" s="57">
        <v>71</v>
      </c>
      <c r="C158" s="49" t="s">
        <v>19</v>
      </c>
      <c r="D158" s="50" t="str">
        <f>IF(ISBLANK($B158),"",IFERROR(VLOOKUP($B158,ESTOQUE!$B$2:$D$97168,3,FALSE),"Produto não cadastrado"))</f>
        <v>CAMISA LARANJA OP. C/ FAIXA REFLETIVA TAM: XG</v>
      </c>
      <c r="E158" s="49" t="str">
        <f>_xlfn.XLOOKUP(B158,ESTOQUE!B:B,ESTOQUE!G:G,"",0)</f>
        <v>UND</v>
      </c>
      <c r="F158" s="49">
        <v>1</v>
      </c>
      <c r="G158" s="146"/>
      <c r="H158" s="146"/>
      <c r="I158" s="147"/>
      <c r="J158" s="147"/>
      <c r="K158" s="63"/>
    </row>
    <row r="159" spans="1:11" x14ac:dyDescent="0.25">
      <c r="A159" s="56">
        <v>45939</v>
      </c>
      <c r="B159" s="57">
        <v>73</v>
      </c>
      <c r="C159" s="49" t="s">
        <v>19</v>
      </c>
      <c r="D159" s="50" t="str">
        <f>IF(ISBLANK($B159),"",IFERROR(VLOOKUP($B159,ESTOQUE!$B$2:$D$97168,3,FALSE),"Produto não cadastrado"))</f>
        <v>CAPA DE CHUVA GG</v>
      </c>
      <c r="E159" s="49" t="str">
        <f>_xlfn.XLOOKUP(B159,ESTOQUE!B:B,ESTOQUE!G:G,"",0)</f>
        <v>UND</v>
      </c>
      <c r="F159" s="49">
        <v>1</v>
      </c>
      <c r="G159" s="146"/>
      <c r="H159" s="146"/>
      <c r="I159" s="147"/>
      <c r="J159" s="147"/>
      <c r="K159" s="63"/>
    </row>
    <row r="160" spans="1:11" x14ac:dyDescent="0.25">
      <c r="A160" s="56">
        <v>45939</v>
      </c>
      <c r="B160" s="57">
        <v>207</v>
      </c>
      <c r="C160" s="49" t="s">
        <v>19</v>
      </c>
      <c r="D160" s="50" t="str">
        <f>IF(ISBLANK($B160),"",IFERROR(VLOOKUP($B160,ESTOQUE!$B$2:$D$97168,3,FALSE),"Produto não cadastrado"))</f>
        <v>LUVA POLIESTER ANTICORTE BANHADA PU TAM 9</v>
      </c>
      <c r="E160" s="49" t="str">
        <f>_xlfn.XLOOKUP(B160,ESTOQUE!B:B,ESTOQUE!G:G,"",0)</f>
        <v>PAR</v>
      </c>
      <c r="F160" s="49">
        <v>9</v>
      </c>
      <c r="G160" s="146"/>
      <c r="H160" s="146"/>
      <c r="I160" s="147"/>
      <c r="J160" s="147"/>
      <c r="K160" s="63"/>
    </row>
    <row r="161" spans="1:11" x14ac:dyDescent="0.25">
      <c r="A161" s="56">
        <v>45939</v>
      </c>
      <c r="B161" s="57">
        <v>144</v>
      </c>
      <c r="C161" s="49" t="s">
        <v>19</v>
      </c>
      <c r="D161" s="50" t="str">
        <f>IF(ISBLANK($B161),"",IFERROR(VLOOKUP($B161,ESTOQUE!$B$2:$D$97168,3,FALSE),"Produto não cadastrado"))</f>
        <v>MASCARA PFF2-S C/ FILTRO</v>
      </c>
      <c r="E161" s="49" t="str">
        <f>_xlfn.XLOOKUP(B161,ESTOQUE!B:B,ESTOQUE!G:G,"",0)</f>
        <v>UND</v>
      </c>
      <c r="F161" s="49">
        <v>70</v>
      </c>
      <c r="G161" s="146"/>
      <c r="H161" s="146"/>
      <c r="I161" s="147"/>
      <c r="J161" s="147"/>
      <c r="K161" s="63"/>
    </row>
    <row r="162" spans="1:11" x14ac:dyDescent="0.25">
      <c r="A162" s="56">
        <v>45939</v>
      </c>
      <c r="B162" s="57">
        <v>192</v>
      </c>
      <c r="C162" s="49" t="s">
        <v>19</v>
      </c>
      <c r="D162" s="50" t="str">
        <f>IF(ISBLANK($B162),"",IFERROR(VLOOKUP($B162,ESTOQUE!$B$2:$D$97168,3,FALSE),"Produto não cadastrado"))</f>
        <v>LUVA QUIMICA ( 2 OU 3)</v>
      </c>
      <c r="E162" s="49" t="str">
        <f>_xlfn.XLOOKUP(B162,ESTOQUE!B:B,ESTOQUE!G:G,"",0)</f>
        <v>UND</v>
      </c>
      <c r="F162" s="49">
        <v>1</v>
      </c>
      <c r="G162" s="146"/>
      <c r="H162" s="146"/>
      <c r="I162" s="147"/>
      <c r="J162" s="147"/>
      <c r="K162" s="63"/>
    </row>
    <row r="163" spans="1:11" x14ac:dyDescent="0.25">
      <c r="A163" s="56">
        <v>45939</v>
      </c>
      <c r="B163" s="57">
        <v>126</v>
      </c>
      <c r="C163" s="49" t="s">
        <v>19</v>
      </c>
      <c r="D163" s="50" t="str">
        <f>IF(ISBLANK($B163),"",IFERROR(VLOOKUP($B163,ESTOQUE!$B$2:$D$97168,3,FALSE),"Produto não cadastrado"))</f>
        <v>OCULOS DE PROTEÇÃO ESCURO</v>
      </c>
      <c r="E163" s="49" t="str">
        <f>_xlfn.XLOOKUP(B163,ESTOQUE!B:B,ESTOQUE!G:G,"",0)</f>
        <v>UND</v>
      </c>
      <c r="F163" s="49">
        <v>5</v>
      </c>
      <c r="G163" s="146"/>
      <c r="H163" s="146"/>
      <c r="I163" s="147"/>
      <c r="J163" s="147"/>
      <c r="K163" s="63"/>
    </row>
    <row r="164" spans="1:11" x14ac:dyDescent="0.25">
      <c r="A164" s="56">
        <v>45939</v>
      </c>
      <c r="B164" s="57">
        <v>124</v>
      </c>
      <c r="C164" s="49" t="s">
        <v>19</v>
      </c>
      <c r="D164" s="50" t="str">
        <f>IF(ISBLANK($B164),"",IFERROR(VLOOKUP($B164,ESTOQUE!$B$2:$D$97168,3,FALSE),"Produto não cadastrado"))</f>
        <v xml:space="preserve">OCULOS DE PROTEÇÃO INCOLOR </v>
      </c>
      <c r="E164" s="49" t="str">
        <f>_xlfn.XLOOKUP(B164,ESTOQUE!B:B,ESTOQUE!G:G,"",0)</f>
        <v>UND</v>
      </c>
      <c r="F164" s="49">
        <v>1</v>
      </c>
      <c r="G164" s="146"/>
      <c r="H164" s="146"/>
      <c r="I164" s="147"/>
      <c r="J164" s="147"/>
      <c r="K164" s="63"/>
    </row>
    <row r="165" spans="1:11" x14ac:dyDescent="0.25">
      <c r="A165" s="56">
        <v>45939</v>
      </c>
      <c r="B165" s="57">
        <v>129</v>
      </c>
      <c r="C165" s="49" t="s">
        <v>19</v>
      </c>
      <c r="D165" s="50" t="str">
        <f>IF(ISBLANK($B165),"",IFERROR(VLOOKUP($B165,ESTOQUE!$B$2:$D$97168,3,FALSE),"Produto não cadastrado"))</f>
        <v>PERNEIRA DE RASPA</v>
      </c>
      <c r="E165" s="49" t="str">
        <f>_xlfn.XLOOKUP(B165,ESTOQUE!B:B,ESTOQUE!G:G,"",0)</f>
        <v>PAR</v>
      </c>
      <c r="F165" s="49">
        <v>7</v>
      </c>
      <c r="G165" s="146"/>
      <c r="H165" s="146"/>
      <c r="I165" s="147"/>
      <c r="J165" s="147"/>
      <c r="K165" s="63"/>
    </row>
    <row r="166" spans="1:11" x14ac:dyDescent="0.25">
      <c r="A166" s="56">
        <v>45939</v>
      </c>
      <c r="B166" s="57">
        <v>130</v>
      </c>
      <c r="C166" s="49" t="s">
        <v>19</v>
      </c>
      <c r="D166" s="50" t="str">
        <f>IF(ISBLANK($B166),"",IFERROR(VLOOKUP($B166,ESTOQUE!$B$2:$D$97168,3,FALSE),"Produto não cadastrado"))</f>
        <v>PROTETOR AUDITIVO TIPO CONCHA L-300</v>
      </c>
      <c r="E166" s="49" t="str">
        <f>_xlfn.XLOOKUP(B166,ESTOQUE!B:B,ESTOQUE!G:G,"",0)</f>
        <v>UND</v>
      </c>
      <c r="F166" s="49">
        <v>2</v>
      </c>
      <c r="G166" s="146"/>
      <c r="H166" s="146"/>
      <c r="I166" s="147"/>
      <c r="J166" s="147"/>
      <c r="K166" s="63"/>
    </row>
    <row r="167" spans="1:11" x14ac:dyDescent="0.25">
      <c r="A167" s="56">
        <v>45939</v>
      </c>
      <c r="B167" s="57">
        <v>139</v>
      </c>
      <c r="C167" s="49" t="s">
        <v>19</v>
      </c>
      <c r="D167" s="50" t="str">
        <f>IF(ISBLANK($B167),"",IFERROR(VLOOKUP($B167,ESTOQUE!$B$2:$D$97168,3,FALSE),"Produto não cadastrado"))</f>
        <v>PROTETOR AURICULAR TIPO PLUG</v>
      </c>
      <c r="E167" s="49" t="str">
        <f>_xlfn.XLOOKUP(B167,ESTOQUE!B:B,ESTOQUE!G:G,"",0)</f>
        <v>UND</v>
      </c>
      <c r="F167" s="49">
        <v>5</v>
      </c>
      <c r="G167" s="146"/>
      <c r="H167" s="146"/>
      <c r="I167" s="147"/>
      <c r="J167" s="147"/>
      <c r="K167" s="63"/>
    </row>
    <row r="168" spans="1:11" x14ac:dyDescent="0.25">
      <c r="A168" s="56">
        <v>45940</v>
      </c>
      <c r="B168" s="57">
        <v>17</v>
      </c>
      <c r="C168" s="49" t="s">
        <v>19</v>
      </c>
      <c r="D168" s="50" t="str">
        <f>IF(ISBLANK($B168),"",IFERROR(VLOOKUP($B168,ESTOQUE!$B$2:$D$97168,3,FALSE),"Produto não cadastrado"))</f>
        <v>BOTA PVC CANO MEDIO Nº 38</v>
      </c>
      <c r="E168" s="49" t="str">
        <f>_xlfn.XLOOKUP(B168,ESTOQUE!B:B,ESTOQUE!G:G,"",0)</f>
        <v>PAR</v>
      </c>
      <c r="F168" s="49">
        <v>1</v>
      </c>
      <c r="G168" s="146"/>
      <c r="H168" s="146"/>
      <c r="I168" s="147"/>
      <c r="J168" s="147"/>
      <c r="K168" s="63"/>
    </row>
    <row r="169" spans="1:11" x14ac:dyDescent="0.25">
      <c r="A169" s="56">
        <v>45940</v>
      </c>
      <c r="B169" s="57">
        <v>38</v>
      </c>
      <c r="C169" s="49" t="s">
        <v>19</v>
      </c>
      <c r="D169" s="50" t="str">
        <f>IF(ISBLANK($B169),"",IFERROR(VLOOKUP($B169,ESTOQUE!$B$2:$D$97168,3,FALSE),"Produto não cadastrado"))</f>
        <v>BOTINA OP. BICO PVC Nº 40</v>
      </c>
      <c r="E169" s="49" t="str">
        <f>_xlfn.XLOOKUP(B169,ESTOQUE!B:B,ESTOQUE!G:G,"",0)</f>
        <v>PAR</v>
      </c>
      <c r="F169" s="49">
        <v>1</v>
      </c>
      <c r="G169" s="146"/>
      <c r="H169" s="146"/>
      <c r="I169" s="147"/>
      <c r="J169" s="147"/>
      <c r="K169" s="63"/>
    </row>
    <row r="170" spans="1:11" x14ac:dyDescent="0.25">
      <c r="A170" s="56">
        <v>45940</v>
      </c>
      <c r="B170" s="57">
        <v>39</v>
      </c>
      <c r="C170" s="49" t="s">
        <v>19</v>
      </c>
      <c r="D170" s="50" t="str">
        <f>IF(ISBLANK($B170),"",IFERROR(VLOOKUP($B170,ESTOQUE!$B$2:$D$97168,3,FALSE),"Produto não cadastrado"))</f>
        <v>BOTINA OP. BICO PVC Nº 41</v>
      </c>
      <c r="E170" s="49" t="str">
        <f>_xlfn.XLOOKUP(B170,ESTOQUE!B:B,ESTOQUE!G:G,"",0)</f>
        <v>PAR</v>
      </c>
      <c r="F170" s="49">
        <v>1</v>
      </c>
      <c r="G170" s="146"/>
      <c r="H170" s="146"/>
      <c r="I170" s="147"/>
      <c r="J170" s="147"/>
      <c r="K170" s="63"/>
    </row>
    <row r="171" spans="1:11" x14ac:dyDescent="0.25">
      <c r="A171" s="56">
        <v>45940</v>
      </c>
      <c r="B171" s="57">
        <v>46</v>
      </c>
      <c r="C171" s="49" t="s">
        <v>19</v>
      </c>
      <c r="D171" s="50" t="str">
        <f>IF(ISBLANK($B171),"",IFERROR(VLOOKUP($B171,ESTOQUE!$B$2:$D$97168,3,FALSE),"Produto não cadastrado"))</f>
        <v>CALÇA CINZA OP. C/ FAIXA REFLETIVA TAM: G</v>
      </c>
      <c r="E171" s="49" t="str">
        <f>_xlfn.XLOOKUP(B171,ESTOQUE!B:B,ESTOQUE!G:G,"",0)</f>
        <v>UND</v>
      </c>
      <c r="F171" s="49">
        <v>2</v>
      </c>
      <c r="G171" s="146"/>
      <c r="H171" s="146"/>
      <c r="I171" s="147"/>
      <c r="J171" s="147"/>
      <c r="K171" s="63"/>
    </row>
    <row r="172" spans="1:11" x14ac:dyDescent="0.25">
      <c r="A172" s="56">
        <v>45940</v>
      </c>
      <c r="B172" s="57">
        <v>47</v>
      </c>
      <c r="C172" s="49" t="s">
        <v>19</v>
      </c>
      <c r="D172" s="50" t="str">
        <f>IF(ISBLANK($B172),"",IFERROR(VLOOKUP($B172,ESTOQUE!$B$2:$D$97168,3,FALSE),"Produto não cadastrado"))</f>
        <v>CALÇA CINZA OP. C/ FAIXA REFLETIVA TAM: GG</v>
      </c>
      <c r="E172" s="49" t="str">
        <f>_xlfn.XLOOKUP(B172,ESTOQUE!B:B,ESTOQUE!G:G,"",0)</f>
        <v>UND</v>
      </c>
      <c r="F172" s="49">
        <v>2</v>
      </c>
      <c r="G172" s="146"/>
      <c r="H172" s="146"/>
      <c r="I172" s="147"/>
      <c r="J172" s="147"/>
      <c r="K172" s="63"/>
    </row>
    <row r="173" spans="1:11" x14ac:dyDescent="0.25">
      <c r="A173" s="56">
        <v>45940</v>
      </c>
      <c r="B173" s="57">
        <v>49</v>
      </c>
      <c r="C173" s="49" t="s">
        <v>19</v>
      </c>
      <c r="D173" s="50" t="str">
        <f>IF(ISBLANK($B173),"",IFERROR(VLOOKUP($B173,ESTOQUE!$B$2:$D$97168,3,FALSE),"Produto não cadastrado"))</f>
        <v>CALÇA CINZA OP. C/ FAIXA REFLETIVA TAM: P</v>
      </c>
      <c r="E173" s="49" t="str">
        <f>_xlfn.XLOOKUP(B173,ESTOQUE!B:B,ESTOQUE!G:G,"",0)</f>
        <v>UND</v>
      </c>
      <c r="F173" s="49">
        <v>4</v>
      </c>
      <c r="G173" s="146"/>
      <c r="H173" s="146"/>
      <c r="I173" s="147"/>
      <c r="J173" s="147"/>
      <c r="K173" s="63"/>
    </row>
    <row r="174" spans="1:11" x14ac:dyDescent="0.25">
      <c r="A174" s="56">
        <v>45940</v>
      </c>
      <c r="B174" s="57">
        <v>60</v>
      </c>
      <c r="C174" s="49" t="s">
        <v>19</v>
      </c>
      <c r="D174" s="50" t="str">
        <f>IF(ISBLANK($B174),"",IFERROR(VLOOKUP($B174,ESTOQUE!$B$2:$D$97168,3,FALSE),"Produto não cadastrado"))</f>
        <v>CAMISA ADM MASCULINA TAM: G</v>
      </c>
      <c r="E174" s="49" t="str">
        <f>_xlfn.XLOOKUP(B174,ESTOQUE!B:B,ESTOQUE!G:G,"",0)</f>
        <v>UND</v>
      </c>
      <c r="F174" s="49">
        <v>1</v>
      </c>
      <c r="G174" s="146"/>
      <c r="H174" s="146"/>
      <c r="I174" s="147"/>
      <c r="J174" s="147"/>
      <c r="K174" s="63"/>
    </row>
    <row r="175" spans="1:11" x14ac:dyDescent="0.25">
      <c r="A175" s="56">
        <v>45940</v>
      </c>
      <c r="B175" s="57">
        <v>67</v>
      </c>
      <c r="C175" s="49" t="s">
        <v>19</v>
      </c>
      <c r="D175" s="50" t="str">
        <f>IF(ISBLANK($B175),"",IFERROR(VLOOKUP($B175,ESTOQUE!$B$2:$D$97168,3,FALSE),"Produto não cadastrado"))</f>
        <v>CAMISA LARANJA OP. C/ FAIXA REFLETIVA TAM: G</v>
      </c>
      <c r="E175" s="49" t="str">
        <f>_xlfn.XLOOKUP(B175,ESTOQUE!B:B,ESTOQUE!G:G,"",0)</f>
        <v>UND</v>
      </c>
      <c r="F175" s="49">
        <v>4</v>
      </c>
      <c r="G175" s="146"/>
      <c r="H175" s="146"/>
      <c r="I175" s="147"/>
      <c r="J175" s="147"/>
      <c r="K175" s="63"/>
    </row>
    <row r="176" spans="1:11" x14ac:dyDescent="0.25">
      <c r="A176" s="56">
        <v>45940</v>
      </c>
      <c r="B176" s="57">
        <v>69</v>
      </c>
      <c r="C176" s="49" t="s">
        <v>19</v>
      </c>
      <c r="D176" s="50" t="str">
        <f>IF(ISBLANK($B176),"",IFERROR(VLOOKUP($B176,ESTOQUE!$B$2:$D$97168,3,FALSE),"Produto não cadastrado"))</f>
        <v>CAMISA LARANJA OP. C/ FAIXA REFLETIVA TAM: M</v>
      </c>
      <c r="E176" s="49" t="str">
        <f>_xlfn.XLOOKUP(B176,ESTOQUE!B:B,ESTOQUE!G:G,"",0)</f>
        <v>UND</v>
      </c>
      <c r="F176" s="49">
        <v>1</v>
      </c>
      <c r="G176" s="146"/>
      <c r="H176" s="146"/>
      <c r="I176" s="147"/>
      <c r="J176" s="147"/>
      <c r="K176" s="63"/>
    </row>
    <row r="177" spans="1:11" x14ac:dyDescent="0.25">
      <c r="A177" s="56">
        <v>45940</v>
      </c>
      <c r="B177" s="57">
        <v>70</v>
      </c>
      <c r="C177" s="49" t="s">
        <v>19</v>
      </c>
      <c r="D177" s="50" t="str">
        <f>IF(ISBLANK($B177),"",IFERROR(VLOOKUP($B177,ESTOQUE!$B$2:$D$97168,3,FALSE),"Produto não cadastrado"))</f>
        <v>CAMISA LARANJA OP. C/ FAIXA REFLETIVA TAM: P</v>
      </c>
      <c r="E177" s="49" t="str">
        <f>_xlfn.XLOOKUP(B177,ESTOQUE!B:B,ESTOQUE!G:G,"",0)</f>
        <v>UND</v>
      </c>
      <c r="F177" s="49">
        <v>3</v>
      </c>
      <c r="G177" s="146"/>
      <c r="H177" s="146"/>
      <c r="I177" s="147"/>
      <c r="J177" s="147"/>
      <c r="K177" s="63"/>
    </row>
    <row r="178" spans="1:11" x14ac:dyDescent="0.25">
      <c r="A178" s="56">
        <v>45940</v>
      </c>
      <c r="B178" s="57">
        <v>72</v>
      </c>
      <c r="C178" s="49" t="s">
        <v>19</v>
      </c>
      <c r="D178" s="50" t="str">
        <f>IF(ISBLANK($B178),"",IFERROR(VLOOKUP($B178,ESTOQUE!$B$2:$D$97168,3,FALSE),"Produto não cadastrado"))</f>
        <v>CAPA DE CHUVA G</v>
      </c>
      <c r="E178" s="49" t="str">
        <f>_xlfn.XLOOKUP(B178,ESTOQUE!B:B,ESTOQUE!G:G,"",0)</f>
        <v>UND</v>
      </c>
      <c r="F178" s="49">
        <v>1</v>
      </c>
      <c r="G178" s="146"/>
      <c r="H178" s="146"/>
      <c r="I178" s="147"/>
      <c r="J178" s="147"/>
      <c r="K178" s="63"/>
    </row>
    <row r="179" spans="1:11" x14ac:dyDescent="0.25">
      <c r="A179" s="56">
        <v>45940</v>
      </c>
      <c r="B179" s="57">
        <v>96</v>
      </c>
      <c r="C179" s="49" t="s">
        <v>19</v>
      </c>
      <c r="D179" s="50" t="str">
        <f>IF(ISBLANK($B179),"",IFERROR(VLOOKUP($B179,ESTOQUE!$B$2:$D$97168,3,FALSE),"Produto não cadastrado"))</f>
        <v xml:space="preserve">CINTO DE SEGURANÇA MODELO:C70 </v>
      </c>
      <c r="E179" s="49" t="str">
        <f>_xlfn.XLOOKUP(B179,ESTOQUE!B:B,ESTOQUE!G:G,"",0)</f>
        <v>UND</v>
      </c>
      <c r="F179" s="49">
        <v>2</v>
      </c>
      <c r="G179" s="146"/>
      <c r="H179" s="146"/>
      <c r="I179" s="147"/>
      <c r="J179" s="147"/>
      <c r="K179" s="63"/>
    </row>
    <row r="180" spans="1:11" x14ac:dyDescent="0.25">
      <c r="A180" s="56">
        <v>45940</v>
      </c>
      <c r="B180" s="57">
        <v>135</v>
      </c>
      <c r="C180" s="49" t="s">
        <v>19</v>
      </c>
      <c r="D180" s="50" t="str">
        <f>IF(ISBLANK($B180),"",IFERROR(VLOOKUP($B180,ESTOQUE!$B$2:$D$97168,3,FALSE),"Produto não cadastrado"))</f>
        <v>TALABARTE DUPLO TIPO Y</v>
      </c>
      <c r="E180" s="49" t="str">
        <f>_xlfn.XLOOKUP(B180,ESTOQUE!B:B,ESTOQUE!G:G,"",0)</f>
        <v>UND</v>
      </c>
      <c r="F180" s="49">
        <v>3</v>
      </c>
      <c r="G180" s="146"/>
      <c r="H180" s="146"/>
      <c r="I180" s="147"/>
      <c r="J180" s="147"/>
      <c r="K180" s="63"/>
    </row>
    <row r="181" spans="1:11" x14ac:dyDescent="0.25">
      <c r="A181" s="56">
        <v>45940</v>
      </c>
      <c r="B181" s="57">
        <v>117</v>
      </c>
      <c r="C181" s="49" t="s">
        <v>19</v>
      </c>
      <c r="D181" s="50" t="str">
        <f>IF(ISBLANK($B181),"",IFERROR(VLOOKUP($B181,ESTOQUE!$B$2:$D$97168,3,FALSE),"Produto não cadastrado"))</f>
        <v>LUVA PIGMENTADA</v>
      </c>
      <c r="E181" s="49" t="str">
        <f>_xlfn.XLOOKUP(B181,ESTOQUE!B:B,ESTOQUE!G:G,"",0)</f>
        <v>PAR</v>
      </c>
      <c r="F181" s="49">
        <v>4</v>
      </c>
      <c r="G181" s="146"/>
      <c r="H181" s="146"/>
      <c r="I181" s="147"/>
      <c r="J181" s="147"/>
      <c r="K181" s="63"/>
    </row>
    <row r="182" spans="1:11" x14ac:dyDescent="0.25">
      <c r="A182" s="56">
        <v>45940</v>
      </c>
      <c r="B182" s="57">
        <v>207</v>
      </c>
      <c r="C182" s="49" t="s">
        <v>19</v>
      </c>
      <c r="D182" s="50" t="str">
        <f>IF(ISBLANK($B182),"",IFERROR(VLOOKUP($B182,ESTOQUE!$B$2:$D$97168,3,FALSE),"Produto não cadastrado"))</f>
        <v>LUVA POLIESTER ANTICORTE BANHADA PU TAM 9</v>
      </c>
      <c r="E182" s="49" t="str">
        <f>_xlfn.XLOOKUP(B182,ESTOQUE!B:B,ESTOQUE!G:G,"",0)</f>
        <v>PAR</v>
      </c>
      <c r="F182" s="49">
        <v>25</v>
      </c>
      <c r="G182" s="146"/>
      <c r="H182" s="146"/>
      <c r="I182" s="147"/>
      <c r="J182" s="147"/>
      <c r="K182" s="63"/>
    </row>
    <row r="183" spans="1:11" x14ac:dyDescent="0.25">
      <c r="A183" s="56">
        <v>45940</v>
      </c>
      <c r="B183" s="57">
        <v>118</v>
      </c>
      <c r="C183" s="49" t="s">
        <v>19</v>
      </c>
      <c r="D183" s="50" t="str">
        <f>IF(ISBLANK($B183),"",IFERROR(VLOOKUP($B183,ESTOQUE!$B$2:$D$97168,3,FALSE),"Produto não cadastrado"))</f>
        <v>MACACÃO DE PROTEÇÃO TYVEK</v>
      </c>
      <c r="E183" s="49" t="str">
        <f>_xlfn.XLOOKUP(B183,ESTOQUE!B:B,ESTOQUE!G:G,"",0)</f>
        <v>UND</v>
      </c>
      <c r="F183" s="49">
        <v>7</v>
      </c>
      <c r="G183" s="146"/>
      <c r="H183" s="146"/>
      <c r="I183" s="147"/>
      <c r="J183" s="147"/>
      <c r="K183" s="63"/>
    </row>
    <row r="184" spans="1:11" x14ac:dyDescent="0.25">
      <c r="A184" s="56">
        <v>45940</v>
      </c>
      <c r="B184" s="57">
        <v>144</v>
      </c>
      <c r="C184" s="49" t="s">
        <v>19</v>
      </c>
      <c r="D184" s="50" t="str">
        <f>IF(ISBLANK($B184),"",IFERROR(VLOOKUP($B184,ESTOQUE!$B$2:$D$97168,3,FALSE),"Produto não cadastrado"))</f>
        <v>MASCARA PFF2-S C/ FILTRO</v>
      </c>
      <c r="E184" s="49" t="str">
        <f>_xlfn.XLOOKUP(B184,ESTOQUE!B:B,ESTOQUE!G:G,"",0)</f>
        <v>UND</v>
      </c>
      <c r="F184" s="49">
        <v>30</v>
      </c>
      <c r="G184" s="146"/>
      <c r="H184" s="146"/>
      <c r="I184" s="147"/>
      <c r="J184" s="147"/>
      <c r="K184" s="63"/>
    </row>
    <row r="185" spans="1:11" x14ac:dyDescent="0.25">
      <c r="A185" s="56">
        <v>45940</v>
      </c>
      <c r="B185" s="57">
        <v>126</v>
      </c>
      <c r="C185" s="49" t="s">
        <v>19</v>
      </c>
      <c r="D185" s="50" t="str">
        <f>IF(ISBLANK($B185),"",IFERROR(VLOOKUP($B185,ESTOQUE!$B$2:$D$97168,3,FALSE),"Produto não cadastrado"))</f>
        <v>OCULOS DE PROTEÇÃO ESCURO</v>
      </c>
      <c r="E185" s="49" t="str">
        <f>_xlfn.XLOOKUP(B185,ESTOQUE!B:B,ESTOQUE!G:G,"",0)</f>
        <v>UND</v>
      </c>
      <c r="F185" s="49">
        <v>5</v>
      </c>
      <c r="G185" s="146"/>
      <c r="H185" s="146"/>
      <c r="I185" s="147"/>
      <c r="J185" s="147"/>
      <c r="K185" s="63"/>
    </row>
    <row r="186" spans="1:11" x14ac:dyDescent="0.25">
      <c r="A186" s="56">
        <v>45940</v>
      </c>
      <c r="B186" s="57">
        <v>124</v>
      </c>
      <c r="C186" s="49" t="s">
        <v>19</v>
      </c>
      <c r="D186" s="50" t="str">
        <f>IF(ISBLANK($B186),"",IFERROR(VLOOKUP($B186,ESTOQUE!$B$2:$D$97168,3,FALSE),"Produto não cadastrado"))</f>
        <v xml:space="preserve">OCULOS DE PROTEÇÃO INCOLOR </v>
      </c>
      <c r="E186" s="49" t="str">
        <f>_xlfn.XLOOKUP(B186,ESTOQUE!B:B,ESTOQUE!G:G,"",0)</f>
        <v>UND</v>
      </c>
      <c r="F186" s="49">
        <v>4</v>
      </c>
      <c r="G186" s="146"/>
      <c r="H186" s="146"/>
      <c r="I186" s="147"/>
      <c r="J186" s="147"/>
      <c r="K186" s="63"/>
    </row>
    <row r="187" spans="1:11" x14ac:dyDescent="0.25">
      <c r="A187" s="56">
        <v>45940</v>
      </c>
      <c r="B187" s="57">
        <v>129</v>
      </c>
      <c r="C187" s="49" t="s">
        <v>19</v>
      </c>
      <c r="D187" s="50" t="str">
        <f>IF(ISBLANK($B187),"",IFERROR(VLOOKUP($B187,ESTOQUE!$B$2:$D$97168,3,FALSE),"Produto não cadastrado"))</f>
        <v>PERNEIRA DE RASPA</v>
      </c>
      <c r="E187" s="49" t="str">
        <f>_xlfn.XLOOKUP(B187,ESTOQUE!B:B,ESTOQUE!G:G,"",0)</f>
        <v>PAR</v>
      </c>
      <c r="F187" s="49">
        <v>1</v>
      </c>
      <c r="G187" s="146"/>
      <c r="H187" s="146"/>
      <c r="I187" s="147"/>
      <c r="J187" s="147"/>
      <c r="K187" s="63"/>
    </row>
    <row r="188" spans="1:11" x14ac:dyDescent="0.25">
      <c r="A188" s="56">
        <v>45940</v>
      </c>
      <c r="B188" s="57">
        <v>139</v>
      </c>
      <c r="C188" s="49" t="s">
        <v>19</v>
      </c>
      <c r="D188" s="50" t="str">
        <f>IF(ISBLANK($B188),"",IFERROR(VLOOKUP($B188,ESTOQUE!$B$2:$D$97168,3,FALSE),"Produto não cadastrado"))</f>
        <v>PROTETOR AURICULAR TIPO PLUG</v>
      </c>
      <c r="E188" s="49" t="str">
        <f>_xlfn.XLOOKUP(B188,ESTOQUE!B:B,ESTOQUE!G:G,"",0)</f>
        <v>UND</v>
      </c>
      <c r="F188" s="49">
        <v>3</v>
      </c>
      <c r="G188" s="146"/>
      <c r="H188" s="146"/>
      <c r="I188" s="147"/>
      <c r="J188" s="147"/>
      <c r="K188" s="63"/>
    </row>
    <row r="189" spans="1:11" x14ac:dyDescent="0.25">
      <c r="A189" s="56">
        <v>45940</v>
      </c>
      <c r="B189" s="57">
        <v>224</v>
      </c>
      <c r="C189" s="49" t="s">
        <v>19</v>
      </c>
      <c r="D189" s="50" t="str">
        <f>IF(ISBLANK($B189),"",IFERROR(VLOOKUP($B189,ESTOQUE!$B$2:$D$97168,3,FALSE),"Produto não cadastrado"))</f>
        <v>OCULOS OPERACIONAL SOBRE POR ESCURO</v>
      </c>
      <c r="E189" s="49" t="str">
        <f>_xlfn.XLOOKUP(B189,ESTOQUE!B:B,ESTOQUE!G:G,"",0)</f>
        <v>UND</v>
      </c>
      <c r="F189" s="49">
        <v>1</v>
      </c>
      <c r="G189" s="146"/>
      <c r="H189" s="146"/>
      <c r="I189" s="147"/>
      <c r="J189" s="147"/>
      <c r="K189" s="63"/>
    </row>
    <row r="190" spans="1:11" x14ac:dyDescent="0.25">
      <c r="A190" s="56">
        <v>45941</v>
      </c>
      <c r="B190" s="57">
        <v>39</v>
      </c>
      <c r="C190" s="49" t="s">
        <v>19</v>
      </c>
      <c r="D190" s="50" t="str">
        <f>IF(ISBLANK($B190),"",IFERROR(VLOOKUP($B190,ESTOQUE!$B$2:$D$97168,3,FALSE),"Produto não cadastrado"))</f>
        <v>BOTINA OP. BICO PVC Nº 41</v>
      </c>
      <c r="E190" s="49" t="str">
        <f>_xlfn.XLOOKUP(B190,ESTOQUE!B:B,ESTOQUE!G:G,"",0)</f>
        <v>PAR</v>
      </c>
      <c r="F190" s="49">
        <v>2</v>
      </c>
      <c r="G190" s="146"/>
      <c r="H190" s="146"/>
      <c r="I190" s="147"/>
      <c r="J190" s="147"/>
      <c r="K190" s="63"/>
    </row>
    <row r="191" spans="1:11" x14ac:dyDescent="0.25">
      <c r="A191" s="56">
        <v>45941</v>
      </c>
      <c r="B191" s="57">
        <v>40</v>
      </c>
      <c r="C191" s="49" t="s">
        <v>19</v>
      </c>
      <c r="D191" s="50" t="str">
        <f>IF(ISBLANK($B191),"",IFERROR(VLOOKUP($B191,ESTOQUE!$B$2:$D$97168,3,FALSE),"Produto não cadastrado"))</f>
        <v>BOTINA OP. BICO PVC Nº 42</v>
      </c>
      <c r="E191" s="49" t="str">
        <f>_xlfn.XLOOKUP(B191,ESTOQUE!B:B,ESTOQUE!G:G,"",0)</f>
        <v>PAR</v>
      </c>
      <c r="F191" s="49">
        <v>1</v>
      </c>
      <c r="G191" s="146"/>
      <c r="H191" s="146"/>
      <c r="I191" s="147"/>
      <c r="J191" s="147"/>
      <c r="K191" s="63"/>
    </row>
    <row r="192" spans="1:11" x14ac:dyDescent="0.25">
      <c r="A192" s="56">
        <v>45941</v>
      </c>
      <c r="B192" s="57">
        <v>188</v>
      </c>
      <c r="C192" s="49" t="s">
        <v>19</v>
      </c>
      <c r="D192" s="50" t="str">
        <f>IF(ISBLANK($B192),"",IFERROR(VLOOKUP($B192,ESTOQUE!$B$2:$D$97168,3,FALSE),"Produto não cadastrado"))</f>
        <v>COLETE REFLETIVO LARANJA XG</v>
      </c>
      <c r="E192" s="49" t="str">
        <f>_xlfn.XLOOKUP(B192,ESTOQUE!B:B,ESTOQUE!G:G,"",0)</f>
        <v>UND</v>
      </c>
      <c r="F192" s="49">
        <v>1</v>
      </c>
      <c r="G192" s="146"/>
      <c r="H192" s="146"/>
      <c r="I192" s="147"/>
      <c r="J192" s="147"/>
      <c r="K192" s="63"/>
    </row>
    <row r="193" spans="1:11" x14ac:dyDescent="0.25">
      <c r="A193" s="56">
        <v>45941</v>
      </c>
      <c r="B193" s="57">
        <v>207</v>
      </c>
      <c r="C193" s="49" t="s">
        <v>19</v>
      </c>
      <c r="D193" s="50" t="str">
        <f>IF(ISBLANK($B193),"",IFERROR(VLOOKUP($B193,ESTOQUE!$B$2:$D$97168,3,FALSE),"Produto não cadastrado"))</f>
        <v>LUVA POLIESTER ANTICORTE BANHADA PU TAM 9</v>
      </c>
      <c r="E193" s="49" t="str">
        <f>_xlfn.XLOOKUP(B193,ESTOQUE!B:B,ESTOQUE!G:G,"",0)</f>
        <v>PAR</v>
      </c>
      <c r="F193" s="49">
        <v>6</v>
      </c>
      <c r="G193" s="146"/>
      <c r="H193" s="146"/>
      <c r="I193" s="147"/>
      <c r="J193" s="147"/>
      <c r="K193" s="63"/>
    </row>
    <row r="194" spans="1:11" x14ac:dyDescent="0.25">
      <c r="A194" s="56">
        <v>45941</v>
      </c>
      <c r="B194" s="57">
        <v>139</v>
      </c>
      <c r="C194" s="49" t="s">
        <v>19</v>
      </c>
      <c r="D194" s="50" t="str">
        <f>IF(ISBLANK($B194),"",IFERROR(VLOOKUP($B194,ESTOQUE!$B$2:$D$97168,3,FALSE),"Produto não cadastrado"))</f>
        <v>PROTETOR AURICULAR TIPO PLUG</v>
      </c>
      <c r="E194" s="49" t="str">
        <f>_xlfn.XLOOKUP(B194,ESTOQUE!B:B,ESTOQUE!G:G,"",0)</f>
        <v>UND</v>
      </c>
      <c r="F194" s="49">
        <v>2</v>
      </c>
      <c r="G194" s="146"/>
      <c r="H194" s="146"/>
      <c r="I194" s="147"/>
      <c r="J194" s="147"/>
      <c r="K194" s="63"/>
    </row>
    <row r="195" spans="1:11" x14ac:dyDescent="0.25">
      <c r="A195" s="56">
        <v>45941</v>
      </c>
      <c r="B195" s="57">
        <v>144</v>
      </c>
      <c r="C195" s="49" t="s">
        <v>19</v>
      </c>
      <c r="D195" s="50" t="str">
        <f>IF(ISBLANK($B195),"",IFERROR(VLOOKUP($B195,ESTOQUE!$B$2:$D$97168,3,FALSE),"Produto não cadastrado"))</f>
        <v>MASCARA PFF2-S C/ FILTRO</v>
      </c>
      <c r="E195" s="49" t="str">
        <f>_xlfn.XLOOKUP(B195,ESTOQUE!B:B,ESTOQUE!G:G,"",0)</f>
        <v>UND</v>
      </c>
      <c r="F195" s="49">
        <v>25</v>
      </c>
      <c r="G195" s="146"/>
      <c r="H195" s="146"/>
      <c r="I195" s="147"/>
      <c r="J195" s="147"/>
      <c r="K195" s="63"/>
    </row>
    <row r="196" spans="1:11" x14ac:dyDescent="0.25">
      <c r="A196" s="56">
        <v>45941</v>
      </c>
      <c r="B196" s="57">
        <v>159</v>
      </c>
      <c r="C196" s="49" t="s">
        <v>19</v>
      </c>
      <c r="D196" s="50" t="str">
        <f>IF(ISBLANK($B196),"",IFERROR(VLOOKUP($B196,ESTOQUE!$B$2:$D$97168,3,FALSE),"Produto não cadastrado"))</f>
        <v>LUVA VOLK ANTIVIBRAÇÃO GORILA TAM 9</v>
      </c>
      <c r="E196" s="49" t="str">
        <f>_xlfn.XLOOKUP(B196,ESTOQUE!B:B,ESTOQUE!G:G,"",0)</f>
        <v>PAR</v>
      </c>
      <c r="F196" s="49">
        <v>1</v>
      </c>
      <c r="G196" s="146"/>
      <c r="H196" s="146"/>
      <c r="I196" s="147"/>
      <c r="J196" s="147"/>
      <c r="K196" s="63"/>
    </row>
    <row r="197" spans="1:11" x14ac:dyDescent="0.25">
      <c r="A197" s="56">
        <v>45941</v>
      </c>
      <c r="B197" s="57">
        <v>117</v>
      </c>
      <c r="C197" s="49" t="s">
        <v>19</v>
      </c>
      <c r="D197" s="50" t="str">
        <f>IF(ISBLANK($B197),"",IFERROR(VLOOKUP($B197,ESTOQUE!$B$2:$D$97168,3,FALSE),"Produto não cadastrado"))</f>
        <v>LUVA PIGMENTADA</v>
      </c>
      <c r="E197" s="49" t="str">
        <f>_xlfn.XLOOKUP(B197,ESTOQUE!B:B,ESTOQUE!G:G,"",0)</f>
        <v>PAR</v>
      </c>
      <c r="F197" s="49">
        <v>3</v>
      </c>
      <c r="G197" s="146"/>
      <c r="H197" s="146"/>
      <c r="I197" s="147"/>
      <c r="J197" s="147"/>
      <c r="K197" s="63"/>
    </row>
    <row r="198" spans="1:11" x14ac:dyDescent="0.25">
      <c r="A198" s="56">
        <v>45941</v>
      </c>
      <c r="B198" s="57">
        <v>118</v>
      </c>
      <c r="C198" s="49" t="s">
        <v>19</v>
      </c>
      <c r="D198" s="50" t="str">
        <f>IF(ISBLANK($B198),"",IFERROR(VLOOKUP($B198,ESTOQUE!$B$2:$D$97168,3,FALSE),"Produto não cadastrado"))</f>
        <v>MACACÃO DE PROTEÇÃO TYVEK</v>
      </c>
      <c r="E198" s="49" t="str">
        <f>_xlfn.XLOOKUP(B198,ESTOQUE!B:B,ESTOQUE!G:G,"",0)</f>
        <v>UND</v>
      </c>
      <c r="F198" s="49">
        <v>10</v>
      </c>
      <c r="G198" s="146"/>
      <c r="H198" s="146"/>
      <c r="I198" s="147"/>
      <c r="J198" s="147"/>
      <c r="K198" s="63"/>
    </row>
    <row r="199" spans="1:11" x14ac:dyDescent="0.25">
      <c r="A199" s="56">
        <v>45941</v>
      </c>
      <c r="B199" s="57">
        <v>124</v>
      </c>
      <c r="C199" s="49" t="s">
        <v>19</v>
      </c>
      <c r="D199" s="50" t="str">
        <f>IF(ISBLANK($B199),"",IFERROR(VLOOKUP($B199,ESTOQUE!$B$2:$D$97168,3,FALSE),"Produto não cadastrado"))</f>
        <v xml:space="preserve">OCULOS DE PROTEÇÃO INCOLOR </v>
      </c>
      <c r="E199" s="49" t="str">
        <f>_xlfn.XLOOKUP(B199,ESTOQUE!B:B,ESTOQUE!G:G,"",0)</f>
        <v>UND</v>
      </c>
      <c r="F199" s="49">
        <v>3</v>
      </c>
      <c r="G199" s="146"/>
      <c r="H199" s="146"/>
      <c r="I199" s="147"/>
      <c r="J199" s="147"/>
      <c r="K199" s="63"/>
    </row>
    <row r="200" spans="1:11" x14ac:dyDescent="0.25">
      <c r="A200" s="56">
        <v>45941</v>
      </c>
      <c r="B200" s="57">
        <v>46</v>
      </c>
      <c r="C200" s="49" t="s">
        <v>19</v>
      </c>
      <c r="D200" s="50" t="str">
        <f>IF(ISBLANK($B200),"",IFERROR(VLOOKUP($B200,ESTOQUE!$B$2:$D$97168,3,FALSE),"Produto não cadastrado"))</f>
        <v>CALÇA CINZA OP. C/ FAIXA REFLETIVA TAM: G</v>
      </c>
      <c r="E200" s="49" t="str">
        <f>_xlfn.XLOOKUP(B200,ESTOQUE!B:B,ESTOQUE!G:G,"",0)</f>
        <v>UND</v>
      </c>
      <c r="F200" s="49">
        <v>7</v>
      </c>
      <c r="G200" s="146"/>
      <c r="H200" s="146"/>
      <c r="I200" s="147"/>
      <c r="J200" s="147"/>
      <c r="K200" s="63"/>
    </row>
    <row r="201" spans="1:11" x14ac:dyDescent="0.25">
      <c r="A201" s="56">
        <v>45941</v>
      </c>
      <c r="B201" s="57">
        <v>47</v>
      </c>
      <c r="C201" s="49" t="s">
        <v>19</v>
      </c>
      <c r="D201" s="50" t="str">
        <f>IF(ISBLANK($B201),"",IFERROR(VLOOKUP($B201,ESTOQUE!$B$2:$D$97168,3,FALSE),"Produto não cadastrado"))</f>
        <v>CALÇA CINZA OP. C/ FAIXA REFLETIVA TAM: GG</v>
      </c>
      <c r="E201" s="49" t="str">
        <f>_xlfn.XLOOKUP(B201,ESTOQUE!B:B,ESTOQUE!G:G,"",0)</f>
        <v>UND</v>
      </c>
      <c r="F201" s="49">
        <v>1</v>
      </c>
      <c r="G201" s="146"/>
      <c r="H201" s="146"/>
      <c r="I201" s="147"/>
      <c r="J201" s="147"/>
      <c r="K201" s="63"/>
    </row>
    <row r="202" spans="1:11" x14ac:dyDescent="0.25">
      <c r="A202" s="56">
        <v>45941</v>
      </c>
      <c r="B202" s="57">
        <v>49</v>
      </c>
      <c r="C202" s="49" t="s">
        <v>19</v>
      </c>
      <c r="D202" s="50" t="str">
        <f>IF(ISBLANK($B202),"",IFERROR(VLOOKUP($B202,ESTOQUE!$B$2:$D$97168,3,FALSE),"Produto não cadastrado"))</f>
        <v>CALÇA CINZA OP. C/ FAIXA REFLETIVA TAM: P</v>
      </c>
      <c r="E202" s="49" t="str">
        <f>_xlfn.XLOOKUP(B202,ESTOQUE!B:B,ESTOQUE!G:G,"",0)</f>
        <v>UND</v>
      </c>
      <c r="F202" s="49">
        <v>1</v>
      </c>
      <c r="G202" s="146"/>
      <c r="H202" s="146"/>
      <c r="I202" s="147"/>
      <c r="J202" s="147"/>
      <c r="K202" s="63"/>
    </row>
    <row r="203" spans="1:11" x14ac:dyDescent="0.25">
      <c r="A203" s="56">
        <v>45941</v>
      </c>
      <c r="B203" s="57">
        <v>67</v>
      </c>
      <c r="C203" s="49" t="s">
        <v>19</v>
      </c>
      <c r="D203" s="50" t="str">
        <f>IF(ISBLANK($B203),"",IFERROR(VLOOKUP($B203,ESTOQUE!$B$2:$D$97168,3,FALSE),"Produto não cadastrado"))</f>
        <v>CAMISA LARANJA OP. C/ FAIXA REFLETIVA TAM: G</v>
      </c>
      <c r="E203" s="49" t="str">
        <f>_xlfn.XLOOKUP(B203,ESTOQUE!B:B,ESTOQUE!G:G,"",0)</f>
        <v>UND</v>
      </c>
      <c r="F203" s="49">
        <v>4</v>
      </c>
      <c r="G203" s="146"/>
      <c r="H203" s="146"/>
      <c r="I203" s="147"/>
      <c r="J203" s="147"/>
      <c r="K203" s="63"/>
    </row>
    <row r="204" spans="1:11" x14ac:dyDescent="0.25">
      <c r="A204" s="56">
        <v>45941</v>
      </c>
      <c r="B204" s="57">
        <v>69</v>
      </c>
      <c r="C204" s="49" t="s">
        <v>19</v>
      </c>
      <c r="D204" s="50" t="str">
        <f>IF(ISBLANK($B204),"",IFERROR(VLOOKUP($B204,ESTOQUE!$B$2:$D$97168,3,FALSE),"Produto não cadastrado"))</f>
        <v>CAMISA LARANJA OP. C/ FAIXA REFLETIVA TAM: M</v>
      </c>
      <c r="E204" s="49" t="str">
        <f>_xlfn.XLOOKUP(B204,ESTOQUE!B:B,ESTOQUE!G:G,"",0)</f>
        <v>UND</v>
      </c>
      <c r="F204" s="49">
        <v>1</v>
      </c>
      <c r="G204" s="146"/>
      <c r="H204" s="146"/>
      <c r="I204" s="147"/>
      <c r="J204" s="147"/>
      <c r="K204" s="63"/>
    </row>
    <row r="205" spans="1:11" x14ac:dyDescent="0.25">
      <c r="A205" s="56">
        <v>45943</v>
      </c>
      <c r="B205" s="57">
        <v>38</v>
      </c>
      <c r="C205" s="49" t="s">
        <v>19</v>
      </c>
      <c r="D205" s="50" t="str">
        <f>IF(ISBLANK($B205),"",IFERROR(VLOOKUP($B205,ESTOQUE!$B$2:$D$97168,3,FALSE),"Produto não cadastrado"))</f>
        <v>BOTINA OP. BICO PVC Nº 40</v>
      </c>
      <c r="E205" s="49" t="str">
        <f>_xlfn.XLOOKUP(B205,ESTOQUE!B:B,ESTOQUE!G:G,"",0)</f>
        <v>PAR</v>
      </c>
      <c r="F205" s="49">
        <v>1</v>
      </c>
      <c r="G205" s="146"/>
      <c r="H205" s="146"/>
      <c r="I205" s="147"/>
      <c r="J205" s="147"/>
      <c r="K205" s="63"/>
    </row>
    <row r="206" spans="1:11" x14ac:dyDescent="0.25">
      <c r="A206" s="56">
        <v>45943</v>
      </c>
      <c r="B206" s="57">
        <v>39</v>
      </c>
      <c r="C206" s="49" t="s">
        <v>19</v>
      </c>
      <c r="D206" s="50" t="str">
        <f>IF(ISBLANK($B206),"",IFERROR(VLOOKUP($B206,ESTOQUE!$B$2:$D$97168,3,FALSE),"Produto não cadastrado"))</f>
        <v>BOTINA OP. BICO PVC Nº 41</v>
      </c>
      <c r="E206" s="49" t="str">
        <f>_xlfn.XLOOKUP(B206,ESTOQUE!B:B,ESTOQUE!G:G,"",0)</f>
        <v>PAR</v>
      </c>
      <c r="F206" s="49">
        <v>1</v>
      </c>
      <c r="G206" s="146"/>
      <c r="H206" s="146"/>
      <c r="I206" s="147"/>
      <c r="J206" s="147"/>
      <c r="K206" s="63"/>
    </row>
    <row r="207" spans="1:11" x14ac:dyDescent="0.25">
      <c r="A207" s="56">
        <v>45943</v>
      </c>
      <c r="B207" s="57">
        <v>40</v>
      </c>
      <c r="C207" s="49" t="s">
        <v>19</v>
      </c>
      <c r="D207" s="50" t="str">
        <f>IF(ISBLANK($B207),"",IFERROR(VLOOKUP($B207,ESTOQUE!$B$2:$D$97168,3,FALSE),"Produto não cadastrado"))</f>
        <v>BOTINA OP. BICO PVC Nº 42</v>
      </c>
      <c r="E207" s="49" t="str">
        <f>_xlfn.XLOOKUP(B207,ESTOQUE!B:B,ESTOQUE!G:G,"",0)</f>
        <v>PAR</v>
      </c>
      <c r="F207" s="49">
        <v>1</v>
      </c>
      <c r="G207" s="146"/>
      <c r="H207" s="146"/>
      <c r="I207" s="147"/>
      <c r="J207" s="147"/>
      <c r="K207" s="63"/>
    </row>
    <row r="208" spans="1:11" x14ac:dyDescent="0.25">
      <c r="A208" s="56">
        <v>45943</v>
      </c>
      <c r="B208" s="57">
        <v>192</v>
      </c>
      <c r="C208" s="49" t="s">
        <v>19</v>
      </c>
      <c r="D208" s="50" t="str">
        <f>IF(ISBLANK($B208),"",IFERROR(VLOOKUP($B208,ESTOQUE!$B$2:$D$97168,3,FALSE),"Produto não cadastrado"))</f>
        <v>LUVA QUIMICA ( 2 OU 3)</v>
      </c>
      <c r="E208" s="49" t="str">
        <f>_xlfn.XLOOKUP(B208,ESTOQUE!B:B,ESTOQUE!G:G,"",0)</f>
        <v>UND</v>
      </c>
      <c r="F208" s="49">
        <v>1</v>
      </c>
      <c r="G208" s="146"/>
      <c r="H208" s="146"/>
      <c r="I208" s="147"/>
      <c r="J208" s="147"/>
      <c r="K208" s="63"/>
    </row>
    <row r="209" spans="1:11" x14ac:dyDescent="0.25">
      <c r="A209" s="56">
        <v>45943</v>
      </c>
      <c r="B209" s="57">
        <v>207</v>
      </c>
      <c r="C209" s="49" t="s">
        <v>19</v>
      </c>
      <c r="D209" s="50" t="str">
        <f>IF(ISBLANK($B209),"",IFERROR(VLOOKUP($B209,ESTOQUE!$B$2:$D$97168,3,FALSE),"Produto não cadastrado"))</f>
        <v>LUVA POLIESTER ANTICORTE BANHADA PU TAM 9</v>
      </c>
      <c r="E209" s="49" t="str">
        <f>_xlfn.XLOOKUP(B209,ESTOQUE!B:B,ESTOQUE!G:G,"",0)</f>
        <v>PAR</v>
      </c>
      <c r="F209" s="49">
        <v>20</v>
      </c>
      <c r="G209" s="146"/>
      <c r="H209" s="146"/>
      <c r="I209" s="147"/>
      <c r="J209" s="147"/>
      <c r="K209" s="63"/>
    </row>
    <row r="210" spans="1:11" x14ac:dyDescent="0.25">
      <c r="A210" s="56">
        <v>45943</v>
      </c>
      <c r="B210" s="57">
        <v>129</v>
      </c>
      <c r="C210" s="49" t="s">
        <v>19</v>
      </c>
      <c r="D210" s="50" t="str">
        <f>IF(ISBLANK($B210),"",IFERROR(VLOOKUP($B210,ESTOQUE!$B$2:$D$97168,3,FALSE),"Produto não cadastrado"))</f>
        <v>PERNEIRA DE RASPA</v>
      </c>
      <c r="E210" s="49" t="str">
        <f>_xlfn.XLOOKUP(B210,ESTOQUE!B:B,ESTOQUE!G:G,"",0)</f>
        <v>PAR</v>
      </c>
      <c r="F210" s="49">
        <v>1</v>
      </c>
      <c r="G210" s="146"/>
      <c r="H210" s="146"/>
      <c r="I210" s="147"/>
      <c r="J210" s="147"/>
      <c r="K210" s="63"/>
    </row>
    <row r="211" spans="1:11" x14ac:dyDescent="0.25">
      <c r="A211" s="56">
        <v>45943</v>
      </c>
      <c r="B211" s="57">
        <v>130</v>
      </c>
      <c r="C211" s="49" t="s">
        <v>19</v>
      </c>
      <c r="D211" s="50" t="str">
        <f>IF(ISBLANK($B211),"",IFERROR(VLOOKUP($B211,ESTOQUE!$B$2:$D$97168,3,FALSE),"Produto não cadastrado"))</f>
        <v>PROTETOR AUDITIVO TIPO CONCHA L-300</v>
      </c>
      <c r="E211" s="49" t="str">
        <f>_xlfn.XLOOKUP(B211,ESTOQUE!B:B,ESTOQUE!G:G,"",0)</f>
        <v>UND</v>
      </c>
      <c r="F211" s="49">
        <v>5</v>
      </c>
      <c r="G211" s="146"/>
      <c r="H211" s="146"/>
      <c r="I211" s="147"/>
      <c r="J211" s="147"/>
      <c r="K211" s="63"/>
    </row>
    <row r="212" spans="1:11" x14ac:dyDescent="0.25">
      <c r="A212" s="56">
        <v>45943</v>
      </c>
      <c r="B212" s="57">
        <v>131</v>
      </c>
      <c r="C212" s="49" t="s">
        <v>19</v>
      </c>
      <c r="D212" s="50" t="str">
        <f>IF(ISBLANK($B212),"",IFERROR(VLOOKUP($B212,ESTOQUE!$B$2:$D$97168,3,FALSE),"Produto não cadastrado"))</f>
        <v>MACACÃO DE RASPA MANGA LONGA</v>
      </c>
      <c r="E212" s="49" t="str">
        <f>_xlfn.XLOOKUP(B212,ESTOQUE!B:B,ESTOQUE!G:G,"",0)</f>
        <v>UND</v>
      </c>
      <c r="F212" s="49">
        <v>1</v>
      </c>
      <c r="G212" s="146"/>
      <c r="H212" s="146"/>
      <c r="I212" s="147"/>
      <c r="J212" s="147"/>
      <c r="K212" s="63"/>
    </row>
    <row r="213" spans="1:11" x14ac:dyDescent="0.25">
      <c r="A213" s="56">
        <v>45943</v>
      </c>
      <c r="B213" s="57">
        <v>67</v>
      </c>
      <c r="C213" s="49" t="s">
        <v>19</v>
      </c>
      <c r="D213" s="50" t="str">
        <f>IF(ISBLANK($B213),"",IFERROR(VLOOKUP($B213,ESTOQUE!$B$2:$D$97168,3,FALSE),"Produto não cadastrado"))</f>
        <v>CAMISA LARANJA OP. C/ FAIXA REFLETIVA TAM: G</v>
      </c>
      <c r="E213" s="49" t="str">
        <f>_xlfn.XLOOKUP(B213,ESTOQUE!B:B,ESTOQUE!G:G,"",0)</f>
        <v>UND</v>
      </c>
      <c r="F213" s="49">
        <v>6</v>
      </c>
      <c r="G213" s="146"/>
      <c r="H213" s="146"/>
      <c r="I213" s="147"/>
      <c r="J213" s="147"/>
      <c r="K213" s="63"/>
    </row>
    <row r="214" spans="1:11" x14ac:dyDescent="0.25">
      <c r="A214" s="56">
        <v>45943</v>
      </c>
      <c r="B214" s="57">
        <v>68</v>
      </c>
      <c r="C214" s="49" t="s">
        <v>19</v>
      </c>
      <c r="D214" s="50" t="str">
        <f>IF(ISBLANK($B214),"",IFERROR(VLOOKUP($B214,ESTOQUE!$B$2:$D$97168,3,FALSE),"Produto não cadastrado"))</f>
        <v>CAMISA LARANJA OP. C/ FAIXA REFLETIVA TAM: GG</v>
      </c>
      <c r="E214" s="49" t="str">
        <f>_xlfn.XLOOKUP(B214,ESTOQUE!B:B,ESTOQUE!G:G,"",0)</f>
        <v>UND</v>
      </c>
      <c r="F214" s="49">
        <v>8</v>
      </c>
      <c r="G214" s="146"/>
      <c r="H214" s="146"/>
      <c r="I214" s="147"/>
      <c r="J214" s="147"/>
      <c r="K214" s="63"/>
    </row>
    <row r="215" spans="1:11" x14ac:dyDescent="0.25">
      <c r="A215" s="56">
        <v>45943</v>
      </c>
      <c r="B215" s="57">
        <v>69</v>
      </c>
      <c r="C215" s="49" t="s">
        <v>19</v>
      </c>
      <c r="D215" s="50" t="str">
        <f>IF(ISBLANK($B215),"",IFERROR(VLOOKUP($B215,ESTOQUE!$B$2:$D$97168,3,FALSE),"Produto não cadastrado"))</f>
        <v>CAMISA LARANJA OP. C/ FAIXA REFLETIVA TAM: M</v>
      </c>
      <c r="E215" s="49" t="str">
        <f>_xlfn.XLOOKUP(B215,ESTOQUE!B:B,ESTOQUE!G:G,"",0)</f>
        <v>UND</v>
      </c>
      <c r="F215" s="49">
        <v>4</v>
      </c>
      <c r="G215" s="146"/>
      <c r="H215" s="146"/>
      <c r="I215" s="147"/>
      <c r="J215" s="147"/>
      <c r="K215" s="63"/>
    </row>
    <row r="216" spans="1:11" x14ac:dyDescent="0.25">
      <c r="A216" s="56">
        <v>45943</v>
      </c>
      <c r="B216" s="57">
        <v>70</v>
      </c>
      <c r="C216" s="49" t="s">
        <v>19</v>
      </c>
      <c r="D216" s="50" t="str">
        <f>IF(ISBLANK($B216),"",IFERROR(VLOOKUP($B216,ESTOQUE!$B$2:$D$97168,3,FALSE),"Produto não cadastrado"))</f>
        <v>CAMISA LARANJA OP. C/ FAIXA REFLETIVA TAM: P</v>
      </c>
      <c r="E216" s="49" t="str">
        <f>_xlfn.XLOOKUP(B216,ESTOQUE!B:B,ESTOQUE!G:G,"",0)</f>
        <v>UND</v>
      </c>
      <c r="F216" s="49">
        <v>4</v>
      </c>
      <c r="G216" s="146"/>
      <c r="H216" s="146"/>
      <c r="I216" s="147"/>
      <c r="J216" s="147"/>
      <c r="K216" s="63"/>
    </row>
    <row r="217" spans="1:11" x14ac:dyDescent="0.25">
      <c r="A217" s="56">
        <v>45943</v>
      </c>
      <c r="B217" s="57">
        <v>144</v>
      </c>
      <c r="C217" s="49" t="s">
        <v>19</v>
      </c>
      <c r="D217" s="50" t="str">
        <f>IF(ISBLANK($B217),"",IFERROR(VLOOKUP($B217,ESTOQUE!$B$2:$D$97168,3,FALSE),"Produto não cadastrado"))</f>
        <v>MASCARA PFF2-S C/ FILTRO</v>
      </c>
      <c r="E217" s="49" t="str">
        <f>_xlfn.XLOOKUP(B217,ESTOQUE!B:B,ESTOQUE!G:G,"",0)</f>
        <v>UND</v>
      </c>
      <c r="F217" s="49">
        <v>45</v>
      </c>
      <c r="G217" s="146"/>
      <c r="H217" s="146"/>
      <c r="I217" s="147"/>
      <c r="J217" s="147"/>
      <c r="K217" s="63"/>
    </row>
    <row r="218" spans="1:11" x14ac:dyDescent="0.25">
      <c r="A218" s="56">
        <v>45943</v>
      </c>
      <c r="B218" s="57">
        <v>139</v>
      </c>
      <c r="C218" s="49" t="s">
        <v>19</v>
      </c>
      <c r="D218" s="50" t="str">
        <f>IF(ISBLANK($B218),"",IFERROR(VLOOKUP($B218,ESTOQUE!$B$2:$D$97168,3,FALSE),"Produto não cadastrado"))</f>
        <v>PROTETOR AURICULAR TIPO PLUG</v>
      </c>
      <c r="E218" s="49" t="str">
        <f>_xlfn.XLOOKUP(B218,ESTOQUE!B:B,ESTOQUE!G:G,"",0)</f>
        <v>UND</v>
      </c>
      <c r="F218" s="49">
        <v>5</v>
      </c>
      <c r="G218" s="146"/>
      <c r="H218" s="146"/>
      <c r="I218" s="147"/>
      <c r="J218" s="147"/>
      <c r="K218" s="63"/>
    </row>
    <row r="219" spans="1:11" x14ac:dyDescent="0.25">
      <c r="A219" s="56">
        <v>45943</v>
      </c>
      <c r="B219" s="57">
        <v>135</v>
      </c>
      <c r="C219" s="49" t="s">
        <v>19</v>
      </c>
      <c r="D219" s="50" t="str">
        <f>IF(ISBLANK($B219),"",IFERROR(VLOOKUP($B219,ESTOQUE!$B$2:$D$97168,3,FALSE),"Produto não cadastrado"))</f>
        <v>TALABARTE DUPLO TIPO Y</v>
      </c>
      <c r="E219" s="49" t="str">
        <f>_xlfn.XLOOKUP(B219,ESTOQUE!B:B,ESTOQUE!G:G,"",0)</f>
        <v>UND</v>
      </c>
      <c r="F219" s="49">
        <v>4</v>
      </c>
      <c r="G219" s="146"/>
      <c r="H219" s="146"/>
      <c r="I219" s="147"/>
      <c r="J219" s="147"/>
      <c r="K219" s="63"/>
    </row>
    <row r="220" spans="1:11" x14ac:dyDescent="0.25">
      <c r="A220" s="56">
        <v>45943</v>
      </c>
      <c r="B220" s="57">
        <v>96</v>
      </c>
      <c r="C220" s="49" t="s">
        <v>19</v>
      </c>
      <c r="D220" s="50" t="str">
        <f>IF(ISBLANK($B220),"",IFERROR(VLOOKUP($B220,ESTOQUE!$B$2:$D$97168,3,FALSE),"Produto não cadastrado"))</f>
        <v xml:space="preserve">CINTO DE SEGURANÇA MODELO:C70 </v>
      </c>
      <c r="E220" s="49" t="str">
        <f>_xlfn.XLOOKUP(B220,ESTOQUE!B:B,ESTOQUE!G:G,"",0)</f>
        <v>UND</v>
      </c>
      <c r="F220" s="49">
        <v>4</v>
      </c>
      <c r="G220" s="146"/>
      <c r="H220" s="146"/>
      <c r="I220" s="147"/>
      <c r="J220" s="147"/>
      <c r="K220" s="63"/>
    </row>
    <row r="221" spans="1:11" x14ac:dyDescent="0.25">
      <c r="A221" s="56">
        <v>45943</v>
      </c>
      <c r="B221" s="57">
        <v>130</v>
      </c>
      <c r="C221" s="49" t="s">
        <v>19</v>
      </c>
      <c r="D221" s="50" t="str">
        <f>IF(ISBLANK($B221),"",IFERROR(VLOOKUP($B221,ESTOQUE!$B$2:$D$97168,3,FALSE),"Produto não cadastrado"))</f>
        <v>PROTETOR AUDITIVO TIPO CONCHA L-300</v>
      </c>
      <c r="E221" s="49" t="str">
        <f>_xlfn.XLOOKUP(B221,ESTOQUE!B:B,ESTOQUE!G:G,"",0)</f>
        <v>UND</v>
      </c>
      <c r="F221" s="49">
        <v>4</v>
      </c>
      <c r="G221" s="146"/>
      <c r="H221" s="146"/>
      <c r="I221" s="147"/>
      <c r="J221" s="147"/>
      <c r="K221" s="63"/>
    </row>
    <row r="222" spans="1:11" x14ac:dyDescent="0.25">
      <c r="A222" s="56">
        <v>45943</v>
      </c>
      <c r="B222" s="57">
        <v>118</v>
      </c>
      <c r="C222" s="49" t="s">
        <v>19</v>
      </c>
      <c r="D222" s="50" t="str">
        <f>IF(ISBLANK($B222),"",IFERROR(VLOOKUP($B222,ESTOQUE!$B$2:$D$97168,3,FALSE),"Produto não cadastrado"))</f>
        <v>MACACÃO DE PROTEÇÃO TYVEK</v>
      </c>
      <c r="E222" s="49" t="str">
        <f>_xlfn.XLOOKUP(B222,ESTOQUE!B:B,ESTOQUE!G:G,"",0)</f>
        <v>UND</v>
      </c>
      <c r="F222" s="49">
        <v>3</v>
      </c>
      <c r="G222" s="146"/>
      <c r="H222" s="146"/>
      <c r="I222" s="147"/>
      <c r="J222" s="147"/>
      <c r="K222" s="63"/>
    </row>
    <row r="223" spans="1:11" x14ac:dyDescent="0.25">
      <c r="A223" s="56">
        <v>45943</v>
      </c>
      <c r="B223" s="57">
        <v>126</v>
      </c>
      <c r="C223" s="49" t="s">
        <v>19</v>
      </c>
      <c r="D223" s="50" t="str">
        <f>IF(ISBLANK($B223),"",IFERROR(VLOOKUP($B223,ESTOQUE!$B$2:$D$97168,3,FALSE),"Produto não cadastrado"))</f>
        <v>OCULOS DE PROTEÇÃO ESCURO</v>
      </c>
      <c r="E223" s="49" t="str">
        <f>_xlfn.XLOOKUP(B223,ESTOQUE!B:B,ESTOQUE!G:G,"",0)</f>
        <v>UND</v>
      </c>
      <c r="F223" s="49">
        <v>6</v>
      </c>
      <c r="G223" s="146"/>
      <c r="H223" s="146"/>
      <c r="I223" s="147"/>
      <c r="J223" s="147"/>
      <c r="K223" s="63"/>
    </row>
    <row r="224" spans="1:11" x14ac:dyDescent="0.25">
      <c r="A224" s="56">
        <v>45943</v>
      </c>
      <c r="B224" s="57">
        <v>20</v>
      </c>
      <c r="C224" s="49" t="s">
        <v>19</v>
      </c>
      <c r="D224" s="50" t="str">
        <f>IF(ISBLANK($B224),"",IFERROR(VLOOKUP($B224,ESTOQUE!$B$2:$D$97168,3,FALSE),"Produto não cadastrado"))</f>
        <v>BOTA PVC CANO MEDIO Nº 41</v>
      </c>
      <c r="E224" s="49" t="str">
        <f>_xlfn.XLOOKUP(B224,ESTOQUE!B:B,ESTOQUE!G:G,"",0)</f>
        <v>PAR</v>
      </c>
      <c r="F224" s="49">
        <v>1</v>
      </c>
      <c r="G224" s="146"/>
      <c r="H224" s="146"/>
      <c r="I224" s="147"/>
      <c r="J224" s="147"/>
      <c r="K224" s="63"/>
    </row>
    <row r="225" spans="1:12" x14ac:dyDescent="0.25">
      <c r="A225" s="56">
        <v>45943</v>
      </c>
      <c r="B225" s="57">
        <v>111</v>
      </c>
      <c r="C225" s="49" t="s">
        <v>19</v>
      </c>
      <c r="D225" s="50" t="str">
        <f>IF(ISBLANK($B225),"",IFERROR(VLOOKUP($B225,ESTOQUE!$B$2:$D$97168,3,FALSE),"Produto não cadastrado"))</f>
        <v>LUVA DE VAQUETA MARROM</v>
      </c>
      <c r="E225" s="49" t="str">
        <f>_xlfn.XLOOKUP(B225,ESTOQUE!B:B,ESTOQUE!G:G,"",0)</f>
        <v>PAR</v>
      </c>
      <c r="F225" s="49">
        <v>1</v>
      </c>
      <c r="G225" s="146"/>
      <c r="H225" s="146"/>
      <c r="I225" s="147"/>
      <c r="J225" s="147"/>
      <c r="K225" s="63"/>
      <c r="L225" s="63"/>
    </row>
    <row r="226" spans="1:12" x14ac:dyDescent="0.25">
      <c r="A226" s="56">
        <v>45943</v>
      </c>
      <c r="B226" s="57">
        <v>124</v>
      </c>
      <c r="C226" s="49" t="s">
        <v>19</v>
      </c>
      <c r="D226" s="50" t="str">
        <f>IF(ISBLANK($B226),"",IFERROR(VLOOKUP($B226,ESTOQUE!$B$2:$D$97168,3,FALSE),"Produto não cadastrado"))</f>
        <v xml:space="preserve">OCULOS DE PROTEÇÃO INCOLOR </v>
      </c>
      <c r="E226" s="49" t="str">
        <f>_xlfn.XLOOKUP(B226,ESTOQUE!B:B,ESTOQUE!G:G,"",0)</f>
        <v>UND</v>
      </c>
      <c r="F226" s="49">
        <v>2</v>
      </c>
      <c r="G226" s="146"/>
      <c r="H226" s="146"/>
      <c r="I226" s="147"/>
      <c r="J226" s="147"/>
      <c r="K226" s="63"/>
      <c r="L226" s="63"/>
    </row>
    <row r="227" spans="1:12" x14ac:dyDescent="0.25">
      <c r="A227" s="56">
        <v>45944</v>
      </c>
      <c r="B227" s="57">
        <v>13</v>
      </c>
      <c r="C227" s="49" t="s">
        <v>19</v>
      </c>
      <c r="D227" s="50" t="str">
        <f>IF(ISBLANK($B227),"",IFERROR(VLOOKUP($B227,ESTOQUE!$B$2:$D$97168,3,FALSE),"Produto não cadastrado"))</f>
        <v>BOTA PVC CANO LONGO Nº 45</v>
      </c>
      <c r="E227" s="49" t="str">
        <f>_xlfn.XLOOKUP(B227,ESTOQUE!B:B,ESTOQUE!G:G,"",0)</f>
        <v>PAR</v>
      </c>
      <c r="F227" s="49">
        <v>1</v>
      </c>
      <c r="G227" s="146"/>
      <c r="H227" s="146"/>
      <c r="I227" s="147"/>
      <c r="J227" s="147"/>
      <c r="K227" s="63"/>
      <c r="L227" s="63"/>
    </row>
    <row r="228" spans="1:12" x14ac:dyDescent="0.25">
      <c r="A228" s="56">
        <v>45944</v>
      </c>
      <c r="B228" s="57">
        <v>20</v>
      </c>
      <c r="C228" s="49" t="s">
        <v>19</v>
      </c>
      <c r="D228" s="50" t="str">
        <f>IF(ISBLANK($B228),"",IFERROR(VLOOKUP($B228,ESTOQUE!$B$2:$D$97168,3,FALSE),"Produto não cadastrado"))</f>
        <v>BOTA PVC CANO MEDIO Nº 41</v>
      </c>
      <c r="E228" s="49" t="str">
        <f>_xlfn.XLOOKUP(B228,ESTOQUE!B:B,ESTOQUE!G:G,"",0)</f>
        <v>PAR</v>
      </c>
      <c r="F228" s="49">
        <v>1</v>
      </c>
      <c r="G228" s="146"/>
      <c r="H228" s="146"/>
      <c r="I228" s="147"/>
      <c r="J228" s="147"/>
      <c r="K228" s="63"/>
      <c r="L228" s="63"/>
    </row>
    <row r="229" spans="1:12" x14ac:dyDescent="0.25">
      <c r="A229" s="56">
        <v>45944</v>
      </c>
      <c r="B229" s="57">
        <v>36</v>
      </c>
      <c r="C229" s="49" t="s">
        <v>19</v>
      </c>
      <c r="D229" s="50" t="str">
        <f>IF(ISBLANK($B229),"",IFERROR(VLOOKUP($B229,ESTOQUE!$B$2:$D$97168,3,FALSE),"Produto não cadastrado"))</f>
        <v>BOTINA OP. BICO PVC Nº 38</v>
      </c>
      <c r="E229" s="49" t="str">
        <f>_xlfn.XLOOKUP(B229,ESTOQUE!B:B,ESTOQUE!G:G,"",0)</f>
        <v>PAR</v>
      </c>
      <c r="F229" s="49">
        <v>1</v>
      </c>
      <c r="G229" s="146"/>
      <c r="H229" s="146"/>
      <c r="I229" s="147"/>
      <c r="J229" s="147"/>
      <c r="K229" s="63"/>
      <c r="L229" s="63"/>
    </row>
    <row r="230" spans="1:12" x14ac:dyDescent="0.25">
      <c r="A230" s="56">
        <v>45944</v>
      </c>
      <c r="B230" s="57">
        <v>37</v>
      </c>
      <c r="C230" s="49" t="s">
        <v>19</v>
      </c>
      <c r="D230" s="50" t="str">
        <f>IF(ISBLANK($B230),"",IFERROR(VLOOKUP($B230,ESTOQUE!$B$2:$D$97168,3,FALSE),"Produto não cadastrado"))</f>
        <v>BOTINA OP. BICO PVC Nº 39</v>
      </c>
      <c r="E230" s="49" t="str">
        <f>_xlfn.XLOOKUP(B230,ESTOQUE!B:B,ESTOQUE!G:G,"",0)</f>
        <v>PAR</v>
      </c>
      <c r="F230" s="49">
        <v>2</v>
      </c>
      <c r="G230" s="146"/>
      <c r="H230" s="146"/>
      <c r="I230" s="147"/>
      <c r="J230" s="147"/>
      <c r="K230" s="63"/>
      <c r="L230" s="63"/>
    </row>
    <row r="231" spans="1:12" x14ac:dyDescent="0.25">
      <c r="A231" s="56">
        <v>45944</v>
      </c>
      <c r="B231" s="57">
        <v>38</v>
      </c>
      <c r="C231" s="49" t="s">
        <v>19</v>
      </c>
      <c r="D231" s="50" t="str">
        <f>IF(ISBLANK($B231),"",IFERROR(VLOOKUP($B231,ESTOQUE!$B$2:$D$97168,3,FALSE),"Produto não cadastrado"))</f>
        <v>BOTINA OP. BICO PVC Nº 40</v>
      </c>
      <c r="E231" s="49" t="str">
        <f>_xlfn.XLOOKUP(B231,ESTOQUE!B:B,ESTOQUE!G:G,"",0)</f>
        <v>PAR</v>
      </c>
      <c r="F231" s="49">
        <v>5</v>
      </c>
      <c r="G231" s="146"/>
      <c r="H231" s="146"/>
      <c r="I231" s="147"/>
      <c r="J231" s="147"/>
      <c r="K231" s="63"/>
      <c r="L231" s="63"/>
    </row>
    <row r="232" spans="1:12" x14ac:dyDescent="0.25">
      <c r="A232" s="56">
        <v>45944</v>
      </c>
      <c r="B232" s="57">
        <v>40</v>
      </c>
      <c r="C232" s="49" t="s">
        <v>19</v>
      </c>
      <c r="D232" s="50" t="str">
        <f>IF(ISBLANK($B232),"",IFERROR(VLOOKUP($B232,ESTOQUE!$B$2:$D$97168,3,FALSE),"Produto não cadastrado"))</f>
        <v>BOTINA OP. BICO PVC Nº 42</v>
      </c>
      <c r="E232" s="49" t="str">
        <f>_xlfn.XLOOKUP(B232,ESTOQUE!B:B,ESTOQUE!G:G,"",0)</f>
        <v>PAR</v>
      </c>
      <c r="F232" s="49">
        <v>1</v>
      </c>
      <c r="G232" s="146"/>
      <c r="H232" s="146"/>
      <c r="I232" s="147"/>
      <c r="J232" s="147"/>
      <c r="K232" s="63"/>
      <c r="L232" s="63"/>
    </row>
    <row r="233" spans="1:12" x14ac:dyDescent="0.25">
      <c r="A233" s="56">
        <v>45944</v>
      </c>
      <c r="B233" s="57">
        <v>41</v>
      </c>
      <c r="C233" s="49" t="s">
        <v>19</v>
      </c>
      <c r="D233" s="50" t="str">
        <f>IF(ISBLANK($B233),"",IFERROR(VLOOKUP($B233,ESTOQUE!$B$2:$D$97168,3,FALSE),"Produto não cadastrado"))</f>
        <v>BOTINA OP. BICO PVC Nº 43</v>
      </c>
      <c r="E233" s="49" t="str">
        <f>_xlfn.XLOOKUP(B233,ESTOQUE!B:B,ESTOQUE!G:G,"",0)</f>
        <v>PAR</v>
      </c>
      <c r="F233" s="49">
        <v>1</v>
      </c>
      <c r="G233" s="146"/>
      <c r="H233" s="146"/>
      <c r="I233" s="147"/>
      <c r="J233" s="147"/>
      <c r="K233" s="63"/>
      <c r="L233" s="63"/>
    </row>
    <row r="234" spans="1:12" x14ac:dyDescent="0.25">
      <c r="A234" s="56">
        <v>45944</v>
      </c>
      <c r="B234" s="57">
        <v>47</v>
      </c>
      <c r="C234" s="49" t="s">
        <v>19</v>
      </c>
      <c r="D234" s="50" t="str">
        <f>IF(ISBLANK($B234),"",IFERROR(VLOOKUP($B234,ESTOQUE!$B$2:$D$97168,3,FALSE),"Produto não cadastrado"))</f>
        <v>CALÇA CINZA OP. C/ FAIXA REFLETIVA TAM: GG</v>
      </c>
      <c r="E234" s="49" t="str">
        <f>_xlfn.XLOOKUP(B234,ESTOQUE!B:B,ESTOQUE!G:G,"",0)</f>
        <v>UND</v>
      </c>
      <c r="F234" s="49">
        <v>9</v>
      </c>
      <c r="G234" s="146"/>
      <c r="H234" s="146"/>
      <c r="I234" s="147"/>
      <c r="J234" s="147"/>
      <c r="K234" s="63"/>
      <c r="L234" s="63"/>
    </row>
    <row r="235" spans="1:12" x14ac:dyDescent="0.25">
      <c r="A235" s="56">
        <v>45944</v>
      </c>
      <c r="B235" s="57">
        <v>49</v>
      </c>
      <c r="C235" s="49" t="s">
        <v>19</v>
      </c>
      <c r="D235" s="50" t="str">
        <f>IF(ISBLANK($B235),"",IFERROR(VLOOKUP($B235,ESTOQUE!$B$2:$D$97168,3,FALSE),"Produto não cadastrado"))</f>
        <v>CALÇA CINZA OP. C/ FAIXA REFLETIVA TAM: P</v>
      </c>
      <c r="E235" s="49" t="str">
        <f>_xlfn.XLOOKUP(B235,ESTOQUE!B:B,ESTOQUE!G:G,"",0)</f>
        <v>UND</v>
      </c>
      <c r="F235" s="49">
        <v>4</v>
      </c>
      <c r="G235" s="146"/>
      <c r="H235" s="146"/>
      <c r="I235" s="147"/>
      <c r="J235" s="147"/>
      <c r="K235" s="63"/>
      <c r="L235" s="63"/>
    </row>
    <row r="236" spans="1:12" x14ac:dyDescent="0.25">
      <c r="A236" s="56">
        <v>45944</v>
      </c>
      <c r="B236" s="57">
        <v>70</v>
      </c>
      <c r="C236" s="49" t="s">
        <v>19</v>
      </c>
      <c r="D236" s="50" t="str">
        <f>IF(ISBLANK($B236),"",IFERROR(VLOOKUP($B236,ESTOQUE!$B$2:$D$97168,3,FALSE),"Produto não cadastrado"))</f>
        <v>CAMISA LARANJA OP. C/ FAIXA REFLETIVA TAM: P</v>
      </c>
      <c r="E236" s="49" t="str">
        <f>_xlfn.XLOOKUP(B236,ESTOQUE!B:B,ESTOQUE!G:G,"",0)</f>
        <v>UND</v>
      </c>
      <c r="F236" s="49">
        <v>7</v>
      </c>
      <c r="G236" s="146"/>
      <c r="H236" s="146"/>
      <c r="I236" s="147"/>
      <c r="J236" s="147"/>
      <c r="K236" s="63"/>
      <c r="L236" s="63"/>
    </row>
    <row r="237" spans="1:12" x14ac:dyDescent="0.25">
      <c r="A237" s="56">
        <v>45944</v>
      </c>
      <c r="B237" s="57">
        <v>72</v>
      </c>
      <c r="C237" s="49" t="s">
        <v>19</v>
      </c>
      <c r="D237" s="50" t="str">
        <f>IF(ISBLANK($B237),"",IFERROR(VLOOKUP($B237,ESTOQUE!$B$2:$D$97168,3,FALSE),"Produto não cadastrado"))</f>
        <v>CAPA DE CHUVA G</v>
      </c>
      <c r="E237" s="49" t="str">
        <f>_xlfn.XLOOKUP(B237,ESTOQUE!B:B,ESTOQUE!G:G,"",0)</f>
        <v>UND</v>
      </c>
      <c r="F237" s="49">
        <v>3</v>
      </c>
      <c r="G237" s="146"/>
      <c r="H237" s="146"/>
      <c r="I237" s="147"/>
      <c r="J237" s="147"/>
      <c r="K237" s="63"/>
      <c r="L237" s="63"/>
    </row>
    <row r="238" spans="1:12" x14ac:dyDescent="0.25">
      <c r="A238" s="56">
        <v>45944</v>
      </c>
      <c r="B238" s="57">
        <v>73</v>
      </c>
      <c r="C238" s="49" t="s">
        <v>19</v>
      </c>
      <c r="D238" s="50" t="str">
        <f>IF(ISBLANK($B238),"",IFERROR(VLOOKUP($B238,ESTOQUE!$B$2:$D$97168,3,FALSE),"Produto não cadastrado"))</f>
        <v>CAPA DE CHUVA GG</v>
      </c>
      <c r="E238" s="49" t="str">
        <f>_xlfn.XLOOKUP(B238,ESTOQUE!B:B,ESTOQUE!G:G,"",0)</f>
        <v>UND</v>
      </c>
      <c r="F238" s="49">
        <v>8</v>
      </c>
      <c r="G238" s="146"/>
      <c r="H238" s="146"/>
      <c r="I238" s="147"/>
      <c r="J238" s="147"/>
      <c r="K238" s="63"/>
      <c r="L238" s="63"/>
    </row>
    <row r="239" spans="1:12" x14ac:dyDescent="0.25">
      <c r="A239" s="56">
        <v>45944</v>
      </c>
      <c r="B239" s="57">
        <v>96</v>
      </c>
      <c r="C239" s="49" t="s">
        <v>19</v>
      </c>
      <c r="D239" s="50" t="str">
        <f>IF(ISBLANK($B239),"",IFERROR(VLOOKUP($B239,ESTOQUE!$B$2:$D$97168,3,FALSE),"Produto não cadastrado"))</f>
        <v xml:space="preserve">CINTO DE SEGURANÇA MODELO:C70 </v>
      </c>
      <c r="E239" s="49" t="str">
        <f>_xlfn.XLOOKUP(B239,ESTOQUE!B:B,ESTOQUE!G:G,"",0)</f>
        <v>UND</v>
      </c>
      <c r="F239" s="49">
        <v>1</v>
      </c>
      <c r="G239" s="146"/>
      <c r="H239" s="146"/>
      <c r="I239" s="147"/>
      <c r="J239" s="147"/>
      <c r="K239" s="63"/>
      <c r="L239" s="100"/>
    </row>
    <row r="240" spans="1:12" x14ac:dyDescent="0.25">
      <c r="A240" s="56">
        <v>45944</v>
      </c>
      <c r="B240" s="57">
        <v>97</v>
      </c>
      <c r="C240" s="49" t="s">
        <v>19</v>
      </c>
      <c r="D240" s="50" t="str">
        <f>IF(ISBLANK($B240),"",IFERROR(VLOOKUP($B240,ESTOQUE!$B$2:$D$97168,3,FALSE),"Produto não cadastrado"))</f>
        <v>COLETE REFLETIVO LARANJA M</v>
      </c>
      <c r="E240" s="49" t="str">
        <f>_xlfn.XLOOKUP(B240,ESTOQUE!B:B,ESTOQUE!G:G,"",0)</f>
        <v>UND</v>
      </c>
      <c r="F240" s="49">
        <v>1</v>
      </c>
      <c r="G240" s="146"/>
      <c r="H240" s="146"/>
      <c r="I240" s="147"/>
      <c r="J240" s="147"/>
      <c r="K240" s="63"/>
      <c r="L240" s="100"/>
    </row>
    <row r="241" spans="1:12" x14ac:dyDescent="0.25">
      <c r="A241" s="56">
        <v>45944</v>
      </c>
      <c r="B241" s="57">
        <v>98</v>
      </c>
      <c r="C241" s="49" t="s">
        <v>19</v>
      </c>
      <c r="D241" s="50" t="str">
        <f>IF(ISBLANK($B241),"",IFERROR(VLOOKUP($B241,ESTOQUE!$B$2:$D$97168,3,FALSE),"Produto não cadastrado"))</f>
        <v>COLETE REFLETIVO LARANJA XGG</v>
      </c>
      <c r="E241" s="49" t="str">
        <f>_xlfn.XLOOKUP(B241,ESTOQUE!B:B,ESTOQUE!G:G,"",0)</f>
        <v>UND</v>
      </c>
      <c r="F241" s="49">
        <v>2</v>
      </c>
      <c r="G241" s="146"/>
      <c r="H241" s="146"/>
      <c r="I241" s="147"/>
      <c r="J241" s="147"/>
      <c r="K241" s="63"/>
      <c r="L241" s="100"/>
    </row>
    <row r="242" spans="1:12" x14ac:dyDescent="0.25">
      <c r="A242" s="56">
        <v>45944</v>
      </c>
      <c r="B242" s="57">
        <v>234</v>
      </c>
      <c r="C242" s="49" t="s">
        <v>19</v>
      </c>
      <c r="D242" s="50" t="str">
        <f>IF(ISBLANK($B242),"",IFERROR(VLOOKUP($B242,ESTOQUE!$B$2:$D$97168,3,FALSE),"Produto não cadastrado"))</f>
        <v>CONE PLASTICOR DE SINALIZACAO 75cm</v>
      </c>
      <c r="E242" s="49" t="str">
        <f>_xlfn.XLOOKUP(B242,ESTOQUE!B:B,ESTOQUE!G:G,"",0)</f>
        <v>UND</v>
      </c>
      <c r="F242" s="49">
        <v>15</v>
      </c>
      <c r="G242" s="146"/>
      <c r="H242" s="146"/>
      <c r="I242" s="147"/>
      <c r="J242" s="147"/>
      <c r="K242" s="63"/>
      <c r="L242" s="100"/>
    </row>
    <row r="243" spans="1:12" x14ac:dyDescent="0.25">
      <c r="A243" s="56">
        <v>45944</v>
      </c>
      <c r="B243" s="57">
        <v>106</v>
      </c>
      <c r="C243" s="49" t="s">
        <v>19</v>
      </c>
      <c r="D243" s="50" t="str">
        <f>IF(ISBLANK($B243),"",IFERROR(VLOOKUP($B243,ESTOQUE!$B$2:$D$97168,3,FALSE),"Produto não cadastrado"))</f>
        <v>JARDINEIRA AMARELA BOTA Nº 44</v>
      </c>
      <c r="E243" s="49" t="str">
        <f>_xlfn.XLOOKUP(B243,ESTOQUE!B:B,ESTOQUE!G:G,"",0)</f>
        <v>UND</v>
      </c>
      <c r="F243" s="49">
        <v>1</v>
      </c>
      <c r="G243" s="146"/>
      <c r="H243" s="146"/>
      <c r="I243" s="147"/>
      <c r="J243" s="147"/>
      <c r="K243" s="63"/>
      <c r="L243" s="100"/>
    </row>
    <row r="244" spans="1:12" x14ac:dyDescent="0.25">
      <c r="A244" s="56">
        <v>45944</v>
      </c>
      <c r="B244" s="57">
        <v>110</v>
      </c>
      <c r="C244" s="49" t="s">
        <v>19</v>
      </c>
      <c r="D244" s="50" t="str">
        <f>IF(ISBLANK($B244),"",IFERROR(VLOOKUP($B244,ESTOQUE!$B$2:$D$97168,3,FALSE),"Produto não cadastrado"))</f>
        <v>LUVA DE RASPA CANO LONGO</v>
      </c>
      <c r="E244" s="49" t="str">
        <f>_xlfn.XLOOKUP(B244,ESTOQUE!B:B,ESTOQUE!G:G,"",0)</f>
        <v>PAR</v>
      </c>
      <c r="F244" s="49">
        <v>1</v>
      </c>
      <c r="G244" s="146"/>
      <c r="H244" s="146"/>
      <c r="I244" s="147"/>
      <c r="J244" s="147"/>
      <c r="K244" s="63"/>
      <c r="L244" s="100"/>
    </row>
    <row r="245" spans="1:12" x14ac:dyDescent="0.25">
      <c r="A245" s="56">
        <v>45944</v>
      </c>
      <c r="B245" s="57">
        <v>141</v>
      </c>
      <c r="C245" s="49" t="s">
        <v>19</v>
      </c>
      <c r="D245" s="50" t="str">
        <f>IF(ISBLANK($B245),"",IFERROR(VLOOKUP($B245,ESTOQUE!$B$2:$D$97168,3,FALSE),"Produto não cadastrado"))</f>
        <v xml:space="preserve">LUVA DE VAQUETA </v>
      </c>
      <c r="E245" s="49" t="str">
        <f>_xlfn.XLOOKUP(B245,ESTOQUE!B:B,ESTOQUE!G:G,"",0)</f>
        <v>PAR</v>
      </c>
      <c r="F245" s="49">
        <v>6</v>
      </c>
      <c r="G245" s="146"/>
      <c r="H245" s="146"/>
      <c r="I245" s="147"/>
      <c r="J245" s="147"/>
      <c r="K245" s="63"/>
      <c r="L245" s="100"/>
    </row>
    <row r="246" spans="1:12" x14ac:dyDescent="0.25">
      <c r="A246" s="56">
        <v>45944</v>
      </c>
      <c r="B246" s="57">
        <v>111</v>
      </c>
      <c r="C246" s="49" t="s">
        <v>19</v>
      </c>
      <c r="D246" s="50" t="str">
        <f>IF(ISBLANK($B246),"",IFERROR(VLOOKUP($B246,ESTOQUE!$B$2:$D$97168,3,FALSE),"Produto não cadastrado"))</f>
        <v>LUVA DE VAQUETA MARROM</v>
      </c>
      <c r="E246" s="49" t="str">
        <f>_xlfn.XLOOKUP(B246,ESTOQUE!B:B,ESTOQUE!G:G,"",0)</f>
        <v>PAR</v>
      </c>
      <c r="F246" s="49">
        <v>1</v>
      </c>
      <c r="G246" s="146"/>
      <c r="H246" s="146"/>
      <c r="I246" s="147"/>
      <c r="J246" s="147"/>
      <c r="K246" s="63"/>
      <c r="L246" s="100"/>
    </row>
    <row r="247" spans="1:12" x14ac:dyDescent="0.25">
      <c r="A247" s="56">
        <v>45944</v>
      </c>
      <c r="B247" s="57">
        <v>114</v>
      </c>
      <c r="C247" s="49" t="s">
        <v>19</v>
      </c>
      <c r="D247" s="50" t="str">
        <f>IF(ISBLANK($B247),"",IFERROR(VLOOKUP($B247,ESTOQUE!$B$2:$D$97168,3,FALSE),"Produto não cadastrado"))</f>
        <v xml:space="preserve">LUVA LATEX NITRILICA </v>
      </c>
      <c r="E247" s="49" t="str">
        <f>_xlfn.XLOOKUP(B247,ESTOQUE!B:B,ESTOQUE!G:G,"",0)</f>
        <v>PAR</v>
      </c>
      <c r="F247" s="49">
        <v>11</v>
      </c>
      <c r="G247" s="146"/>
      <c r="H247" s="146"/>
      <c r="I247" s="147"/>
      <c r="J247" s="147"/>
      <c r="K247" s="63"/>
      <c r="L247" s="100"/>
    </row>
    <row r="248" spans="1:12" x14ac:dyDescent="0.25">
      <c r="A248" s="56">
        <v>45944</v>
      </c>
      <c r="B248" s="57">
        <v>117</v>
      </c>
      <c r="C248" s="49" t="s">
        <v>19</v>
      </c>
      <c r="D248" s="50" t="str">
        <f>IF(ISBLANK($B248),"",IFERROR(VLOOKUP($B248,ESTOQUE!$B$2:$D$97168,3,FALSE),"Produto não cadastrado"))</f>
        <v>LUVA PIGMENTADA</v>
      </c>
      <c r="E248" s="49" t="str">
        <f>_xlfn.XLOOKUP(B248,ESTOQUE!B:B,ESTOQUE!G:G,"",0)</f>
        <v>PAR</v>
      </c>
      <c r="F248" s="49">
        <v>12</v>
      </c>
      <c r="G248" s="146"/>
      <c r="H248" s="146"/>
      <c r="I248" s="147"/>
      <c r="J248" s="147"/>
      <c r="K248" s="63"/>
      <c r="L248" s="100"/>
    </row>
    <row r="249" spans="1:12" x14ac:dyDescent="0.25">
      <c r="A249" s="56">
        <v>45944</v>
      </c>
      <c r="B249" s="57">
        <v>207</v>
      </c>
      <c r="C249" s="49" t="s">
        <v>19</v>
      </c>
      <c r="D249" s="50" t="str">
        <f>IF(ISBLANK($B249),"",IFERROR(VLOOKUP($B249,ESTOQUE!$B$2:$D$97168,3,FALSE),"Produto não cadastrado"))</f>
        <v>LUVA POLIESTER ANTICORTE BANHADA PU TAM 9</v>
      </c>
      <c r="E249" s="49" t="str">
        <f>_xlfn.XLOOKUP(B249,ESTOQUE!B:B,ESTOQUE!G:G,"",0)</f>
        <v>PAR</v>
      </c>
      <c r="F249" s="49">
        <v>17</v>
      </c>
      <c r="G249" s="146"/>
      <c r="H249" s="146"/>
      <c r="I249" s="147"/>
      <c r="J249" s="147"/>
      <c r="K249" s="63"/>
      <c r="L249" s="100"/>
    </row>
    <row r="250" spans="1:12" x14ac:dyDescent="0.25">
      <c r="A250" s="56">
        <v>45944</v>
      </c>
      <c r="B250" s="57">
        <v>118</v>
      </c>
      <c r="C250" s="49" t="s">
        <v>19</v>
      </c>
      <c r="D250" s="50" t="str">
        <f>IF(ISBLANK($B250),"",IFERROR(VLOOKUP($B250,ESTOQUE!$B$2:$D$97168,3,FALSE),"Produto não cadastrado"))</f>
        <v>MACACÃO DE PROTEÇÃO TYVEK</v>
      </c>
      <c r="E250" s="49" t="str">
        <f>_xlfn.XLOOKUP(B250,ESTOQUE!B:B,ESTOQUE!G:G,"",0)</f>
        <v>UND</v>
      </c>
      <c r="F250" s="49">
        <v>7</v>
      </c>
      <c r="G250" s="146"/>
      <c r="H250" s="146"/>
      <c r="I250" s="147"/>
      <c r="J250" s="147"/>
      <c r="K250" s="63"/>
      <c r="L250" s="100"/>
    </row>
    <row r="251" spans="1:12" x14ac:dyDescent="0.25">
      <c r="A251" s="56">
        <v>45944</v>
      </c>
      <c r="B251" s="57">
        <v>144</v>
      </c>
      <c r="C251" s="49" t="s">
        <v>19</v>
      </c>
      <c r="D251" s="50" t="str">
        <f>IF(ISBLANK($B251),"",IFERROR(VLOOKUP($B251,ESTOQUE!$B$2:$D$97168,3,FALSE),"Produto não cadastrado"))</f>
        <v>MASCARA PFF2-S C/ FILTRO</v>
      </c>
      <c r="E251" s="49" t="str">
        <f>_xlfn.XLOOKUP(B251,ESTOQUE!B:B,ESTOQUE!G:G,"",0)</f>
        <v>UND</v>
      </c>
      <c r="F251" s="49">
        <v>30</v>
      </c>
      <c r="G251" s="146"/>
      <c r="H251" s="146"/>
      <c r="I251" s="147"/>
      <c r="J251" s="147"/>
      <c r="K251" s="63"/>
      <c r="L251" s="100"/>
    </row>
    <row r="252" spans="1:12" x14ac:dyDescent="0.25">
      <c r="A252" s="56">
        <v>45944</v>
      </c>
      <c r="B252" s="57">
        <v>126</v>
      </c>
      <c r="C252" s="49" t="s">
        <v>19</v>
      </c>
      <c r="D252" s="50" t="str">
        <f>IF(ISBLANK($B252),"",IFERROR(VLOOKUP($B252,ESTOQUE!$B$2:$D$97168,3,FALSE),"Produto não cadastrado"))</f>
        <v>OCULOS DE PROTEÇÃO ESCURO</v>
      </c>
      <c r="E252" s="49" t="str">
        <f>_xlfn.XLOOKUP(B252,ESTOQUE!B:B,ESTOQUE!G:G,"",0)</f>
        <v>UND</v>
      </c>
      <c r="F252" s="49">
        <v>10</v>
      </c>
      <c r="G252" s="146"/>
      <c r="H252" s="146"/>
      <c r="I252" s="147"/>
      <c r="J252" s="147"/>
      <c r="K252" s="63"/>
      <c r="L252" s="100"/>
    </row>
    <row r="253" spans="1:12" x14ac:dyDescent="0.25">
      <c r="A253" s="56">
        <v>45944</v>
      </c>
      <c r="B253" s="57">
        <v>139</v>
      </c>
      <c r="C253" s="49" t="s">
        <v>19</v>
      </c>
      <c r="D253" s="50" t="str">
        <f>IF(ISBLANK($B253),"",IFERROR(VLOOKUP($B253,ESTOQUE!$B$2:$D$97168,3,FALSE),"Produto não cadastrado"))</f>
        <v>PROTETOR AURICULAR TIPO PLUG</v>
      </c>
      <c r="E253" s="49" t="str">
        <f>_xlfn.XLOOKUP(B253,ESTOQUE!B:B,ESTOQUE!G:G,"",0)</f>
        <v>UND</v>
      </c>
      <c r="F253" s="49">
        <v>5</v>
      </c>
      <c r="G253" s="146"/>
      <c r="H253" s="146"/>
      <c r="I253" s="147"/>
      <c r="J253" s="147"/>
      <c r="K253" s="63"/>
      <c r="L253" s="100"/>
    </row>
    <row r="254" spans="1:12" x14ac:dyDescent="0.25">
      <c r="A254" s="56">
        <v>45944</v>
      </c>
      <c r="B254" s="57">
        <v>135</v>
      </c>
      <c r="C254" s="49" t="s">
        <v>19</v>
      </c>
      <c r="D254" s="50" t="str">
        <f>IF(ISBLANK($B254),"",IFERROR(VLOOKUP($B254,ESTOQUE!$B$2:$D$97168,3,FALSE),"Produto não cadastrado"))</f>
        <v>TALABARTE DUPLO TIPO Y</v>
      </c>
      <c r="E254" s="49" t="str">
        <f>_xlfn.XLOOKUP(B254,ESTOQUE!B:B,ESTOQUE!G:G,"",0)</f>
        <v>UND</v>
      </c>
      <c r="F254" s="49">
        <v>1</v>
      </c>
      <c r="G254" s="146"/>
      <c r="H254" s="146"/>
      <c r="I254" s="147"/>
      <c r="J254" s="147"/>
      <c r="K254" s="63"/>
      <c r="L254" s="100"/>
    </row>
    <row r="255" spans="1:12" x14ac:dyDescent="0.25">
      <c r="A255" s="56">
        <v>45944</v>
      </c>
      <c r="B255" s="57">
        <v>190</v>
      </c>
      <c r="C255" s="49" t="s">
        <v>19</v>
      </c>
      <c r="D255" s="50" t="str">
        <f>IF(ISBLANK($B255),"",IFERROR(VLOOKUP($B255,ESTOQUE!$B$2:$D$97168,3,FALSE),"Produto não cadastrado"))</f>
        <v>AVENTAL DE RASPA TAM 120X60</v>
      </c>
      <c r="E255" s="49" t="str">
        <f>_xlfn.XLOOKUP(B255,ESTOQUE!B:B,ESTOQUE!G:G,"",0)</f>
        <v>UND</v>
      </c>
      <c r="F255" s="49">
        <v>5</v>
      </c>
      <c r="G255" s="146"/>
      <c r="H255" s="146"/>
      <c r="I255" s="147"/>
      <c r="J255" s="147"/>
      <c r="K255" s="63"/>
      <c r="L255" s="100"/>
    </row>
    <row r="256" spans="1:12" x14ac:dyDescent="0.25">
      <c r="A256" s="56">
        <v>45944</v>
      </c>
      <c r="B256" s="57">
        <v>46</v>
      </c>
      <c r="C256" s="49" t="s">
        <v>19</v>
      </c>
      <c r="D256" s="50" t="str">
        <f>IF(ISBLANK($B256),"",IFERROR(VLOOKUP($B256,ESTOQUE!$B$2:$D$97168,3,FALSE),"Produto não cadastrado"))</f>
        <v>CALÇA CINZA OP. C/ FAIXA REFLETIVA TAM: G</v>
      </c>
      <c r="E256" s="49" t="str">
        <f>_xlfn.XLOOKUP(B256,ESTOQUE!B:B,ESTOQUE!G:G,"",0)</f>
        <v>UND</v>
      </c>
      <c r="F256" s="49">
        <v>1</v>
      </c>
      <c r="G256" s="146"/>
      <c r="H256" s="146"/>
      <c r="I256" s="147"/>
      <c r="J256" s="147"/>
      <c r="K256" s="63"/>
      <c r="L256" s="100"/>
    </row>
    <row r="257" spans="1:12" x14ac:dyDescent="0.25">
      <c r="A257" s="56">
        <v>45944</v>
      </c>
      <c r="B257" s="57">
        <v>49</v>
      </c>
      <c r="C257" s="49" t="s">
        <v>19</v>
      </c>
      <c r="D257" s="50" t="str">
        <f>IF(ISBLANK($B257),"",IFERROR(VLOOKUP($B257,ESTOQUE!$B$2:$D$97168,3,FALSE),"Produto não cadastrado"))</f>
        <v>CALÇA CINZA OP. C/ FAIXA REFLETIVA TAM: P</v>
      </c>
      <c r="E257" s="49" t="str">
        <f>_xlfn.XLOOKUP(B257,ESTOQUE!B:B,ESTOQUE!G:G,"",0)</f>
        <v>UND</v>
      </c>
      <c r="F257" s="49">
        <v>1</v>
      </c>
      <c r="G257" s="146"/>
      <c r="H257" s="146"/>
      <c r="I257" s="147"/>
      <c r="J257" s="147"/>
      <c r="K257" s="63"/>
      <c r="L257" s="100"/>
    </row>
    <row r="258" spans="1:12" x14ac:dyDescent="0.25">
      <c r="A258" s="56">
        <v>45944</v>
      </c>
      <c r="B258" s="57">
        <v>69</v>
      </c>
      <c r="C258" s="49" t="s">
        <v>19</v>
      </c>
      <c r="D258" s="50" t="str">
        <f>IF(ISBLANK($B258),"",IFERROR(VLOOKUP($B258,ESTOQUE!$B$2:$D$97168,3,FALSE),"Produto não cadastrado"))</f>
        <v>CAMISA LARANJA OP. C/ FAIXA REFLETIVA TAM: M</v>
      </c>
      <c r="E258" s="49" t="str">
        <f>_xlfn.XLOOKUP(B258,ESTOQUE!B:B,ESTOQUE!G:G,"",0)</f>
        <v>UND</v>
      </c>
      <c r="F258" s="49">
        <v>1</v>
      </c>
      <c r="G258" s="146"/>
      <c r="H258" s="146"/>
      <c r="I258" s="147"/>
      <c r="J258" s="147"/>
      <c r="K258" s="63"/>
      <c r="L258" s="100"/>
    </row>
    <row r="259" spans="1:12" x14ac:dyDescent="0.25">
      <c r="A259" s="56">
        <v>45944</v>
      </c>
      <c r="B259" s="57">
        <v>70</v>
      </c>
      <c r="C259" s="49" t="s">
        <v>19</v>
      </c>
      <c r="D259" s="50" t="str">
        <f>IF(ISBLANK($B259),"",IFERROR(VLOOKUP($B259,ESTOQUE!$B$2:$D$97168,3,FALSE),"Produto não cadastrado"))</f>
        <v>CAMISA LARANJA OP. C/ FAIXA REFLETIVA TAM: P</v>
      </c>
      <c r="E259" s="49" t="str">
        <f>_xlfn.XLOOKUP(B259,ESTOQUE!B:B,ESTOQUE!G:G,"",0)</f>
        <v>UND</v>
      </c>
      <c r="F259" s="49">
        <v>1</v>
      </c>
      <c r="G259" s="146"/>
      <c r="H259" s="146"/>
      <c r="I259" s="147"/>
      <c r="J259" s="147"/>
      <c r="K259" s="63"/>
      <c r="L259" s="100"/>
    </row>
    <row r="260" spans="1:12" x14ac:dyDescent="0.25">
      <c r="A260" s="56">
        <v>45944</v>
      </c>
      <c r="B260" s="57">
        <v>118</v>
      </c>
      <c r="C260" s="49" t="s">
        <v>19</v>
      </c>
      <c r="D260" s="50" t="str">
        <f>IF(ISBLANK($B260),"",IFERROR(VLOOKUP($B260,ESTOQUE!$B$2:$D$97168,3,FALSE),"Produto não cadastrado"))</f>
        <v>MACACÃO DE PROTEÇÃO TYVEK</v>
      </c>
      <c r="E260" s="49" t="str">
        <f>_xlfn.XLOOKUP(B260,ESTOQUE!B:B,ESTOQUE!G:G,"",0)</f>
        <v>UND</v>
      </c>
      <c r="F260" s="49">
        <v>4</v>
      </c>
      <c r="G260" s="146"/>
      <c r="H260" s="146"/>
      <c r="I260" s="147"/>
      <c r="J260" s="147"/>
      <c r="K260" s="63"/>
      <c r="L260" s="100"/>
    </row>
    <row r="261" spans="1:12" x14ac:dyDescent="0.25">
      <c r="A261" s="56">
        <v>45944</v>
      </c>
      <c r="B261" s="57">
        <v>125</v>
      </c>
      <c r="C261" s="49" t="s">
        <v>19</v>
      </c>
      <c r="D261" s="50" t="str">
        <f>IF(ISBLANK($B261),"",IFERROR(VLOOKUP($B261,ESTOQUE!$B$2:$D$97168,3,FALSE),"Produto não cadastrado"))</f>
        <v xml:space="preserve">MASCARA DE SOLDA AUTOMATICA </v>
      </c>
      <c r="E261" s="49" t="str">
        <f>_xlfn.XLOOKUP(B261,ESTOQUE!B:B,ESTOQUE!G:G,"",0)</f>
        <v>UND</v>
      </c>
      <c r="F261" s="49">
        <v>11</v>
      </c>
      <c r="G261" s="146"/>
      <c r="H261" s="146"/>
      <c r="I261" s="147"/>
      <c r="J261" s="147"/>
      <c r="K261" s="63"/>
      <c r="L261" s="100"/>
    </row>
    <row r="262" spans="1:12" x14ac:dyDescent="0.25">
      <c r="A262" s="56">
        <v>45944</v>
      </c>
      <c r="B262" s="57">
        <v>124</v>
      </c>
      <c r="C262" s="49" t="s">
        <v>19</v>
      </c>
      <c r="D262" s="50" t="str">
        <f>IF(ISBLANK($B262),"",IFERROR(VLOOKUP($B262,ESTOQUE!$B$2:$D$97168,3,FALSE),"Produto não cadastrado"))</f>
        <v xml:space="preserve">OCULOS DE PROTEÇÃO INCOLOR </v>
      </c>
      <c r="E262" s="49" t="str">
        <f>_xlfn.XLOOKUP(B262,ESTOQUE!B:B,ESTOQUE!G:G,"",0)</f>
        <v>UND</v>
      </c>
      <c r="F262" s="49">
        <v>3</v>
      </c>
      <c r="G262" s="146"/>
      <c r="H262" s="146"/>
      <c r="I262" s="147"/>
      <c r="J262" s="147"/>
      <c r="K262" s="63"/>
      <c r="L262" s="100"/>
    </row>
    <row r="263" spans="1:12" x14ac:dyDescent="0.25">
      <c r="A263" s="56">
        <v>45945</v>
      </c>
      <c r="B263" s="57">
        <v>2</v>
      </c>
      <c r="C263" s="49" t="s">
        <v>19</v>
      </c>
      <c r="D263" s="50" t="str">
        <f>IF(ISBLANK($B263),"",IFERROR(VLOOKUP($B263,ESTOQUE!$B$2:$D$97168,3,FALSE),"Produto não cadastrado"))</f>
        <v>AVENTAL DE RASPA TAM 1X60MT</v>
      </c>
      <c r="E263" s="49" t="str">
        <f>_xlfn.XLOOKUP(B263,ESTOQUE!B:B,ESTOQUE!G:G,"",0)</f>
        <v>UND</v>
      </c>
      <c r="F263" s="49">
        <v>1</v>
      </c>
      <c r="G263" s="146"/>
      <c r="H263" s="146"/>
      <c r="I263" s="147"/>
      <c r="J263" s="147"/>
      <c r="K263" s="63"/>
      <c r="L263" s="100"/>
    </row>
    <row r="264" spans="1:12" x14ac:dyDescent="0.25">
      <c r="A264" s="56">
        <v>45945</v>
      </c>
      <c r="B264" s="57">
        <v>20</v>
      </c>
      <c r="C264" s="49" t="s">
        <v>19</v>
      </c>
      <c r="D264" s="50" t="str">
        <f>IF(ISBLANK($B264),"",IFERROR(VLOOKUP($B264,ESTOQUE!$B$2:$D$97168,3,FALSE),"Produto não cadastrado"))</f>
        <v>BOTA PVC CANO MEDIO Nº 41</v>
      </c>
      <c r="E264" s="49" t="str">
        <f>_xlfn.XLOOKUP(B264,ESTOQUE!B:B,ESTOQUE!G:G,"",0)</f>
        <v>PAR</v>
      </c>
      <c r="F264" s="49">
        <v>1</v>
      </c>
      <c r="G264" s="146"/>
      <c r="H264" s="146"/>
      <c r="I264" s="147"/>
      <c r="J264" s="147"/>
      <c r="K264" s="63"/>
      <c r="L264" s="100"/>
    </row>
    <row r="265" spans="1:12" x14ac:dyDescent="0.25">
      <c r="A265" s="56">
        <v>45945</v>
      </c>
      <c r="B265" s="57">
        <v>38</v>
      </c>
      <c r="C265" s="49" t="s">
        <v>19</v>
      </c>
      <c r="D265" s="50" t="str">
        <f>IF(ISBLANK($B265),"",IFERROR(VLOOKUP($B265,ESTOQUE!$B$2:$D$97168,3,FALSE),"Produto não cadastrado"))</f>
        <v>BOTINA OP. BICO PVC Nº 40</v>
      </c>
      <c r="E265" s="49" t="str">
        <f>_xlfn.XLOOKUP(B265,ESTOQUE!B:B,ESTOQUE!G:G,"",0)</f>
        <v>PAR</v>
      </c>
      <c r="F265" s="49">
        <v>1</v>
      </c>
      <c r="G265" s="146"/>
      <c r="H265" s="146"/>
      <c r="I265" s="147"/>
      <c r="J265" s="147"/>
      <c r="K265" s="63"/>
      <c r="L265" s="100"/>
    </row>
    <row r="266" spans="1:12" x14ac:dyDescent="0.25">
      <c r="A266" s="56">
        <v>45945</v>
      </c>
      <c r="B266" s="57">
        <v>39</v>
      </c>
      <c r="C266" s="49" t="s">
        <v>19</v>
      </c>
      <c r="D266" s="50" t="str">
        <f>IF(ISBLANK($B266),"",IFERROR(VLOOKUP($B266,ESTOQUE!$B$2:$D$97168,3,FALSE),"Produto não cadastrado"))</f>
        <v>BOTINA OP. BICO PVC Nº 41</v>
      </c>
      <c r="E266" s="49" t="str">
        <f>_xlfn.XLOOKUP(B266,ESTOQUE!B:B,ESTOQUE!G:G,"",0)</f>
        <v>PAR</v>
      </c>
      <c r="F266" s="49">
        <v>2</v>
      </c>
      <c r="G266" s="146"/>
      <c r="H266" s="146"/>
      <c r="I266" s="147"/>
      <c r="J266" s="147"/>
      <c r="K266" s="63"/>
      <c r="L266" s="100"/>
    </row>
    <row r="267" spans="1:12" x14ac:dyDescent="0.25">
      <c r="A267" s="56">
        <v>45945</v>
      </c>
      <c r="B267" s="57">
        <v>40</v>
      </c>
      <c r="C267" s="49" t="s">
        <v>19</v>
      </c>
      <c r="D267" s="50" t="str">
        <f>IF(ISBLANK($B267),"",IFERROR(VLOOKUP($B267,ESTOQUE!$B$2:$D$97168,3,FALSE),"Produto não cadastrado"))</f>
        <v>BOTINA OP. BICO PVC Nº 42</v>
      </c>
      <c r="E267" s="49" t="str">
        <f>_xlfn.XLOOKUP(B267,ESTOQUE!B:B,ESTOQUE!G:G,"",0)</f>
        <v>PAR</v>
      </c>
      <c r="F267" s="49">
        <v>4</v>
      </c>
      <c r="G267" s="146"/>
      <c r="H267" s="146"/>
      <c r="I267" s="147"/>
      <c r="J267" s="147"/>
      <c r="K267" s="63"/>
      <c r="L267" s="100"/>
    </row>
    <row r="268" spans="1:12" x14ac:dyDescent="0.25">
      <c r="A268" s="56">
        <v>45945</v>
      </c>
      <c r="B268" s="57">
        <v>41</v>
      </c>
      <c r="C268" s="49" t="s">
        <v>19</v>
      </c>
      <c r="D268" s="50" t="str">
        <f>IF(ISBLANK($B268),"",IFERROR(VLOOKUP($B268,ESTOQUE!$B$2:$D$97168,3,FALSE),"Produto não cadastrado"))</f>
        <v>BOTINA OP. BICO PVC Nº 43</v>
      </c>
      <c r="E268" s="49" t="str">
        <f>_xlfn.XLOOKUP(B268,ESTOQUE!B:B,ESTOQUE!G:G,"",0)</f>
        <v>PAR</v>
      </c>
      <c r="F268" s="49">
        <v>1</v>
      </c>
      <c r="G268" s="146"/>
      <c r="H268" s="146"/>
      <c r="I268" s="147"/>
      <c r="J268" s="147"/>
      <c r="K268" s="63"/>
      <c r="L268" s="100"/>
    </row>
    <row r="269" spans="1:12" x14ac:dyDescent="0.25">
      <c r="A269" s="56">
        <v>45945</v>
      </c>
      <c r="B269" s="57">
        <v>257</v>
      </c>
      <c r="C269" s="49" t="s">
        <v>19</v>
      </c>
      <c r="D269" s="50" t="str">
        <f>IF(ISBLANK($B269),"",IFERROR(VLOOKUP($B269,ESTOQUE!$B$2:$D$97168,3,FALSE),"Produto não cadastrado"))</f>
        <v xml:space="preserve">LUVA MULTITATO </v>
      </c>
      <c r="E269" s="49" t="str">
        <f>_xlfn.XLOOKUP(B269,ESTOQUE!B:B,ESTOQUE!G:G,"",0)</f>
        <v>UND</v>
      </c>
      <c r="F269" s="49">
        <v>2</v>
      </c>
      <c r="G269" s="146"/>
      <c r="H269" s="146"/>
      <c r="I269" s="147"/>
      <c r="J269" s="147"/>
      <c r="K269" s="63"/>
      <c r="L269" s="100"/>
    </row>
    <row r="270" spans="1:12" x14ac:dyDescent="0.25">
      <c r="A270" s="56">
        <v>45945</v>
      </c>
      <c r="B270" s="57">
        <v>189</v>
      </c>
      <c r="C270" s="49" t="s">
        <v>19</v>
      </c>
      <c r="D270" s="50" t="str">
        <f>IF(ISBLANK($B270),"",IFERROR(VLOOKUP($B270,ESTOQUE!$B$2:$D$97168,3,FALSE),"Produto não cadastrado"))</f>
        <v xml:space="preserve">LUVA DE VAQUETA MISTA </v>
      </c>
      <c r="E270" s="49" t="str">
        <f>_xlfn.XLOOKUP(B270,ESTOQUE!B:B,ESTOQUE!G:G,"",0)</f>
        <v>UND</v>
      </c>
      <c r="F270" s="49">
        <v>5</v>
      </c>
      <c r="G270" s="146"/>
      <c r="H270" s="146"/>
      <c r="I270" s="147"/>
      <c r="J270" s="147"/>
      <c r="K270" s="63"/>
      <c r="L270" s="100"/>
    </row>
    <row r="271" spans="1:12" x14ac:dyDescent="0.25">
      <c r="A271" s="56">
        <v>45945</v>
      </c>
      <c r="B271" s="57">
        <v>192</v>
      </c>
      <c r="C271" s="49" t="s">
        <v>19</v>
      </c>
      <c r="D271" s="50" t="str">
        <f>IF(ISBLANK($B271),"",IFERROR(VLOOKUP($B271,ESTOQUE!$B$2:$D$97168,3,FALSE),"Produto não cadastrado"))</f>
        <v>LUVA QUIMICA ( 2 OU 3)</v>
      </c>
      <c r="E271" s="49" t="str">
        <f>_xlfn.XLOOKUP(B271,ESTOQUE!B:B,ESTOQUE!G:G,"",0)</f>
        <v>UND</v>
      </c>
      <c r="F271" s="49">
        <v>7</v>
      </c>
      <c r="G271" s="146"/>
      <c r="H271" s="146"/>
      <c r="I271" s="147"/>
      <c r="J271" s="147"/>
      <c r="K271" s="63"/>
      <c r="L271" s="100"/>
    </row>
    <row r="272" spans="1:12" x14ac:dyDescent="0.25">
      <c r="A272" s="56">
        <v>45945</v>
      </c>
      <c r="B272" s="57">
        <v>207</v>
      </c>
      <c r="C272" s="49" t="s">
        <v>19</v>
      </c>
      <c r="D272" s="50" t="str">
        <f>IF(ISBLANK($B272),"",IFERROR(VLOOKUP($B272,ESTOQUE!$B$2:$D$97168,3,FALSE),"Produto não cadastrado"))</f>
        <v>LUVA POLIESTER ANTICORTE BANHADA PU TAM 9</v>
      </c>
      <c r="E272" s="49" t="str">
        <f>_xlfn.XLOOKUP(B272,ESTOQUE!B:B,ESTOQUE!G:G,"",0)</f>
        <v>PAR</v>
      </c>
      <c r="F272" s="49">
        <v>10</v>
      </c>
      <c r="G272" s="146"/>
      <c r="H272" s="146"/>
      <c r="I272" s="147"/>
      <c r="J272" s="147"/>
      <c r="K272" s="63"/>
      <c r="L272" s="100"/>
    </row>
    <row r="273" spans="1:12" x14ac:dyDescent="0.25">
      <c r="A273" s="56">
        <v>45945</v>
      </c>
      <c r="B273" s="57">
        <v>242</v>
      </c>
      <c r="C273" s="49" t="s">
        <v>19</v>
      </c>
      <c r="D273" s="50" t="str">
        <f>IF(ISBLANK($B273),"",IFERROR(VLOOKUP($B273,ESTOQUE!$B$2:$D$97168,3,FALSE),"Produto não cadastrado"))</f>
        <v>BOTINA SEGURANÇA MATATARSO 41 ADM</v>
      </c>
      <c r="E273" s="49" t="str">
        <f>_xlfn.XLOOKUP(B273,ESTOQUE!B:B,ESTOQUE!G:G,"",0)</f>
        <v>PAR</v>
      </c>
      <c r="F273" s="49">
        <v>1</v>
      </c>
      <c r="G273" s="146"/>
      <c r="H273" s="146"/>
      <c r="I273" s="147"/>
      <c r="J273" s="147"/>
      <c r="K273" s="63"/>
      <c r="L273" s="100"/>
    </row>
    <row r="274" spans="1:12" x14ac:dyDescent="0.25">
      <c r="A274" s="56">
        <v>45945</v>
      </c>
      <c r="B274" s="57">
        <v>241</v>
      </c>
      <c r="C274" s="49" t="s">
        <v>19</v>
      </c>
      <c r="D274" s="50" t="str">
        <f>IF(ISBLANK($B274),"",IFERROR(VLOOKUP($B274,ESTOQUE!$B$2:$D$97168,3,FALSE),"Produto não cadastrado"))</f>
        <v>BOTINA SEGURANÇA MATATARSO 40 ADM</v>
      </c>
      <c r="E274" s="49" t="str">
        <f>_xlfn.XLOOKUP(B274,ESTOQUE!B:B,ESTOQUE!G:G,"",0)</f>
        <v>PAR</v>
      </c>
      <c r="F274" s="49">
        <v>2</v>
      </c>
      <c r="G274" s="146"/>
      <c r="H274" s="146"/>
      <c r="I274" s="147"/>
      <c r="J274" s="147"/>
      <c r="K274" s="63"/>
      <c r="L274" s="100"/>
    </row>
    <row r="275" spans="1:12" x14ac:dyDescent="0.25">
      <c r="A275" s="56">
        <v>45945</v>
      </c>
      <c r="B275" s="57">
        <v>46</v>
      </c>
      <c r="C275" s="49" t="s">
        <v>19</v>
      </c>
      <c r="D275" s="50" t="str">
        <f>IF(ISBLANK($B275),"",IFERROR(VLOOKUP($B275,ESTOQUE!$B$2:$D$97168,3,FALSE),"Produto não cadastrado"))</f>
        <v>CALÇA CINZA OP. C/ FAIXA REFLETIVA TAM: G</v>
      </c>
      <c r="E275" s="49" t="str">
        <f>_xlfn.XLOOKUP(B275,ESTOQUE!B:B,ESTOQUE!G:G,"",0)</f>
        <v>UND</v>
      </c>
      <c r="F275" s="49">
        <v>5</v>
      </c>
      <c r="G275" s="146"/>
      <c r="H275" s="146"/>
      <c r="I275" s="147"/>
      <c r="J275" s="147"/>
      <c r="K275" s="63"/>
      <c r="L275" s="100"/>
    </row>
    <row r="276" spans="1:12" x14ac:dyDescent="0.25">
      <c r="A276" s="56">
        <v>45945</v>
      </c>
      <c r="B276" s="57">
        <v>47</v>
      </c>
      <c r="C276" s="49" t="s">
        <v>19</v>
      </c>
      <c r="D276" s="50" t="str">
        <f>IF(ISBLANK($B276),"",IFERROR(VLOOKUP($B276,ESTOQUE!$B$2:$D$97168,3,FALSE),"Produto não cadastrado"))</f>
        <v>CALÇA CINZA OP. C/ FAIXA REFLETIVA TAM: GG</v>
      </c>
      <c r="E276" s="49" t="str">
        <f>_xlfn.XLOOKUP(B276,ESTOQUE!B:B,ESTOQUE!G:G,"",0)</f>
        <v>UND</v>
      </c>
      <c r="F276" s="49">
        <v>5</v>
      </c>
      <c r="G276" s="146"/>
      <c r="H276" s="146"/>
      <c r="I276" s="147"/>
      <c r="J276" s="147"/>
      <c r="K276" s="63"/>
      <c r="L276" s="100"/>
    </row>
    <row r="277" spans="1:12" x14ac:dyDescent="0.25">
      <c r="A277" s="56">
        <v>45945</v>
      </c>
      <c r="B277" s="57">
        <v>96</v>
      </c>
      <c r="C277" s="49" t="s">
        <v>19</v>
      </c>
      <c r="D277" s="50" t="str">
        <f>IF(ISBLANK($B277),"",IFERROR(VLOOKUP($B277,ESTOQUE!$B$2:$D$97168,3,FALSE),"Produto não cadastrado"))</f>
        <v xml:space="preserve">CINTO DE SEGURANÇA MODELO:C70 </v>
      </c>
      <c r="E277" s="49" t="str">
        <f>_xlfn.XLOOKUP(B277,ESTOQUE!B:B,ESTOQUE!G:G,"",0)</f>
        <v>UND</v>
      </c>
      <c r="F277" s="49">
        <v>4</v>
      </c>
      <c r="G277" s="146"/>
      <c r="H277" s="146"/>
      <c r="I277" s="147"/>
      <c r="J277" s="147"/>
      <c r="K277" s="63"/>
      <c r="L277" s="100"/>
    </row>
    <row r="278" spans="1:12" x14ac:dyDescent="0.25">
      <c r="A278" s="56">
        <v>45945</v>
      </c>
      <c r="B278" s="57">
        <v>135</v>
      </c>
      <c r="C278" s="49" t="s">
        <v>19</v>
      </c>
      <c r="D278" s="50" t="str">
        <f>IF(ISBLANK($B278),"",IFERROR(VLOOKUP($B278,ESTOQUE!$B$2:$D$97168,3,FALSE),"Produto não cadastrado"))</f>
        <v>TALABARTE DUPLO TIPO Y</v>
      </c>
      <c r="E278" s="49" t="str">
        <f>_xlfn.XLOOKUP(B278,ESTOQUE!B:B,ESTOQUE!G:G,"",0)</f>
        <v>UND</v>
      </c>
      <c r="F278" s="49">
        <v>4</v>
      </c>
      <c r="G278" s="146"/>
      <c r="H278" s="146"/>
      <c r="I278" s="147"/>
      <c r="J278" s="147"/>
      <c r="K278" s="63"/>
      <c r="L278" s="100"/>
    </row>
    <row r="279" spans="1:12" x14ac:dyDescent="0.25">
      <c r="A279" s="56">
        <v>45945</v>
      </c>
      <c r="B279" s="57">
        <v>97</v>
      </c>
      <c r="C279" s="49" t="s">
        <v>19</v>
      </c>
      <c r="D279" s="50" t="str">
        <f>IF(ISBLANK($B279),"",IFERROR(VLOOKUP($B279,ESTOQUE!$B$2:$D$97168,3,FALSE),"Produto não cadastrado"))</f>
        <v>COLETE REFLETIVO LARANJA M</v>
      </c>
      <c r="E279" s="49" t="str">
        <f>_xlfn.XLOOKUP(B279,ESTOQUE!B:B,ESTOQUE!G:G,"",0)</f>
        <v>UND</v>
      </c>
      <c r="F279" s="49">
        <v>1</v>
      </c>
      <c r="G279" s="146"/>
      <c r="H279" s="146"/>
      <c r="I279" s="147"/>
      <c r="J279" s="147"/>
      <c r="K279" s="63"/>
      <c r="L279" s="100"/>
    </row>
    <row r="280" spans="1:12" x14ac:dyDescent="0.25">
      <c r="A280" s="56">
        <v>45945</v>
      </c>
      <c r="B280" s="57">
        <v>105</v>
      </c>
      <c r="C280" s="49" t="s">
        <v>19</v>
      </c>
      <c r="D280" s="50" t="str">
        <f>IF(ISBLANK($B280),"",IFERROR(VLOOKUP($B280,ESTOQUE!$B$2:$D$97168,3,FALSE),"Produto não cadastrado"))</f>
        <v>JARDINEIRA AMARELA BOTA Nº 43</v>
      </c>
      <c r="E280" s="49" t="str">
        <f>_xlfn.XLOOKUP(B280,ESTOQUE!B:B,ESTOQUE!G:G,"",0)</f>
        <v>UND</v>
      </c>
      <c r="F280" s="49">
        <v>1</v>
      </c>
      <c r="G280" s="146"/>
      <c r="H280" s="146"/>
      <c r="I280" s="147"/>
      <c r="J280" s="147"/>
      <c r="K280" s="63"/>
      <c r="L280" s="100"/>
    </row>
    <row r="281" spans="1:12" x14ac:dyDescent="0.25">
      <c r="A281" s="56">
        <v>45945</v>
      </c>
      <c r="B281" s="57">
        <v>110</v>
      </c>
      <c r="C281" s="49" t="s">
        <v>19</v>
      </c>
      <c r="D281" s="50" t="str">
        <f>IF(ISBLANK($B281),"",IFERROR(VLOOKUP($B281,ESTOQUE!$B$2:$D$97168,3,FALSE),"Produto não cadastrado"))</f>
        <v>LUVA DE RASPA CANO LONGO</v>
      </c>
      <c r="E281" s="49" t="str">
        <f>_xlfn.XLOOKUP(B281,ESTOQUE!B:B,ESTOQUE!G:G,"",0)</f>
        <v>PAR</v>
      </c>
      <c r="F281" s="49">
        <v>8</v>
      </c>
      <c r="G281" s="146"/>
      <c r="H281" s="146"/>
      <c r="I281" s="147"/>
      <c r="J281" s="147"/>
      <c r="K281" s="63"/>
      <c r="L281" s="100"/>
    </row>
    <row r="282" spans="1:12" x14ac:dyDescent="0.25">
      <c r="A282" s="56">
        <v>45945</v>
      </c>
      <c r="B282" s="57">
        <v>111</v>
      </c>
      <c r="C282" s="49" t="s">
        <v>19</v>
      </c>
      <c r="D282" s="50" t="str">
        <f>IF(ISBLANK($B282),"",IFERROR(VLOOKUP($B282,ESTOQUE!$B$2:$D$97168,3,FALSE),"Produto não cadastrado"))</f>
        <v>LUVA DE VAQUETA MARROM</v>
      </c>
      <c r="E282" s="49" t="str">
        <f>_xlfn.XLOOKUP(B282,ESTOQUE!B:B,ESTOQUE!G:G,"",0)</f>
        <v>PAR</v>
      </c>
      <c r="F282" s="49">
        <v>4</v>
      </c>
      <c r="G282" s="146"/>
      <c r="H282" s="146"/>
      <c r="I282" s="147"/>
      <c r="J282" s="147"/>
      <c r="K282" s="63"/>
      <c r="L282" s="100"/>
    </row>
    <row r="283" spans="1:12" x14ac:dyDescent="0.25">
      <c r="A283" s="56">
        <v>45945</v>
      </c>
      <c r="B283" s="57">
        <v>117</v>
      </c>
      <c r="C283" s="49" t="s">
        <v>19</v>
      </c>
      <c r="D283" s="50" t="str">
        <f>IF(ISBLANK($B283),"",IFERROR(VLOOKUP($B283,ESTOQUE!$B$2:$D$97168,3,FALSE),"Produto não cadastrado"))</f>
        <v>LUVA PIGMENTADA</v>
      </c>
      <c r="E283" s="49" t="str">
        <f>_xlfn.XLOOKUP(B283,ESTOQUE!B:B,ESTOQUE!G:G,"",0)</f>
        <v>PAR</v>
      </c>
      <c r="F283" s="49">
        <v>1</v>
      </c>
      <c r="G283" s="146"/>
      <c r="H283" s="146"/>
      <c r="I283" s="147"/>
      <c r="J283" s="147"/>
      <c r="K283" s="63"/>
      <c r="L283" s="100"/>
    </row>
    <row r="284" spans="1:12" x14ac:dyDescent="0.25">
      <c r="A284" s="56">
        <v>45945</v>
      </c>
      <c r="B284" s="57">
        <v>118</v>
      </c>
      <c r="C284" s="49" t="s">
        <v>19</v>
      </c>
      <c r="D284" s="50" t="str">
        <f>IF(ISBLANK($B284),"",IFERROR(VLOOKUP($B284,ESTOQUE!$B$2:$D$97168,3,FALSE),"Produto não cadastrado"))</f>
        <v>MACACÃO DE PROTEÇÃO TYVEK</v>
      </c>
      <c r="E284" s="49" t="str">
        <f>_xlfn.XLOOKUP(B284,ESTOQUE!B:B,ESTOQUE!G:G,"",0)</f>
        <v>UND</v>
      </c>
      <c r="F284" s="49">
        <v>4</v>
      </c>
      <c r="G284" s="146"/>
      <c r="H284" s="146"/>
      <c r="I284" s="147"/>
      <c r="J284" s="147"/>
      <c r="K284" s="63"/>
      <c r="L284" s="100"/>
    </row>
    <row r="285" spans="1:12" x14ac:dyDescent="0.25">
      <c r="A285" s="56">
        <v>45945</v>
      </c>
      <c r="B285" s="57">
        <v>125</v>
      </c>
      <c r="C285" s="49" t="s">
        <v>19</v>
      </c>
      <c r="D285" s="50" t="str">
        <f>IF(ISBLANK($B285),"",IFERROR(VLOOKUP($B285,ESTOQUE!$B$2:$D$97168,3,FALSE),"Produto não cadastrado"))</f>
        <v xml:space="preserve">MASCARA DE SOLDA AUTOMATICA </v>
      </c>
      <c r="E285" s="49" t="str">
        <f>_xlfn.XLOOKUP(B285,ESTOQUE!B:B,ESTOQUE!G:G,"",0)</f>
        <v>UND</v>
      </c>
      <c r="F285" s="49">
        <v>1</v>
      </c>
      <c r="G285" s="146"/>
      <c r="H285" s="146"/>
      <c r="I285" s="147"/>
      <c r="J285" s="147"/>
      <c r="K285" s="63"/>
      <c r="L285" s="100"/>
    </row>
    <row r="286" spans="1:12" x14ac:dyDescent="0.25">
      <c r="A286" s="56">
        <v>45945</v>
      </c>
      <c r="B286" s="57">
        <v>126</v>
      </c>
      <c r="C286" s="49" t="s">
        <v>19</v>
      </c>
      <c r="D286" s="50" t="str">
        <f>IF(ISBLANK($B286),"",IFERROR(VLOOKUP($B286,ESTOQUE!$B$2:$D$97168,3,FALSE),"Produto não cadastrado"))</f>
        <v>OCULOS DE PROTEÇÃO ESCURO</v>
      </c>
      <c r="E286" s="49" t="str">
        <f>_xlfn.XLOOKUP(B286,ESTOQUE!B:B,ESTOQUE!G:G,"",0)</f>
        <v>UND</v>
      </c>
      <c r="F286" s="49">
        <v>4</v>
      </c>
      <c r="G286" s="146"/>
      <c r="H286" s="146"/>
      <c r="I286" s="147"/>
      <c r="J286" s="147"/>
      <c r="K286" s="63"/>
      <c r="L286" s="100"/>
    </row>
    <row r="287" spans="1:12" x14ac:dyDescent="0.25">
      <c r="A287" s="56">
        <v>45945</v>
      </c>
      <c r="B287" s="57">
        <v>130</v>
      </c>
      <c r="C287" s="49" t="s">
        <v>19</v>
      </c>
      <c r="D287" s="50" t="str">
        <f>IF(ISBLANK($B287),"",IFERROR(VLOOKUP($B287,ESTOQUE!$B$2:$D$97168,3,FALSE),"Produto não cadastrado"))</f>
        <v>PROTETOR AUDITIVO TIPO CONCHA L-300</v>
      </c>
      <c r="E287" s="49" t="str">
        <f>_xlfn.XLOOKUP(B287,ESTOQUE!B:B,ESTOQUE!G:G,"",0)</f>
        <v>UND</v>
      </c>
      <c r="F287" s="49">
        <v>1</v>
      </c>
      <c r="G287" s="146"/>
      <c r="H287" s="146"/>
      <c r="I287" s="147"/>
      <c r="J287" s="147"/>
      <c r="K287" s="63"/>
      <c r="L287" s="100"/>
    </row>
    <row r="288" spans="1:12" x14ac:dyDescent="0.25">
      <c r="A288" s="56">
        <v>45945</v>
      </c>
      <c r="B288" s="57">
        <v>139</v>
      </c>
      <c r="C288" s="49" t="s">
        <v>19</v>
      </c>
      <c r="D288" s="50" t="str">
        <f>IF(ISBLANK($B288),"",IFERROR(VLOOKUP($B288,ESTOQUE!$B$2:$D$97168,3,FALSE),"Produto não cadastrado"))</f>
        <v>PROTETOR AURICULAR TIPO PLUG</v>
      </c>
      <c r="E288" s="49" t="str">
        <f>_xlfn.XLOOKUP(B288,ESTOQUE!B:B,ESTOQUE!G:G,"",0)</f>
        <v>UND</v>
      </c>
      <c r="F288" s="49">
        <v>4</v>
      </c>
      <c r="G288" s="146"/>
      <c r="H288" s="146"/>
      <c r="I288" s="147"/>
      <c r="J288" s="147"/>
      <c r="K288" s="63"/>
      <c r="L288" s="100"/>
    </row>
    <row r="289" spans="1:12" x14ac:dyDescent="0.25">
      <c r="A289" s="56">
        <v>45945</v>
      </c>
      <c r="B289" s="57">
        <v>141</v>
      </c>
      <c r="C289" s="49" t="s">
        <v>19</v>
      </c>
      <c r="D289" s="50" t="str">
        <f>IF(ISBLANK($B289),"",IFERROR(VLOOKUP($B289,ESTOQUE!$B$2:$D$97168,3,FALSE),"Produto não cadastrado"))</f>
        <v xml:space="preserve">LUVA DE VAQUETA </v>
      </c>
      <c r="E289" s="49" t="str">
        <f>_xlfn.XLOOKUP(B289,ESTOQUE!B:B,ESTOQUE!G:G,"",0)</f>
        <v>PAR</v>
      </c>
      <c r="F289" s="49">
        <v>4</v>
      </c>
      <c r="G289" s="146"/>
      <c r="H289" s="146"/>
      <c r="I289" s="147"/>
      <c r="J289" s="147"/>
      <c r="K289" s="63"/>
      <c r="L289" s="100"/>
    </row>
    <row r="290" spans="1:12" x14ac:dyDescent="0.25">
      <c r="A290" s="56">
        <v>45945</v>
      </c>
      <c r="B290" s="57">
        <v>144</v>
      </c>
      <c r="C290" s="49" t="s">
        <v>19</v>
      </c>
      <c r="D290" s="50" t="str">
        <f>IF(ISBLANK($B290),"",IFERROR(VLOOKUP($B290,ESTOQUE!$B$2:$D$97168,3,FALSE),"Produto não cadastrado"))</f>
        <v>MASCARA PFF2-S C/ FILTRO</v>
      </c>
      <c r="E290" s="49" t="str">
        <f>_xlfn.XLOOKUP(B290,ESTOQUE!B:B,ESTOQUE!G:G,"",0)</f>
        <v>UND</v>
      </c>
      <c r="F290" s="49">
        <v>50</v>
      </c>
      <c r="G290" s="146"/>
      <c r="H290" s="146"/>
      <c r="I290" s="147"/>
      <c r="J290" s="147"/>
      <c r="K290" s="63"/>
      <c r="L290" s="100"/>
    </row>
    <row r="291" spans="1:12" x14ac:dyDescent="0.25">
      <c r="A291" s="56">
        <v>45946</v>
      </c>
      <c r="B291" s="57">
        <v>190</v>
      </c>
      <c r="C291" s="49" t="s">
        <v>19</v>
      </c>
      <c r="D291" s="50" t="str">
        <f>IF(ISBLANK($B291),"",IFERROR(VLOOKUP($B291,ESTOQUE!$B$2:$D$97168,3,FALSE),"Produto não cadastrado"))</f>
        <v>AVENTAL DE RASPA TAM 120X60</v>
      </c>
      <c r="E291" s="49" t="str">
        <f>_xlfn.XLOOKUP(B291,ESTOQUE!B:B,ESTOQUE!G:G,"",0)</f>
        <v>UND</v>
      </c>
      <c r="F291" s="49">
        <v>1</v>
      </c>
      <c r="G291" s="146"/>
      <c r="H291" s="146"/>
      <c r="I291" s="147"/>
      <c r="J291" s="147"/>
      <c r="K291" s="63"/>
      <c r="L291" s="100"/>
    </row>
    <row r="292" spans="1:12" x14ac:dyDescent="0.25">
      <c r="A292" s="56">
        <v>45946</v>
      </c>
      <c r="B292" s="57">
        <v>40</v>
      </c>
      <c r="C292" s="49" t="s">
        <v>19</v>
      </c>
      <c r="D292" s="50" t="str">
        <f>IF(ISBLANK($B292),"",IFERROR(VLOOKUP($B292,ESTOQUE!$B$2:$D$97168,3,FALSE),"Produto não cadastrado"))</f>
        <v>BOTINA OP. BICO PVC Nº 42</v>
      </c>
      <c r="E292" s="49" t="str">
        <f>_xlfn.XLOOKUP(B292,ESTOQUE!B:B,ESTOQUE!G:G,"",0)</f>
        <v>PAR</v>
      </c>
      <c r="F292" s="49">
        <v>2</v>
      </c>
      <c r="G292" s="146"/>
      <c r="H292" s="146"/>
      <c r="I292" s="147"/>
      <c r="J292" s="147"/>
      <c r="K292" s="63"/>
      <c r="L292" s="100"/>
    </row>
    <row r="293" spans="1:12" x14ac:dyDescent="0.25">
      <c r="A293" s="56">
        <v>45946</v>
      </c>
      <c r="B293" s="57">
        <v>67</v>
      </c>
      <c r="C293" s="49" t="s">
        <v>19</v>
      </c>
      <c r="D293" s="50" t="str">
        <f>IF(ISBLANK($B293),"",IFERROR(VLOOKUP($B293,ESTOQUE!$B$2:$D$97168,3,FALSE),"Produto não cadastrado"))</f>
        <v>CAMISA LARANJA OP. C/ FAIXA REFLETIVA TAM: G</v>
      </c>
      <c r="E293" s="49" t="str">
        <f>_xlfn.XLOOKUP(B293,ESTOQUE!B:B,ESTOQUE!G:G,"",0)</f>
        <v>UND</v>
      </c>
      <c r="F293" s="49">
        <v>2</v>
      </c>
      <c r="G293" s="146"/>
      <c r="H293" s="146"/>
      <c r="I293" s="147"/>
      <c r="J293" s="147"/>
      <c r="K293" s="63"/>
      <c r="L293" s="100"/>
    </row>
    <row r="294" spans="1:12" x14ac:dyDescent="0.25">
      <c r="A294" s="56">
        <v>45946</v>
      </c>
      <c r="B294" s="57">
        <v>69</v>
      </c>
      <c r="C294" s="49" t="s">
        <v>19</v>
      </c>
      <c r="D294" s="50" t="str">
        <f>IF(ISBLANK($B294),"",IFERROR(VLOOKUP($B294,ESTOQUE!$B$2:$D$97168,3,FALSE),"Produto não cadastrado"))</f>
        <v>CAMISA LARANJA OP. C/ FAIXA REFLETIVA TAM: M</v>
      </c>
      <c r="E294" s="49" t="str">
        <f>_xlfn.XLOOKUP(B294,ESTOQUE!B:B,ESTOQUE!G:G,"",0)</f>
        <v>UND</v>
      </c>
      <c r="F294" s="49">
        <v>1</v>
      </c>
      <c r="G294" s="146"/>
      <c r="H294" s="146"/>
      <c r="I294" s="147"/>
      <c r="J294" s="147"/>
      <c r="K294" s="63"/>
      <c r="L294" s="100"/>
    </row>
    <row r="295" spans="1:12" x14ac:dyDescent="0.25">
      <c r="A295" s="56">
        <v>45946</v>
      </c>
      <c r="B295" s="57">
        <v>72</v>
      </c>
      <c r="C295" s="49" t="s">
        <v>19</v>
      </c>
      <c r="D295" s="50" t="str">
        <f>IF(ISBLANK($B295),"",IFERROR(VLOOKUP($B295,ESTOQUE!$B$2:$D$97168,3,FALSE),"Produto não cadastrado"))</f>
        <v>CAPA DE CHUVA G</v>
      </c>
      <c r="E295" s="49" t="str">
        <f>_xlfn.XLOOKUP(B295,ESTOQUE!B:B,ESTOQUE!G:G,"",0)</f>
        <v>UND</v>
      </c>
      <c r="F295" s="49">
        <v>2</v>
      </c>
      <c r="G295" s="146"/>
      <c r="H295" s="146"/>
      <c r="I295" s="147"/>
      <c r="J295" s="147"/>
      <c r="K295" s="63"/>
      <c r="L295" s="100"/>
    </row>
    <row r="296" spans="1:12" x14ac:dyDescent="0.25">
      <c r="A296" s="56">
        <v>45946</v>
      </c>
      <c r="B296" s="57">
        <v>161</v>
      </c>
      <c r="C296" s="49" t="s">
        <v>19</v>
      </c>
      <c r="D296" s="50" t="str">
        <f>IF(ISBLANK($B296),"",IFERROR(VLOOKUP($B296,ESTOQUE!$B$2:$D$97168,3,FALSE),"Produto não cadastrado"))</f>
        <v>JUGULAR</v>
      </c>
      <c r="E296" s="49" t="str">
        <f>_xlfn.XLOOKUP(B296,ESTOQUE!B:B,ESTOQUE!G:G,"",0)</f>
        <v>UND</v>
      </c>
      <c r="F296" s="49">
        <v>7</v>
      </c>
      <c r="G296" s="146"/>
      <c r="H296" s="146"/>
      <c r="I296" s="147"/>
      <c r="J296" s="147"/>
      <c r="K296" s="63"/>
      <c r="L296" s="100"/>
    </row>
    <row r="297" spans="1:12" x14ac:dyDescent="0.25">
      <c r="A297" s="56">
        <v>45946</v>
      </c>
      <c r="B297" s="57">
        <v>110</v>
      </c>
      <c r="C297" s="49" t="s">
        <v>19</v>
      </c>
      <c r="D297" s="50" t="str">
        <f>IF(ISBLANK($B297),"",IFERROR(VLOOKUP($B297,ESTOQUE!$B$2:$D$97168,3,FALSE),"Produto não cadastrado"))</f>
        <v>LUVA DE RASPA CANO LONGO</v>
      </c>
      <c r="E297" s="49" t="str">
        <f>_xlfn.XLOOKUP(B297,ESTOQUE!B:B,ESTOQUE!G:G,"",0)</f>
        <v>PAR</v>
      </c>
      <c r="F297" s="49">
        <v>1</v>
      </c>
      <c r="G297" s="146"/>
      <c r="H297" s="146"/>
      <c r="I297" s="147"/>
      <c r="J297" s="147"/>
      <c r="K297" s="63"/>
      <c r="L297" s="100"/>
    </row>
    <row r="298" spans="1:12" x14ac:dyDescent="0.25">
      <c r="A298" s="56">
        <v>45946</v>
      </c>
      <c r="B298" s="57">
        <v>141</v>
      </c>
      <c r="C298" s="49" t="s">
        <v>19</v>
      </c>
      <c r="D298" s="50" t="str">
        <f>IF(ISBLANK($B298),"",IFERROR(VLOOKUP($B298,ESTOQUE!$B$2:$D$97168,3,FALSE),"Produto não cadastrado"))</f>
        <v xml:space="preserve">LUVA DE VAQUETA </v>
      </c>
      <c r="E298" s="49" t="str">
        <f>_xlfn.XLOOKUP(B298,ESTOQUE!B:B,ESTOQUE!G:G,"",0)</f>
        <v>PAR</v>
      </c>
      <c r="F298" s="49">
        <v>5</v>
      </c>
      <c r="G298" s="146"/>
      <c r="H298" s="146"/>
      <c r="I298" s="147"/>
      <c r="J298" s="147"/>
      <c r="K298" s="63"/>
      <c r="L298" s="100"/>
    </row>
    <row r="299" spans="1:12" x14ac:dyDescent="0.25">
      <c r="A299" s="56">
        <v>45946</v>
      </c>
      <c r="B299" s="57">
        <v>111</v>
      </c>
      <c r="C299" s="49" t="s">
        <v>19</v>
      </c>
      <c r="D299" s="50" t="str">
        <f>IF(ISBLANK($B299),"",IFERROR(VLOOKUP($B299,ESTOQUE!$B$2:$D$97168,3,FALSE),"Produto não cadastrado"))</f>
        <v>LUVA DE VAQUETA MARROM</v>
      </c>
      <c r="E299" s="49" t="str">
        <f>_xlfn.XLOOKUP(B299,ESTOQUE!B:B,ESTOQUE!G:G,"",0)</f>
        <v>PAR</v>
      </c>
      <c r="F299" s="49">
        <v>4</v>
      </c>
      <c r="G299" s="146"/>
      <c r="H299" s="146"/>
      <c r="I299" s="147"/>
      <c r="J299" s="147"/>
      <c r="K299" s="63"/>
      <c r="L299" s="63"/>
    </row>
    <row r="300" spans="1:12" x14ac:dyDescent="0.25">
      <c r="A300" s="56">
        <v>45946</v>
      </c>
      <c r="B300" s="57">
        <v>189</v>
      </c>
      <c r="C300" s="49" t="s">
        <v>19</v>
      </c>
      <c r="D300" s="50" t="str">
        <f>IF(ISBLANK($B300),"",IFERROR(VLOOKUP($B300,ESTOQUE!$B$2:$D$97168,3,FALSE),"Produto não cadastrado"))</f>
        <v xml:space="preserve">LUVA DE VAQUETA MISTA </v>
      </c>
      <c r="E300" s="49" t="str">
        <f>_xlfn.XLOOKUP(B300,ESTOQUE!B:B,ESTOQUE!G:G,"",0)</f>
        <v>UND</v>
      </c>
      <c r="F300" s="49">
        <v>1</v>
      </c>
      <c r="G300" s="146"/>
      <c r="H300" s="146"/>
      <c r="I300" s="147"/>
      <c r="J300" s="147"/>
      <c r="K300" s="63"/>
      <c r="L300" s="63"/>
    </row>
    <row r="301" spans="1:12" x14ac:dyDescent="0.25">
      <c r="A301" s="56">
        <v>45946</v>
      </c>
      <c r="B301" s="57">
        <v>114</v>
      </c>
      <c r="C301" s="49" t="s">
        <v>19</v>
      </c>
      <c r="D301" s="50" t="str">
        <f>IF(ISBLANK($B301),"",IFERROR(VLOOKUP($B301,ESTOQUE!$B$2:$D$97168,3,FALSE),"Produto não cadastrado"))</f>
        <v xml:space="preserve">LUVA LATEX NITRILICA </v>
      </c>
      <c r="E301" s="49" t="str">
        <f>_xlfn.XLOOKUP(B301,ESTOQUE!B:B,ESTOQUE!G:G,"",0)</f>
        <v>PAR</v>
      </c>
      <c r="F301" s="49">
        <v>1</v>
      </c>
      <c r="G301" s="146"/>
      <c r="H301" s="146"/>
      <c r="I301" s="147"/>
      <c r="J301" s="147"/>
      <c r="K301" s="63"/>
      <c r="L301" s="63"/>
    </row>
    <row r="302" spans="1:12" x14ac:dyDescent="0.25">
      <c r="A302" s="56">
        <v>45946</v>
      </c>
      <c r="B302" s="57">
        <v>192</v>
      </c>
      <c r="C302" s="49" t="s">
        <v>19</v>
      </c>
      <c r="D302" s="50" t="str">
        <f>IF(ISBLANK($B302),"",IFERROR(VLOOKUP($B302,ESTOQUE!$B$2:$D$97168,3,FALSE),"Produto não cadastrado"))</f>
        <v>LUVA QUIMICA ( 2 OU 3)</v>
      </c>
      <c r="E302" s="49" t="str">
        <f>_xlfn.XLOOKUP(B302,ESTOQUE!B:B,ESTOQUE!G:G,"",0)</f>
        <v>UND</v>
      </c>
      <c r="F302" s="49">
        <v>1</v>
      </c>
      <c r="G302" s="146"/>
      <c r="H302" s="146"/>
      <c r="I302" s="147"/>
      <c r="J302" s="147"/>
      <c r="K302" s="63"/>
      <c r="L302" s="63"/>
    </row>
    <row r="303" spans="1:12" x14ac:dyDescent="0.25">
      <c r="A303" s="56">
        <v>45946</v>
      </c>
      <c r="B303" s="57">
        <v>118</v>
      </c>
      <c r="C303" s="49" t="s">
        <v>19</v>
      </c>
      <c r="D303" s="50" t="str">
        <f>IF(ISBLANK($B303),"",IFERROR(VLOOKUP($B303,ESTOQUE!$B$2:$D$97168,3,FALSE),"Produto não cadastrado"))</f>
        <v>MACACÃO DE PROTEÇÃO TYVEK</v>
      </c>
      <c r="E303" s="49" t="str">
        <f>_xlfn.XLOOKUP(B303,ESTOQUE!B:B,ESTOQUE!G:G,"",0)</f>
        <v>UND</v>
      </c>
      <c r="F303" s="49">
        <v>15</v>
      </c>
      <c r="G303" s="146"/>
      <c r="H303" s="146"/>
      <c r="I303" s="147"/>
      <c r="J303" s="147"/>
      <c r="K303" s="63"/>
      <c r="L303" s="63"/>
    </row>
    <row r="304" spans="1:12" x14ac:dyDescent="0.25">
      <c r="A304" s="56">
        <v>45946</v>
      </c>
      <c r="B304" s="57">
        <v>144</v>
      </c>
      <c r="C304" s="49" t="s">
        <v>19</v>
      </c>
      <c r="D304" s="50" t="str">
        <f>IF(ISBLANK($B304),"",IFERROR(VLOOKUP($B304,ESTOQUE!$B$2:$D$97168,3,FALSE),"Produto não cadastrado"))</f>
        <v>MASCARA PFF2-S C/ FILTRO</v>
      </c>
      <c r="E304" s="49" t="str">
        <f>_xlfn.XLOOKUP(B304,ESTOQUE!B:B,ESTOQUE!G:G,"",0)</f>
        <v>UND</v>
      </c>
      <c r="F304" s="49">
        <v>60</v>
      </c>
      <c r="G304" s="146"/>
      <c r="H304" s="146"/>
      <c r="I304" s="147"/>
      <c r="J304" s="147"/>
      <c r="K304" s="63"/>
      <c r="L304" s="63"/>
    </row>
    <row r="305" spans="1:11" x14ac:dyDescent="0.25">
      <c r="A305" s="56">
        <v>45946</v>
      </c>
      <c r="B305" s="57">
        <v>126</v>
      </c>
      <c r="C305" s="49" t="s">
        <v>19</v>
      </c>
      <c r="D305" s="50" t="str">
        <f>IF(ISBLANK($B305),"",IFERROR(VLOOKUP($B305,ESTOQUE!$B$2:$D$97168,3,FALSE),"Produto não cadastrado"))</f>
        <v>OCULOS DE PROTEÇÃO ESCURO</v>
      </c>
      <c r="E305" s="49" t="str">
        <f>_xlfn.XLOOKUP(B305,ESTOQUE!B:B,ESTOQUE!G:G,"",0)</f>
        <v>UND</v>
      </c>
      <c r="F305" s="49">
        <v>17</v>
      </c>
      <c r="G305" s="146"/>
      <c r="H305" s="146"/>
      <c r="I305" s="147"/>
      <c r="J305" s="147"/>
      <c r="K305" s="63"/>
    </row>
    <row r="306" spans="1:11" x14ac:dyDescent="0.25">
      <c r="A306" s="56">
        <v>45946</v>
      </c>
      <c r="B306" s="57">
        <v>124</v>
      </c>
      <c r="C306" s="49" t="s">
        <v>19</v>
      </c>
      <c r="D306" s="50" t="str">
        <f>IF(ISBLANK($B306),"",IFERROR(VLOOKUP($B306,ESTOQUE!$B$2:$D$97168,3,FALSE),"Produto não cadastrado"))</f>
        <v xml:space="preserve">OCULOS DE PROTEÇÃO INCOLOR </v>
      </c>
      <c r="E306" s="49" t="str">
        <f>_xlfn.XLOOKUP(B306,ESTOQUE!B:B,ESTOQUE!G:G,"",0)</f>
        <v>UND</v>
      </c>
      <c r="F306" s="49">
        <v>3</v>
      </c>
      <c r="G306" s="146"/>
      <c r="H306" s="146"/>
      <c r="I306" s="147"/>
      <c r="J306" s="147"/>
      <c r="K306" s="63"/>
    </row>
    <row r="307" spans="1:11" x14ac:dyDescent="0.25">
      <c r="A307" s="56">
        <v>45946</v>
      </c>
      <c r="B307" s="57">
        <v>141</v>
      </c>
      <c r="C307" s="49" t="s">
        <v>19</v>
      </c>
      <c r="D307" s="50" t="str">
        <f>IF(ISBLANK($B307),"",IFERROR(VLOOKUP($B307,ESTOQUE!$B$2:$D$97168,3,FALSE),"Produto não cadastrado"))</f>
        <v xml:space="preserve">LUVA DE VAQUETA </v>
      </c>
      <c r="E307" s="49" t="str">
        <f>_xlfn.XLOOKUP(B307,ESTOQUE!B:B,ESTOQUE!G:G,"",0)</f>
        <v>PAR</v>
      </c>
      <c r="F307" s="49">
        <v>1</v>
      </c>
      <c r="G307" s="146"/>
      <c r="H307" s="146"/>
      <c r="I307" s="147"/>
      <c r="J307" s="147"/>
      <c r="K307" s="63"/>
    </row>
    <row r="308" spans="1:11" x14ac:dyDescent="0.25">
      <c r="A308" s="56">
        <v>45946</v>
      </c>
      <c r="B308" s="57">
        <v>111</v>
      </c>
      <c r="C308" s="49" t="s">
        <v>19</v>
      </c>
      <c r="D308" s="50" t="str">
        <f>IF(ISBLANK($B308),"",IFERROR(VLOOKUP($B308,ESTOQUE!$B$2:$D$97168,3,FALSE),"Produto não cadastrado"))</f>
        <v>LUVA DE VAQUETA MARROM</v>
      </c>
      <c r="E308" s="49" t="str">
        <f>_xlfn.XLOOKUP(B308,ESTOQUE!B:B,ESTOQUE!G:G,"",0)</f>
        <v>PAR</v>
      </c>
      <c r="F308" s="49">
        <v>1</v>
      </c>
      <c r="G308" s="146"/>
      <c r="H308" s="146"/>
      <c r="I308" s="147"/>
      <c r="J308" s="147"/>
      <c r="K308" s="63"/>
    </row>
    <row r="309" spans="1:11" x14ac:dyDescent="0.25">
      <c r="A309" s="56">
        <v>45946</v>
      </c>
      <c r="B309" s="57">
        <v>207</v>
      </c>
      <c r="C309" s="49" t="s">
        <v>19</v>
      </c>
      <c r="D309" s="50" t="str">
        <f>IF(ISBLANK($B309),"",IFERROR(VLOOKUP($B309,ESTOQUE!$B$2:$D$97168,3,FALSE),"Produto não cadastrado"))</f>
        <v>LUVA POLIESTER ANTICORTE BANHADA PU TAM 9</v>
      </c>
      <c r="E309" s="49" t="str">
        <f>_xlfn.XLOOKUP(B309,ESTOQUE!B:B,ESTOQUE!G:G,"",0)</f>
        <v>PAR</v>
      </c>
      <c r="F309" s="49">
        <v>2</v>
      </c>
      <c r="G309" s="146"/>
      <c r="H309" s="146"/>
      <c r="I309" s="147"/>
      <c r="J309" s="147"/>
      <c r="K309" s="63"/>
    </row>
    <row r="310" spans="1:11" x14ac:dyDescent="0.25">
      <c r="A310" s="56">
        <v>45946</v>
      </c>
      <c r="B310" s="57">
        <v>144</v>
      </c>
      <c r="C310" s="49" t="s">
        <v>19</v>
      </c>
      <c r="D310" s="50" t="str">
        <f>IF(ISBLANK($B310),"",IFERROR(VLOOKUP($B310,ESTOQUE!$B$2:$D$97168,3,FALSE),"Produto não cadastrado"))</f>
        <v>MASCARA PFF2-S C/ FILTRO</v>
      </c>
      <c r="E310" s="49" t="str">
        <f>_xlfn.XLOOKUP(B310,ESTOQUE!B:B,ESTOQUE!G:G,"",0)</f>
        <v>UND</v>
      </c>
      <c r="F310" s="49">
        <v>1</v>
      </c>
      <c r="G310" s="146"/>
      <c r="H310" s="146"/>
      <c r="I310" s="147"/>
      <c r="J310" s="147"/>
      <c r="K310" s="63"/>
    </row>
    <row r="311" spans="1:11" x14ac:dyDescent="0.25">
      <c r="A311" s="56">
        <v>45946</v>
      </c>
      <c r="B311" s="57">
        <v>126</v>
      </c>
      <c r="C311" s="49" t="s">
        <v>19</v>
      </c>
      <c r="D311" s="50" t="str">
        <f>IF(ISBLANK($B311),"",IFERROR(VLOOKUP($B311,ESTOQUE!$B$2:$D$97168,3,FALSE),"Produto não cadastrado"))</f>
        <v>OCULOS DE PROTEÇÃO ESCURO</v>
      </c>
      <c r="E311" s="49" t="str">
        <f>_xlfn.XLOOKUP(B311,ESTOQUE!B:B,ESTOQUE!G:G,"",0)</f>
        <v>UND</v>
      </c>
      <c r="F311" s="49">
        <v>1</v>
      </c>
      <c r="G311" s="146"/>
      <c r="H311" s="146"/>
      <c r="I311" s="147"/>
      <c r="J311" s="147"/>
      <c r="K311" s="63"/>
    </row>
    <row r="312" spans="1:11" x14ac:dyDescent="0.25">
      <c r="A312" s="56">
        <v>45947</v>
      </c>
      <c r="B312" s="57">
        <v>228</v>
      </c>
      <c r="C312" s="49" t="s">
        <v>19</v>
      </c>
      <c r="D312" s="50" t="str">
        <f>IF(ISBLANK($B312),"",IFERROR(VLOOKUP($B312,ESTOQUE!$B$2:$D$97168,3,FALSE),"Produto não cadastrado"))</f>
        <v xml:space="preserve">BALACLAVA  </v>
      </c>
      <c r="E312" s="49" t="str">
        <f>_xlfn.XLOOKUP(B312,ESTOQUE!B:B,ESTOQUE!G:G,"",0)</f>
        <v>UND</v>
      </c>
      <c r="F312" s="49">
        <v>1</v>
      </c>
      <c r="G312" s="146"/>
      <c r="H312" s="146"/>
      <c r="I312" s="147"/>
      <c r="J312" s="147"/>
      <c r="K312" s="63"/>
    </row>
    <row r="313" spans="1:11" x14ac:dyDescent="0.25">
      <c r="A313" s="56">
        <v>45947</v>
      </c>
      <c r="B313" s="57">
        <v>10</v>
      </c>
      <c r="C313" s="49" t="s">
        <v>19</v>
      </c>
      <c r="D313" s="50" t="str">
        <f>IF(ISBLANK($B313),"",IFERROR(VLOOKUP($B313,ESTOQUE!$B$2:$D$97168,3,FALSE),"Produto não cadastrado"))</f>
        <v>BOTA PVC CANO LONGO Nº 42</v>
      </c>
      <c r="E313" s="49" t="str">
        <f>_xlfn.XLOOKUP(B313,ESTOQUE!B:B,ESTOQUE!G:G,"",0)</f>
        <v>PAR</v>
      </c>
      <c r="F313" s="49">
        <v>1</v>
      </c>
      <c r="G313" s="146"/>
      <c r="H313" s="146"/>
      <c r="I313" s="147"/>
      <c r="J313" s="147"/>
      <c r="K313" s="63"/>
    </row>
    <row r="314" spans="1:11" x14ac:dyDescent="0.25">
      <c r="A314" s="56">
        <v>45947</v>
      </c>
      <c r="B314" s="57">
        <v>39</v>
      </c>
      <c r="C314" s="49" t="s">
        <v>19</v>
      </c>
      <c r="D314" s="50" t="str">
        <f>IF(ISBLANK($B314),"",IFERROR(VLOOKUP($B314,ESTOQUE!$B$2:$D$97168,3,FALSE),"Produto não cadastrado"))</f>
        <v>BOTINA OP. BICO PVC Nº 41</v>
      </c>
      <c r="E314" s="49" t="str">
        <f>_xlfn.XLOOKUP(B314,ESTOQUE!B:B,ESTOQUE!G:G,"",0)</f>
        <v>PAR</v>
      </c>
      <c r="F314" s="49">
        <v>1</v>
      </c>
      <c r="G314" s="146"/>
      <c r="H314" s="146"/>
      <c r="I314" s="147"/>
      <c r="J314" s="147"/>
      <c r="K314" s="63"/>
    </row>
    <row r="315" spans="1:11" x14ac:dyDescent="0.25">
      <c r="A315" s="56">
        <v>45947</v>
      </c>
      <c r="B315" s="57">
        <v>46</v>
      </c>
      <c r="C315" s="49" t="s">
        <v>19</v>
      </c>
      <c r="D315" s="50" t="str">
        <f>IF(ISBLANK($B315),"",IFERROR(VLOOKUP($B315,ESTOQUE!$B$2:$D$97168,3,FALSE),"Produto não cadastrado"))</f>
        <v>CALÇA CINZA OP. C/ FAIXA REFLETIVA TAM: G</v>
      </c>
      <c r="E315" s="49" t="str">
        <f>_xlfn.XLOOKUP(B315,ESTOQUE!B:B,ESTOQUE!G:G,"",0)</f>
        <v>UND</v>
      </c>
      <c r="F315" s="49">
        <v>4</v>
      </c>
      <c r="G315" s="146"/>
      <c r="H315" s="146"/>
      <c r="I315" s="147"/>
      <c r="J315" s="147"/>
      <c r="K315" s="63"/>
    </row>
    <row r="316" spans="1:11" x14ac:dyDescent="0.25">
      <c r="A316" s="56">
        <v>45947</v>
      </c>
      <c r="B316" s="57">
        <v>48</v>
      </c>
      <c r="C316" s="49" t="s">
        <v>19</v>
      </c>
      <c r="D316" s="50" t="str">
        <f>IF(ISBLANK($B316),"",IFERROR(VLOOKUP($B316,ESTOQUE!$B$2:$D$97168,3,FALSE),"Produto não cadastrado"))</f>
        <v>CALÇA CINZA OP. C/ FAIXA REFLETIVA TAM: M</v>
      </c>
      <c r="E316" s="49" t="str">
        <f>_xlfn.XLOOKUP(B316,ESTOQUE!B:B,ESTOQUE!G:G,"",0)</f>
        <v>UND</v>
      </c>
      <c r="F316" s="49">
        <v>4</v>
      </c>
      <c r="G316" s="146"/>
      <c r="H316" s="146"/>
      <c r="I316" s="147"/>
      <c r="J316" s="147"/>
      <c r="K316" s="63"/>
    </row>
    <row r="317" spans="1:11" x14ac:dyDescent="0.25">
      <c r="A317" s="56">
        <v>45947</v>
      </c>
      <c r="B317" s="57">
        <v>49</v>
      </c>
      <c r="C317" s="49" t="s">
        <v>19</v>
      </c>
      <c r="D317" s="50" t="str">
        <f>IF(ISBLANK($B317),"",IFERROR(VLOOKUP($B317,ESTOQUE!$B$2:$D$97168,3,FALSE),"Produto não cadastrado"))</f>
        <v>CALÇA CINZA OP. C/ FAIXA REFLETIVA TAM: P</v>
      </c>
      <c r="E317" s="49" t="str">
        <f>_xlfn.XLOOKUP(B317,ESTOQUE!B:B,ESTOQUE!G:G,"",0)</f>
        <v>UND</v>
      </c>
      <c r="F317" s="49">
        <v>1</v>
      </c>
      <c r="G317" s="146"/>
      <c r="H317" s="146"/>
      <c r="I317" s="147"/>
      <c r="J317" s="147"/>
      <c r="K317" s="63"/>
    </row>
    <row r="318" spans="1:11" x14ac:dyDescent="0.25">
      <c r="A318" s="56">
        <v>45947</v>
      </c>
      <c r="B318" s="57">
        <v>67</v>
      </c>
      <c r="C318" s="49" t="s">
        <v>19</v>
      </c>
      <c r="D318" s="50" t="str">
        <f>IF(ISBLANK($B318),"",IFERROR(VLOOKUP($B318,ESTOQUE!$B$2:$D$97168,3,FALSE),"Produto não cadastrado"))</f>
        <v>CAMISA LARANJA OP. C/ FAIXA REFLETIVA TAM: G</v>
      </c>
      <c r="E318" s="49" t="str">
        <f>_xlfn.XLOOKUP(B318,ESTOQUE!B:B,ESTOQUE!G:G,"",0)</f>
        <v>UND</v>
      </c>
      <c r="F318" s="49">
        <v>1</v>
      </c>
      <c r="G318" s="146"/>
      <c r="H318" s="146"/>
      <c r="I318" s="147"/>
      <c r="J318" s="147"/>
      <c r="K318" s="63"/>
    </row>
    <row r="319" spans="1:11" x14ac:dyDescent="0.25">
      <c r="A319" s="56">
        <v>45947</v>
      </c>
      <c r="B319" s="57">
        <v>68</v>
      </c>
      <c r="C319" s="49" t="s">
        <v>19</v>
      </c>
      <c r="D319" s="50" t="str">
        <f>IF(ISBLANK($B319),"",IFERROR(VLOOKUP($B319,ESTOQUE!$B$2:$D$97168,3,FALSE),"Produto não cadastrado"))</f>
        <v>CAMISA LARANJA OP. C/ FAIXA REFLETIVA TAM: GG</v>
      </c>
      <c r="E319" s="49" t="str">
        <f>_xlfn.XLOOKUP(B319,ESTOQUE!B:B,ESTOQUE!G:G,"",0)</f>
        <v>UND</v>
      </c>
      <c r="F319" s="49">
        <v>1</v>
      </c>
      <c r="G319" s="146"/>
      <c r="H319" s="146"/>
      <c r="I319" s="147"/>
      <c r="J319" s="147"/>
      <c r="K319" s="63"/>
    </row>
    <row r="320" spans="1:11" x14ac:dyDescent="0.25">
      <c r="A320" s="56">
        <v>45947</v>
      </c>
      <c r="B320" s="57">
        <v>69</v>
      </c>
      <c r="C320" s="49" t="s">
        <v>19</v>
      </c>
      <c r="D320" s="50" t="str">
        <f>IF(ISBLANK($B320),"",IFERROR(VLOOKUP($B320,ESTOQUE!$B$2:$D$97168,3,FALSE),"Produto não cadastrado"))</f>
        <v>CAMISA LARANJA OP. C/ FAIXA REFLETIVA TAM: M</v>
      </c>
      <c r="E320" s="49" t="str">
        <f>_xlfn.XLOOKUP(B320,ESTOQUE!B:B,ESTOQUE!G:G,"",0)</f>
        <v>UND</v>
      </c>
      <c r="F320" s="49">
        <v>2</v>
      </c>
      <c r="G320" s="146"/>
      <c r="H320" s="146"/>
      <c r="I320" s="147"/>
      <c r="J320" s="147"/>
      <c r="K320" s="63"/>
    </row>
    <row r="321" spans="1:11" x14ac:dyDescent="0.25">
      <c r="A321" s="56">
        <v>45947</v>
      </c>
      <c r="B321" s="57">
        <v>70</v>
      </c>
      <c r="C321" s="49" t="s">
        <v>19</v>
      </c>
      <c r="D321" s="50" t="str">
        <f>IF(ISBLANK($B321),"",IFERROR(VLOOKUP($B321,ESTOQUE!$B$2:$D$97168,3,FALSE),"Produto não cadastrado"))</f>
        <v>CAMISA LARANJA OP. C/ FAIXA REFLETIVA TAM: P</v>
      </c>
      <c r="E321" s="49" t="str">
        <f>_xlfn.XLOOKUP(B321,ESTOQUE!B:B,ESTOQUE!G:G,"",0)</f>
        <v>UND</v>
      </c>
      <c r="F321" s="49">
        <v>1</v>
      </c>
      <c r="G321" s="146"/>
      <c r="H321" s="146"/>
      <c r="I321" s="147"/>
      <c r="J321" s="147"/>
      <c r="K321" s="63"/>
    </row>
    <row r="322" spans="1:11" x14ac:dyDescent="0.25">
      <c r="A322" s="56">
        <v>45947</v>
      </c>
      <c r="B322" s="57">
        <v>94</v>
      </c>
      <c r="C322" s="49" t="s">
        <v>19</v>
      </c>
      <c r="D322" s="50" t="str">
        <f>IF(ISBLANK($B322),"",IFERROR(VLOOKUP($B322,ESTOQUE!$B$2:$D$97168,3,FALSE),"Produto não cadastrado"))</f>
        <v>CARNEIRA P/ CAPACETE CAMPER</v>
      </c>
      <c r="E322" s="49" t="str">
        <f>_xlfn.XLOOKUP(B322,ESTOQUE!B:B,ESTOQUE!G:G,"",0)</f>
        <v>UND</v>
      </c>
      <c r="F322" s="49">
        <v>10</v>
      </c>
      <c r="G322" s="146"/>
      <c r="H322" s="146"/>
      <c r="I322" s="147"/>
      <c r="J322" s="147"/>
      <c r="K322" s="63"/>
    </row>
    <row r="323" spans="1:11" x14ac:dyDescent="0.25">
      <c r="A323" s="56">
        <v>45947</v>
      </c>
      <c r="B323" s="57">
        <v>110</v>
      </c>
      <c r="C323" s="49" t="s">
        <v>19</v>
      </c>
      <c r="D323" s="50" t="str">
        <f>IF(ISBLANK($B323),"",IFERROR(VLOOKUP($B323,ESTOQUE!$B$2:$D$97168,3,FALSE),"Produto não cadastrado"))</f>
        <v>LUVA DE RASPA CANO LONGO</v>
      </c>
      <c r="E323" s="49" t="str">
        <f>_xlfn.XLOOKUP(B323,ESTOQUE!B:B,ESTOQUE!G:G,"",0)</f>
        <v>PAR</v>
      </c>
      <c r="F323" s="49">
        <v>4</v>
      </c>
      <c r="G323" s="146"/>
      <c r="H323" s="146"/>
      <c r="I323" s="147"/>
      <c r="J323" s="147"/>
      <c r="K323" s="63"/>
    </row>
    <row r="324" spans="1:11" x14ac:dyDescent="0.25">
      <c r="A324" s="56">
        <v>45947</v>
      </c>
      <c r="B324" s="57">
        <v>141</v>
      </c>
      <c r="C324" s="49" t="s">
        <v>19</v>
      </c>
      <c r="D324" s="50" t="str">
        <f>IF(ISBLANK($B324),"",IFERROR(VLOOKUP($B324,ESTOQUE!$B$2:$D$97168,3,FALSE),"Produto não cadastrado"))</f>
        <v xml:space="preserve">LUVA DE VAQUETA </v>
      </c>
      <c r="E324" s="49" t="str">
        <f>_xlfn.XLOOKUP(B324,ESTOQUE!B:B,ESTOQUE!G:G,"",0)</f>
        <v>PAR</v>
      </c>
      <c r="F324" s="49">
        <v>4</v>
      </c>
      <c r="G324" s="146"/>
      <c r="H324" s="146"/>
      <c r="I324" s="147"/>
      <c r="J324" s="147"/>
      <c r="K324" s="63"/>
    </row>
    <row r="325" spans="1:11" x14ac:dyDescent="0.25">
      <c r="A325" s="56">
        <v>45947</v>
      </c>
      <c r="B325" s="57">
        <v>117</v>
      </c>
      <c r="C325" s="49" t="s">
        <v>19</v>
      </c>
      <c r="D325" s="50" t="str">
        <f>IF(ISBLANK($B325),"",IFERROR(VLOOKUP($B325,ESTOQUE!$B$2:$D$97168,3,FALSE),"Produto não cadastrado"))</f>
        <v>LUVA PIGMENTADA</v>
      </c>
      <c r="E325" s="49" t="str">
        <f>_xlfn.XLOOKUP(B325,ESTOQUE!B:B,ESTOQUE!G:G,"",0)</f>
        <v>PAR</v>
      </c>
      <c r="F325" s="49">
        <v>2</v>
      </c>
      <c r="G325" s="146"/>
      <c r="H325" s="146"/>
      <c r="I325" s="147"/>
      <c r="J325" s="147"/>
      <c r="K325" s="63"/>
    </row>
    <row r="326" spans="1:11" x14ac:dyDescent="0.25">
      <c r="A326" s="134">
        <v>45947</v>
      </c>
      <c r="B326" s="102">
        <v>144</v>
      </c>
      <c r="C326" s="49" t="s">
        <v>19</v>
      </c>
      <c r="D326" s="50" t="str">
        <f>IF(ISBLANK($B326),"",IFERROR(VLOOKUP($B326,ESTOQUE!$B$2:$D$97168,3,FALSE),"Produto não cadastrado"))</f>
        <v>MASCARA PFF2-S C/ FILTRO</v>
      </c>
      <c r="E326" s="49" t="str">
        <f>_xlfn.XLOOKUP(B326,ESTOQUE!B:B,ESTOQUE!G:G,"",0)</f>
        <v>UND</v>
      </c>
      <c r="F326" s="103">
        <v>50</v>
      </c>
      <c r="G326" s="146"/>
      <c r="H326" s="146"/>
      <c r="I326" s="147"/>
      <c r="J326" s="147"/>
      <c r="K326" s="63"/>
    </row>
    <row r="327" spans="1:11" x14ac:dyDescent="0.25">
      <c r="A327" s="134">
        <v>45947</v>
      </c>
      <c r="B327" s="102">
        <v>126</v>
      </c>
      <c r="C327" s="49" t="s">
        <v>19</v>
      </c>
      <c r="D327" s="50" t="str">
        <f>IF(ISBLANK($B327),"",IFERROR(VLOOKUP($B327,ESTOQUE!$B$2:$D$97168,3,FALSE),"Produto não cadastrado"))</f>
        <v>OCULOS DE PROTEÇÃO ESCURO</v>
      </c>
      <c r="E327" s="49" t="str">
        <f>_xlfn.XLOOKUP(B327,ESTOQUE!B:B,ESTOQUE!G:G,"",0)</f>
        <v>UND</v>
      </c>
      <c r="F327" s="103">
        <v>4</v>
      </c>
      <c r="G327" s="146"/>
      <c r="H327" s="146"/>
      <c r="I327" s="147"/>
      <c r="J327" s="147"/>
      <c r="K327" s="63"/>
    </row>
    <row r="328" spans="1:11" x14ac:dyDescent="0.25">
      <c r="A328" s="134">
        <v>45947</v>
      </c>
      <c r="B328" s="102">
        <v>124</v>
      </c>
      <c r="C328" s="49" t="s">
        <v>19</v>
      </c>
      <c r="D328" s="50" t="str">
        <f>IF(ISBLANK($B328),"",IFERROR(VLOOKUP($B328,ESTOQUE!$B$2:$D$97168,3,FALSE),"Produto não cadastrado"))</f>
        <v xml:space="preserve">OCULOS DE PROTEÇÃO INCOLOR </v>
      </c>
      <c r="E328" s="49" t="str">
        <f>_xlfn.XLOOKUP(B328,ESTOQUE!B:B,ESTOQUE!G:G,"",0)</f>
        <v>UND</v>
      </c>
      <c r="F328" s="103">
        <v>5</v>
      </c>
      <c r="G328" s="146"/>
      <c r="H328" s="146"/>
      <c r="I328" s="147"/>
      <c r="J328" s="147"/>
      <c r="K328" s="63"/>
    </row>
    <row r="329" spans="1:11" x14ac:dyDescent="0.25">
      <c r="A329" s="134">
        <v>45947</v>
      </c>
      <c r="B329" s="102">
        <v>139</v>
      </c>
      <c r="C329" s="49" t="s">
        <v>19</v>
      </c>
      <c r="D329" s="50" t="str">
        <f>IF(ISBLANK($B329),"",IFERROR(VLOOKUP($B329,ESTOQUE!$B$2:$D$97168,3,FALSE),"Produto não cadastrado"))</f>
        <v>PROTETOR AURICULAR TIPO PLUG</v>
      </c>
      <c r="E329" s="49" t="str">
        <f>_xlfn.XLOOKUP(B329,ESTOQUE!B:B,ESTOQUE!G:G,"",0)</f>
        <v>UND</v>
      </c>
      <c r="F329" s="103">
        <v>1</v>
      </c>
      <c r="G329" s="146"/>
      <c r="H329" s="146"/>
      <c r="I329" s="147"/>
      <c r="J329" s="147"/>
      <c r="K329" s="63"/>
    </row>
    <row r="330" spans="1:11" x14ac:dyDescent="0.25">
      <c r="A330" s="56">
        <v>45948</v>
      </c>
      <c r="B330" s="57">
        <v>39</v>
      </c>
      <c r="C330" s="49" t="s">
        <v>19</v>
      </c>
      <c r="D330" s="50" t="str">
        <f>IF(ISBLANK($B330),"",IFERROR(VLOOKUP($B330,ESTOQUE!$B$2:$D$97168,3,FALSE),"Produto não cadastrado"))</f>
        <v>BOTINA OP. BICO PVC Nº 41</v>
      </c>
      <c r="E330" s="49" t="str">
        <f>_xlfn.XLOOKUP(B330,ESTOQUE!B:B,ESTOQUE!G:G,"",0)</f>
        <v>PAR</v>
      </c>
      <c r="F330" s="49">
        <v>1</v>
      </c>
      <c r="G330" s="146"/>
      <c r="H330" s="146"/>
      <c r="I330" s="147"/>
      <c r="J330" s="147"/>
      <c r="K330" s="63"/>
    </row>
    <row r="331" spans="1:11" x14ac:dyDescent="0.25">
      <c r="A331" s="56">
        <v>45948</v>
      </c>
      <c r="B331" s="57">
        <v>189</v>
      </c>
      <c r="C331" s="49" t="s">
        <v>19</v>
      </c>
      <c r="D331" s="50" t="str">
        <f>IF(ISBLANK($B331),"",IFERROR(VLOOKUP($B331,ESTOQUE!$B$2:$D$97168,3,FALSE),"Produto não cadastrado"))</f>
        <v xml:space="preserve">LUVA DE VAQUETA MISTA </v>
      </c>
      <c r="E331" s="49" t="str">
        <f>_xlfn.XLOOKUP(B331,ESTOQUE!B:B,ESTOQUE!G:G,"",0)</f>
        <v>UND</v>
      </c>
      <c r="F331" s="49">
        <v>1</v>
      </c>
      <c r="G331" s="146"/>
      <c r="H331" s="146"/>
      <c r="I331" s="147"/>
      <c r="J331" s="147"/>
      <c r="K331" s="63"/>
    </row>
    <row r="332" spans="1:11" x14ac:dyDescent="0.25">
      <c r="A332" s="56">
        <v>45948</v>
      </c>
      <c r="B332" s="57">
        <v>228</v>
      </c>
      <c r="C332" s="49" t="s">
        <v>19</v>
      </c>
      <c r="D332" s="50" t="str">
        <f>IF(ISBLANK($B332),"",IFERROR(VLOOKUP($B332,ESTOQUE!$B$2:$D$97168,3,FALSE),"Produto não cadastrado"))</f>
        <v xml:space="preserve">BALACLAVA  </v>
      </c>
      <c r="E332" s="49" t="str">
        <f>_xlfn.XLOOKUP(B332,ESTOQUE!B:B,ESTOQUE!G:G,"",0)</f>
        <v>UND</v>
      </c>
      <c r="F332" s="49">
        <v>5</v>
      </c>
      <c r="G332" s="146"/>
      <c r="H332" s="146"/>
      <c r="I332" s="147"/>
      <c r="J332" s="147"/>
      <c r="K332" s="63"/>
    </row>
    <row r="333" spans="1:11" x14ac:dyDescent="0.25">
      <c r="A333" s="56">
        <v>45948</v>
      </c>
      <c r="B333" s="57">
        <v>257</v>
      </c>
      <c r="C333" s="49" t="s">
        <v>19</v>
      </c>
      <c r="D333" s="50" t="str">
        <f>IF(ISBLANK($B333),"",IFERROR(VLOOKUP($B333,ESTOQUE!$B$2:$D$97168,3,FALSE),"Produto não cadastrado"))</f>
        <v xml:space="preserve">LUVA MULTITATO </v>
      </c>
      <c r="E333" s="49" t="str">
        <f>_xlfn.XLOOKUP(B333,ESTOQUE!B:B,ESTOQUE!G:G,"",0)</f>
        <v>UND</v>
      </c>
      <c r="F333" s="49">
        <v>10</v>
      </c>
      <c r="G333" s="146"/>
      <c r="H333" s="146"/>
      <c r="I333" s="147"/>
      <c r="J333" s="147"/>
      <c r="K333" s="63"/>
    </row>
    <row r="334" spans="1:11" x14ac:dyDescent="0.25">
      <c r="A334" s="56">
        <v>45948</v>
      </c>
      <c r="B334" s="57">
        <v>114</v>
      </c>
      <c r="C334" s="49" t="s">
        <v>19</v>
      </c>
      <c r="D334" s="50" t="str">
        <f>IF(ISBLANK($B334),"",IFERROR(VLOOKUP($B334,ESTOQUE!$B$2:$D$97168,3,FALSE),"Produto não cadastrado"))</f>
        <v xml:space="preserve">LUVA LATEX NITRILICA </v>
      </c>
      <c r="E334" s="49" t="str">
        <f>_xlfn.XLOOKUP(B334,ESTOQUE!B:B,ESTOQUE!G:G,"",0)</f>
        <v>PAR</v>
      </c>
      <c r="F334" s="49">
        <v>1</v>
      </c>
      <c r="G334" s="146"/>
      <c r="H334" s="146"/>
      <c r="I334" s="147"/>
      <c r="J334" s="147"/>
      <c r="K334" s="63"/>
    </row>
    <row r="335" spans="1:11" x14ac:dyDescent="0.25">
      <c r="A335" s="56">
        <v>45948</v>
      </c>
      <c r="B335" s="57">
        <v>115</v>
      </c>
      <c r="C335" s="49" t="s">
        <v>19</v>
      </c>
      <c r="D335" s="50" t="str">
        <f>IF(ISBLANK($B335),"",IFERROR(VLOOKUP($B335,ESTOQUE!$B$2:$D$97168,3,FALSE),"Produto não cadastrado"))</f>
        <v>LUVA PARA SOLDADOR MIG AZUL TAM 9</v>
      </c>
      <c r="E335" s="49" t="str">
        <f>_xlfn.XLOOKUP(B335,ESTOQUE!B:B,ESTOQUE!G:G,"",0)</f>
        <v>PAR</v>
      </c>
      <c r="F335" s="49">
        <v>1</v>
      </c>
      <c r="G335" s="146"/>
      <c r="H335" s="146"/>
      <c r="I335" s="147"/>
      <c r="J335" s="147"/>
      <c r="K335" s="63"/>
    </row>
    <row r="336" spans="1:11" x14ac:dyDescent="0.25">
      <c r="A336" s="135">
        <v>45948</v>
      </c>
      <c r="B336" s="57">
        <v>117</v>
      </c>
      <c r="C336" s="49" t="s">
        <v>19</v>
      </c>
      <c r="D336" s="50" t="str">
        <f>IF(ISBLANK($B336),"",IFERROR(VLOOKUP($B336,ESTOQUE!$B$2:$D$97168,3,FALSE),"Produto não cadastrado"))</f>
        <v>LUVA PIGMENTADA</v>
      </c>
      <c r="E336" s="49" t="str">
        <f>_xlfn.XLOOKUP(B336,ESTOQUE!B:B,ESTOQUE!G:G,"",0)</f>
        <v>PAR</v>
      </c>
      <c r="F336" s="49">
        <v>7</v>
      </c>
      <c r="G336" s="146"/>
      <c r="H336" s="146"/>
      <c r="I336" s="147"/>
      <c r="J336" s="147"/>
      <c r="K336" s="63"/>
    </row>
    <row r="337" spans="1:11" x14ac:dyDescent="0.25">
      <c r="A337" s="135">
        <v>45948</v>
      </c>
      <c r="B337" s="57">
        <v>118</v>
      </c>
      <c r="C337" s="49" t="s">
        <v>19</v>
      </c>
      <c r="D337" s="50" t="str">
        <f>IF(ISBLANK($B337),"",IFERROR(VLOOKUP($B337,ESTOQUE!$B$2:$D$97168,3,FALSE),"Produto não cadastrado"))</f>
        <v>MACACÃO DE PROTEÇÃO TYVEK</v>
      </c>
      <c r="E337" s="49" t="str">
        <f>_xlfn.XLOOKUP(B337,ESTOQUE!B:B,ESTOQUE!G:G,"",0)</f>
        <v>UND</v>
      </c>
      <c r="F337" s="49">
        <v>3</v>
      </c>
      <c r="G337" s="146"/>
      <c r="H337" s="146"/>
      <c r="I337" s="147"/>
      <c r="J337" s="147"/>
      <c r="K337" s="63"/>
    </row>
    <row r="338" spans="1:11" x14ac:dyDescent="0.25">
      <c r="A338" s="135">
        <v>45948</v>
      </c>
      <c r="B338" s="57">
        <v>126</v>
      </c>
      <c r="C338" s="49" t="s">
        <v>19</v>
      </c>
      <c r="D338" s="50" t="str">
        <f>IF(ISBLANK($B338),"",IFERROR(VLOOKUP($B338,ESTOQUE!$B$2:$D$97168,3,FALSE),"Produto não cadastrado"))</f>
        <v>OCULOS DE PROTEÇÃO ESCURO</v>
      </c>
      <c r="E338" s="49" t="str">
        <f>_xlfn.XLOOKUP(B338,ESTOQUE!B:B,ESTOQUE!G:G,"",0)</f>
        <v>UND</v>
      </c>
      <c r="F338" s="49">
        <v>2</v>
      </c>
      <c r="G338" s="146"/>
      <c r="H338" s="146"/>
      <c r="I338" s="147"/>
      <c r="J338" s="147"/>
      <c r="K338" s="63"/>
    </row>
    <row r="339" spans="1:11" x14ac:dyDescent="0.25">
      <c r="A339" s="135">
        <v>45948</v>
      </c>
      <c r="B339" s="57">
        <v>47</v>
      </c>
      <c r="C339" s="49" t="s">
        <v>19</v>
      </c>
      <c r="D339" s="50" t="str">
        <f>IF(ISBLANK($B339),"",IFERROR(VLOOKUP($B339,ESTOQUE!$B$2:$D$97168,3,FALSE),"Produto não cadastrado"))</f>
        <v>CALÇA CINZA OP. C/ FAIXA REFLETIVA TAM: GG</v>
      </c>
      <c r="E339" s="49" t="str">
        <f>_xlfn.XLOOKUP(B339,ESTOQUE!B:B,ESTOQUE!G:G,"",0)</f>
        <v>UND</v>
      </c>
      <c r="F339" s="49">
        <v>3</v>
      </c>
      <c r="G339" s="146"/>
      <c r="H339" s="146"/>
      <c r="I339" s="147"/>
      <c r="J339" s="147"/>
      <c r="K339" s="63"/>
    </row>
    <row r="340" spans="1:11" x14ac:dyDescent="0.25">
      <c r="A340" s="135">
        <v>45948</v>
      </c>
      <c r="B340" s="57">
        <v>144</v>
      </c>
      <c r="C340" s="49" t="s">
        <v>19</v>
      </c>
      <c r="D340" s="50" t="str">
        <f>IF(ISBLANK($B340),"",IFERROR(VLOOKUP($B340,ESTOQUE!$B$2:$D$97168,3,FALSE),"Produto não cadastrado"))</f>
        <v>MASCARA PFF2-S C/ FILTRO</v>
      </c>
      <c r="E340" s="49" t="str">
        <f>_xlfn.XLOOKUP(B340,ESTOQUE!B:B,ESTOQUE!G:G,"",0)</f>
        <v>UND</v>
      </c>
      <c r="F340" s="49">
        <v>60</v>
      </c>
      <c r="G340" s="146"/>
      <c r="H340" s="146"/>
      <c r="I340" s="147"/>
      <c r="J340" s="147"/>
      <c r="K340" s="63"/>
    </row>
    <row r="341" spans="1:11" x14ac:dyDescent="0.25">
      <c r="A341" s="135">
        <v>45952</v>
      </c>
      <c r="B341" s="57">
        <v>159</v>
      </c>
      <c r="C341" s="49" t="s">
        <v>19</v>
      </c>
      <c r="D341" s="50" t="str">
        <f>IF(ISBLANK($B341),"",IFERROR(VLOOKUP($B341,ESTOQUE!$B$2:$D$97168,3,FALSE),"Produto não cadastrado"))</f>
        <v>LUVA VOLK ANTIVIBRAÇÃO GORILA TAM 9</v>
      </c>
      <c r="E341" s="49" t="str">
        <f>_xlfn.XLOOKUP(B341,ESTOQUE!B:B,ESTOQUE!G:G,"",0)</f>
        <v>PAR</v>
      </c>
      <c r="F341" s="49">
        <v>2</v>
      </c>
      <c r="G341" s="146"/>
      <c r="H341" s="146"/>
      <c r="I341" s="147"/>
      <c r="J341" s="147"/>
      <c r="K341" s="63"/>
    </row>
    <row r="342" spans="1:11" x14ac:dyDescent="0.25">
      <c r="A342" s="101">
        <v>45952</v>
      </c>
      <c r="B342" s="102">
        <v>228</v>
      </c>
      <c r="C342" s="49" t="s">
        <v>19</v>
      </c>
      <c r="D342" s="50" t="str">
        <f>IF(ISBLANK($B342),"",IFERROR(VLOOKUP($B342,ESTOQUE!$B$2:$D$97168,3,FALSE),"Produto não cadastrado"))</f>
        <v xml:space="preserve">BALACLAVA  </v>
      </c>
      <c r="E342" s="49" t="str">
        <f>_xlfn.XLOOKUP(B342,ESTOQUE!B:B,ESTOQUE!G:G,"",0)</f>
        <v>UND</v>
      </c>
      <c r="F342" s="103">
        <v>2</v>
      </c>
      <c r="G342" s="146"/>
      <c r="H342" s="146"/>
      <c r="I342" s="147"/>
      <c r="J342" s="147"/>
      <c r="K342" s="63"/>
    </row>
    <row r="343" spans="1:11" x14ac:dyDescent="0.25">
      <c r="A343" s="101">
        <v>45952</v>
      </c>
      <c r="B343" s="102">
        <v>10</v>
      </c>
      <c r="C343" s="49" t="s">
        <v>19</v>
      </c>
      <c r="D343" s="50" t="str">
        <f>IF(ISBLANK($B343),"",IFERROR(VLOOKUP($B343,ESTOQUE!$B$2:$D$97168,3,FALSE),"Produto não cadastrado"))</f>
        <v>BOTA PVC CANO LONGO Nº 42</v>
      </c>
      <c r="E343" s="49" t="str">
        <f>_xlfn.XLOOKUP(B343,ESTOQUE!B:B,ESTOQUE!G:G,"",0)</f>
        <v>PAR</v>
      </c>
      <c r="F343" s="103">
        <v>1</v>
      </c>
      <c r="G343" s="146"/>
      <c r="H343" s="146"/>
      <c r="I343" s="147"/>
      <c r="J343" s="147"/>
      <c r="K343" s="63"/>
    </row>
    <row r="344" spans="1:11" x14ac:dyDescent="0.25">
      <c r="A344" s="101">
        <v>45952</v>
      </c>
      <c r="B344" s="102">
        <v>20</v>
      </c>
      <c r="C344" s="49" t="s">
        <v>19</v>
      </c>
      <c r="D344" s="50" t="str">
        <f>IF(ISBLANK($B344),"",IFERROR(VLOOKUP($B344,ESTOQUE!$B$2:$D$97168,3,FALSE),"Produto não cadastrado"))</f>
        <v>BOTA PVC CANO MEDIO Nº 41</v>
      </c>
      <c r="E344" s="49" t="str">
        <f>_xlfn.XLOOKUP(B344,ESTOQUE!B:B,ESTOQUE!G:G,"",0)</f>
        <v>PAR</v>
      </c>
      <c r="F344" s="103">
        <v>1</v>
      </c>
      <c r="G344" s="146"/>
      <c r="H344" s="146"/>
      <c r="I344" s="147"/>
      <c r="J344" s="147"/>
      <c r="K344" s="63"/>
    </row>
    <row r="345" spans="1:11" x14ac:dyDescent="0.25">
      <c r="A345" s="101">
        <v>45952</v>
      </c>
      <c r="B345" s="102">
        <v>38</v>
      </c>
      <c r="C345" s="49" t="s">
        <v>19</v>
      </c>
      <c r="D345" s="50" t="str">
        <f>IF(ISBLANK($B345),"",IFERROR(VLOOKUP($B345,ESTOQUE!$B$2:$D$97168,3,FALSE),"Produto não cadastrado"))</f>
        <v>BOTINA OP. BICO PVC Nº 40</v>
      </c>
      <c r="E345" s="49" t="str">
        <f>_xlfn.XLOOKUP(B345,ESTOQUE!B:B,ESTOQUE!G:G,"",0)</f>
        <v>PAR</v>
      </c>
      <c r="F345" s="103">
        <v>1</v>
      </c>
      <c r="G345" s="146"/>
      <c r="H345" s="146"/>
      <c r="I345" s="147"/>
      <c r="J345" s="147"/>
      <c r="K345" s="63"/>
    </row>
    <row r="346" spans="1:11" x14ac:dyDescent="0.25">
      <c r="A346" s="101">
        <v>45952</v>
      </c>
      <c r="B346" s="102">
        <v>46</v>
      </c>
      <c r="C346" s="49" t="s">
        <v>19</v>
      </c>
      <c r="D346" s="50" t="str">
        <f>IF(ISBLANK($B346),"",IFERROR(VLOOKUP($B346,ESTOQUE!$B$2:$D$97168,3,FALSE),"Produto não cadastrado"))</f>
        <v>CALÇA CINZA OP. C/ FAIXA REFLETIVA TAM: G</v>
      </c>
      <c r="E346" s="49" t="str">
        <f>_xlfn.XLOOKUP(B346,ESTOQUE!B:B,ESTOQUE!G:G,"",0)</f>
        <v>UND</v>
      </c>
      <c r="F346" s="103">
        <v>6</v>
      </c>
      <c r="G346" s="146"/>
      <c r="H346" s="146"/>
      <c r="I346" s="147"/>
      <c r="J346" s="147"/>
      <c r="K346" s="63"/>
    </row>
    <row r="347" spans="1:11" x14ac:dyDescent="0.25">
      <c r="A347" s="101">
        <v>45952</v>
      </c>
      <c r="B347" s="102">
        <v>47</v>
      </c>
      <c r="C347" s="49" t="s">
        <v>19</v>
      </c>
      <c r="D347" s="50" t="str">
        <f>IF(ISBLANK($B347),"",IFERROR(VLOOKUP($B347,ESTOQUE!$B$2:$D$97168,3,FALSE),"Produto não cadastrado"))</f>
        <v>CALÇA CINZA OP. C/ FAIXA REFLETIVA TAM: GG</v>
      </c>
      <c r="E347" s="49" t="str">
        <f>_xlfn.XLOOKUP(B347,ESTOQUE!B:B,ESTOQUE!G:G,"",0)</f>
        <v>UND</v>
      </c>
      <c r="F347" s="103">
        <v>6</v>
      </c>
      <c r="G347" s="146"/>
      <c r="H347" s="146"/>
      <c r="I347" s="147"/>
      <c r="J347" s="147"/>
      <c r="K347" s="63"/>
    </row>
    <row r="348" spans="1:11" x14ac:dyDescent="0.25">
      <c r="A348" s="101">
        <v>45952</v>
      </c>
      <c r="B348" s="102">
        <v>48</v>
      </c>
      <c r="C348" s="49" t="s">
        <v>19</v>
      </c>
      <c r="D348" s="50" t="str">
        <f>IF(ISBLANK($B348),"",IFERROR(VLOOKUP($B348,ESTOQUE!$B$2:$D$97168,3,FALSE),"Produto não cadastrado"))</f>
        <v>CALÇA CINZA OP. C/ FAIXA REFLETIVA TAM: M</v>
      </c>
      <c r="E348" s="49" t="str">
        <f>_xlfn.XLOOKUP(B348,ESTOQUE!B:B,ESTOQUE!G:G,"",0)</f>
        <v>UND</v>
      </c>
      <c r="F348" s="103">
        <v>2</v>
      </c>
      <c r="G348" s="146"/>
      <c r="H348" s="146"/>
      <c r="I348" s="147"/>
      <c r="J348" s="147"/>
      <c r="K348" s="63"/>
    </row>
    <row r="349" spans="1:11" x14ac:dyDescent="0.25">
      <c r="A349" s="101">
        <v>45952</v>
      </c>
      <c r="B349" s="102">
        <v>49</v>
      </c>
      <c r="C349" s="49" t="s">
        <v>19</v>
      </c>
      <c r="D349" s="50" t="str">
        <f>IF(ISBLANK($B349),"",IFERROR(VLOOKUP($B349,ESTOQUE!$B$2:$D$97168,3,FALSE),"Produto não cadastrado"))</f>
        <v>CALÇA CINZA OP. C/ FAIXA REFLETIVA TAM: P</v>
      </c>
      <c r="E349" s="49" t="str">
        <f>_xlfn.XLOOKUP(B349,ESTOQUE!B:B,ESTOQUE!G:G,"",0)</f>
        <v>UND</v>
      </c>
      <c r="F349" s="103">
        <v>2</v>
      </c>
      <c r="G349" s="146"/>
      <c r="H349" s="146"/>
      <c r="I349" s="147"/>
      <c r="J349" s="147"/>
      <c r="K349" s="63"/>
    </row>
    <row r="350" spans="1:11" x14ac:dyDescent="0.25">
      <c r="A350" s="101">
        <v>45952</v>
      </c>
      <c r="B350" s="102">
        <v>64</v>
      </c>
      <c r="C350" s="49" t="s">
        <v>19</v>
      </c>
      <c r="D350" s="50" t="str">
        <f>IF(ISBLANK($B350),"",IFERROR(VLOOKUP($B350,ESTOQUE!$B$2:$D$97168,3,FALSE),"Produto não cadastrado"))</f>
        <v>CAMISA DE ELETRICISTA NR.10 TAM: GG</v>
      </c>
      <c r="E350" s="49" t="str">
        <f>_xlfn.XLOOKUP(B350,ESTOQUE!B:B,ESTOQUE!G:G,"",0)</f>
        <v>UND</v>
      </c>
      <c r="F350" s="103">
        <v>1</v>
      </c>
      <c r="G350" s="146"/>
      <c r="H350" s="146"/>
      <c r="I350" s="147"/>
      <c r="J350" s="147"/>
      <c r="K350" s="63"/>
    </row>
    <row r="351" spans="1:11" x14ac:dyDescent="0.25">
      <c r="A351" s="101">
        <v>45952</v>
      </c>
      <c r="B351" s="102">
        <v>67</v>
      </c>
      <c r="C351" s="49" t="s">
        <v>19</v>
      </c>
      <c r="D351" s="50" t="str">
        <f>IF(ISBLANK($B351),"",IFERROR(VLOOKUP($B351,ESTOQUE!$B$2:$D$97168,3,FALSE),"Produto não cadastrado"))</f>
        <v>CAMISA LARANJA OP. C/ FAIXA REFLETIVA TAM: G</v>
      </c>
      <c r="E351" s="49" t="str">
        <f>_xlfn.XLOOKUP(B351,ESTOQUE!B:B,ESTOQUE!G:G,"",0)</f>
        <v>UND</v>
      </c>
      <c r="F351" s="103">
        <v>7</v>
      </c>
      <c r="G351" s="146"/>
      <c r="H351" s="146"/>
      <c r="I351" s="147"/>
      <c r="J351" s="147"/>
      <c r="K351" s="63"/>
    </row>
    <row r="352" spans="1:11" x14ac:dyDescent="0.25">
      <c r="A352" s="101">
        <v>45952</v>
      </c>
      <c r="B352" s="102">
        <v>68</v>
      </c>
      <c r="C352" s="49" t="s">
        <v>19</v>
      </c>
      <c r="D352" s="50" t="str">
        <f>IF(ISBLANK($B352),"",IFERROR(VLOOKUP($B352,ESTOQUE!$B$2:$D$97168,3,FALSE),"Produto não cadastrado"))</f>
        <v>CAMISA LARANJA OP. C/ FAIXA REFLETIVA TAM: GG</v>
      </c>
      <c r="E352" s="49" t="str">
        <f>_xlfn.XLOOKUP(B352,ESTOQUE!B:B,ESTOQUE!G:G,"",0)</f>
        <v>UND</v>
      </c>
      <c r="F352" s="103">
        <v>7</v>
      </c>
      <c r="G352" s="146"/>
      <c r="H352" s="146"/>
      <c r="I352" s="147"/>
      <c r="J352" s="147"/>
      <c r="K352" s="63"/>
    </row>
    <row r="353" spans="1:11" x14ac:dyDescent="0.25">
      <c r="A353" s="101">
        <v>45952</v>
      </c>
      <c r="B353" s="102">
        <v>69</v>
      </c>
      <c r="C353" s="49" t="s">
        <v>19</v>
      </c>
      <c r="D353" s="50" t="str">
        <f>IF(ISBLANK($B353),"",IFERROR(VLOOKUP($B353,ESTOQUE!$B$2:$D$97168,3,FALSE),"Produto não cadastrado"))</f>
        <v>CAMISA LARANJA OP. C/ FAIXA REFLETIVA TAM: M</v>
      </c>
      <c r="E353" s="49" t="str">
        <f>_xlfn.XLOOKUP(B353,ESTOQUE!B:B,ESTOQUE!G:G,"",0)</f>
        <v>UND</v>
      </c>
      <c r="F353" s="103">
        <v>7</v>
      </c>
      <c r="G353" s="146"/>
      <c r="H353" s="146"/>
      <c r="I353" s="147"/>
      <c r="J353" s="147"/>
      <c r="K353" s="63"/>
    </row>
    <row r="354" spans="1:11" x14ac:dyDescent="0.25">
      <c r="A354" s="101">
        <v>45952</v>
      </c>
      <c r="B354" s="102">
        <v>70</v>
      </c>
      <c r="C354" s="49" t="s">
        <v>19</v>
      </c>
      <c r="D354" s="50" t="str">
        <f>IF(ISBLANK($B354),"",IFERROR(VLOOKUP($B354,ESTOQUE!$B$2:$D$97168,3,FALSE),"Produto não cadastrado"))</f>
        <v>CAMISA LARANJA OP. C/ FAIXA REFLETIVA TAM: P</v>
      </c>
      <c r="E354" s="49" t="str">
        <f>_xlfn.XLOOKUP(B354,ESTOQUE!B:B,ESTOQUE!G:G,"",0)</f>
        <v>UND</v>
      </c>
      <c r="F354" s="103">
        <v>1</v>
      </c>
      <c r="G354" s="146"/>
      <c r="H354" s="146"/>
      <c r="I354" s="147"/>
      <c r="J354" s="147"/>
      <c r="K354" s="63"/>
    </row>
    <row r="355" spans="1:11" x14ac:dyDescent="0.25">
      <c r="A355" s="101">
        <v>45952</v>
      </c>
      <c r="B355" s="102">
        <v>72</v>
      </c>
      <c r="C355" s="49" t="s">
        <v>19</v>
      </c>
      <c r="D355" s="50" t="str">
        <f>IF(ISBLANK($B355),"",IFERROR(VLOOKUP($B355,ESTOQUE!$B$2:$D$97168,3,FALSE),"Produto não cadastrado"))</f>
        <v>CAPA DE CHUVA G</v>
      </c>
      <c r="E355" s="49" t="str">
        <f>_xlfn.XLOOKUP(B355,ESTOQUE!B:B,ESTOQUE!G:G,"",0)</f>
        <v>UND</v>
      </c>
      <c r="F355" s="103">
        <v>1</v>
      </c>
      <c r="G355" s="146"/>
      <c r="H355" s="146"/>
      <c r="I355" s="147"/>
      <c r="J355" s="147"/>
      <c r="K355" s="63"/>
    </row>
    <row r="356" spans="1:11" x14ac:dyDescent="0.25">
      <c r="A356" s="101">
        <v>45952</v>
      </c>
      <c r="B356" s="102">
        <v>73</v>
      </c>
      <c r="C356" s="49" t="s">
        <v>19</v>
      </c>
      <c r="D356" s="50" t="str">
        <f>IF(ISBLANK($B356),"",IFERROR(VLOOKUP($B356,ESTOQUE!$B$2:$D$97168,3,FALSE),"Produto não cadastrado"))</f>
        <v>CAPA DE CHUVA GG</v>
      </c>
      <c r="E356" s="49" t="str">
        <f>_xlfn.XLOOKUP(B356,ESTOQUE!B:B,ESTOQUE!G:G,"",0)</f>
        <v>UND</v>
      </c>
      <c r="F356" s="103">
        <v>1</v>
      </c>
      <c r="G356" s="146"/>
      <c r="H356" s="146"/>
      <c r="I356" s="147"/>
      <c r="J356" s="147"/>
      <c r="K356" s="63"/>
    </row>
    <row r="357" spans="1:11" x14ac:dyDescent="0.25">
      <c r="A357" s="101">
        <v>45952</v>
      </c>
      <c r="B357" s="102">
        <v>97</v>
      </c>
      <c r="C357" s="49" t="s">
        <v>19</v>
      </c>
      <c r="D357" s="50" t="str">
        <f>IF(ISBLANK($B357),"",IFERROR(VLOOKUP($B357,ESTOQUE!$B$2:$D$97168,3,FALSE),"Produto não cadastrado"))</f>
        <v>COLETE REFLETIVO LARANJA M</v>
      </c>
      <c r="E357" s="49" t="str">
        <f>_xlfn.XLOOKUP(B357,ESTOQUE!B:B,ESTOQUE!G:G,"",0)</f>
        <v>UND</v>
      </c>
      <c r="F357" s="103">
        <v>4</v>
      </c>
      <c r="G357" s="146"/>
      <c r="H357" s="146"/>
      <c r="I357" s="147"/>
      <c r="J357" s="147"/>
      <c r="K357" s="63"/>
    </row>
    <row r="358" spans="1:11" x14ac:dyDescent="0.25">
      <c r="A358" s="101">
        <v>45952</v>
      </c>
      <c r="B358" s="102">
        <v>110</v>
      </c>
      <c r="C358" s="49" t="s">
        <v>19</v>
      </c>
      <c r="D358" s="50" t="str">
        <f>IF(ISBLANK($B358),"",IFERROR(VLOOKUP($B358,ESTOQUE!$B$2:$D$97168,3,FALSE),"Produto não cadastrado"))</f>
        <v>LUVA DE RASPA CANO LONGO</v>
      </c>
      <c r="E358" s="49" t="str">
        <f>_xlfn.XLOOKUP(B358,ESTOQUE!B:B,ESTOQUE!G:G,"",0)</f>
        <v>PAR</v>
      </c>
      <c r="F358" s="103">
        <v>5</v>
      </c>
      <c r="G358" s="146"/>
      <c r="H358" s="146"/>
      <c r="I358" s="147"/>
      <c r="J358" s="147"/>
      <c r="K358" s="63"/>
    </row>
    <row r="359" spans="1:11" x14ac:dyDescent="0.25">
      <c r="A359" s="101">
        <v>45952</v>
      </c>
      <c r="B359" s="102">
        <v>141</v>
      </c>
      <c r="C359" s="49" t="s">
        <v>19</v>
      </c>
      <c r="D359" s="50" t="str">
        <f>IF(ISBLANK($B359),"",IFERROR(VLOOKUP($B359,ESTOQUE!$B$2:$D$97168,3,FALSE),"Produto não cadastrado"))</f>
        <v xml:space="preserve">LUVA DE VAQUETA </v>
      </c>
      <c r="E359" s="49" t="str">
        <f>_xlfn.XLOOKUP(B359,ESTOQUE!B:B,ESTOQUE!G:G,"",0)</f>
        <v>PAR</v>
      </c>
      <c r="F359" s="103">
        <v>4</v>
      </c>
      <c r="G359" s="146"/>
      <c r="H359" s="146"/>
      <c r="I359" s="147"/>
      <c r="J359" s="147"/>
      <c r="K359" s="63"/>
    </row>
    <row r="360" spans="1:11" x14ac:dyDescent="0.25">
      <c r="A360" s="101">
        <v>45952</v>
      </c>
      <c r="B360" s="102">
        <v>114</v>
      </c>
      <c r="C360" s="49" t="s">
        <v>19</v>
      </c>
      <c r="D360" s="50" t="str">
        <f>IF(ISBLANK($B360),"",IFERROR(VLOOKUP($B360,ESTOQUE!$B$2:$D$97168,3,FALSE),"Produto não cadastrado"))</f>
        <v xml:space="preserve">LUVA LATEX NITRILICA </v>
      </c>
      <c r="E360" s="49" t="str">
        <f>_xlfn.XLOOKUP(B360,ESTOQUE!B:B,ESTOQUE!G:G,"",0)</f>
        <v>PAR</v>
      </c>
      <c r="F360" s="103">
        <v>10</v>
      </c>
      <c r="G360" s="146"/>
      <c r="H360" s="146"/>
      <c r="I360" s="147"/>
      <c r="J360" s="147"/>
      <c r="K360" s="63"/>
    </row>
    <row r="361" spans="1:11" x14ac:dyDescent="0.25">
      <c r="A361" s="101">
        <v>45952</v>
      </c>
      <c r="B361" s="102">
        <v>117</v>
      </c>
      <c r="C361" s="49" t="s">
        <v>19</v>
      </c>
      <c r="D361" s="50" t="str">
        <f>IF(ISBLANK($B361),"",IFERROR(VLOOKUP($B361,ESTOQUE!$B$2:$D$97168,3,FALSE),"Produto não cadastrado"))</f>
        <v>LUVA PIGMENTADA</v>
      </c>
      <c r="E361" s="49" t="str">
        <f>_xlfn.XLOOKUP(B361,ESTOQUE!B:B,ESTOQUE!G:G,"",0)</f>
        <v>PAR</v>
      </c>
      <c r="F361" s="103">
        <v>4</v>
      </c>
      <c r="G361" s="146"/>
      <c r="H361" s="146"/>
      <c r="I361" s="147"/>
      <c r="J361" s="147"/>
      <c r="K361" s="63"/>
    </row>
    <row r="362" spans="1:11" x14ac:dyDescent="0.25">
      <c r="A362" s="101">
        <v>45952</v>
      </c>
      <c r="B362" s="102">
        <v>144</v>
      </c>
      <c r="C362" s="49" t="s">
        <v>19</v>
      </c>
      <c r="D362" s="50" t="str">
        <f>IF(ISBLANK($B362),"",IFERROR(VLOOKUP($B362,ESTOQUE!$B$2:$D$97168,3,FALSE),"Produto não cadastrado"))</f>
        <v>MASCARA PFF2-S C/ FILTRO</v>
      </c>
      <c r="E362" s="49" t="str">
        <f>_xlfn.XLOOKUP(B362,ESTOQUE!B:B,ESTOQUE!G:G,"",0)</f>
        <v>UND</v>
      </c>
      <c r="F362" s="103">
        <v>40</v>
      </c>
      <c r="G362" s="146"/>
      <c r="H362" s="146"/>
      <c r="I362" s="147"/>
      <c r="J362" s="147"/>
      <c r="K362" s="63"/>
    </row>
    <row r="363" spans="1:11" x14ac:dyDescent="0.25">
      <c r="A363" s="101">
        <v>45952</v>
      </c>
      <c r="B363" s="102">
        <v>231</v>
      </c>
      <c r="C363" s="49" t="s">
        <v>19</v>
      </c>
      <c r="D363" s="50" t="str">
        <f>IF(ISBLANK($B363),"",IFERROR(VLOOKUP($B363,ESTOQUE!$B$2:$D$97168,3,FALSE),"Produto não cadastrado"))</f>
        <v xml:space="preserve">PROTETOR DE VERGALHÃO </v>
      </c>
      <c r="E363" s="49" t="str">
        <f>_xlfn.XLOOKUP(B363,ESTOQUE!B:B,ESTOQUE!G:G,"",0)</f>
        <v>UND</v>
      </c>
      <c r="F363" s="103">
        <v>250</v>
      </c>
      <c r="G363" s="146"/>
      <c r="H363" s="146"/>
      <c r="I363" s="147"/>
      <c r="J363" s="147"/>
      <c r="K363" s="63"/>
    </row>
    <row r="364" spans="1:11" x14ac:dyDescent="0.25">
      <c r="A364" s="101">
        <v>45953</v>
      </c>
      <c r="B364" s="102">
        <v>161</v>
      </c>
      <c r="C364" s="49" t="s">
        <v>19</v>
      </c>
      <c r="D364" s="50" t="str">
        <f>IF(ISBLANK($B364),"",IFERROR(VLOOKUP($B364,ESTOQUE!$B$2:$D$97168,3,FALSE),"Produto não cadastrado"))</f>
        <v>JUGULAR</v>
      </c>
      <c r="E364" s="49" t="str">
        <f>_xlfn.XLOOKUP(B364,ESTOQUE!B:B,ESTOQUE!G:G,"",0)</f>
        <v>UND</v>
      </c>
      <c r="F364" s="103">
        <v>1</v>
      </c>
      <c r="G364" s="146"/>
      <c r="H364" s="146"/>
      <c r="I364" s="147"/>
      <c r="J364" s="147"/>
      <c r="K364" s="63"/>
    </row>
    <row r="365" spans="1:11" x14ac:dyDescent="0.25">
      <c r="A365" s="101">
        <v>45953</v>
      </c>
      <c r="B365" s="102">
        <v>141</v>
      </c>
      <c r="C365" s="49" t="s">
        <v>19</v>
      </c>
      <c r="D365" s="50" t="str">
        <f>IF(ISBLANK($B365),"",IFERROR(VLOOKUP($B365,ESTOQUE!$B$2:$D$97168,3,FALSE),"Produto não cadastrado"))</f>
        <v xml:space="preserve">LUVA DE VAQUETA </v>
      </c>
      <c r="E365" s="49" t="str">
        <f>_xlfn.XLOOKUP(B365,ESTOQUE!B:B,ESTOQUE!G:G,"",0)</f>
        <v>PAR</v>
      </c>
      <c r="F365" s="103">
        <v>3</v>
      </c>
      <c r="G365" s="146"/>
      <c r="H365" s="146"/>
      <c r="I365" s="147"/>
      <c r="J365" s="147"/>
      <c r="K365" s="63"/>
    </row>
    <row r="366" spans="1:11" x14ac:dyDescent="0.25">
      <c r="A366" s="101">
        <v>45953</v>
      </c>
      <c r="B366" s="102">
        <v>189</v>
      </c>
      <c r="C366" s="49" t="s">
        <v>19</v>
      </c>
      <c r="D366" s="50" t="str">
        <f>IF(ISBLANK($B366),"",IFERROR(VLOOKUP($B366,ESTOQUE!$B$2:$D$97168,3,FALSE),"Produto não cadastrado"))</f>
        <v xml:space="preserve">LUVA DE VAQUETA MISTA </v>
      </c>
      <c r="E366" s="49" t="str">
        <f>_xlfn.XLOOKUP(B366,ESTOQUE!B:B,ESTOQUE!G:G,"",0)</f>
        <v>UND</v>
      </c>
      <c r="F366" s="103">
        <v>2</v>
      </c>
      <c r="G366" s="146"/>
      <c r="H366" s="146"/>
      <c r="I366" s="147"/>
      <c r="J366" s="147"/>
      <c r="K366" s="63"/>
    </row>
    <row r="367" spans="1:11" x14ac:dyDescent="0.25">
      <c r="A367" s="101">
        <v>45953</v>
      </c>
      <c r="B367" s="102">
        <v>114</v>
      </c>
      <c r="C367" s="49" t="s">
        <v>19</v>
      </c>
      <c r="D367" s="50" t="str">
        <f>IF(ISBLANK($B367),"",IFERROR(VLOOKUP($B367,ESTOQUE!$B$2:$D$97168,3,FALSE),"Produto não cadastrado"))</f>
        <v xml:space="preserve">LUVA LATEX NITRILICA </v>
      </c>
      <c r="E367" s="49" t="str">
        <f>_xlfn.XLOOKUP(B367,ESTOQUE!B:B,ESTOQUE!G:G,"",0)</f>
        <v>PAR</v>
      </c>
      <c r="F367" s="103">
        <v>1</v>
      </c>
      <c r="G367" s="146"/>
      <c r="H367" s="146"/>
      <c r="I367" s="147"/>
      <c r="J367" s="147"/>
      <c r="K367" s="63"/>
    </row>
    <row r="368" spans="1:11" x14ac:dyDescent="0.25">
      <c r="A368" s="101">
        <v>45953</v>
      </c>
      <c r="B368" s="102">
        <v>117</v>
      </c>
      <c r="C368" s="49" t="s">
        <v>19</v>
      </c>
      <c r="D368" s="50" t="str">
        <f>IF(ISBLANK($B368),"",IFERROR(VLOOKUP($B368,ESTOQUE!$B$2:$D$97168,3,FALSE),"Produto não cadastrado"))</f>
        <v>LUVA PIGMENTADA</v>
      </c>
      <c r="E368" s="49" t="str">
        <f>_xlfn.XLOOKUP(B368,ESTOQUE!B:B,ESTOQUE!G:G,"",0)</f>
        <v>PAR</v>
      </c>
      <c r="F368" s="103">
        <v>15</v>
      </c>
      <c r="G368" s="146"/>
      <c r="H368" s="146"/>
      <c r="I368" s="147"/>
      <c r="J368" s="147"/>
      <c r="K368" s="63"/>
    </row>
    <row r="369" spans="1:11" x14ac:dyDescent="0.25">
      <c r="A369" s="101">
        <v>45953</v>
      </c>
      <c r="B369" s="102">
        <v>118</v>
      </c>
      <c r="C369" s="49" t="s">
        <v>19</v>
      </c>
      <c r="D369" s="50" t="str">
        <f>IF(ISBLANK($B369),"",IFERROR(VLOOKUP($B369,ESTOQUE!$B$2:$D$97168,3,FALSE),"Produto não cadastrado"))</f>
        <v>MACACÃO DE PROTEÇÃO TYVEK</v>
      </c>
      <c r="E369" s="49" t="str">
        <f>_xlfn.XLOOKUP(B369,ESTOQUE!B:B,ESTOQUE!G:G,"",0)</f>
        <v>UND</v>
      </c>
      <c r="F369" s="103">
        <v>10</v>
      </c>
      <c r="G369" s="146"/>
      <c r="H369" s="146"/>
      <c r="I369" s="147"/>
      <c r="J369" s="147"/>
      <c r="K369" s="63"/>
    </row>
    <row r="370" spans="1:11" x14ac:dyDescent="0.25">
      <c r="A370" s="101">
        <v>45953</v>
      </c>
      <c r="B370" s="102">
        <v>144</v>
      </c>
      <c r="C370" s="49" t="s">
        <v>19</v>
      </c>
      <c r="D370" s="50" t="str">
        <f>IF(ISBLANK($B370),"",IFERROR(VLOOKUP($B370,ESTOQUE!$B$2:$D$97168,3,FALSE),"Produto não cadastrado"))</f>
        <v>MASCARA PFF2-S C/ FILTRO</v>
      </c>
      <c r="E370" s="49" t="str">
        <f>_xlfn.XLOOKUP(B370,ESTOQUE!B:B,ESTOQUE!G:G,"",0)</f>
        <v>UND</v>
      </c>
      <c r="F370" s="103">
        <v>80</v>
      </c>
      <c r="G370" s="146"/>
      <c r="H370" s="146"/>
      <c r="I370" s="147"/>
      <c r="J370" s="147"/>
      <c r="K370" s="63"/>
    </row>
    <row r="371" spans="1:11" x14ac:dyDescent="0.25">
      <c r="A371" s="101">
        <v>45953</v>
      </c>
      <c r="B371" s="102">
        <v>126</v>
      </c>
      <c r="C371" s="49" t="s">
        <v>19</v>
      </c>
      <c r="D371" s="50" t="str">
        <f>IF(ISBLANK($B371),"",IFERROR(VLOOKUP($B371,ESTOQUE!$B$2:$D$97168,3,FALSE),"Produto não cadastrado"))</f>
        <v>OCULOS DE PROTEÇÃO ESCURO</v>
      </c>
      <c r="E371" s="49" t="str">
        <f>_xlfn.XLOOKUP(B371,ESTOQUE!B:B,ESTOQUE!G:G,"",0)</f>
        <v>UND</v>
      </c>
      <c r="F371" s="103">
        <v>10</v>
      </c>
      <c r="G371" s="146"/>
      <c r="H371" s="146"/>
      <c r="I371" s="147"/>
      <c r="J371" s="147"/>
      <c r="K371" s="63"/>
    </row>
    <row r="372" spans="1:11" x14ac:dyDescent="0.25">
      <c r="A372" s="101">
        <v>45953</v>
      </c>
      <c r="B372" s="102">
        <v>124</v>
      </c>
      <c r="C372" s="49" t="s">
        <v>19</v>
      </c>
      <c r="D372" s="50" t="str">
        <f>IF(ISBLANK($B372),"",IFERROR(VLOOKUP($B372,ESTOQUE!$B$2:$D$97168,3,FALSE),"Produto não cadastrado"))</f>
        <v xml:space="preserve">OCULOS DE PROTEÇÃO INCOLOR </v>
      </c>
      <c r="E372" s="49" t="str">
        <f>_xlfn.XLOOKUP(B372,ESTOQUE!B:B,ESTOQUE!G:G,"",0)</f>
        <v>UND</v>
      </c>
      <c r="F372" s="103">
        <v>3</v>
      </c>
      <c r="G372" s="146"/>
      <c r="H372" s="146"/>
      <c r="I372" s="147"/>
      <c r="J372" s="147"/>
      <c r="K372" s="63"/>
    </row>
    <row r="373" spans="1:11" x14ac:dyDescent="0.25">
      <c r="A373" s="101">
        <v>45953</v>
      </c>
      <c r="B373" s="102">
        <v>67</v>
      </c>
      <c r="C373" s="49" t="s">
        <v>19</v>
      </c>
      <c r="D373" s="50" t="str">
        <f>IF(ISBLANK($B373),"",IFERROR(VLOOKUP($B373,ESTOQUE!$B$2:$D$97168,3,FALSE),"Produto não cadastrado"))</f>
        <v>CAMISA LARANJA OP. C/ FAIXA REFLETIVA TAM: G</v>
      </c>
      <c r="E373" s="49" t="str">
        <f>_xlfn.XLOOKUP(B373,ESTOQUE!B:B,ESTOQUE!G:G,"",0)</f>
        <v>UND</v>
      </c>
      <c r="F373" s="103">
        <v>1</v>
      </c>
      <c r="G373" s="146"/>
      <c r="H373" s="146"/>
      <c r="I373" s="147"/>
      <c r="J373" s="147"/>
      <c r="K373" s="63"/>
    </row>
    <row r="374" spans="1:11" x14ac:dyDescent="0.25">
      <c r="A374" s="101">
        <v>45953</v>
      </c>
      <c r="B374" s="102">
        <v>218</v>
      </c>
      <c r="C374" s="49" t="s">
        <v>19</v>
      </c>
      <c r="D374" s="50" t="str">
        <f>IF(ISBLANK($B374),"",IFERROR(VLOOKUP($B374,ESTOQUE!$B$2:$D$97168,3,FALSE),"Produto não cadastrado"))</f>
        <v>BOTINA SEGURANÇA METATARSO  41</v>
      </c>
      <c r="E374" s="49" t="str">
        <f>_xlfn.XLOOKUP(B374,ESTOQUE!B:B,ESTOQUE!G:G,"",0)</f>
        <v>PAR</v>
      </c>
      <c r="F374" s="103">
        <v>1</v>
      </c>
      <c r="G374" s="146"/>
      <c r="H374" s="146"/>
      <c r="I374" s="147"/>
      <c r="J374" s="147"/>
      <c r="K374" s="63"/>
    </row>
    <row r="375" spans="1:11" x14ac:dyDescent="0.25">
      <c r="A375" s="101">
        <v>45953</v>
      </c>
      <c r="B375" s="102">
        <v>228</v>
      </c>
      <c r="C375" s="49" t="s">
        <v>19</v>
      </c>
      <c r="D375" s="50" t="str">
        <f>IF(ISBLANK($B375),"",IFERROR(VLOOKUP($B375,ESTOQUE!$B$2:$D$97168,3,FALSE),"Produto não cadastrado"))</f>
        <v xml:space="preserve">BALACLAVA  </v>
      </c>
      <c r="E375" s="49" t="str">
        <f>_xlfn.XLOOKUP(B375,ESTOQUE!B:B,ESTOQUE!G:G,"",0)</f>
        <v>UND</v>
      </c>
      <c r="F375" s="103">
        <v>1</v>
      </c>
      <c r="G375" s="146"/>
      <c r="H375" s="146"/>
      <c r="I375" s="147"/>
      <c r="J375" s="147"/>
      <c r="K375" s="63"/>
    </row>
    <row r="376" spans="1:11" x14ac:dyDescent="0.25">
      <c r="A376" s="101">
        <v>45954</v>
      </c>
      <c r="B376" s="102">
        <v>139</v>
      </c>
      <c r="C376" s="49" t="s">
        <v>19</v>
      </c>
      <c r="D376" s="50" t="str">
        <f>IF(ISBLANK($B376),"",IFERROR(VLOOKUP($B376,ESTOQUE!$B$2:$D$97168,3,FALSE),"Produto não cadastrado"))</f>
        <v>PROTETOR AURICULAR TIPO PLUG</v>
      </c>
      <c r="E376" s="49" t="str">
        <f>_xlfn.XLOOKUP(B376,ESTOQUE!B:B,ESTOQUE!G:G,"",0)</f>
        <v>UND</v>
      </c>
      <c r="F376" s="103">
        <v>3</v>
      </c>
      <c r="G376" s="146"/>
      <c r="H376" s="146"/>
      <c r="I376" s="147"/>
      <c r="J376" s="147"/>
      <c r="K376" s="63"/>
    </row>
    <row r="377" spans="1:11" x14ac:dyDescent="0.25">
      <c r="A377" s="101">
        <v>45954</v>
      </c>
      <c r="B377" s="102">
        <v>261</v>
      </c>
      <c r="C377" s="49" t="s">
        <v>19</v>
      </c>
      <c r="D377" s="50" t="str">
        <f>IF(ISBLANK($B377),"",IFERROR(VLOOKUP($B377,ESTOQUE!$B$2:$D$97168,3,FALSE),"Produto não cadastrado"))</f>
        <v xml:space="preserve">LUVA DE VAQUETA VERDE </v>
      </c>
      <c r="E377" s="49" t="str">
        <f>_xlfn.XLOOKUP(B377,ESTOQUE!B:B,ESTOQUE!G:G,"",0)</f>
        <v>PAR</v>
      </c>
      <c r="F377" s="103">
        <v>2</v>
      </c>
      <c r="G377" s="146"/>
      <c r="H377" s="146"/>
      <c r="I377" s="147"/>
      <c r="J377" s="147"/>
      <c r="K377" s="63"/>
    </row>
    <row r="378" spans="1:11" x14ac:dyDescent="0.25">
      <c r="A378" s="101">
        <v>45954</v>
      </c>
      <c r="B378" s="102">
        <v>110</v>
      </c>
      <c r="C378" s="49" t="s">
        <v>19</v>
      </c>
      <c r="D378" s="50" t="str">
        <f>IF(ISBLANK($B378),"",IFERROR(VLOOKUP($B378,ESTOQUE!$B$2:$D$97168,3,FALSE),"Produto não cadastrado"))</f>
        <v>LUVA DE RASPA CANO LONGO</v>
      </c>
      <c r="E378" s="49" t="str">
        <f>_xlfn.XLOOKUP(B378,ESTOQUE!B:B,ESTOQUE!G:G,"",0)</f>
        <v>PAR</v>
      </c>
      <c r="F378" s="103">
        <v>1</v>
      </c>
      <c r="G378" s="146"/>
      <c r="H378" s="146"/>
      <c r="I378" s="147"/>
      <c r="J378" s="147"/>
      <c r="K378" s="63"/>
    </row>
    <row r="379" spans="1:11" x14ac:dyDescent="0.25">
      <c r="A379" s="101">
        <v>45954</v>
      </c>
      <c r="B379" s="102">
        <v>111</v>
      </c>
      <c r="C379" s="49" t="s">
        <v>19</v>
      </c>
      <c r="D379" s="50" t="str">
        <f>IF(ISBLANK($B379),"",IFERROR(VLOOKUP($B379,ESTOQUE!$B$2:$D$97168,3,FALSE),"Produto não cadastrado"))</f>
        <v>LUVA DE VAQUETA MARROM</v>
      </c>
      <c r="E379" s="49" t="str">
        <f>_xlfn.XLOOKUP(B379,ESTOQUE!B:B,ESTOQUE!G:G,"",0)</f>
        <v>PAR</v>
      </c>
      <c r="F379" s="103">
        <v>5</v>
      </c>
      <c r="G379" s="146"/>
      <c r="H379" s="146"/>
      <c r="I379" s="147"/>
      <c r="J379" s="147"/>
      <c r="K379" s="63"/>
    </row>
    <row r="380" spans="1:11" x14ac:dyDescent="0.25">
      <c r="A380" s="101">
        <v>45954</v>
      </c>
      <c r="B380" s="102">
        <v>114</v>
      </c>
      <c r="C380" s="49" t="s">
        <v>19</v>
      </c>
      <c r="D380" s="50" t="str">
        <f>IF(ISBLANK($B380),"",IFERROR(VLOOKUP($B380,ESTOQUE!$B$2:$D$97168,3,FALSE),"Produto não cadastrado"))</f>
        <v xml:space="preserve">LUVA LATEX NITRILICA </v>
      </c>
      <c r="E380" s="49" t="str">
        <f>_xlfn.XLOOKUP(B380,ESTOQUE!B:B,ESTOQUE!G:G,"",0)</f>
        <v>PAR</v>
      </c>
      <c r="F380" s="103">
        <v>4</v>
      </c>
      <c r="G380" s="146"/>
      <c r="H380" s="146"/>
      <c r="I380" s="147"/>
      <c r="J380" s="147"/>
      <c r="K380" s="63"/>
    </row>
    <row r="381" spans="1:11" x14ac:dyDescent="0.25">
      <c r="A381" s="101">
        <v>45954</v>
      </c>
      <c r="B381" s="102">
        <v>117</v>
      </c>
      <c r="C381" s="49" t="s">
        <v>19</v>
      </c>
      <c r="D381" s="50" t="str">
        <f>IF(ISBLANK($B381),"",IFERROR(VLOOKUP($B381,ESTOQUE!$B$2:$D$97168,3,FALSE),"Produto não cadastrado"))</f>
        <v>LUVA PIGMENTADA</v>
      </c>
      <c r="E381" s="49" t="str">
        <f>_xlfn.XLOOKUP(B381,ESTOQUE!B:B,ESTOQUE!G:G,"",0)</f>
        <v>PAR</v>
      </c>
      <c r="F381" s="103">
        <v>3</v>
      </c>
      <c r="G381" s="146"/>
      <c r="H381" s="146"/>
      <c r="I381" s="147"/>
      <c r="J381" s="147"/>
      <c r="K381" s="63"/>
    </row>
    <row r="382" spans="1:11" x14ac:dyDescent="0.25">
      <c r="A382" s="101">
        <v>45954</v>
      </c>
      <c r="B382" s="102">
        <v>118</v>
      </c>
      <c r="C382" s="49" t="s">
        <v>19</v>
      </c>
      <c r="D382" s="50" t="str">
        <f>IF(ISBLANK($B382),"",IFERROR(VLOOKUP($B382,ESTOQUE!$B$2:$D$97168,3,FALSE),"Produto não cadastrado"))</f>
        <v>MACACÃO DE PROTEÇÃO TYVEK</v>
      </c>
      <c r="E382" s="49" t="str">
        <f>_xlfn.XLOOKUP(B382,ESTOQUE!B:B,ESTOQUE!G:G,"",0)</f>
        <v>UND</v>
      </c>
      <c r="F382" s="103">
        <v>10</v>
      </c>
      <c r="G382" s="146"/>
      <c r="H382" s="146"/>
      <c r="I382" s="147"/>
      <c r="J382" s="147"/>
      <c r="K382" s="63"/>
    </row>
    <row r="383" spans="1:11" x14ac:dyDescent="0.25">
      <c r="A383" s="101">
        <v>45954</v>
      </c>
      <c r="B383" s="102">
        <v>144</v>
      </c>
      <c r="C383" s="49" t="s">
        <v>19</v>
      </c>
      <c r="D383" s="50" t="str">
        <f>IF(ISBLANK($B383),"",IFERROR(VLOOKUP($B383,ESTOQUE!$B$2:$D$97168,3,FALSE),"Produto não cadastrado"))</f>
        <v>MASCARA PFF2-S C/ FILTRO</v>
      </c>
      <c r="E383" s="49" t="str">
        <f>_xlfn.XLOOKUP(B383,ESTOQUE!B:B,ESTOQUE!G:G,"",0)</f>
        <v>UND</v>
      </c>
      <c r="F383" s="103">
        <v>25</v>
      </c>
      <c r="G383" s="146"/>
      <c r="H383" s="146"/>
      <c r="I383" s="147"/>
      <c r="J383" s="147"/>
      <c r="K383" s="63"/>
    </row>
    <row r="384" spans="1:11" x14ac:dyDescent="0.25">
      <c r="A384" s="101">
        <v>45954</v>
      </c>
      <c r="B384" s="102">
        <v>126</v>
      </c>
      <c r="C384" s="49" t="s">
        <v>19</v>
      </c>
      <c r="D384" s="50" t="str">
        <f>IF(ISBLANK($B384),"",IFERROR(VLOOKUP($B384,ESTOQUE!$B$2:$D$97168,3,FALSE),"Produto não cadastrado"))</f>
        <v>OCULOS DE PROTEÇÃO ESCURO</v>
      </c>
      <c r="E384" s="49" t="str">
        <f>_xlfn.XLOOKUP(B384,ESTOQUE!B:B,ESTOQUE!G:G,"",0)</f>
        <v>UND</v>
      </c>
      <c r="F384" s="103">
        <v>2</v>
      </c>
      <c r="G384" s="146"/>
      <c r="H384" s="146"/>
      <c r="I384" s="147"/>
      <c r="J384" s="147"/>
      <c r="K384" s="63"/>
    </row>
    <row r="385" spans="1:11" x14ac:dyDescent="0.25">
      <c r="A385" s="101">
        <v>45954</v>
      </c>
      <c r="B385" s="102">
        <v>124</v>
      </c>
      <c r="C385" s="49" t="s">
        <v>19</v>
      </c>
      <c r="D385" s="50" t="str">
        <f>IF(ISBLANK($B385),"",IFERROR(VLOOKUP($B385,ESTOQUE!$B$2:$D$97168,3,FALSE),"Produto não cadastrado"))</f>
        <v xml:space="preserve">OCULOS DE PROTEÇÃO INCOLOR </v>
      </c>
      <c r="E385" s="49" t="str">
        <f>_xlfn.XLOOKUP(B385,ESTOQUE!B:B,ESTOQUE!G:G,"",0)</f>
        <v>UND</v>
      </c>
      <c r="F385" s="103">
        <v>2</v>
      </c>
      <c r="G385" s="146"/>
      <c r="H385" s="146"/>
      <c r="I385" s="147"/>
      <c r="J385" s="147"/>
      <c r="K385" s="63"/>
    </row>
    <row r="386" spans="1:11" x14ac:dyDescent="0.25">
      <c r="A386" s="101">
        <v>45954</v>
      </c>
      <c r="B386" s="102">
        <v>97</v>
      </c>
      <c r="C386" s="49" t="s">
        <v>19</v>
      </c>
      <c r="D386" s="50" t="str">
        <f>IF(ISBLANK($B386),"",IFERROR(VLOOKUP($B386,ESTOQUE!$B$2:$D$97168,3,FALSE),"Produto não cadastrado"))</f>
        <v>COLETE REFLETIVO LARANJA M</v>
      </c>
      <c r="E386" s="49" t="str">
        <f>_xlfn.XLOOKUP(B386,ESTOQUE!B:B,ESTOQUE!G:G,"",0)</f>
        <v>UND</v>
      </c>
      <c r="F386" s="103">
        <v>1</v>
      </c>
      <c r="G386" s="146"/>
      <c r="H386" s="146"/>
      <c r="I386" s="147"/>
      <c r="J386" s="147"/>
      <c r="K386" s="63"/>
    </row>
    <row r="387" spans="1:11" x14ac:dyDescent="0.25">
      <c r="A387" s="101">
        <v>45954</v>
      </c>
      <c r="B387" s="102">
        <v>67</v>
      </c>
      <c r="C387" s="49" t="s">
        <v>19</v>
      </c>
      <c r="D387" s="50" t="str">
        <f>IF(ISBLANK($B387),"",IFERROR(VLOOKUP($B387,ESTOQUE!$B$2:$D$97168,3,FALSE),"Produto não cadastrado"))</f>
        <v>CAMISA LARANJA OP. C/ FAIXA REFLETIVA TAM: G</v>
      </c>
      <c r="E387" s="49" t="str">
        <f>_xlfn.XLOOKUP(B387,ESTOQUE!B:B,ESTOQUE!G:G,"",0)</f>
        <v>UND</v>
      </c>
      <c r="F387" s="103">
        <v>1</v>
      </c>
      <c r="G387" s="146"/>
      <c r="H387" s="146"/>
      <c r="I387" s="147"/>
      <c r="J387" s="147"/>
      <c r="K387" s="63"/>
    </row>
    <row r="388" spans="1:11" x14ac:dyDescent="0.25">
      <c r="A388" s="101">
        <v>45954</v>
      </c>
      <c r="B388" s="102">
        <v>68</v>
      </c>
      <c r="C388" s="49" t="s">
        <v>19</v>
      </c>
      <c r="D388" s="50" t="str">
        <f>IF(ISBLANK($B388),"",IFERROR(VLOOKUP($B388,ESTOQUE!$B$2:$D$97168,3,FALSE),"Produto não cadastrado"))</f>
        <v>CAMISA LARANJA OP. C/ FAIXA REFLETIVA TAM: GG</v>
      </c>
      <c r="E388" s="49" t="str">
        <f>_xlfn.XLOOKUP(B388,ESTOQUE!B:B,ESTOQUE!G:G,"",0)</f>
        <v>UND</v>
      </c>
      <c r="F388" s="103">
        <v>2</v>
      </c>
      <c r="G388" s="146"/>
      <c r="H388" s="146"/>
      <c r="I388" s="147"/>
      <c r="J388" s="147"/>
      <c r="K388" s="63"/>
    </row>
    <row r="389" spans="1:11" x14ac:dyDescent="0.25">
      <c r="A389" s="101">
        <v>45954</v>
      </c>
      <c r="B389" s="102">
        <v>69</v>
      </c>
      <c r="C389" s="49" t="s">
        <v>19</v>
      </c>
      <c r="D389" s="50" t="str">
        <f>IF(ISBLANK($B389),"",IFERROR(VLOOKUP($B389,ESTOQUE!$B$2:$D$97168,3,FALSE),"Produto não cadastrado"))</f>
        <v>CAMISA LARANJA OP. C/ FAIXA REFLETIVA TAM: M</v>
      </c>
      <c r="E389" s="49" t="str">
        <f>_xlfn.XLOOKUP(B389,ESTOQUE!B:B,ESTOQUE!G:G,"",0)</f>
        <v>UND</v>
      </c>
      <c r="F389" s="103">
        <v>4</v>
      </c>
      <c r="G389" s="146"/>
      <c r="H389" s="146"/>
      <c r="I389" s="147"/>
      <c r="J389" s="147"/>
      <c r="K389" s="63"/>
    </row>
    <row r="390" spans="1:11" x14ac:dyDescent="0.25">
      <c r="A390" s="101">
        <v>45954</v>
      </c>
      <c r="B390" s="102">
        <v>70</v>
      </c>
      <c r="C390" s="49" t="s">
        <v>19</v>
      </c>
      <c r="D390" s="50" t="str">
        <f>IF(ISBLANK($B390),"",IFERROR(VLOOKUP($B390,ESTOQUE!$B$2:$D$97168,3,FALSE),"Produto não cadastrado"))</f>
        <v>CAMISA LARANJA OP. C/ FAIXA REFLETIVA TAM: P</v>
      </c>
      <c r="E390" s="49" t="str">
        <f>_xlfn.XLOOKUP(B390,ESTOQUE!B:B,ESTOQUE!G:G,"",0)</f>
        <v>UND</v>
      </c>
      <c r="F390" s="103">
        <v>1</v>
      </c>
      <c r="G390" s="146"/>
      <c r="H390" s="146"/>
      <c r="I390" s="147"/>
      <c r="J390" s="147"/>
      <c r="K390" s="63"/>
    </row>
    <row r="391" spans="1:11" x14ac:dyDescent="0.25">
      <c r="A391" s="101">
        <v>45954</v>
      </c>
      <c r="B391" s="102">
        <v>38</v>
      </c>
      <c r="C391" s="49" t="s">
        <v>19</v>
      </c>
      <c r="D391" s="50" t="str">
        <f>IF(ISBLANK($B391),"",IFERROR(VLOOKUP($B391,ESTOQUE!$B$2:$D$97168,3,FALSE),"Produto não cadastrado"))</f>
        <v>BOTINA OP. BICO PVC Nº 40</v>
      </c>
      <c r="E391" s="49" t="str">
        <f>_xlfn.XLOOKUP(B391,ESTOQUE!B:B,ESTOQUE!G:G,"",0)</f>
        <v>PAR</v>
      </c>
      <c r="F391" s="103">
        <v>1</v>
      </c>
      <c r="G391" s="146"/>
      <c r="H391" s="146"/>
      <c r="I391" s="147"/>
      <c r="J391" s="147"/>
      <c r="K391" s="63"/>
    </row>
    <row r="392" spans="1:11" x14ac:dyDescent="0.25">
      <c r="A392" s="101">
        <v>45954</v>
      </c>
      <c r="B392" s="102">
        <v>46</v>
      </c>
      <c r="C392" s="49" t="s">
        <v>19</v>
      </c>
      <c r="D392" s="50" t="str">
        <f>IF(ISBLANK($B392),"",IFERROR(VLOOKUP($B392,ESTOQUE!$B$2:$D$97168,3,FALSE),"Produto não cadastrado"))</f>
        <v>CALÇA CINZA OP. C/ FAIXA REFLETIVA TAM: G</v>
      </c>
      <c r="E392" s="49" t="str">
        <f>_xlfn.XLOOKUP(B392,ESTOQUE!B:B,ESTOQUE!G:G,"",0)</f>
        <v>UND</v>
      </c>
      <c r="F392" s="103">
        <v>1</v>
      </c>
      <c r="G392" s="146"/>
      <c r="H392" s="146"/>
      <c r="I392" s="147"/>
      <c r="J392" s="147"/>
      <c r="K392" s="63"/>
    </row>
    <row r="393" spans="1:11" x14ac:dyDescent="0.25">
      <c r="A393" s="101">
        <v>45954</v>
      </c>
      <c r="B393" s="102">
        <v>48</v>
      </c>
      <c r="C393" s="49" t="s">
        <v>19</v>
      </c>
      <c r="D393" s="50" t="str">
        <f>IF(ISBLANK($B393),"",IFERROR(VLOOKUP($B393,ESTOQUE!$B$2:$D$97168,3,FALSE),"Produto não cadastrado"))</f>
        <v>CALÇA CINZA OP. C/ FAIXA REFLETIVA TAM: M</v>
      </c>
      <c r="E393" s="49" t="str">
        <f>_xlfn.XLOOKUP(B393,ESTOQUE!B:B,ESTOQUE!G:G,"",0)</f>
        <v>UND</v>
      </c>
      <c r="F393" s="103">
        <v>3</v>
      </c>
      <c r="G393" s="146"/>
      <c r="H393" s="146"/>
      <c r="I393" s="147"/>
      <c r="J393" s="147"/>
      <c r="K393" s="63"/>
    </row>
    <row r="394" spans="1:11" x14ac:dyDescent="0.25">
      <c r="A394" s="101">
        <v>45954</v>
      </c>
      <c r="B394" s="102">
        <v>49</v>
      </c>
      <c r="C394" s="49" t="s">
        <v>19</v>
      </c>
      <c r="D394" s="50" t="str">
        <f>IF(ISBLANK($B394),"",IFERROR(VLOOKUP($B394,ESTOQUE!$B$2:$D$97168,3,FALSE),"Produto não cadastrado"))</f>
        <v>CALÇA CINZA OP. C/ FAIXA REFLETIVA TAM: P</v>
      </c>
      <c r="E394" s="49" t="str">
        <f>_xlfn.XLOOKUP(B394,ESTOQUE!B:B,ESTOQUE!G:G,"",0)</f>
        <v>UND</v>
      </c>
      <c r="F394" s="103">
        <v>1</v>
      </c>
      <c r="G394" s="146"/>
      <c r="H394" s="146"/>
      <c r="I394" s="147"/>
      <c r="J394" s="147"/>
      <c r="K394" s="63"/>
    </row>
    <row r="395" spans="1:11" x14ac:dyDescent="0.25">
      <c r="A395" s="101">
        <v>45955</v>
      </c>
      <c r="B395" s="102">
        <v>139</v>
      </c>
      <c r="C395" s="49" t="s">
        <v>19</v>
      </c>
      <c r="D395" s="50" t="str">
        <f>IF(ISBLANK($B395),"",IFERROR(VLOOKUP($B395,ESTOQUE!$B$2:$D$97168,3,FALSE),"Produto não cadastrado"))</f>
        <v>PROTETOR AURICULAR TIPO PLUG</v>
      </c>
      <c r="E395" s="49" t="str">
        <f>_xlfn.XLOOKUP(B395,ESTOQUE!B:B,ESTOQUE!G:G,"",0)</f>
        <v>UND</v>
      </c>
      <c r="F395" s="103">
        <v>7</v>
      </c>
      <c r="G395" s="146"/>
      <c r="H395" s="146"/>
      <c r="I395" s="147"/>
      <c r="J395" s="147"/>
      <c r="K395" s="63"/>
    </row>
    <row r="396" spans="1:11" x14ac:dyDescent="0.25">
      <c r="A396" s="101">
        <v>45955</v>
      </c>
      <c r="B396" s="102">
        <v>103</v>
      </c>
      <c r="C396" s="49" t="s">
        <v>19</v>
      </c>
      <c r="D396" s="50" t="str">
        <f>IF(ISBLANK($B396),"",IFERROR(VLOOKUP($B396,ESTOQUE!$B$2:$D$97168,3,FALSE),"Produto não cadastrado"))</f>
        <v>JARDINEIRA AMARELA BOTA Nº 41</v>
      </c>
      <c r="E396" s="49" t="str">
        <f>_xlfn.XLOOKUP(B396,ESTOQUE!B:B,ESTOQUE!G:G,"",0)</f>
        <v>UND</v>
      </c>
      <c r="F396" s="103">
        <v>1</v>
      </c>
      <c r="G396" s="146"/>
      <c r="H396" s="146"/>
      <c r="I396" s="147"/>
      <c r="J396" s="147"/>
      <c r="K396" s="63"/>
    </row>
    <row r="397" spans="1:11" x14ac:dyDescent="0.25">
      <c r="A397" s="101">
        <v>45955</v>
      </c>
      <c r="B397" s="102">
        <v>110</v>
      </c>
      <c r="C397" s="49" t="s">
        <v>19</v>
      </c>
      <c r="D397" s="50" t="str">
        <f>IF(ISBLANK($B397),"",IFERROR(VLOOKUP($B397,ESTOQUE!$B$2:$D$97168,3,FALSE),"Produto não cadastrado"))</f>
        <v>LUVA DE RASPA CANO LONGO</v>
      </c>
      <c r="E397" s="49" t="str">
        <f>_xlfn.XLOOKUP(B397,ESTOQUE!B:B,ESTOQUE!G:G,"",0)</f>
        <v>PAR</v>
      </c>
      <c r="F397" s="103">
        <v>1</v>
      </c>
      <c r="G397" s="146"/>
      <c r="H397" s="146"/>
      <c r="I397" s="147"/>
      <c r="J397" s="147"/>
      <c r="K397" s="63"/>
    </row>
    <row r="398" spans="1:11" x14ac:dyDescent="0.25">
      <c r="A398" s="101">
        <v>45955</v>
      </c>
      <c r="B398" s="102">
        <v>117</v>
      </c>
      <c r="C398" s="49" t="s">
        <v>19</v>
      </c>
      <c r="D398" s="50" t="str">
        <f>IF(ISBLANK($B398),"",IFERROR(VLOOKUP($B398,ESTOQUE!$B$2:$D$97168,3,FALSE),"Produto não cadastrado"))</f>
        <v>LUVA PIGMENTADA</v>
      </c>
      <c r="E398" s="49" t="str">
        <f>_xlfn.XLOOKUP(B398,ESTOQUE!B:B,ESTOQUE!G:G,"",0)</f>
        <v>PAR</v>
      </c>
      <c r="F398" s="103">
        <v>2</v>
      </c>
      <c r="G398" s="146"/>
      <c r="H398" s="146"/>
      <c r="I398" s="147"/>
      <c r="J398" s="147"/>
      <c r="K398" s="63"/>
    </row>
    <row r="399" spans="1:11" x14ac:dyDescent="0.25">
      <c r="A399" s="101">
        <v>45955</v>
      </c>
      <c r="B399" s="102">
        <v>207</v>
      </c>
      <c r="C399" s="49" t="s">
        <v>19</v>
      </c>
      <c r="D399" s="50" t="str">
        <f>IF(ISBLANK($B399),"",IFERROR(VLOOKUP($B399,ESTOQUE!$B$2:$D$97168,3,FALSE),"Produto não cadastrado"))</f>
        <v>LUVA POLIESTER ANTICORTE BANHADA PU TAM 9</v>
      </c>
      <c r="E399" s="49" t="str">
        <f>_xlfn.XLOOKUP(B399,ESTOQUE!B:B,ESTOQUE!G:G,"",0)</f>
        <v>PAR</v>
      </c>
      <c r="F399" s="103">
        <v>5</v>
      </c>
      <c r="G399" s="146"/>
      <c r="H399" s="146"/>
      <c r="I399" s="147"/>
      <c r="J399" s="147"/>
      <c r="K399" s="63"/>
    </row>
    <row r="400" spans="1:11" x14ac:dyDescent="0.25">
      <c r="A400" s="134">
        <v>45955</v>
      </c>
      <c r="B400" s="102">
        <v>118</v>
      </c>
      <c r="C400" s="49" t="s">
        <v>19</v>
      </c>
      <c r="D400" s="50" t="str">
        <f>IF(ISBLANK($B400),"",IFERROR(VLOOKUP($B400,ESTOQUE!$B$2:$D$97168,3,FALSE),"Produto não cadastrado"))</f>
        <v>MACACÃO DE PROTEÇÃO TYVEK</v>
      </c>
      <c r="E400" s="49" t="str">
        <f>_xlfn.XLOOKUP(B400,ESTOQUE!B:B,ESTOQUE!G:G,"",0)</f>
        <v>UND</v>
      </c>
      <c r="F400" s="103">
        <v>6</v>
      </c>
      <c r="G400" s="146"/>
      <c r="H400" s="146"/>
      <c r="I400" s="147"/>
      <c r="J400" s="147"/>
      <c r="K400" s="63"/>
    </row>
    <row r="401" spans="1:11" x14ac:dyDescent="0.25">
      <c r="A401" s="134">
        <v>45955</v>
      </c>
      <c r="B401" s="102">
        <v>144</v>
      </c>
      <c r="C401" s="49" t="s">
        <v>19</v>
      </c>
      <c r="D401" s="50" t="str">
        <f>IF(ISBLANK($B401),"",IFERROR(VLOOKUP($B401,ESTOQUE!$B$2:$D$97168,3,FALSE),"Produto não cadastrado"))</f>
        <v>MASCARA PFF2-S C/ FILTRO</v>
      </c>
      <c r="E401" s="49" t="str">
        <f>_xlfn.XLOOKUP(B401,ESTOQUE!B:B,ESTOQUE!G:G,"",0)</f>
        <v>UND</v>
      </c>
      <c r="F401" s="103">
        <v>12</v>
      </c>
      <c r="G401" s="146"/>
      <c r="H401" s="146"/>
      <c r="I401" s="147"/>
      <c r="J401" s="147"/>
      <c r="K401" s="63"/>
    </row>
    <row r="402" spans="1:11" x14ac:dyDescent="0.25">
      <c r="A402" s="56">
        <v>45955</v>
      </c>
      <c r="B402" s="57">
        <v>126</v>
      </c>
      <c r="C402" s="49" t="s">
        <v>19</v>
      </c>
      <c r="D402" s="50" t="str">
        <f>IF(ISBLANK($B402),"",IFERROR(VLOOKUP($B402,ESTOQUE!$B$2:$D$97168,3,FALSE),"Produto não cadastrado"))</f>
        <v>OCULOS DE PROTEÇÃO ESCURO</v>
      </c>
      <c r="E402" s="49" t="str">
        <f>_xlfn.XLOOKUP(B402,ESTOQUE!B:B,ESTOQUE!G:G,"",0)</f>
        <v>UND</v>
      </c>
      <c r="F402" s="49">
        <v>7</v>
      </c>
      <c r="G402" s="146"/>
      <c r="H402" s="146"/>
      <c r="I402" s="147"/>
      <c r="J402" s="147"/>
      <c r="K402" s="63"/>
    </row>
    <row r="403" spans="1:11" x14ac:dyDescent="0.25">
      <c r="A403" s="56">
        <v>45955</v>
      </c>
      <c r="B403" s="57">
        <v>124</v>
      </c>
      <c r="C403" s="49" t="s">
        <v>19</v>
      </c>
      <c r="D403" s="50" t="str">
        <f>IF(ISBLANK($B403),"",IFERROR(VLOOKUP($B403,ESTOQUE!$B$2:$D$97168,3,FALSE),"Produto não cadastrado"))</f>
        <v xml:space="preserve">OCULOS DE PROTEÇÃO INCOLOR </v>
      </c>
      <c r="E403" s="49" t="str">
        <f>_xlfn.XLOOKUP(B403,ESTOQUE!B:B,ESTOQUE!G:G,"",0)</f>
        <v>UND</v>
      </c>
      <c r="F403" s="49">
        <v>8</v>
      </c>
      <c r="G403" s="146"/>
      <c r="H403" s="146"/>
      <c r="I403" s="147"/>
      <c r="J403" s="147"/>
      <c r="K403" s="63"/>
    </row>
    <row r="404" spans="1:11" x14ac:dyDescent="0.25">
      <c r="A404" s="56">
        <v>45955</v>
      </c>
      <c r="B404" s="57">
        <v>97</v>
      </c>
      <c r="C404" s="49" t="s">
        <v>19</v>
      </c>
      <c r="D404" s="50" t="str">
        <f>IF(ISBLANK($B404),"",IFERROR(VLOOKUP($B404,ESTOQUE!$B$2:$D$97168,3,FALSE),"Produto não cadastrado"))</f>
        <v>COLETE REFLETIVO LARANJA M</v>
      </c>
      <c r="E404" s="49" t="str">
        <f>_xlfn.XLOOKUP(B404,ESTOQUE!B:B,ESTOQUE!G:G,"",0)</f>
        <v>UND</v>
      </c>
      <c r="F404" s="49">
        <v>1</v>
      </c>
      <c r="G404" s="146"/>
      <c r="H404" s="146"/>
      <c r="I404" s="147"/>
      <c r="J404" s="147"/>
      <c r="K404" s="63"/>
    </row>
    <row r="405" spans="1:11" x14ac:dyDescent="0.25">
      <c r="A405" s="56">
        <v>45955</v>
      </c>
      <c r="B405" s="57">
        <v>67</v>
      </c>
      <c r="C405" s="49" t="s">
        <v>19</v>
      </c>
      <c r="D405" s="50" t="str">
        <f>IF(ISBLANK($B405),"",IFERROR(VLOOKUP($B405,ESTOQUE!$B$2:$D$97168,3,FALSE),"Produto não cadastrado"))</f>
        <v>CAMISA LARANJA OP. C/ FAIXA REFLETIVA TAM: G</v>
      </c>
      <c r="E405" s="49" t="str">
        <f>_xlfn.XLOOKUP(B405,ESTOQUE!B:B,ESTOQUE!G:G,"",0)</f>
        <v>UND</v>
      </c>
      <c r="F405" s="49">
        <v>4</v>
      </c>
      <c r="G405" s="146"/>
      <c r="H405" s="146"/>
      <c r="I405" s="147"/>
      <c r="J405" s="147"/>
      <c r="K405" s="63"/>
    </row>
    <row r="406" spans="1:11" x14ac:dyDescent="0.25">
      <c r="A406" s="56">
        <v>45955</v>
      </c>
      <c r="B406" s="57">
        <v>69</v>
      </c>
      <c r="C406" s="49" t="s">
        <v>19</v>
      </c>
      <c r="D406" s="50" t="str">
        <f>IF(ISBLANK($B406),"",IFERROR(VLOOKUP($B406,ESTOQUE!$B$2:$D$97168,3,FALSE),"Produto não cadastrado"))</f>
        <v>CAMISA LARANJA OP. C/ FAIXA REFLETIVA TAM: M</v>
      </c>
      <c r="E406" s="49" t="str">
        <f>_xlfn.XLOOKUP(B406,ESTOQUE!B:B,ESTOQUE!G:G,"",0)</f>
        <v>UND</v>
      </c>
      <c r="F406" s="49">
        <v>8</v>
      </c>
      <c r="G406" s="146"/>
      <c r="H406" s="146"/>
      <c r="I406" s="147"/>
      <c r="J406" s="147"/>
      <c r="K406" s="63"/>
    </row>
    <row r="407" spans="1:11" x14ac:dyDescent="0.25">
      <c r="A407" s="56">
        <v>45955</v>
      </c>
      <c r="B407" s="57">
        <v>70</v>
      </c>
      <c r="C407" s="49" t="s">
        <v>19</v>
      </c>
      <c r="D407" s="50" t="str">
        <f>IF(ISBLANK($B407),"",IFERROR(VLOOKUP($B407,ESTOQUE!$B$2:$D$97168,3,FALSE),"Produto não cadastrado"))</f>
        <v>CAMISA LARANJA OP. C/ FAIXA REFLETIVA TAM: P</v>
      </c>
      <c r="E407" s="49" t="str">
        <f>_xlfn.XLOOKUP(B407,ESTOQUE!B:B,ESTOQUE!G:G,"",0)</f>
        <v>UND</v>
      </c>
      <c r="F407" s="49">
        <v>1</v>
      </c>
      <c r="G407" s="146"/>
      <c r="H407" s="146"/>
      <c r="I407" s="147"/>
      <c r="J407" s="147"/>
      <c r="K407" s="63"/>
    </row>
    <row r="408" spans="1:11" x14ac:dyDescent="0.25">
      <c r="A408" s="56">
        <v>45955</v>
      </c>
      <c r="B408" s="57">
        <v>221</v>
      </c>
      <c r="C408" s="49" t="s">
        <v>19</v>
      </c>
      <c r="D408" s="50" t="str">
        <f>IF(ISBLANK($B408),"",IFERROR(VLOOKUP($B408,ESTOQUE!$B$2:$D$97168,3,FALSE),"Produto não cadastrado"))</f>
        <v>BOTINA SEGURANÇA METATARSO  44</v>
      </c>
      <c r="E408" s="49" t="str">
        <f>_xlfn.XLOOKUP(B408,ESTOQUE!B:B,ESTOQUE!G:G,"",0)</f>
        <v>PAR</v>
      </c>
      <c r="F408" s="49">
        <v>1</v>
      </c>
      <c r="G408" s="146"/>
      <c r="H408" s="146"/>
      <c r="I408" s="147"/>
      <c r="J408" s="147"/>
      <c r="K408" s="63"/>
    </row>
    <row r="409" spans="1:11" x14ac:dyDescent="0.25">
      <c r="A409" s="56">
        <v>45955</v>
      </c>
      <c r="B409" s="57">
        <v>39</v>
      </c>
      <c r="C409" s="49" t="s">
        <v>19</v>
      </c>
      <c r="D409" s="50" t="str">
        <f>IF(ISBLANK($B409),"",IFERROR(VLOOKUP($B409,ESTOQUE!$B$2:$D$97168,3,FALSE),"Produto não cadastrado"))</f>
        <v>BOTINA OP. BICO PVC Nº 41</v>
      </c>
      <c r="E409" s="49" t="str">
        <f>_xlfn.XLOOKUP(B409,ESTOQUE!B:B,ESTOQUE!G:G,"",0)</f>
        <v>PAR</v>
      </c>
      <c r="F409" s="49">
        <v>1</v>
      </c>
      <c r="G409" s="146"/>
      <c r="H409" s="146"/>
      <c r="I409" s="147"/>
      <c r="J409" s="147"/>
      <c r="K409" s="63"/>
    </row>
    <row r="410" spans="1:11" x14ac:dyDescent="0.25">
      <c r="A410" s="56">
        <v>45955</v>
      </c>
      <c r="B410" s="57">
        <v>46</v>
      </c>
      <c r="C410" s="49" t="s">
        <v>19</v>
      </c>
      <c r="D410" s="50" t="str">
        <f>IF(ISBLANK($B410),"",IFERROR(VLOOKUP($B410,ESTOQUE!$B$2:$D$97168,3,FALSE),"Produto não cadastrado"))</f>
        <v>CALÇA CINZA OP. C/ FAIXA REFLETIVA TAM: G</v>
      </c>
      <c r="E410" s="49" t="str">
        <f>_xlfn.XLOOKUP(B410,ESTOQUE!B:B,ESTOQUE!G:G,"",0)</f>
        <v>UND</v>
      </c>
      <c r="F410" s="49">
        <v>5</v>
      </c>
      <c r="G410" s="146"/>
      <c r="H410" s="146"/>
      <c r="I410" s="147"/>
      <c r="J410" s="147"/>
      <c r="K410" s="63"/>
    </row>
    <row r="411" spans="1:11" x14ac:dyDescent="0.25">
      <c r="A411" s="56">
        <v>45955</v>
      </c>
      <c r="B411" s="57">
        <v>48</v>
      </c>
      <c r="C411" s="49" t="s">
        <v>19</v>
      </c>
      <c r="D411" s="50" t="str">
        <f>IF(ISBLANK($B411),"",IFERROR(VLOOKUP($B411,ESTOQUE!$B$2:$D$97168,3,FALSE),"Produto não cadastrado"))</f>
        <v>CALÇA CINZA OP. C/ FAIXA REFLETIVA TAM: M</v>
      </c>
      <c r="E411" s="49" t="str">
        <f>_xlfn.XLOOKUP(B411,ESTOQUE!B:B,ESTOQUE!G:G,"",0)</f>
        <v>UND</v>
      </c>
      <c r="F411" s="49">
        <v>2</v>
      </c>
      <c r="G411" s="146"/>
      <c r="H411" s="146"/>
      <c r="I411" s="147"/>
      <c r="J411" s="147"/>
      <c r="K411" s="63"/>
    </row>
    <row r="412" spans="1:11" x14ac:dyDescent="0.25">
      <c r="A412" s="56">
        <v>45955</v>
      </c>
      <c r="B412" s="57">
        <v>49</v>
      </c>
      <c r="C412" s="49" t="s">
        <v>19</v>
      </c>
      <c r="D412" s="50" t="str">
        <f>IF(ISBLANK($B412),"",IFERROR(VLOOKUP($B412,ESTOQUE!$B$2:$D$97168,3,FALSE),"Produto não cadastrado"))</f>
        <v>CALÇA CINZA OP. C/ FAIXA REFLETIVA TAM: P</v>
      </c>
      <c r="E412" s="49" t="str">
        <f>_xlfn.XLOOKUP(B412,ESTOQUE!B:B,ESTOQUE!G:G,"",0)</f>
        <v>UND</v>
      </c>
      <c r="F412" s="49">
        <v>1</v>
      </c>
      <c r="G412" s="146"/>
      <c r="H412" s="146"/>
      <c r="I412" s="147"/>
      <c r="J412" s="147"/>
      <c r="K412" s="63"/>
    </row>
    <row r="413" spans="1:11" x14ac:dyDescent="0.25">
      <c r="A413" s="56">
        <v>45955</v>
      </c>
      <c r="B413" s="57">
        <v>228</v>
      </c>
      <c r="C413" s="49" t="s">
        <v>19</v>
      </c>
      <c r="D413" s="50" t="str">
        <f>IF(ISBLANK($B413),"",IFERROR(VLOOKUP($B413,ESTOQUE!$B$2:$D$97168,3,FALSE),"Produto não cadastrado"))</f>
        <v xml:space="preserve">BALACLAVA  </v>
      </c>
      <c r="E413" s="49" t="str">
        <f>_xlfn.XLOOKUP(B413,ESTOQUE!B:B,ESTOQUE!G:G,"",0)</f>
        <v>UND</v>
      </c>
      <c r="F413" s="49">
        <v>5</v>
      </c>
      <c r="G413" s="146"/>
      <c r="H413" s="146"/>
      <c r="I413" s="147"/>
      <c r="J413" s="147"/>
      <c r="K413" s="63"/>
    </row>
    <row r="414" spans="1:11" x14ac:dyDescent="0.25">
      <c r="A414" s="56">
        <v>45956</v>
      </c>
      <c r="B414" s="57">
        <v>228</v>
      </c>
      <c r="C414" s="49" t="s">
        <v>19</v>
      </c>
      <c r="D414" s="50" t="str">
        <f>IF(ISBLANK($B414),"",IFERROR(VLOOKUP($B414,ESTOQUE!$B$2:$D$97168,3,FALSE),"Produto não cadastrado"))</f>
        <v xml:space="preserve">BALACLAVA  </v>
      </c>
      <c r="E414" s="49" t="str">
        <f>_xlfn.XLOOKUP(B414,ESTOQUE!B:B,ESTOQUE!G:G,"",0)</f>
        <v>UND</v>
      </c>
      <c r="F414" s="49">
        <v>84</v>
      </c>
      <c r="G414" s="146"/>
      <c r="H414" s="146"/>
      <c r="I414" s="147"/>
      <c r="J414" s="147"/>
      <c r="K414" s="63"/>
    </row>
    <row r="415" spans="1:11" x14ac:dyDescent="0.25">
      <c r="A415" s="56">
        <v>45957</v>
      </c>
      <c r="B415" s="57">
        <v>144</v>
      </c>
      <c r="C415" s="49" t="s">
        <v>19</v>
      </c>
      <c r="D415" s="50" t="str">
        <f>IF(ISBLANK($B415),"",IFERROR(VLOOKUP($B415,ESTOQUE!$B$2:$D$97168,3,FALSE),"Produto não cadastrado"))</f>
        <v>MASCARA PFF2-S C/ FILTRO</v>
      </c>
      <c r="E415" s="49" t="str">
        <f>_xlfn.XLOOKUP(B415,ESTOQUE!B:B,ESTOQUE!G:G,"",0)</f>
        <v>UND</v>
      </c>
      <c r="F415" s="49">
        <v>450</v>
      </c>
      <c r="G415" s="146"/>
      <c r="H415" s="146"/>
      <c r="I415" s="147"/>
      <c r="J415" s="147"/>
      <c r="K415" s="63"/>
    </row>
    <row r="416" spans="1:11" x14ac:dyDescent="0.25">
      <c r="A416" s="56">
        <v>45957</v>
      </c>
      <c r="B416" s="57">
        <v>139</v>
      </c>
      <c r="C416" s="49" t="s">
        <v>19</v>
      </c>
      <c r="D416" s="50" t="str">
        <f>IF(ISBLANK($B416),"",IFERROR(VLOOKUP($B416,ESTOQUE!$B$2:$D$97168,3,FALSE),"Produto não cadastrado"))</f>
        <v>PROTETOR AURICULAR TIPO PLUG</v>
      </c>
      <c r="E416" s="49" t="str">
        <f>_xlfn.XLOOKUP(B416,ESTOQUE!B:B,ESTOQUE!G:G,"",0)</f>
        <v>UND</v>
      </c>
      <c r="F416" s="49">
        <v>4</v>
      </c>
      <c r="G416" s="146"/>
      <c r="H416" s="146"/>
      <c r="I416" s="147"/>
      <c r="J416" s="147"/>
      <c r="K416" s="63"/>
    </row>
    <row r="417" spans="1:11" x14ac:dyDescent="0.25">
      <c r="A417" s="56">
        <v>45957</v>
      </c>
      <c r="B417" s="57">
        <v>261</v>
      </c>
      <c r="C417" s="49" t="s">
        <v>19</v>
      </c>
      <c r="D417" s="50" t="str">
        <f>IF(ISBLANK($B417),"",IFERROR(VLOOKUP($B417,ESTOQUE!$B$2:$D$97168,3,FALSE),"Produto não cadastrado"))</f>
        <v xml:space="preserve">LUVA DE VAQUETA VERDE </v>
      </c>
      <c r="E417" s="49" t="str">
        <f>_xlfn.XLOOKUP(B417,ESTOQUE!B:B,ESTOQUE!G:G,"",0)</f>
        <v>PAR</v>
      </c>
      <c r="F417" s="49">
        <v>1</v>
      </c>
      <c r="G417" s="146"/>
      <c r="H417" s="146"/>
      <c r="I417" s="147"/>
      <c r="J417" s="147"/>
      <c r="K417" s="63"/>
    </row>
    <row r="418" spans="1:11" x14ac:dyDescent="0.25">
      <c r="A418" s="56">
        <v>45957</v>
      </c>
      <c r="B418" s="57">
        <v>161</v>
      </c>
      <c r="C418" s="49" t="s">
        <v>19</v>
      </c>
      <c r="D418" s="50" t="str">
        <f>IF(ISBLANK($B418),"",IFERROR(VLOOKUP($B418,ESTOQUE!$B$2:$D$97168,3,FALSE),"Produto não cadastrado"))</f>
        <v>JUGULAR</v>
      </c>
      <c r="E418" s="49" t="str">
        <f>_xlfn.XLOOKUP(B418,ESTOQUE!B:B,ESTOQUE!G:G,"",0)</f>
        <v>UND</v>
      </c>
      <c r="F418" s="49">
        <v>2</v>
      </c>
      <c r="G418" s="146"/>
      <c r="H418" s="146"/>
      <c r="I418" s="147"/>
      <c r="J418" s="147"/>
      <c r="K418" s="63"/>
    </row>
    <row r="419" spans="1:11" x14ac:dyDescent="0.25">
      <c r="A419" s="56">
        <v>45957</v>
      </c>
      <c r="B419" s="57">
        <v>110</v>
      </c>
      <c r="C419" s="49" t="s">
        <v>19</v>
      </c>
      <c r="D419" s="50" t="str">
        <f>IF(ISBLANK($B419),"",IFERROR(VLOOKUP($B419,ESTOQUE!$B$2:$D$97168,3,FALSE),"Produto não cadastrado"))</f>
        <v>LUVA DE RASPA CANO LONGO</v>
      </c>
      <c r="E419" s="49" t="str">
        <f>_xlfn.XLOOKUP(B419,ESTOQUE!B:B,ESTOQUE!G:G,"",0)</f>
        <v>PAR</v>
      </c>
      <c r="F419" s="49">
        <v>6</v>
      </c>
      <c r="G419" s="146"/>
      <c r="H419" s="146"/>
      <c r="I419" s="147"/>
      <c r="J419" s="147"/>
      <c r="K419" s="63"/>
    </row>
    <row r="420" spans="1:11" x14ac:dyDescent="0.25">
      <c r="A420" s="56">
        <v>45957</v>
      </c>
      <c r="B420" s="57">
        <v>141</v>
      </c>
      <c r="C420" s="49" t="s">
        <v>19</v>
      </c>
      <c r="D420" s="50" t="str">
        <f>IF(ISBLANK($B420),"",IFERROR(VLOOKUP($B420,ESTOQUE!$B$2:$D$97168,3,FALSE),"Produto não cadastrado"))</f>
        <v xml:space="preserve">LUVA DE VAQUETA </v>
      </c>
      <c r="E420" s="49" t="str">
        <f>_xlfn.XLOOKUP(B420,ESTOQUE!B:B,ESTOQUE!G:G,"",0)</f>
        <v>PAR</v>
      </c>
      <c r="F420" s="49">
        <v>9</v>
      </c>
      <c r="G420" s="146"/>
      <c r="H420" s="146"/>
      <c r="I420" s="147"/>
      <c r="J420" s="147"/>
      <c r="K420" s="63"/>
    </row>
    <row r="421" spans="1:11" x14ac:dyDescent="0.25">
      <c r="A421" s="108">
        <v>45957</v>
      </c>
      <c r="B421" s="109">
        <v>189</v>
      </c>
      <c r="C421" s="49" t="s">
        <v>19</v>
      </c>
      <c r="D421" s="110" t="str">
        <f>IF(ISBLANK($B421),"",IFERROR(VLOOKUP($B421,ESTOQUE!$B$2:$D$97168,3,FALSE),"Produto não cadastrado"))</f>
        <v xml:space="preserve">LUVA DE VAQUETA MISTA </v>
      </c>
      <c r="E421" s="99" t="str">
        <f>_xlfn.XLOOKUP(B421,ESTOQUE!B:B,ESTOQUE!G:G,"",0)</f>
        <v>UND</v>
      </c>
      <c r="F421" s="99">
        <v>8</v>
      </c>
      <c r="G421" s="146"/>
      <c r="H421" s="146"/>
      <c r="I421" s="147"/>
      <c r="J421" s="147"/>
      <c r="K421" s="63"/>
    </row>
    <row r="422" spans="1:11" x14ac:dyDescent="0.25">
      <c r="A422" s="108">
        <v>45957</v>
      </c>
      <c r="B422" s="109">
        <v>114</v>
      </c>
      <c r="C422" s="49" t="s">
        <v>19</v>
      </c>
      <c r="D422" s="110" t="str">
        <f>IF(ISBLANK($B422),"",IFERROR(VLOOKUP($B422,ESTOQUE!$B$2:$D$97168,3,FALSE),"Produto não cadastrado"))</f>
        <v xml:space="preserve">LUVA LATEX NITRILICA </v>
      </c>
      <c r="E422" s="99" t="str">
        <f>_xlfn.XLOOKUP(B422,ESTOQUE!B:B,ESTOQUE!G:G,"",0)</f>
        <v>PAR</v>
      </c>
      <c r="F422" s="99">
        <v>5</v>
      </c>
      <c r="G422" s="146"/>
      <c r="H422" s="146"/>
      <c r="I422" s="147"/>
      <c r="J422" s="147"/>
      <c r="K422" s="63"/>
    </row>
    <row r="423" spans="1:11" x14ac:dyDescent="0.25">
      <c r="A423" s="137">
        <v>45957</v>
      </c>
      <c r="B423" s="109">
        <v>117</v>
      </c>
      <c r="C423" s="49" t="s">
        <v>19</v>
      </c>
      <c r="D423" s="110" t="str">
        <f>IF(ISBLANK($B423),"",IFERROR(VLOOKUP($B423,ESTOQUE!$B$2:$D$97168,3,FALSE),"Produto não cadastrado"))</f>
        <v>LUVA PIGMENTADA</v>
      </c>
      <c r="E423" s="99" t="str">
        <f>_xlfn.XLOOKUP(B423,ESTOQUE!B:B,ESTOQUE!G:G,"",0)</f>
        <v>PAR</v>
      </c>
      <c r="F423" s="99">
        <v>8</v>
      </c>
      <c r="G423" s="146"/>
      <c r="H423" s="146"/>
      <c r="I423" s="147"/>
      <c r="J423" s="147"/>
      <c r="K423" s="63"/>
    </row>
    <row r="424" spans="1:11" x14ac:dyDescent="0.25">
      <c r="A424" s="137">
        <v>45957</v>
      </c>
      <c r="B424" s="109">
        <v>126</v>
      </c>
      <c r="C424" s="49" t="s">
        <v>19</v>
      </c>
      <c r="D424" s="110" t="str">
        <f>IF(ISBLANK($B424),"",IFERROR(VLOOKUP($B424,ESTOQUE!$B$2:$D$97168,3,FALSE),"Produto não cadastrado"))</f>
        <v>OCULOS DE PROTEÇÃO ESCURO</v>
      </c>
      <c r="E424" s="99" t="str">
        <f>_xlfn.XLOOKUP(B424,ESTOQUE!B:B,ESTOQUE!G:G,"",0)</f>
        <v>UND</v>
      </c>
      <c r="F424" s="99">
        <v>5</v>
      </c>
      <c r="G424" s="146"/>
      <c r="H424" s="146"/>
      <c r="I424" s="147"/>
      <c r="J424" s="147"/>
      <c r="K424" s="63"/>
    </row>
    <row r="425" spans="1:11" x14ac:dyDescent="0.25">
      <c r="A425" s="101">
        <v>45957</v>
      </c>
      <c r="B425" s="102">
        <v>97</v>
      </c>
      <c r="C425" s="49" t="s">
        <v>19</v>
      </c>
      <c r="D425" s="110" t="str">
        <f>IF(ISBLANK($B425),"",IFERROR(VLOOKUP($B425,ESTOQUE!$B$2:$D$97168,3,FALSE),"Produto não cadastrado"))</f>
        <v>COLETE REFLETIVO LARANJA M</v>
      </c>
      <c r="E425" s="99" t="str">
        <f>_xlfn.XLOOKUP(B425,ESTOQUE!B:B,ESTOQUE!G:G,"",0)</f>
        <v>UND</v>
      </c>
      <c r="F425" s="103">
        <v>3</v>
      </c>
      <c r="G425" s="146"/>
      <c r="H425" s="146"/>
      <c r="I425" s="147"/>
      <c r="J425" s="147"/>
      <c r="K425" s="63"/>
    </row>
    <row r="426" spans="1:11" x14ac:dyDescent="0.25">
      <c r="A426" s="101">
        <v>45957</v>
      </c>
      <c r="B426" s="102">
        <v>68</v>
      </c>
      <c r="C426" s="49" t="s">
        <v>19</v>
      </c>
      <c r="D426" s="110" t="str">
        <f>IF(ISBLANK($B426),"",IFERROR(VLOOKUP($B426,ESTOQUE!$B$2:$D$97168,3,FALSE),"Produto não cadastrado"))</f>
        <v>CAMISA LARANJA OP. C/ FAIXA REFLETIVA TAM: GG</v>
      </c>
      <c r="E426" s="99" t="str">
        <f>_xlfn.XLOOKUP(B426,ESTOQUE!B:B,ESTOQUE!G:G,"",0)</f>
        <v>UND</v>
      </c>
      <c r="F426" s="103">
        <v>1</v>
      </c>
      <c r="G426" s="146"/>
      <c r="H426" s="146"/>
      <c r="I426" s="147"/>
      <c r="J426" s="147"/>
      <c r="K426" s="63"/>
    </row>
    <row r="427" spans="1:11" x14ac:dyDescent="0.25">
      <c r="A427" s="101">
        <v>45957</v>
      </c>
      <c r="B427" s="102">
        <v>69</v>
      </c>
      <c r="C427" s="49" t="s">
        <v>19</v>
      </c>
      <c r="D427" s="110" t="str">
        <f>IF(ISBLANK($B427),"",IFERROR(VLOOKUP($B427,ESTOQUE!$B$2:$D$97168,3,FALSE),"Produto não cadastrado"))</f>
        <v>CAMISA LARANJA OP. C/ FAIXA REFLETIVA TAM: M</v>
      </c>
      <c r="E427" s="99" t="str">
        <f>_xlfn.XLOOKUP(B427,ESTOQUE!B:B,ESTOQUE!G:G,"",0)</f>
        <v>UND</v>
      </c>
      <c r="F427" s="103">
        <v>6</v>
      </c>
      <c r="G427" s="146"/>
      <c r="H427" s="146"/>
      <c r="I427" s="147"/>
      <c r="J427" s="147"/>
      <c r="K427" s="63"/>
    </row>
    <row r="428" spans="1:11" x14ac:dyDescent="0.25">
      <c r="A428" s="101">
        <v>45957</v>
      </c>
      <c r="B428" s="102">
        <v>70</v>
      </c>
      <c r="C428" s="49" t="s">
        <v>19</v>
      </c>
      <c r="D428" s="110" t="str">
        <f>IF(ISBLANK($B428),"",IFERROR(VLOOKUP($B428,ESTOQUE!$B$2:$D$97168,3,FALSE),"Produto não cadastrado"))</f>
        <v>CAMISA LARANJA OP. C/ FAIXA REFLETIVA TAM: P</v>
      </c>
      <c r="E428" s="99" t="str">
        <f>_xlfn.XLOOKUP(B428,ESTOQUE!B:B,ESTOQUE!G:G,"",0)</f>
        <v>UND</v>
      </c>
      <c r="F428" s="103">
        <v>1</v>
      </c>
      <c r="G428" s="146"/>
      <c r="H428" s="146"/>
      <c r="I428" s="147"/>
      <c r="J428" s="147"/>
      <c r="K428" s="63"/>
    </row>
    <row r="429" spans="1:11" x14ac:dyDescent="0.25">
      <c r="A429" s="101">
        <v>45957</v>
      </c>
      <c r="B429" s="102">
        <v>72</v>
      </c>
      <c r="C429" s="49" t="s">
        <v>19</v>
      </c>
      <c r="D429" s="110" t="str">
        <f>IF(ISBLANK($B429),"",IFERROR(VLOOKUP($B429,ESTOQUE!$B$2:$D$97168,3,FALSE),"Produto não cadastrado"))</f>
        <v>CAPA DE CHUVA G</v>
      </c>
      <c r="E429" s="99" t="str">
        <f>_xlfn.XLOOKUP(B429,ESTOQUE!B:B,ESTOQUE!G:G,"",0)</f>
        <v>UND</v>
      </c>
      <c r="F429" s="103">
        <v>1</v>
      </c>
      <c r="G429" s="146"/>
      <c r="H429" s="146"/>
      <c r="I429" s="147"/>
      <c r="J429" s="147"/>
      <c r="K429" s="63"/>
    </row>
    <row r="430" spans="1:11" x14ac:dyDescent="0.25">
      <c r="A430" s="101">
        <v>45957</v>
      </c>
      <c r="B430" s="102">
        <v>73</v>
      </c>
      <c r="C430" s="49" t="s">
        <v>19</v>
      </c>
      <c r="D430" s="110" t="str">
        <f>IF(ISBLANK($B430),"",IFERROR(VLOOKUP($B430,ESTOQUE!$B$2:$D$97168,3,FALSE),"Produto não cadastrado"))</f>
        <v>CAPA DE CHUVA GG</v>
      </c>
      <c r="E430" s="99" t="str">
        <f>_xlfn.XLOOKUP(B430,ESTOQUE!B:B,ESTOQUE!G:G,"",0)</f>
        <v>UND</v>
      </c>
      <c r="F430" s="103">
        <v>2</v>
      </c>
      <c r="G430" s="146"/>
      <c r="H430" s="146"/>
      <c r="I430" s="147"/>
      <c r="J430" s="147"/>
      <c r="K430" s="63"/>
    </row>
    <row r="431" spans="1:11" x14ac:dyDescent="0.25">
      <c r="A431" s="101">
        <v>45957</v>
      </c>
      <c r="B431" s="102">
        <v>46</v>
      </c>
      <c r="C431" s="49" t="s">
        <v>19</v>
      </c>
      <c r="D431" s="110" t="str">
        <f>IF(ISBLANK($B431),"",IFERROR(VLOOKUP($B431,ESTOQUE!$B$2:$D$97168,3,FALSE),"Produto não cadastrado"))</f>
        <v>CALÇA CINZA OP. C/ FAIXA REFLETIVA TAM: G</v>
      </c>
      <c r="E431" s="99" t="str">
        <f>_xlfn.XLOOKUP(B431,ESTOQUE!B:B,ESTOQUE!G:G,"",0)</f>
        <v>UND</v>
      </c>
      <c r="F431" s="103">
        <v>5</v>
      </c>
      <c r="G431" s="146"/>
      <c r="H431" s="146"/>
      <c r="I431" s="147"/>
      <c r="J431" s="147"/>
      <c r="K431" s="63"/>
    </row>
    <row r="432" spans="1:11" x14ac:dyDescent="0.25">
      <c r="A432" s="101">
        <v>45957</v>
      </c>
      <c r="B432" s="102">
        <v>47</v>
      </c>
      <c r="C432" s="49" t="s">
        <v>19</v>
      </c>
      <c r="D432" s="110" t="str">
        <f>IF(ISBLANK($B432),"",IFERROR(VLOOKUP($B432,ESTOQUE!$B$2:$D$97168,3,FALSE),"Produto não cadastrado"))</f>
        <v>CALÇA CINZA OP. C/ FAIXA REFLETIVA TAM: GG</v>
      </c>
      <c r="E432" s="99" t="str">
        <f>_xlfn.XLOOKUP(B432,ESTOQUE!B:B,ESTOQUE!G:G,"",0)</f>
        <v>UND</v>
      </c>
      <c r="F432" s="103">
        <v>1</v>
      </c>
      <c r="G432" s="146"/>
      <c r="H432" s="146"/>
      <c r="I432" s="147"/>
      <c r="J432" s="147"/>
      <c r="K432" s="63"/>
    </row>
    <row r="433" spans="1:11" x14ac:dyDescent="0.25">
      <c r="A433" s="101">
        <v>45957</v>
      </c>
      <c r="B433" s="102">
        <v>48</v>
      </c>
      <c r="C433" s="49" t="s">
        <v>19</v>
      </c>
      <c r="D433" s="110" t="str">
        <f>IF(ISBLANK($B433),"",IFERROR(VLOOKUP($B433,ESTOQUE!$B$2:$D$97168,3,FALSE),"Produto não cadastrado"))</f>
        <v>CALÇA CINZA OP. C/ FAIXA REFLETIVA TAM: M</v>
      </c>
      <c r="E433" s="99" t="str">
        <f>_xlfn.XLOOKUP(B433,ESTOQUE!B:B,ESTOQUE!G:G,"",0)</f>
        <v>UND</v>
      </c>
      <c r="F433" s="103">
        <v>4</v>
      </c>
      <c r="G433" s="146"/>
      <c r="H433" s="146"/>
      <c r="I433" s="147"/>
      <c r="J433" s="147"/>
      <c r="K433" s="63"/>
    </row>
    <row r="434" spans="1:11" x14ac:dyDescent="0.25">
      <c r="A434" s="101">
        <v>45957</v>
      </c>
      <c r="B434" s="102">
        <v>49</v>
      </c>
      <c r="C434" s="49" t="s">
        <v>19</v>
      </c>
      <c r="D434" s="110" t="str">
        <f>IF(ISBLANK($B434),"",IFERROR(VLOOKUP($B434,ESTOQUE!$B$2:$D$97168,3,FALSE),"Produto não cadastrado"))</f>
        <v>CALÇA CINZA OP. C/ FAIXA REFLETIVA TAM: P</v>
      </c>
      <c r="E434" s="99" t="str">
        <f>_xlfn.XLOOKUP(B434,ESTOQUE!B:B,ESTOQUE!G:G,"",0)</f>
        <v>UND</v>
      </c>
      <c r="F434" s="103">
        <v>2</v>
      </c>
      <c r="G434" s="146"/>
      <c r="H434" s="146"/>
      <c r="I434" s="147"/>
      <c r="J434" s="147"/>
      <c r="K434" s="63"/>
    </row>
    <row r="435" spans="1:11" x14ac:dyDescent="0.25">
      <c r="A435" s="101">
        <v>45957</v>
      </c>
      <c r="B435" s="102">
        <v>228</v>
      </c>
      <c r="C435" s="49" t="s">
        <v>19</v>
      </c>
      <c r="D435" s="110" t="str">
        <f>IF(ISBLANK($B435),"",IFERROR(VLOOKUP($B435,ESTOQUE!$B$2:$D$97168,3,FALSE),"Produto não cadastrado"))</f>
        <v xml:space="preserve">BALACLAVA  </v>
      </c>
      <c r="E435" s="99" t="str">
        <f>_xlfn.XLOOKUP(B435,ESTOQUE!B:B,ESTOQUE!G:G,"",0)</f>
        <v>UND</v>
      </c>
      <c r="F435" s="103">
        <v>2</v>
      </c>
      <c r="G435" s="146"/>
      <c r="H435" s="146"/>
      <c r="I435" s="147"/>
      <c r="J435" s="147"/>
      <c r="K435" s="63"/>
    </row>
    <row r="436" spans="1:11" x14ac:dyDescent="0.25">
      <c r="A436" s="101">
        <v>45958</v>
      </c>
      <c r="B436" s="102">
        <v>261</v>
      </c>
      <c r="C436" s="49" t="s">
        <v>19</v>
      </c>
      <c r="D436" s="110" t="str">
        <f>IF(ISBLANK($B436),"",IFERROR(VLOOKUP($B436,ESTOQUE!$B$2:$D$97168,3,FALSE),"Produto não cadastrado"))</f>
        <v xml:space="preserve">LUVA DE VAQUETA VERDE </v>
      </c>
      <c r="E436" s="99" t="str">
        <f>_xlfn.XLOOKUP(B436,ESTOQUE!B:B,ESTOQUE!G:G,"",0)</f>
        <v>PAR</v>
      </c>
      <c r="F436" s="103">
        <v>1</v>
      </c>
      <c r="G436" s="146"/>
      <c r="H436" s="146"/>
      <c r="I436" s="147"/>
      <c r="J436" s="147"/>
      <c r="K436" s="63"/>
    </row>
    <row r="437" spans="1:11" x14ac:dyDescent="0.25">
      <c r="A437" s="101">
        <v>45958</v>
      </c>
      <c r="B437" s="102">
        <v>111</v>
      </c>
      <c r="C437" s="49" t="s">
        <v>19</v>
      </c>
      <c r="D437" s="110" t="str">
        <f>IF(ISBLANK($B437),"",IFERROR(VLOOKUP($B437,ESTOQUE!$B$2:$D$97168,3,FALSE),"Produto não cadastrado"))</f>
        <v>LUVA DE VAQUETA MARROM</v>
      </c>
      <c r="E437" s="99" t="str">
        <f>_xlfn.XLOOKUP(B437,ESTOQUE!B:B,ESTOQUE!G:G,"",0)</f>
        <v>PAR</v>
      </c>
      <c r="F437" s="103">
        <v>4</v>
      </c>
      <c r="G437" s="146"/>
      <c r="H437" s="146"/>
      <c r="I437" s="147"/>
      <c r="J437" s="147"/>
      <c r="K437" s="63"/>
    </row>
    <row r="438" spans="1:11" x14ac:dyDescent="0.25">
      <c r="A438" s="101">
        <v>45958</v>
      </c>
      <c r="B438" s="102">
        <v>189</v>
      </c>
      <c r="C438" s="49" t="s">
        <v>19</v>
      </c>
      <c r="D438" s="110" t="str">
        <f>IF(ISBLANK($B438),"",IFERROR(VLOOKUP($B438,ESTOQUE!$B$2:$D$97168,3,FALSE),"Produto não cadastrado"))</f>
        <v xml:space="preserve">LUVA DE VAQUETA MISTA </v>
      </c>
      <c r="E438" s="99" t="str">
        <f>_xlfn.XLOOKUP(B438,ESTOQUE!B:B,ESTOQUE!G:G,"",0)</f>
        <v>UND</v>
      </c>
      <c r="F438" s="103">
        <v>1</v>
      </c>
      <c r="G438" s="146"/>
      <c r="H438" s="146"/>
      <c r="I438" s="147"/>
      <c r="J438" s="147"/>
      <c r="K438" s="63"/>
    </row>
    <row r="439" spans="1:11" x14ac:dyDescent="0.25">
      <c r="A439" s="101">
        <v>45958</v>
      </c>
      <c r="B439" s="102">
        <v>117</v>
      </c>
      <c r="C439" s="49" t="s">
        <v>19</v>
      </c>
      <c r="D439" s="110" t="str">
        <f>IF(ISBLANK($B439),"",IFERROR(VLOOKUP($B439,ESTOQUE!$B$2:$D$97168,3,FALSE),"Produto não cadastrado"))</f>
        <v>LUVA PIGMENTADA</v>
      </c>
      <c r="E439" s="99" t="str">
        <f>_xlfn.XLOOKUP(B439,ESTOQUE!B:B,ESTOQUE!G:G,"",0)</f>
        <v>PAR</v>
      </c>
      <c r="F439" s="103">
        <v>6</v>
      </c>
      <c r="G439" s="146"/>
      <c r="H439" s="146"/>
      <c r="I439" s="147"/>
      <c r="J439" s="147"/>
      <c r="K439" s="63"/>
    </row>
    <row r="440" spans="1:11" x14ac:dyDescent="0.25">
      <c r="A440" s="101">
        <v>45958</v>
      </c>
      <c r="B440" s="102">
        <v>118</v>
      </c>
      <c r="C440" s="49" t="s">
        <v>19</v>
      </c>
      <c r="D440" s="110" t="str">
        <f>IF(ISBLANK($B440),"",IFERROR(VLOOKUP($B440,ESTOQUE!$B$2:$D$97168,3,FALSE),"Produto não cadastrado"))</f>
        <v>MACACÃO DE PROTEÇÃO TYVEK</v>
      </c>
      <c r="E440" s="99" t="str">
        <f>_xlfn.XLOOKUP(B440,ESTOQUE!B:B,ESTOQUE!G:G,"",0)</f>
        <v>UND</v>
      </c>
      <c r="F440" s="103">
        <v>10</v>
      </c>
      <c r="G440" s="146"/>
      <c r="H440" s="146"/>
      <c r="I440" s="147"/>
      <c r="J440" s="147"/>
      <c r="K440" s="63"/>
    </row>
    <row r="441" spans="1:11" x14ac:dyDescent="0.25">
      <c r="A441" s="101">
        <v>45958</v>
      </c>
      <c r="B441" s="102">
        <v>144</v>
      </c>
      <c r="C441" s="49" t="s">
        <v>19</v>
      </c>
      <c r="D441" s="110" t="str">
        <f>IF(ISBLANK($B441),"",IFERROR(VLOOKUP($B441,ESTOQUE!$B$2:$D$97168,3,FALSE),"Produto não cadastrado"))</f>
        <v>MASCARA PFF2-S C/ FILTRO</v>
      </c>
      <c r="E441" s="99" t="str">
        <f>_xlfn.XLOOKUP(B441,ESTOQUE!B:B,ESTOQUE!G:G,"",0)</f>
        <v>UND</v>
      </c>
      <c r="F441" s="103">
        <v>20</v>
      </c>
      <c r="G441" s="146"/>
      <c r="H441" s="146"/>
      <c r="I441" s="147"/>
      <c r="J441" s="147"/>
      <c r="K441" s="63"/>
    </row>
    <row r="442" spans="1:11" x14ac:dyDescent="0.25">
      <c r="A442" s="101">
        <v>45958</v>
      </c>
      <c r="B442" s="102">
        <v>126</v>
      </c>
      <c r="C442" s="49" t="s">
        <v>19</v>
      </c>
      <c r="D442" s="110" t="str">
        <f>IF(ISBLANK($B442),"",IFERROR(VLOOKUP($B442,ESTOQUE!$B$2:$D$97168,3,FALSE),"Produto não cadastrado"))</f>
        <v>OCULOS DE PROTEÇÃO ESCURO</v>
      </c>
      <c r="E442" s="99" t="str">
        <f>_xlfn.XLOOKUP(B442,ESTOQUE!B:B,ESTOQUE!G:G,"",0)</f>
        <v>UND</v>
      </c>
      <c r="F442" s="103">
        <v>6</v>
      </c>
      <c r="G442" s="146"/>
      <c r="H442" s="146"/>
      <c r="I442" s="147"/>
      <c r="J442" s="147"/>
      <c r="K442" s="63"/>
    </row>
    <row r="443" spans="1:11" x14ac:dyDescent="0.25">
      <c r="A443" s="101">
        <v>45958</v>
      </c>
      <c r="B443" s="102">
        <v>124</v>
      </c>
      <c r="C443" s="49" t="s">
        <v>19</v>
      </c>
      <c r="D443" s="110" t="str">
        <f>IF(ISBLANK($B443),"",IFERROR(VLOOKUP($B443,ESTOQUE!$B$2:$D$97168,3,FALSE),"Produto não cadastrado"))</f>
        <v xml:space="preserve">OCULOS DE PROTEÇÃO INCOLOR </v>
      </c>
      <c r="E443" s="99" t="str">
        <f>_xlfn.XLOOKUP(B443,ESTOQUE!B:B,ESTOQUE!G:G,"",0)</f>
        <v>UND</v>
      </c>
      <c r="F443" s="103">
        <v>6</v>
      </c>
      <c r="G443" s="146"/>
      <c r="H443" s="146"/>
      <c r="I443" s="147"/>
      <c r="J443" s="147"/>
      <c r="K443" s="63"/>
    </row>
    <row r="444" spans="1:11" x14ac:dyDescent="0.25">
      <c r="A444" s="101">
        <v>45958</v>
      </c>
      <c r="B444" s="102">
        <v>188</v>
      </c>
      <c r="C444" s="49" t="s">
        <v>19</v>
      </c>
      <c r="D444" s="110" t="str">
        <f>IF(ISBLANK($B444),"",IFERROR(VLOOKUP($B444,ESTOQUE!$B$2:$D$97168,3,FALSE),"Produto não cadastrado"))</f>
        <v>COLETE REFLETIVO LARANJA XG</v>
      </c>
      <c r="E444" s="99" t="str">
        <f>_xlfn.XLOOKUP(B444,ESTOQUE!B:B,ESTOQUE!G:G,"",0)</f>
        <v>UND</v>
      </c>
      <c r="F444" s="103">
        <v>2</v>
      </c>
      <c r="G444" s="146"/>
      <c r="H444" s="146"/>
      <c r="I444" s="147"/>
      <c r="J444" s="147"/>
      <c r="K444" s="63"/>
    </row>
    <row r="445" spans="1:11" x14ac:dyDescent="0.25">
      <c r="A445" s="101">
        <v>45958</v>
      </c>
      <c r="B445" s="102">
        <v>67</v>
      </c>
      <c r="C445" s="49" t="s">
        <v>19</v>
      </c>
      <c r="D445" s="110" t="str">
        <f>IF(ISBLANK($B445),"",IFERROR(VLOOKUP($B445,ESTOQUE!$B$2:$D$97168,3,FALSE),"Produto não cadastrado"))</f>
        <v>CAMISA LARANJA OP. C/ FAIXA REFLETIVA TAM: G</v>
      </c>
      <c r="E445" s="99" t="str">
        <f>_xlfn.XLOOKUP(B445,ESTOQUE!B:B,ESTOQUE!G:G,"",0)</f>
        <v>UND</v>
      </c>
      <c r="F445" s="103">
        <v>2</v>
      </c>
      <c r="G445" s="146"/>
      <c r="H445" s="146"/>
      <c r="I445" s="147"/>
      <c r="J445" s="147"/>
      <c r="K445" s="63"/>
    </row>
    <row r="446" spans="1:11" x14ac:dyDescent="0.25">
      <c r="A446" s="101">
        <v>45958</v>
      </c>
      <c r="B446" s="102">
        <v>70</v>
      </c>
      <c r="C446" s="49" t="s">
        <v>19</v>
      </c>
      <c r="D446" s="110" t="str">
        <f>IF(ISBLANK($B446),"",IFERROR(VLOOKUP($B446,ESTOQUE!$B$2:$D$97168,3,FALSE),"Produto não cadastrado"))</f>
        <v>CAMISA LARANJA OP. C/ FAIXA REFLETIVA TAM: P</v>
      </c>
      <c r="E446" s="99" t="str">
        <f>_xlfn.XLOOKUP(B446,ESTOQUE!B:B,ESTOQUE!G:G,"",0)</f>
        <v>UND</v>
      </c>
      <c r="F446" s="103">
        <v>1</v>
      </c>
      <c r="G446" s="146"/>
      <c r="H446" s="146"/>
      <c r="I446" s="147"/>
      <c r="J446" s="147"/>
      <c r="K446" s="63"/>
    </row>
    <row r="447" spans="1:11" x14ac:dyDescent="0.25">
      <c r="A447" s="101">
        <v>45958</v>
      </c>
      <c r="B447" s="102">
        <v>38</v>
      </c>
      <c r="C447" s="49" t="s">
        <v>19</v>
      </c>
      <c r="D447" s="110" t="str">
        <f>IF(ISBLANK($B447),"",IFERROR(VLOOKUP($B447,ESTOQUE!$B$2:$D$97168,3,FALSE),"Produto não cadastrado"))</f>
        <v>BOTINA OP. BICO PVC Nº 40</v>
      </c>
      <c r="E447" s="99" t="str">
        <f>_xlfn.XLOOKUP(B447,ESTOQUE!B:B,ESTOQUE!G:G,"",0)</f>
        <v>PAR</v>
      </c>
      <c r="F447" s="103">
        <v>1</v>
      </c>
      <c r="G447" s="146"/>
      <c r="H447" s="146"/>
      <c r="I447" s="147"/>
      <c r="J447" s="147"/>
      <c r="K447" s="63"/>
    </row>
    <row r="448" spans="1:11" x14ac:dyDescent="0.25">
      <c r="A448" s="101">
        <v>45958</v>
      </c>
      <c r="B448" s="102">
        <v>46</v>
      </c>
      <c r="C448" s="49" t="s">
        <v>19</v>
      </c>
      <c r="D448" s="110" t="str">
        <f>IF(ISBLANK($B448),"",IFERROR(VLOOKUP($B448,ESTOQUE!$B$2:$D$97168,3,FALSE),"Produto não cadastrado"))</f>
        <v>CALÇA CINZA OP. C/ FAIXA REFLETIVA TAM: G</v>
      </c>
      <c r="E448" s="99" t="str">
        <f>_xlfn.XLOOKUP(B448,ESTOQUE!B:B,ESTOQUE!G:G,"",0)</f>
        <v>UND</v>
      </c>
      <c r="F448" s="103">
        <v>1</v>
      </c>
      <c r="G448" s="146"/>
      <c r="H448" s="146"/>
      <c r="I448" s="147"/>
      <c r="J448" s="147"/>
      <c r="K448" s="63"/>
    </row>
    <row r="449" spans="1:11" x14ac:dyDescent="0.25">
      <c r="A449" s="101">
        <v>45958</v>
      </c>
      <c r="B449" s="102">
        <v>48</v>
      </c>
      <c r="C449" s="49" t="s">
        <v>19</v>
      </c>
      <c r="D449" s="110" t="str">
        <f>IF(ISBLANK($B449),"",IFERROR(VLOOKUP($B449,ESTOQUE!$B$2:$D$97168,3,FALSE),"Produto não cadastrado"))</f>
        <v>CALÇA CINZA OP. C/ FAIXA REFLETIVA TAM: M</v>
      </c>
      <c r="E449" s="99" t="str">
        <f>_xlfn.XLOOKUP(B449,ESTOQUE!B:B,ESTOQUE!G:G,"",0)</f>
        <v>UND</v>
      </c>
      <c r="F449" s="103">
        <v>3</v>
      </c>
      <c r="G449" s="146"/>
      <c r="H449" s="146"/>
      <c r="I449" s="147"/>
      <c r="J449" s="147"/>
      <c r="K449" s="63"/>
    </row>
    <row r="450" spans="1:11" x14ac:dyDescent="0.25">
      <c r="A450" s="101">
        <v>45958</v>
      </c>
      <c r="B450" s="102">
        <v>228</v>
      </c>
      <c r="C450" s="49" t="s">
        <v>19</v>
      </c>
      <c r="D450" s="110" t="str">
        <f>IF(ISBLANK($B450),"",IFERROR(VLOOKUP($B450,ESTOQUE!$B$2:$D$97168,3,FALSE),"Produto não cadastrado"))</f>
        <v xml:space="preserve">BALACLAVA  </v>
      </c>
      <c r="E450" s="99" t="str">
        <f>_xlfn.XLOOKUP(B450,ESTOQUE!B:B,ESTOQUE!G:G,"",0)</f>
        <v>UND</v>
      </c>
      <c r="F450" s="103">
        <v>1</v>
      </c>
      <c r="G450" s="146"/>
      <c r="H450" s="146"/>
      <c r="I450" s="147"/>
      <c r="J450" s="147"/>
      <c r="K450" s="63"/>
    </row>
    <row r="451" spans="1:11" x14ac:dyDescent="0.25">
      <c r="A451" s="101">
        <v>45960</v>
      </c>
      <c r="B451" s="102">
        <v>1</v>
      </c>
      <c r="C451" s="49" t="s">
        <v>19</v>
      </c>
      <c r="D451" s="110" t="str">
        <f>IF(ISBLANK($B451),"",IFERROR(VLOOKUP($B451,ESTOQUE!$B$2:$D$97168,3,FALSE),"Produto não cadastrado"))</f>
        <v>ABAFADOR DE RUIDOS TIPO CONCHA</v>
      </c>
      <c r="E451" s="99" t="str">
        <f>_xlfn.XLOOKUP(B451,ESTOQUE!B:B,ESTOQUE!G:G,"",0)</f>
        <v>UND</v>
      </c>
      <c r="F451" s="103">
        <v>7</v>
      </c>
      <c r="G451" s="146"/>
      <c r="H451" s="146"/>
      <c r="I451" s="147"/>
      <c r="J451" s="147"/>
      <c r="K451" s="63"/>
    </row>
    <row r="452" spans="1:11" x14ac:dyDescent="0.25">
      <c r="A452" s="101">
        <v>45960</v>
      </c>
      <c r="B452" s="102">
        <v>7</v>
      </c>
      <c r="C452" s="49" t="s">
        <v>19</v>
      </c>
      <c r="D452" s="110" t="str">
        <f>IF(ISBLANK($B452),"",IFERROR(VLOOKUP($B452,ESTOQUE!$B$2:$D$97168,3,FALSE),"Produto não cadastrado"))</f>
        <v>BOTA PVC CANO LONGO Nº 39</v>
      </c>
      <c r="E452" s="99" t="str">
        <f>_xlfn.XLOOKUP(B452,ESTOQUE!B:B,ESTOQUE!G:G,"",0)</f>
        <v>PAR</v>
      </c>
      <c r="F452" s="103">
        <v>2</v>
      </c>
      <c r="G452" s="146"/>
      <c r="H452" s="146"/>
      <c r="I452" s="147"/>
      <c r="J452" s="147"/>
      <c r="K452" s="63"/>
    </row>
    <row r="453" spans="1:11" x14ac:dyDescent="0.25">
      <c r="A453" s="101">
        <v>45960</v>
      </c>
      <c r="B453" s="102">
        <v>10</v>
      </c>
      <c r="C453" s="49" t="s">
        <v>19</v>
      </c>
      <c r="D453" s="110" t="str">
        <f>IF(ISBLANK($B453),"",IFERROR(VLOOKUP($B453,ESTOQUE!$B$2:$D$97168,3,FALSE),"Produto não cadastrado"))</f>
        <v>BOTA PVC CANO LONGO Nº 42</v>
      </c>
      <c r="E453" s="99" t="str">
        <f>_xlfn.XLOOKUP(B453,ESTOQUE!B:B,ESTOQUE!G:G,"",0)</f>
        <v>PAR</v>
      </c>
      <c r="F453" s="103">
        <v>4</v>
      </c>
      <c r="G453" s="146"/>
      <c r="H453" s="146"/>
      <c r="I453" s="147"/>
      <c r="J453" s="147"/>
      <c r="K453" s="63"/>
    </row>
    <row r="454" spans="1:11" x14ac:dyDescent="0.25">
      <c r="A454" s="101">
        <v>45960</v>
      </c>
      <c r="B454" s="102">
        <v>36</v>
      </c>
      <c r="C454" s="49" t="s">
        <v>19</v>
      </c>
      <c r="D454" s="110" t="str">
        <f>IF(ISBLANK($B454),"",IFERROR(VLOOKUP($B454,ESTOQUE!$B$2:$D$97168,3,FALSE),"Produto não cadastrado"))</f>
        <v>BOTINA OP. BICO PVC Nº 38</v>
      </c>
      <c r="E454" s="99" t="str">
        <f>_xlfn.XLOOKUP(B454,ESTOQUE!B:B,ESTOQUE!G:G,"",0)</f>
        <v>PAR</v>
      </c>
      <c r="F454" s="103">
        <v>2</v>
      </c>
      <c r="G454" s="146"/>
      <c r="H454" s="146"/>
      <c r="I454" s="147"/>
      <c r="J454" s="147"/>
      <c r="K454" s="63"/>
    </row>
    <row r="455" spans="1:11" x14ac:dyDescent="0.25">
      <c r="A455" s="101">
        <v>45960</v>
      </c>
      <c r="B455" s="102">
        <v>37</v>
      </c>
      <c r="C455" s="49" t="s">
        <v>19</v>
      </c>
      <c r="D455" s="110" t="str">
        <f>IF(ISBLANK($B455),"",IFERROR(VLOOKUP($B455,ESTOQUE!$B$2:$D$97168,3,FALSE),"Produto não cadastrado"))</f>
        <v>BOTINA OP. BICO PVC Nº 39</v>
      </c>
      <c r="E455" s="99" t="str">
        <f>_xlfn.XLOOKUP(B455,ESTOQUE!B:B,ESTOQUE!G:G,"",0)</f>
        <v>PAR</v>
      </c>
      <c r="F455" s="103">
        <v>2</v>
      </c>
      <c r="G455" s="146"/>
      <c r="H455" s="146"/>
      <c r="I455" s="147"/>
      <c r="J455" s="147"/>
      <c r="K455" s="63"/>
    </row>
    <row r="456" spans="1:11" x14ac:dyDescent="0.25">
      <c r="A456" s="101">
        <v>45960</v>
      </c>
      <c r="B456" s="102">
        <v>38</v>
      </c>
      <c r="C456" s="49" t="s">
        <v>19</v>
      </c>
      <c r="D456" s="110" t="str">
        <f>IF(ISBLANK($B456),"",IFERROR(VLOOKUP($B456,ESTOQUE!$B$2:$D$97168,3,FALSE),"Produto não cadastrado"))</f>
        <v>BOTINA OP. BICO PVC Nº 40</v>
      </c>
      <c r="E456" s="99" t="str">
        <f>_xlfn.XLOOKUP(B456,ESTOQUE!B:B,ESTOQUE!G:G,"",0)</f>
        <v>PAR</v>
      </c>
      <c r="F456" s="103">
        <v>5</v>
      </c>
      <c r="G456" s="146"/>
      <c r="H456" s="146"/>
      <c r="I456" s="147"/>
      <c r="J456" s="147"/>
      <c r="K456" s="63"/>
    </row>
    <row r="457" spans="1:11" x14ac:dyDescent="0.25">
      <c r="A457" s="101">
        <v>45960</v>
      </c>
      <c r="B457" s="102">
        <v>39</v>
      </c>
      <c r="C457" s="49" t="s">
        <v>19</v>
      </c>
      <c r="D457" s="110" t="str">
        <f>IF(ISBLANK($B457),"",IFERROR(VLOOKUP($B457,ESTOQUE!$B$2:$D$97168,3,FALSE),"Produto não cadastrado"))</f>
        <v>BOTINA OP. BICO PVC Nº 41</v>
      </c>
      <c r="E457" s="99" t="str">
        <f>_xlfn.XLOOKUP(B457,ESTOQUE!B:B,ESTOQUE!G:G,"",0)</f>
        <v>PAR</v>
      </c>
      <c r="F457" s="103">
        <v>5</v>
      </c>
      <c r="G457" s="146"/>
      <c r="H457" s="146"/>
      <c r="I457" s="147"/>
      <c r="J457" s="147"/>
      <c r="K457" s="63"/>
    </row>
    <row r="458" spans="1:11" x14ac:dyDescent="0.25">
      <c r="A458" s="101">
        <v>45960</v>
      </c>
      <c r="B458" s="102">
        <v>42</v>
      </c>
      <c r="C458" s="49" t="s">
        <v>19</v>
      </c>
      <c r="D458" s="110" t="str">
        <f>IF(ISBLANK($B458),"",IFERROR(VLOOKUP($B458,ESTOQUE!$B$2:$D$97168,3,FALSE),"Produto não cadastrado"))</f>
        <v>BOTINA OP. BICO PVC Nº 44</v>
      </c>
      <c r="E458" s="99" t="str">
        <f>_xlfn.XLOOKUP(B458,ESTOQUE!B:B,ESTOQUE!G:G,"",0)</f>
        <v>PAR</v>
      </c>
      <c r="F458" s="103">
        <v>3</v>
      </c>
      <c r="G458" s="146"/>
      <c r="H458" s="146"/>
      <c r="I458" s="147"/>
      <c r="J458" s="147"/>
      <c r="K458" s="63"/>
    </row>
    <row r="459" spans="1:11" x14ac:dyDescent="0.25">
      <c r="A459" s="101">
        <v>45960</v>
      </c>
      <c r="B459" s="102">
        <v>43</v>
      </c>
      <c r="C459" s="49" t="s">
        <v>19</v>
      </c>
      <c r="D459" s="110" t="str">
        <f>IF(ISBLANK($B459),"",IFERROR(VLOOKUP($B459,ESTOQUE!$B$2:$D$97168,3,FALSE),"Produto não cadastrado"))</f>
        <v>BOTINA OP. BICO PVC Nº 45</v>
      </c>
      <c r="E459" s="99" t="str">
        <f>_xlfn.XLOOKUP(B459,ESTOQUE!B:B,ESTOQUE!G:G,"",0)</f>
        <v>PAR</v>
      </c>
      <c r="F459" s="103">
        <v>1</v>
      </c>
      <c r="G459" s="146"/>
      <c r="H459" s="146"/>
      <c r="I459" s="147"/>
      <c r="J459" s="147"/>
      <c r="K459" s="63"/>
    </row>
    <row r="460" spans="1:11" x14ac:dyDescent="0.25">
      <c r="A460" s="101">
        <v>45960</v>
      </c>
      <c r="B460" s="102">
        <v>237</v>
      </c>
      <c r="C460" s="49" t="s">
        <v>19</v>
      </c>
      <c r="D460" s="110" t="str">
        <f>IF(ISBLANK($B460),"",IFERROR(VLOOKUP($B460,ESTOQUE!$B$2:$D$97168,3,FALSE),"Produto não cadastrado"))</f>
        <v>BOTINA SEGURANÇA MATATARSO 36 ADM</v>
      </c>
      <c r="E460" s="99" t="str">
        <f>_xlfn.XLOOKUP(B460,ESTOQUE!B:B,ESTOQUE!G:G,"",0)</f>
        <v>PAR</v>
      </c>
      <c r="F460" s="103">
        <v>1</v>
      </c>
      <c r="G460" s="146"/>
      <c r="H460" s="146"/>
      <c r="I460" s="147"/>
      <c r="J460" s="147"/>
      <c r="K460" s="63"/>
    </row>
    <row r="461" spans="1:11" x14ac:dyDescent="0.25">
      <c r="A461" s="101">
        <v>45960</v>
      </c>
      <c r="B461" s="102">
        <v>238</v>
      </c>
      <c r="C461" s="49" t="s">
        <v>19</v>
      </c>
      <c r="D461" s="110" t="str">
        <f>IF(ISBLANK($B461),"",IFERROR(VLOOKUP($B461,ESTOQUE!$B$2:$D$97168,3,FALSE),"Produto não cadastrado"))</f>
        <v>BOTINA SEGURANÇA MATATARSO 37 ADM</v>
      </c>
      <c r="E461" s="99" t="str">
        <f>_xlfn.XLOOKUP(B461,ESTOQUE!B:B,ESTOQUE!G:G,"",0)</f>
        <v>PAR</v>
      </c>
      <c r="F461" s="103">
        <v>2</v>
      </c>
      <c r="G461" s="146"/>
      <c r="H461" s="146"/>
      <c r="I461" s="147"/>
      <c r="J461" s="147"/>
      <c r="K461" s="63"/>
    </row>
    <row r="462" spans="1:11" x14ac:dyDescent="0.25">
      <c r="A462" s="101">
        <v>45960</v>
      </c>
      <c r="B462" s="102">
        <v>244</v>
      </c>
      <c r="C462" s="49" t="s">
        <v>19</v>
      </c>
      <c r="D462" s="110" t="str">
        <f>IF(ISBLANK($B462),"",IFERROR(VLOOKUP($B462,ESTOQUE!$B$2:$D$97168,3,FALSE),"Produto não cadastrado"))</f>
        <v xml:space="preserve">BOTINA SEGURANÇA MATATARSO 43 ADM </v>
      </c>
      <c r="E462" s="99" t="str">
        <f>_xlfn.XLOOKUP(B462,ESTOQUE!B:B,ESTOQUE!G:G,"",0)</f>
        <v>PAR</v>
      </c>
      <c r="F462" s="103">
        <v>3</v>
      </c>
      <c r="G462" s="146"/>
      <c r="H462" s="146"/>
      <c r="I462" s="147"/>
      <c r="J462" s="147"/>
      <c r="K462" s="63"/>
    </row>
    <row r="463" spans="1:11" x14ac:dyDescent="0.25">
      <c r="A463" s="101">
        <v>45960</v>
      </c>
      <c r="B463" s="102">
        <v>216</v>
      </c>
      <c r="C463" s="49" t="s">
        <v>19</v>
      </c>
      <c r="D463" s="110" t="str">
        <f>IF(ISBLANK($B463),"",IFERROR(VLOOKUP($B463,ESTOQUE!$B$2:$D$97168,3,FALSE),"Produto não cadastrado"))</f>
        <v>BOTINA SEGURANÇA METATARSO  39</v>
      </c>
      <c r="E463" s="99" t="str">
        <f>_xlfn.XLOOKUP(B463,ESTOQUE!B:B,ESTOQUE!G:G,"",0)</f>
        <v>PAR</v>
      </c>
      <c r="F463" s="103">
        <v>5</v>
      </c>
      <c r="G463" s="146"/>
      <c r="H463" s="146"/>
      <c r="I463" s="147"/>
      <c r="J463" s="147"/>
      <c r="K463" s="63"/>
    </row>
    <row r="464" spans="1:11" x14ac:dyDescent="0.25">
      <c r="A464" s="101">
        <v>45960</v>
      </c>
      <c r="B464" s="102">
        <v>217</v>
      </c>
      <c r="C464" s="49" t="s">
        <v>19</v>
      </c>
      <c r="D464" s="110" t="str">
        <f>IF(ISBLANK($B464),"",IFERROR(VLOOKUP($B464,ESTOQUE!$B$2:$D$97168,3,FALSE),"Produto não cadastrado"))</f>
        <v>BOTINA SEGURANÇA METATARSO  40</v>
      </c>
      <c r="E464" s="99" t="str">
        <f>_xlfn.XLOOKUP(B464,ESTOQUE!B:B,ESTOQUE!G:G,"",0)</f>
        <v>PAR</v>
      </c>
      <c r="F464" s="103">
        <v>4</v>
      </c>
      <c r="G464" s="146"/>
      <c r="H464" s="146"/>
      <c r="I464" s="147"/>
      <c r="J464" s="147"/>
      <c r="K464" s="63"/>
    </row>
    <row r="465" spans="1:11" x14ac:dyDescent="0.25">
      <c r="A465" s="134">
        <v>45960</v>
      </c>
      <c r="B465" s="102">
        <v>218</v>
      </c>
      <c r="C465" s="49" t="s">
        <v>19</v>
      </c>
      <c r="D465" s="110" t="str">
        <f>IF(ISBLANK($B465),"",IFERROR(VLOOKUP($B465,ESTOQUE!$B$2:$D$97168,3,FALSE),"Produto não cadastrado"))</f>
        <v>BOTINA SEGURANÇA METATARSO  41</v>
      </c>
      <c r="E465" s="99" t="str">
        <f>_xlfn.XLOOKUP(B465,ESTOQUE!B:B,ESTOQUE!G:G,"",0)</f>
        <v>PAR</v>
      </c>
      <c r="F465" s="103">
        <v>9</v>
      </c>
      <c r="G465" s="146"/>
      <c r="H465" s="146"/>
      <c r="I465" s="147"/>
      <c r="J465" s="147"/>
      <c r="K465" s="63"/>
    </row>
    <row r="466" spans="1:11" x14ac:dyDescent="0.25">
      <c r="A466" s="134">
        <v>45960</v>
      </c>
      <c r="B466" s="102">
        <v>221</v>
      </c>
      <c r="C466" s="49" t="s">
        <v>19</v>
      </c>
      <c r="D466" s="110" t="str">
        <f>IF(ISBLANK($B466),"",IFERROR(VLOOKUP($B466,ESTOQUE!$B$2:$D$97168,3,FALSE),"Produto não cadastrado"))</f>
        <v>BOTINA SEGURANÇA METATARSO  44</v>
      </c>
      <c r="E466" s="99" t="str">
        <f>_xlfn.XLOOKUP(B466,ESTOQUE!B:B,ESTOQUE!G:G,"",0)</f>
        <v>PAR</v>
      </c>
      <c r="F466" s="103">
        <v>7</v>
      </c>
      <c r="G466" s="146"/>
      <c r="H466" s="146"/>
      <c r="I466" s="147"/>
      <c r="J466" s="147"/>
      <c r="K466" s="63"/>
    </row>
    <row r="467" spans="1:11" x14ac:dyDescent="0.25">
      <c r="A467" s="108">
        <v>45960</v>
      </c>
      <c r="B467" s="109">
        <v>47</v>
      </c>
      <c r="C467" s="49" t="s">
        <v>19</v>
      </c>
      <c r="D467" s="110" t="str">
        <f>IF(ISBLANK($B467),"",IFERROR(VLOOKUP($B467,ESTOQUE!$B$2:$D$97168,3,FALSE),"Produto não cadastrado"))</f>
        <v>CALÇA CINZA OP. C/ FAIXA REFLETIVA TAM: GG</v>
      </c>
      <c r="E467" s="99" t="str">
        <f>_xlfn.XLOOKUP(B467,ESTOQUE!B:B,ESTOQUE!G:G,"",0)</f>
        <v>UND</v>
      </c>
      <c r="F467" s="99">
        <v>24</v>
      </c>
      <c r="G467" s="146"/>
      <c r="H467" s="146"/>
      <c r="I467" s="147"/>
      <c r="J467" s="147"/>
      <c r="K467" s="63"/>
    </row>
    <row r="468" spans="1:11" x14ac:dyDescent="0.25">
      <c r="A468" s="108">
        <v>45960</v>
      </c>
      <c r="B468" s="109">
        <v>48</v>
      </c>
      <c r="C468" s="49" t="s">
        <v>19</v>
      </c>
      <c r="D468" s="110" t="str">
        <f>IF(ISBLANK($B468),"",IFERROR(VLOOKUP($B468,ESTOQUE!$B$2:$D$97168,3,FALSE),"Produto não cadastrado"))</f>
        <v>CALÇA CINZA OP. C/ FAIXA REFLETIVA TAM: M</v>
      </c>
      <c r="E468" s="99" t="str">
        <f>_xlfn.XLOOKUP(B468,ESTOQUE!B:B,ESTOQUE!G:G,"",0)</f>
        <v>UND</v>
      </c>
      <c r="F468" s="99">
        <v>8</v>
      </c>
      <c r="G468" s="146"/>
      <c r="H468" s="146"/>
      <c r="I468" s="147"/>
      <c r="J468" s="147"/>
      <c r="K468" s="63"/>
    </row>
    <row r="469" spans="1:11" x14ac:dyDescent="0.25">
      <c r="A469" s="108">
        <v>45960</v>
      </c>
      <c r="B469" s="109">
        <v>49</v>
      </c>
      <c r="C469" s="49" t="s">
        <v>19</v>
      </c>
      <c r="D469" s="110" t="str">
        <f>IF(ISBLANK($B469),"",IFERROR(VLOOKUP($B469,ESTOQUE!$B$2:$D$97168,3,FALSE),"Produto não cadastrado"))</f>
        <v>CALÇA CINZA OP. C/ FAIXA REFLETIVA TAM: P</v>
      </c>
      <c r="E469" s="99" t="str">
        <f>_xlfn.XLOOKUP(B469,ESTOQUE!B:B,ESTOQUE!G:G,"",0)</f>
        <v>UND</v>
      </c>
      <c r="F469" s="99">
        <v>8</v>
      </c>
      <c r="G469" s="146"/>
      <c r="H469" s="146"/>
      <c r="I469" s="147"/>
      <c r="J469" s="147"/>
      <c r="K469" s="63"/>
    </row>
    <row r="470" spans="1:11" x14ac:dyDescent="0.25">
      <c r="A470" s="108">
        <v>45960</v>
      </c>
      <c r="B470" s="109">
        <v>71</v>
      </c>
      <c r="C470" s="49" t="s">
        <v>19</v>
      </c>
      <c r="D470" s="110" t="str">
        <f>IF(ISBLANK($B470),"",IFERROR(VLOOKUP($B470,ESTOQUE!$B$2:$D$97168,3,FALSE),"Produto não cadastrado"))</f>
        <v>CAMISA LARANJA OP. C/ FAIXA REFLETIVA TAM: XG</v>
      </c>
      <c r="E470" s="99" t="str">
        <f>_xlfn.XLOOKUP(B470,ESTOQUE!B:B,ESTOQUE!G:G,"",0)</f>
        <v>UND</v>
      </c>
      <c r="F470" s="99">
        <v>5</v>
      </c>
      <c r="G470" s="146"/>
      <c r="H470" s="146"/>
      <c r="I470" s="147"/>
      <c r="J470" s="147"/>
      <c r="K470" s="63"/>
    </row>
    <row r="471" spans="1:11" x14ac:dyDescent="0.25">
      <c r="A471" s="108">
        <v>45960</v>
      </c>
      <c r="B471" s="109">
        <v>73</v>
      </c>
      <c r="C471" s="49" t="s">
        <v>19</v>
      </c>
      <c r="D471" s="110" t="str">
        <f>IF(ISBLANK($B471),"",IFERROR(VLOOKUP($B471,ESTOQUE!$B$2:$D$97168,3,FALSE),"Produto não cadastrado"))</f>
        <v>CAPA DE CHUVA GG</v>
      </c>
      <c r="E471" s="99" t="str">
        <f>_xlfn.XLOOKUP(B471,ESTOQUE!B:B,ESTOQUE!G:G,"",0)</f>
        <v>UND</v>
      </c>
      <c r="F471" s="99">
        <v>11</v>
      </c>
      <c r="G471" s="146"/>
      <c r="H471" s="146"/>
      <c r="I471" s="147"/>
      <c r="J471" s="147"/>
      <c r="K471" s="63"/>
    </row>
    <row r="472" spans="1:11" x14ac:dyDescent="0.25">
      <c r="A472" s="108">
        <v>45960</v>
      </c>
      <c r="B472" s="109">
        <v>97</v>
      </c>
      <c r="C472" s="49" t="s">
        <v>19</v>
      </c>
      <c r="D472" s="110" t="str">
        <f>IF(ISBLANK($B472),"",IFERROR(VLOOKUP($B472,ESTOQUE!$B$2:$D$97168,3,FALSE),"Produto não cadastrado"))</f>
        <v>COLETE REFLETIVO LARANJA M</v>
      </c>
      <c r="E472" s="99" t="str">
        <f>_xlfn.XLOOKUP(B472,ESTOQUE!B:B,ESTOQUE!G:G,"",0)</f>
        <v>UND</v>
      </c>
      <c r="F472" s="99">
        <v>9</v>
      </c>
      <c r="G472" s="146"/>
      <c r="H472" s="146"/>
      <c r="I472" s="147"/>
      <c r="J472" s="147"/>
      <c r="K472" s="63"/>
    </row>
    <row r="473" spans="1:11" x14ac:dyDescent="0.25">
      <c r="A473" s="108">
        <v>45960</v>
      </c>
      <c r="B473" s="109">
        <v>98</v>
      </c>
      <c r="C473" s="49" t="s">
        <v>19</v>
      </c>
      <c r="D473" s="110" t="str">
        <f>IF(ISBLANK($B473),"",IFERROR(VLOOKUP($B473,ESTOQUE!$B$2:$D$97168,3,FALSE),"Produto não cadastrado"))</f>
        <v>COLETE REFLETIVO LARANJA XGG</v>
      </c>
      <c r="E473" s="99" t="str">
        <f>_xlfn.XLOOKUP(B473,ESTOQUE!B:B,ESTOQUE!G:G,"",0)</f>
        <v>UND</v>
      </c>
      <c r="F473" s="99">
        <v>15</v>
      </c>
      <c r="G473" s="146"/>
      <c r="H473" s="146"/>
      <c r="I473" s="147"/>
      <c r="J473" s="147"/>
      <c r="K473" s="63"/>
    </row>
    <row r="474" spans="1:11" x14ac:dyDescent="0.25">
      <c r="A474" s="108">
        <v>45960</v>
      </c>
      <c r="B474" s="109">
        <v>103</v>
      </c>
      <c r="C474" s="49" t="s">
        <v>19</v>
      </c>
      <c r="D474" s="110" t="str">
        <f>IF(ISBLANK($B474),"",IFERROR(VLOOKUP($B474,ESTOQUE!$B$2:$D$97168,3,FALSE),"Produto não cadastrado"))</f>
        <v>JARDINEIRA AMARELA BOTA Nº 41</v>
      </c>
      <c r="E474" s="99" t="str">
        <f>_xlfn.XLOOKUP(B474,ESTOQUE!B:B,ESTOQUE!G:G,"",0)</f>
        <v>UND</v>
      </c>
      <c r="F474" s="99">
        <v>16</v>
      </c>
      <c r="G474" s="146"/>
      <c r="H474" s="146"/>
      <c r="I474" s="147"/>
      <c r="J474" s="147"/>
      <c r="K474" s="63"/>
    </row>
    <row r="475" spans="1:11" x14ac:dyDescent="0.25">
      <c r="A475" s="108">
        <v>45960</v>
      </c>
      <c r="B475" s="109">
        <v>104</v>
      </c>
      <c r="C475" s="49" t="s">
        <v>19</v>
      </c>
      <c r="D475" s="110" t="str">
        <f>IF(ISBLANK($B475),"",IFERROR(VLOOKUP($B475,ESTOQUE!$B$2:$D$97168,3,FALSE),"Produto não cadastrado"))</f>
        <v>JARDINEIRA AMARELA BOTA Nº 42</v>
      </c>
      <c r="E475" s="99" t="str">
        <f>_xlfn.XLOOKUP(B475,ESTOQUE!B:B,ESTOQUE!G:G,"",0)</f>
        <v>UND</v>
      </c>
      <c r="F475" s="99">
        <v>7</v>
      </c>
      <c r="G475" s="146"/>
      <c r="H475" s="146"/>
      <c r="I475" s="147"/>
      <c r="J475" s="147"/>
      <c r="K475" s="63"/>
    </row>
    <row r="476" spans="1:11" x14ac:dyDescent="0.25">
      <c r="A476" s="108">
        <v>45960</v>
      </c>
      <c r="B476" s="109">
        <v>105</v>
      </c>
      <c r="C476" s="49" t="s">
        <v>19</v>
      </c>
      <c r="D476" s="110" t="str">
        <f>IF(ISBLANK($B476),"",IFERROR(VLOOKUP($B476,ESTOQUE!$B$2:$D$97168,3,FALSE),"Produto não cadastrado"))</f>
        <v>JARDINEIRA AMARELA BOTA Nº 43</v>
      </c>
      <c r="E476" s="99" t="str">
        <f>_xlfn.XLOOKUP(B476,ESTOQUE!B:B,ESTOQUE!G:G,"",0)</f>
        <v>UND</v>
      </c>
      <c r="F476" s="99">
        <v>4</v>
      </c>
      <c r="G476" s="146"/>
      <c r="H476" s="146"/>
      <c r="I476" s="147"/>
      <c r="J476" s="147"/>
      <c r="K476" s="63"/>
    </row>
    <row r="477" spans="1:11" x14ac:dyDescent="0.25">
      <c r="A477" s="108">
        <v>45960</v>
      </c>
      <c r="B477" s="109">
        <v>118</v>
      </c>
      <c r="C477" s="49" t="s">
        <v>19</v>
      </c>
      <c r="D477" s="110" t="str">
        <f>IF(ISBLANK($B477),"",IFERROR(VLOOKUP($B477,ESTOQUE!$B$2:$D$97168,3,FALSE),"Produto não cadastrado"))</f>
        <v>MACACÃO DE PROTEÇÃO TYVEK</v>
      </c>
      <c r="E477" s="99" t="str">
        <f>_xlfn.XLOOKUP(B477,ESTOQUE!B:B,ESTOQUE!G:G,"",0)</f>
        <v>UND</v>
      </c>
      <c r="F477" s="99">
        <v>35</v>
      </c>
      <c r="G477" s="146"/>
      <c r="H477" s="146"/>
      <c r="I477" s="147"/>
      <c r="J477" s="147"/>
      <c r="K477" s="63"/>
    </row>
    <row r="478" spans="1:11" x14ac:dyDescent="0.25">
      <c r="A478" s="108">
        <v>45960</v>
      </c>
      <c r="B478" s="109">
        <v>232</v>
      </c>
      <c r="C478" s="49" t="s">
        <v>19</v>
      </c>
      <c r="D478" s="110" t="str">
        <f>IF(ISBLANK($B478),"",IFERROR(VLOOKUP($B478,ESTOQUE!$B$2:$D$97168,3,FALSE),"Produto não cadastrado"))</f>
        <v>TALABARTE DE POSICIONAMENTO</v>
      </c>
      <c r="E478" s="99" t="str">
        <f>_xlfn.XLOOKUP(B478,ESTOQUE!B:B,ESTOQUE!G:G,"",0)</f>
        <v>UND</v>
      </c>
      <c r="F478" s="99">
        <v>9</v>
      </c>
      <c r="G478" s="146"/>
      <c r="H478" s="146"/>
      <c r="I478" s="147"/>
      <c r="J478" s="147"/>
      <c r="K478" s="63"/>
    </row>
    <row r="479" spans="1:11" x14ac:dyDescent="0.25">
      <c r="A479" s="108">
        <v>45960</v>
      </c>
      <c r="B479" s="109">
        <v>13</v>
      </c>
      <c r="C479" s="49" t="s">
        <v>19</v>
      </c>
      <c r="D479" s="110" t="str">
        <f>IF(ISBLANK($B479),"",IFERROR(VLOOKUP($B479,ESTOQUE!$B$2:$D$97168,3,FALSE),"Produto não cadastrado"))</f>
        <v>BOTA PVC CANO LONGO Nº 45</v>
      </c>
      <c r="E479" s="99" t="str">
        <f>_xlfn.XLOOKUP(B479,ESTOQUE!B:B,ESTOQUE!G:G,"",0)</f>
        <v>PAR</v>
      </c>
      <c r="F479" s="99">
        <v>6</v>
      </c>
      <c r="G479" s="146"/>
      <c r="H479" s="146"/>
      <c r="I479" s="147"/>
      <c r="J479" s="147"/>
      <c r="K479" s="63"/>
    </row>
    <row r="480" spans="1:11" x14ac:dyDescent="0.25">
      <c r="A480" s="108">
        <v>45960</v>
      </c>
      <c r="B480" s="109">
        <v>76</v>
      </c>
      <c r="C480" s="49" t="s">
        <v>19</v>
      </c>
      <c r="D480" s="110" t="str">
        <f>IF(ISBLANK($B480),"",IFERROR(VLOOKUP($B480,ESTOQUE!$B$2:$D$97168,3,FALSE),"Produto não cadastrado"))</f>
        <v>CAPACETE CAMPER BRANCO</v>
      </c>
      <c r="E480" s="99" t="str">
        <f>_xlfn.XLOOKUP(B480,ESTOQUE!B:B,ESTOQUE!G:G,"",0)</f>
        <v>UND</v>
      </c>
      <c r="F480" s="99">
        <v>4</v>
      </c>
      <c r="G480" s="146"/>
      <c r="H480" s="146"/>
      <c r="I480" s="147"/>
      <c r="J480" s="147"/>
      <c r="K480" s="63"/>
    </row>
    <row r="481" spans="1:11" x14ac:dyDescent="0.25">
      <c r="A481" s="108">
        <v>45960</v>
      </c>
      <c r="B481" s="109">
        <v>77</v>
      </c>
      <c r="C481" s="49" t="s">
        <v>19</v>
      </c>
      <c r="D481" s="110" t="str">
        <f>IF(ISBLANK($B481),"",IFERROR(VLOOKUP($B481,ESTOQUE!$B$2:$D$97168,3,FALSE),"Produto não cadastrado"))</f>
        <v>CAPACETE CAMPER CINZA</v>
      </c>
      <c r="E481" s="99" t="str">
        <f>_xlfn.XLOOKUP(B481,ESTOQUE!B:B,ESTOQUE!G:G,"",0)</f>
        <v>UND</v>
      </c>
      <c r="F481" s="99">
        <v>1</v>
      </c>
      <c r="G481" s="146"/>
      <c r="H481" s="146"/>
      <c r="I481" s="147"/>
      <c r="J481" s="147"/>
      <c r="K481" s="63"/>
    </row>
    <row r="482" spans="1:11" x14ac:dyDescent="0.25">
      <c r="A482" s="108">
        <v>45960</v>
      </c>
      <c r="B482" s="109">
        <v>181</v>
      </c>
      <c r="C482" s="49" t="s">
        <v>19</v>
      </c>
      <c r="D482" s="110" t="str">
        <f>IF(ISBLANK($B482),"",IFERROR(VLOOKUP($B482,ESTOQUE!$B$2:$D$97168,3,FALSE),"Produto não cadastrado"))</f>
        <v>CAPACETE GENISIS VERDE</v>
      </c>
      <c r="E482" s="99" t="str">
        <f>_xlfn.XLOOKUP(B482,ESTOQUE!B:B,ESTOQUE!G:G,"",0)</f>
        <v>UND</v>
      </c>
      <c r="F482" s="99">
        <v>2</v>
      </c>
      <c r="G482" s="146"/>
      <c r="H482" s="146"/>
      <c r="I482" s="147"/>
      <c r="J482" s="147"/>
      <c r="K482" s="63"/>
    </row>
    <row r="483" spans="1:11" x14ac:dyDescent="0.25">
      <c r="A483" s="108">
        <v>45960</v>
      </c>
      <c r="B483" s="109">
        <v>196</v>
      </c>
      <c r="C483" s="49" t="s">
        <v>19</v>
      </c>
      <c r="D483" s="110" t="str">
        <f>IF(ISBLANK($B483),"",IFERROR(VLOOKUP($B483,ESTOQUE!$B$2:$D$97168,3,FALSE),"Produto não cadastrado"))</f>
        <v>JARDINEIRA AMARELA BOTA Nº 38</v>
      </c>
      <c r="E483" s="99" t="str">
        <f>_xlfn.XLOOKUP(B483,ESTOQUE!B:B,ESTOQUE!G:G,"",0)</f>
        <v>PAR</v>
      </c>
      <c r="F483" s="99">
        <v>18</v>
      </c>
      <c r="G483" s="146"/>
      <c r="H483" s="146"/>
      <c r="I483" s="147"/>
      <c r="J483" s="147"/>
      <c r="K483" s="63"/>
    </row>
    <row r="484" spans="1:11" x14ac:dyDescent="0.25">
      <c r="A484" s="108">
        <v>45960</v>
      </c>
      <c r="B484" s="109">
        <v>103</v>
      </c>
      <c r="C484" s="49" t="s">
        <v>19</v>
      </c>
      <c r="D484" s="110" t="str">
        <f>IF(ISBLANK($B484),"",IFERROR(VLOOKUP($B484,ESTOQUE!$B$2:$D$97168,3,FALSE),"Produto não cadastrado"))</f>
        <v>JARDINEIRA AMARELA BOTA Nº 41</v>
      </c>
      <c r="E484" s="99" t="str">
        <f>_xlfn.XLOOKUP(B484,ESTOQUE!B:B,ESTOQUE!G:G,"",0)</f>
        <v>UND</v>
      </c>
      <c r="F484" s="99">
        <v>3</v>
      </c>
      <c r="G484" s="146"/>
      <c r="H484" s="146"/>
      <c r="I484" s="147"/>
      <c r="J484" s="147"/>
      <c r="K484" s="63"/>
    </row>
    <row r="485" spans="1:11" x14ac:dyDescent="0.25">
      <c r="A485" s="108">
        <v>45960</v>
      </c>
      <c r="B485" s="109">
        <v>106</v>
      </c>
      <c r="C485" s="49" t="s">
        <v>19</v>
      </c>
      <c r="D485" s="110" t="str">
        <f>IF(ISBLANK($B485),"",IFERROR(VLOOKUP($B485,ESTOQUE!$B$2:$D$97168,3,FALSE),"Produto não cadastrado"))</f>
        <v>JARDINEIRA AMARELA BOTA Nº 44</v>
      </c>
      <c r="E485" s="99" t="str">
        <f>_xlfn.XLOOKUP(B485,ESTOQUE!B:B,ESTOQUE!G:G,"",0)</f>
        <v>UND</v>
      </c>
      <c r="F485" s="99">
        <v>6</v>
      </c>
      <c r="G485" s="146"/>
      <c r="H485" s="146"/>
      <c r="I485" s="147"/>
      <c r="J485" s="147"/>
      <c r="K485" s="63"/>
    </row>
    <row r="486" spans="1:11" x14ac:dyDescent="0.25">
      <c r="A486" s="108">
        <v>45960</v>
      </c>
      <c r="B486" s="109">
        <v>107</v>
      </c>
      <c r="C486" s="49" t="s">
        <v>19</v>
      </c>
      <c r="D486" s="110" t="str">
        <f>IF(ISBLANK($B486),"",IFERROR(VLOOKUP($B486,ESTOQUE!$B$2:$D$97168,3,FALSE),"Produto não cadastrado"))</f>
        <v>JARDINEIRA AMARELA BOTA Nº 45</v>
      </c>
      <c r="E486" s="99" t="str">
        <f>_xlfn.XLOOKUP(B486,ESTOQUE!B:B,ESTOQUE!G:G,"",0)</f>
        <v>UND</v>
      </c>
      <c r="F486" s="99">
        <v>4</v>
      </c>
      <c r="G486" s="146"/>
      <c r="H486" s="146"/>
      <c r="I486" s="147"/>
      <c r="J486" s="147"/>
      <c r="K486" s="63"/>
    </row>
    <row r="487" spans="1:11" x14ac:dyDescent="0.25">
      <c r="A487" s="108">
        <v>45960</v>
      </c>
      <c r="B487" s="109">
        <v>111</v>
      </c>
      <c r="C487" s="49" t="s">
        <v>19</v>
      </c>
      <c r="D487" s="110" t="str">
        <f>IF(ISBLANK($B487),"",IFERROR(VLOOKUP($B487,ESTOQUE!$B$2:$D$97168,3,FALSE),"Produto não cadastrado"))</f>
        <v>LUVA DE VAQUETA MARROM</v>
      </c>
      <c r="E487" s="99" t="str">
        <f>_xlfn.XLOOKUP(B487,ESTOQUE!B:B,ESTOQUE!G:G,"",0)</f>
        <v>PAR</v>
      </c>
      <c r="F487" s="99">
        <v>2</v>
      </c>
      <c r="G487" s="146"/>
      <c r="H487" s="146"/>
      <c r="I487" s="147"/>
      <c r="J487" s="147"/>
      <c r="K487" s="63"/>
    </row>
    <row r="488" spans="1:11" x14ac:dyDescent="0.25">
      <c r="A488" s="108">
        <v>45960</v>
      </c>
      <c r="B488" s="109">
        <v>189</v>
      </c>
      <c r="C488" s="49" t="s">
        <v>19</v>
      </c>
      <c r="D488" s="110" t="str">
        <f>IF(ISBLANK($B488),"",IFERROR(VLOOKUP($B488,ESTOQUE!$B$2:$D$97168,3,FALSE),"Produto não cadastrado"))</f>
        <v xml:space="preserve">LUVA DE VAQUETA MISTA </v>
      </c>
      <c r="E488" s="99" t="str">
        <f>_xlfn.XLOOKUP(B488,ESTOQUE!B:B,ESTOQUE!G:G,"",0)</f>
        <v>UND</v>
      </c>
      <c r="F488" s="99">
        <v>3</v>
      </c>
      <c r="G488" s="146"/>
      <c r="H488" s="146"/>
      <c r="I488" s="147"/>
      <c r="J488" s="147"/>
      <c r="K488" s="63"/>
    </row>
    <row r="489" spans="1:11" x14ac:dyDescent="0.25">
      <c r="A489" s="108">
        <v>45960</v>
      </c>
      <c r="B489" s="109">
        <v>114</v>
      </c>
      <c r="C489" s="49" t="s">
        <v>19</v>
      </c>
      <c r="D489" s="110" t="str">
        <f>IF(ISBLANK($B489),"",IFERROR(VLOOKUP($B489,ESTOQUE!$B$2:$D$97168,3,FALSE),"Produto não cadastrado"))</f>
        <v xml:space="preserve">LUVA LATEX NITRILICA </v>
      </c>
      <c r="E489" s="99" t="str">
        <f>_xlfn.XLOOKUP(B489,ESTOQUE!B:B,ESTOQUE!G:G,"",0)</f>
        <v>PAR</v>
      </c>
      <c r="F489" s="99">
        <v>16</v>
      </c>
      <c r="G489" s="146"/>
      <c r="H489" s="146"/>
      <c r="I489" s="147"/>
      <c r="J489" s="147"/>
      <c r="K489" s="63"/>
    </row>
    <row r="490" spans="1:11" x14ac:dyDescent="0.25">
      <c r="A490" s="108">
        <v>45960</v>
      </c>
      <c r="B490" s="109">
        <v>117</v>
      </c>
      <c r="C490" s="49" t="s">
        <v>19</v>
      </c>
      <c r="D490" s="110" t="str">
        <f>IF(ISBLANK($B490),"",IFERROR(VLOOKUP($B490,ESTOQUE!$B$2:$D$97168,3,FALSE),"Produto não cadastrado"))</f>
        <v>LUVA PIGMENTADA</v>
      </c>
      <c r="E490" s="99" t="str">
        <f>_xlfn.XLOOKUP(B490,ESTOQUE!B:B,ESTOQUE!G:G,"",0)</f>
        <v>PAR</v>
      </c>
      <c r="F490" s="99">
        <v>13</v>
      </c>
      <c r="G490" s="146"/>
      <c r="H490" s="146"/>
      <c r="I490" s="147"/>
      <c r="J490" s="147"/>
      <c r="K490" s="63"/>
    </row>
    <row r="491" spans="1:11" x14ac:dyDescent="0.25">
      <c r="A491" s="108">
        <v>45960</v>
      </c>
      <c r="B491" s="109">
        <v>207</v>
      </c>
      <c r="C491" s="49" t="s">
        <v>19</v>
      </c>
      <c r="D491" s="110" t="str">
        <f>IF(ISBLANK($B491),"",IFERROR(VLOOKUP($B491,ESTOQUE!$B$2:$D$97168,3,FALSE),"Produto não cadastrado"))</f>
        <v>LUVA POLIESTER ANTICORTE BANHADA PU TAM 9</v>
      </c>
      <c r="E491" s="99" t="str">
        <f>_xlfn.XLOOKUP(B491,ESTOQUE!B:B,ESTOQUE!G:G,"",0)</f>
        <v>PAR</v>
      </c>
      <c r="F491" s="99">
        <v>29</v>
      </c>
      <c r="G491" s="146"/>
      <c r="H491" s="146"/>
      <c r="I491" s="147"/>
      <c r="J491" s="147"/>
      <c r="K491" s="63"/>
    </row>
    <row r="492" spans="1:11" x14ac:dyDescent="0.25">
      <c r="A492" s="108">
        <v>45960</v>
      </c>
      <c r="B492" s="109">
        <v>116</v>
      </c>
      <c r="C492" s="49" t="s">
        <v>19</v>
      </c>
      <c r="D492" s="110" t="str">
        <f>IF(ISBLANK($B492),"",IFERROR(VLOOKUP($B492,ESTOQUE!$B$2:$D$97168,3,FALSE),"Produto não cadastrado"))</f>
        <v>LUVA PVC LINEA - CANO LONGO</v>
      </c>
      <c r="E492" s="99" t="str">
        <f>_xlfn.XLOOKUP(B492,ESTOQUE!B:B,ESTOQUE!G:G,"",0)</f>
        <v>PAR</v>
      </c>
      <c r="F492" s="99">
        <v>10</v>
      </c>
      <c r="G492" s="146"/>
      <c r="H492" s="146"/>
      <c r="I492" s="147"/>
      <c r="J492" s="147"/>
      <c r="K492" s="63"/>
    </row>
    <row r="493" spans="1:11" x14ac:dyDescent="0.25">
      <c r="A493" s="108">
        <v>45960</v>
      </c>
      <c r="B493" s="109">
        <v>124</v>
      </c>
      <c r="C493" s="49" t="s">
        <v>19</v>
      </c>
      <c r="D493" s="110" t="str">
        <f>IF(ISBLANK($B493),"",IFERROR(VLOOKUP($B493,ESTOQUE!$B$2:$D$97168,3,FALSE),"Produto não cadastrado"))</f>
        <v xml:space="preserve">OCULOS DE PROTEÇÃO INCOLOR </v>
      </c>
      <c r="E493" s="99" t="str">
        <f>_xlfn.XLOOKUP(B493,ESTOQUE!B:B,ESTOQUE!G:G,"",0)</f>
        <v>UND</v>
      </c>
      <c r="F493" s="99">
        <v>33</v>
      </c>
      <c r="G493" s="146"/>
      <c r="H493" s="146"/>
      <c r="I493" s="147"/>
      <c r="J493" s="147"/>
      <c r="K493" s="63"/>
    </row>
    <row r="494" spans="1:11" x14ac:dyDescent="0.25">
      <c r="A494" s="108">
        <v>45960</v>
      </c>
      <c r="B494" s="109">
        <v>126</v>
      </c>
      <c r="C494" s="49" t="s">
        <v>19</v>
      </c>
      <c r="D494" s="110" t="str">
        <f>IF(ISBLANK($B494),"",IFERROR(VLOOKUP($B494,ESTOQUE!$B$2:$D$97168,3,FALSE),"Produto não cadastrado"))</f>
        <v>OCULOS DE PROTEÇÃO ESCURO</v>
      </c>
      <c r="E494" s="99" t="str">
        <f>_xlfn.XLOOKUP(B494,ESTOQUE!B:B,ESTOQUE!G:G,"",0)</f>
        <v>UND</v>
      </c>
      <c r="F494" s="99">
        <v>23</v>
      </c>
      <c r="G494" s="146"/>
      <c r="H494" s="146"/>
      <c r="I494" s="147"/>
      <c r="J494" s="147"/>
      <c r="K494" s="63"/>
    </row>
    <row r="495" spans="1:11" x14ac:dyDescent="0.25">
      <c r="A495" s="108">
        <v>45960</v>
      </c>
      <c r="B495" s="109">
        <v>128</v>
      </c>
      <c r="C495" s="49" t="s">
        <v>19</v>
      </c>
      <c r="D495" s="110" t="str">
        <f>IF(ISBLANK($B495),"",IFERROR(VLOOKUP($B495,ESTOQUE!$B$2:$D$97168,3,FALSE),"Produto não cadastrado"))</f>
        <v>PERNEIRA PVC C/ VELCRO</v>
      </c>
      <c r="E495" s="99" t="str">
        <f>_xlfn.XLOOKUP(B495,ESTOQUE!B:B,ESTOQUE!G:G,"",0)</f>
        <v>PAR</v>
      </c>
      <c r="F495" s="99">
        <v>11</v>
      </c>
      <c r="G495" s="146"/>
      <c r="H495" s="146"/>
      <c r="I495" s="147"/>
      <c r="J495" s="147"/>
      <c r="K495" s="63"/>
    </row>
    <row r="496" spans="1:11" x14ac:dyDescent="0.25">
      <c r="A496" s="108">
        <v>45960</v>
      </c>
      <c r="B496" s="109">
        <v>134</v>
      </c>
      <c r="C496" s="49" t="s">
        <v>19</v>
      </c>
      <c r="D496" s="110" t="str">
        <f>IF(ISBLANK($B496),"",IFERROR(VLOOKUP($B496,ESTOQUE!$B$2:$D$97168,3,FALSE),"Produto não cadastrado"))</f>
        <v>PROTETOR SOLAR FACIAL ALGSUN 2L</v>
      </c>
      <c r="E496" s="99" t="str">
        <f>_xlfn.XLOOKUP(B496,ESTOQUE!B:B,ESTOQUE!G:G,"",0)</f>
        <v>UND</v>
      </c>
      <c r="F496" s="99">
        <v>1</v>
      </c>
      <c r="G496" s="146"/>
      <c r="H496" s="146"/>
      <c r="I496" s="147"/>
      <c r="J496" s="147"/>
      <c r="K496" s="63"/>
    </row>
    <row r="497" spans="1:11" x14ac:dyDescent="0.25">
      <c r="A497" s="108">
        <v>45961</v>
      </c>
      <c r="B497" s="109">
        <v>135</v>
      </c>
      <c r="C497" s="49" t="s">
        <v>19</v>
      </c>
      <c r="D497" s="110" t="str">
        <f>IF(ISBLANK($B497),"",IFERROR(VLOOKUP($B497,ESTOQUE!$B$2:$D$97168,3,FALSE),"Produto não cadastrado"))</f>
        <v>TALABARTE DUPLO TIPO Y</v>
      </c>
      <c r="E497" s="99" t="str">
        <f>_xlfn.XLOOKUP(B497,ESTOQUE!B:B,ESTOQUE!G:G,"",0)</f>
        <v>UND</v>
      </c>
      <c r="F497" s="99">
        <v>3</v>
      </c>
      <c r="G497" s="146"/>
      <c r="H497" s="146"/>
      <c r="I497" s="147"/>
      <c r="J497" s="147"/>
      <c r="K497" s="63"/>
    </row>
    <row r="498" spans="1:11" x14ac:dyDescent="0.25">
      <c r="A498" s="108">
        <v>45961</v>
      </c>
      <c r="B498" s="109">
        <v>110</v>
      </c>
      <c r="C498" s="49" t="s">
        <v>19</v>
      </c>
      <c r="D498" s="110" t="str">
        <f>IF(ISBLANK($B498),"",IFERROR(VLOOKUP($B498,ESTOQUE!$B$2:$D$97168,3,FALSE),"Produto não cadastrado"))</f>
        <v>LUVA DE RASPA CANO LONGO</v>
      </c>
      <c r="E498" s="99" t="str">
        <f>_xlfn.XLOOKUP(B498,ESTOQUE!B:B,ESTOQUE!G:G,"",0)</f>
        <v>PAR</v>
      </c>
      <c r="F498" s="99">
        <v>2</v>
      </c>
      <c r="G498" s="146"/>
      <c r="H498" s="146"/>
      <c r="I498" s="147"/>
      <c r="J498" s="147"/>
      <c r="K498" s="63"/>
    </row>
    <row r="499" spans="1:11" x14ac:dyDescent="0.25">
      <c r="A499" s="108">
        <v>45961</v>
      </c>
      <c r="B499" s="109">
        <v>117</v>
      </c>
      <c r="C499" s="49" t="s">
        <v>19</v>
      </c>
      <c r="D499" s="110" t="str">
        <f>IF(ISBLANK($B499),"",IFERROR(VLOOKUP($B499,ESTOQUE!$B$2:$D$97168,3,FALSE),"Produto não cadastrado"))</f>
        <v>LUVA PIGMENTADA</v>
      </c>
      <c r="E499" s="99" t="str">
        <f>_xlfn.XLOOKUP(B499,ESTOQUE!B:B,ESTOQUE!G:G,"",0)</f>
        <v>PAR</v>
      </c>
      <c r="F499" s="99">
        <v>8</v>
      </c>
      <c r="G499" s="146"/>
      <c r="H499" s="146"/>
      <c r="I499" s="147"/>
      <c r="J499" s="147"/>
      <c r="K499" s="63"/>
    </row>
    <row r="500" spans="1:11" x14ac:dyDescent="0.25">
      <c r="A500" s="108">
        <v>45961</v>
      </c>
      <c r="B500" s="109">
        <v>257</v>
      </c>
      <c r="C500" s="49" t="s">
        <v>19</v>
      </c>
      <c r="D500" s="110" t="str">
        <f>IF(ISBLANK($B500),"",IFERROR(VLOOKUP($B500,ESTOQUE!$B$2:$D$97168,3,FALSE),"Produto não cadastrado"))</f>
        <v xml:space="preserve">LUVA MULTITATO </v>
      </c>
      <c r="E500" s="99" t="str">
        <f>_xlfn.XLOOKUP(B500,ESTOQUE!B:B,ESTOQUE!G:G,"",0)</f>
        <v>UND</v>
      </c>
      <c r="F500" s="99">
        <v>4</v>
      </c>
      <c r="G500" s="146"/>
      <c r="H500" s="146"/>
      <c r="I500" s="147"/>
      <c r="J500" s="147"/>
      <c r="K500" s="63"/>
    </row>
    <row r="501" spans="1:11" x14ac:dyDescent="0.25">
      <c r="A501" s="108">
        <v>45961</v>
      </c>
      <c r="B501" s="109">
        <v>118</v>
      </c>
      <c r="C501" s="49" t="s">
        <v>19</v>
      </c>
      <c r="D501" s="110" t="str">
        <f>IF(ISBLANK($B501),"",IFERROR(VLOOKUP($B501,ESTOQUE!$B$2:$D$97168,3,FALSE),"Produto não cadastrado"))</f>
        <v>MACACÃO DE PROTEÇÃO TYVEK</v>
      </c>
      <c r="E501" s="99" t="str">
        <f>_xlfn.XLOOKUP(B501,ESTOQUE!B:B,ESTOQUE!G:G,"",0)</f>
        <v>UND</v>
      </c>
      <c r="F501" s="99">
        <v>6</v>
      </c>
      <c r="G501" s="146"/>
      <c r="H501" s="146"/>
      <c r="I501" s="147"/>
      <c r="J501" s="147"/>
      <c r="K501" s="63"/>
    </row>
    <row r="502" spans="1:11" x14ac:dyDescent="0.25">
      <c r="A502" s="108">
        <v>45961</v>
      </c>
      <c r="B502" s="109">
        <v>111</v>
      </c>
      <c r="C502" s="49" t="s">
        <v>19</v>
      </c>
      <c r="D502" s="110" t="str">
        <f>IF(ISBLANK($B502),"",IFERROR(VLOOKUP($B502,ESTOQUE!$B$2:$D$97168,3,FALSE),"Produto não cadastrado"))</f>
        <v>LUVA DE VAQUETA MARROM</v>
      </c>
      <c r="E502" s="99" t="str">
        <f>_xlfn.XLOOKUP(B502,ESTOQUE!B:B,ESTOQUE!G:G,"",0)</f>
        <v>PAR</v>
      </c>
      <c r="F502" s="99">
        <v>1</v>
      </c>
      <c r="G502" s="146"/>
      <c r="H502" s="146"/>
      <c r="I502" s="147"/>
      <c r="J502" s="147"/>
      <c r="K502" s="63"/>
    </row>
    <row r="503" spans="1:11" x14ac:dyDescent="0.25">
      <c r="A503" s="108">
        <v>45961</v>
      </c>
      <c r="B503" s="109">
        <v>189</v>
      </c>
      <c r="C503" s="49" t="s">
        <v>19</v>
      </c>
      <c r="D503" s="110" t="str">
        <f>IF(ISBLANK($B503),"",IFERROR(VLOOKUP($B503,ESTOQUE!$B$2:$D$97168,3,FALSE),"Produto não cadastrado"))</f>
        <v xml:space="preserve">LUVA DE VAQUETA MISTA </v>
      </c>
      <c r="E503" s="99" t="str">
        <f>_xlfn.XLOOKUP(B503,ESTOQUE!B:B,ESTOQUE!G:G,"",0)</f>
        <v>UND</v>
      </c>
      <c r="F503" s="99">
        <v>2</v>
      </c>
      <c r="G503" s="146"/>
      <c r="H503" s="146"/>
      <c r="I503" s="147"/>
      <c r="J503" s="147"/>
      <c r="K503" s="63"/>
    </row>
    <row r="504" spans="1:11" x14ac:dyDescent="0.25">
      <c r="A504" s="108">
        <v>45961</v>
      </c>
      <c r="B504" s="109">
        <v>207</v>
      </c>
      <c r="C504" s="49" t="s">
        <v>19</v>
      </c>
      <c r="D504" s="110" t="str">
        <f>IF(ISBLANK($B504),"",IFERROR(VLOOKUP($B504,ESTOQUE!$B$2:$D$97168,3,FALSE),"Produto não cadastrado"))</f>
        <v>LUVA POLIESTER ANTICORTE BANHADA PU TAM 9</v>
      </c>
      <c r="E504" s="99" t="str">
        <f>_xlfn.XLOOKUP(B504,ESTOQUE!B:B,ESTOQUE!G:G,"",0)</f>
        <v>PAR</v>
      </c>
      <c r="F504" s="99">
        <v>5</v>
      </c>
      <c r="G504" s="146"/>
      <c r="H504" s="146"/>
      <c r="I504" s="147"/>
      <c r="J504" s="147"/>
      <c r="K504" s="63"/>
    </row>
    <row r="505" spans="1:11" x14ac:dyDescent="0.25">
      <c r="A505" s="108">
        <v>45961</v>
      </c>
      <c r="B505" s="109">
        <v>125</v>
      </c>
      <c r="C505" s="49" t="s">
        <v>19</v>
      </c>
      <c r="D505" s="110" t="str">
        <f>IF(ISBLANK($B505),"",IFERROR(VLOOKUP($B505,ESTOQUE!$B$2:$D$97168,3,FALSE),"Produto não cadastrado"))</f>
        <v xml:space="preserve">MASCARA DE SOLDA AUTOMATICA </v>
      </c>
      <c r="E505" s="99" t="str">
        <f>_xlfn.XLOOKUP(B505,ESTOQUE!B:B,ESTOQUE!G:G,"",0)</f>
        <v>UND</v>
      </c>
      <c r="F505" s="99">
        <v>1</v>
      </c>
      <c r="G505" s="146"/>
      <c r="H505" s="146"/>
      <c r="I505" s="147"/>
      <c r="J505" s="147"/>
      <c r="K505" s="63"/>
    </row>
    <row r="506" spans="1:11" x14ac:dyDescent="0.25">
      <c r="A506" s="108">
        <v>45961</v>
      </c>
      <c r="B506" s="109">
        <v>144</v>
      </c>
      <c r="C506" s="49" t="s">
        <v>19</v>
      </c>
      <c r="D506" s="110" t="str">
        <f>IF(ISBLANK($B506),"",IFERROR(VLOOKUP($B506,ESTOQUE!$B$2:$D$97168,3,FALSE),"Produto não cadastrado"))</f>
        <v>MASCARA PFF2-S C/ FILTRO</v>
      </c>
      <c r="E506" s="99" t="str">
        <f>_xlfn.XLOOKUP(B506,ESTOQUE!B:B,ESTOQUE!G:G,"",0)</f>
        <v>UND</v>
      </c>
      <c r="F506" s="99">
        <v>25</v>
      </c>
      <c r="G506" s="146"/>
      <c r="H506" s="146"/>
      <c r="I506" s="147"/>
      <c r="J506" s="147"/>
      <c r="K506" s="63"/>
    </row>
    <row r="507" spans="1:11" x14ac:dyDescent="0.25">
      <c r="A507" s="108">
        <v>45961</v>
      </c>
      <c r="B507" s="109">
        <v>225</v>
      </c>
      <c r="C507" s="49" t="s">
        <v>19</v>
      </c>
      <c r="D507" s="110" t="str">
        <f>IF(ISBLANK($B507),"",IFERROR(VLOOKUP($B507,ESTOQUE!$B$2:$D$97168,3,FALSE),"Produto não cadastrado"))</f>
        <v>OCULOS OPERACIONAL SOBRE POR INCOLOR</v>
      </c>
      <c r="E507" s="99" t="str">
        <f>_xlfn.XLOOKUP(B507,ESTOQUE!B:B,ESTOQUE!G:G,"",0)</f>
        <v>UND</v>
      </c>
      <c r="F507" s="99">
        <v>1</v>
      </c>
      <c r="G507" s="146"/>
      <c r="H507" s="146"/>
      <c r="I507" s="147"/>
      <c r="J507" s="147"/>
      <c r="K507" s="63"/>
    </row>
    <row r="508" spans="1:11" x14ac:dyDescent="0.25">
      <c r="A508" s="108">
        <v>45961</v>
      </c>
      <c r="B508" s="109">
        <v>126</v>
      </c>
      <c r="C508" s="49" t="s">
        <v>19</v>
      </c>
      <c r="D508" s="110" t="str">
        <f>IF(ISBLANK($B508),"",IFERROR(VLOOKUP($B508,ESTOQUE!$B$2:$D$97168,3,FALSE),"Produto não cadastrado"))</f>
        <v>OCULOS DE PROTEÇÃO ESCURO</v>
      </c>
      <c r="E508" s="99" t="str">
        <f>_xlfn.XLOOKUP(B508,ESTOQUE!B:B,ESTOQUE!G:G,"",0)</f>
        <v>UND</v>
      </c>
      <c r="F508" s="99">
        <v>2</v>
      </c>
      <c r="G508" s="146"/>
      <c r="H508" s="146"/>
      <c r="I508" s="147"/>
      <c r="J508" s="147"/>
      <c r="K508" s="63"/>
    </row>
    <row r="509" spans="1:11" x14ac:dyDescent="0.25">
      <c r="A509" s="108">
        <v>45961</v>
      </c>
      <c r="B509" s="109">
        <v>124</v>
      </c>
      <c r="C509" s="49" t="s">
        <v>19</v>
      </c>
      <c r="D509" s="110" t="str">
        <f>IF(ISBLANK($B509),"",IFERROR(VLOOKUP($B509,ESTOQUE!$B$2:$D$97168,3,FALSE),"Produto não cadastrado"))</f>
        <v xml:space="preserve">OCULOS DE PROTEÇÃO INCOLOR </v>
      </c>
      <c r="E509" s="99" t="str">
        <f>_xlfn.XLOOKUP(B509,ESTOQUE!B:B,ESTOQUE!G:G,"",0)</f>
        <v>UND</v>
      </c>
      <c r="F509" s="99">
        <v>2</v>
      </c>
      <c r="G509" s="146"/>
      <c r="H509" s="146"/>
      <c r="I509" s="147"/>
      <c r="J509" s="147"/>
      <c r="K509" s="63"/>
    </row>
    <row r="510" spans="1:11" x14ac:dyDescent="0.25">
      <c r="A510" s="108">
        <v>45961</v>
      </c>
      <c r="B510" s="109">
        <v>114</v>
      </c>
      <c r="C510" s="49" t="s">
        <v>19</v>
      </c>
      <c r="D510" s="110" t="str">
        <f>IF(ISBLANK($B510),"",IFERROR(VLOOKUP($B510,ESTOQUE!$B$2:$D$97168,3,FALSE),"Produto não cadastrado"))</f>
        <v xml:space="preserve">LUVA LATEX NITRILICA </v>
      </c>
      <c r="E510" s="99" t="str">
        <f>_xlfn.XLOOKUP(B510,ESTOQUE!B:B,ESTOQUE!G:G,"",0)</f>
        <v>PAR</v>
      </c>
      <c r="F510" s="99">
        <v>3</v>
      </c>
      <c r="G510" s="146"/>
      <c r="H510" s="146"/>
      <c r="I510" s="147"/>
      <c r="J510" s="147"/>
      <c r="K510" s="63"/>
    </row>
    <row r="511" spans="1:11" x14ac:dyDescent="0.25">
      <c r="A511" s="108">
        <v>45961</v>
      </c>
      <c r="B511" s="109">
        <v>97</v>
      </c>
      <c r="C511" s="49" t="s">
        <v>19</v>
      </c>
      <c r="D511" s="110" t="str">
        <f>IF(ISBLANK($B511),"",IFERROR(VLOOKUP($B511,ESTOQUE!$B$2:$D$97168,3,FALSE),"Produto não cadastrado"))</f>
        <v>COLETE REFLETIVO LARANJA M</v>
      </c>
      <c r="E511" s="99" t="str">
        <f>_xlfn.XLOOKUP(B511,ESTOQUE!B:B,ESTOQUE!G:G,"",0)</f>
        <v>UND</v>
      </c>
      <c r="F511" s="99">
        <v>1</v>
      </c>
      <c r="G511" s="146"/>
      <c r="H511" s="146"/>
      <c r="I511" s="147"/>
      <c r="J511" s="147"/>
      <c r="K511" s="63"/>
    </row>
    <row r="512" spans="1:11" x14ac:dyDescent="0.25">
      <c r="A512" s="108">
        <v>45961</v>
      </c>
      <c r="B512" s="109">
        <v>69</v>
      </c>
      <c r="C512" s="49" t="s">
        <v>19</v>
      </c>
      <c r="D512" s="110" t="str">
        <f>IF(ISBLANK($B512),"",IFERROR(VLOOKUP($B512,ESTOQUE!$B$2:$D$97168,3,FALSE),"Produto não cadastrado"))</f>
        <v>CAMISA LARANJA OP. C/ FAIXA REFLETIVA TAM: M</v>
      </c>
      <c r="E512" s="99" t="str">
        <f>_xlfn.XLOOKUP(B512,ESTOQUE!B:B,ESTOQUE!G:G,"",0)</f>
        <v>UND</v>
      </c>
      <c r="F512" s="99">
        <v>3</v>
      </c>
      <c r="G512" s="146"/>
      <c r="H512" s="146"/>
      <c r="I512" s="147"/>
      <c r="J512" s="147"/>
      <c r="K512" s="63"/>
    </row>
    <row r="513" spans="1:11" x14ac:dyDescent="0.25">
      <c r="A513" s="108">
        <v>45961</v>
      </c>
      <c r="B513" s="109">
        <v>72</v>
      </c>
      <c r="C513" s="49" t="s">
        <v>19</v>
      </c>
      <c r="D513" s="110" t="str">
        <f>IF(ISBLANK($B513),"",IFERROR(VLOOKUP($B513,ESTOQUE!$B$2:$D$97168,3,FALSE),"Produto não cadastrado"))</f>
        <v>CAPA DE CHUVA G</v>
      </c>
      <c r="E513" s="99" t="str">
        <f>_xlfn.XLOOKUP(B513,ESTOQUE!B:B,ESTOQUE!G:G,"",0)</f>
        <v>UND</v>
      </c>
      <c r="F513" s="99">
        <v>16</v>
      </c>
      <c r="G513" s="146"/>
      <c r="H513" s="146"/>
      <c r="I513" s="147"/>
      <c r="J513" s="147"/>
      <c r="K513" s="63"/>
    </row>
    <row r="514" spans="1:11" x14ac:dyDescent="0.25">
      <c r="A514" s="108">
        <v>45961</v>
      </c>
      <c r="B514" s="109">
        <v>38</v>
      </c>
      <c r="C514" s="49" t="s">
        <v>19</v>
      </c>
      <c r="D514" s="110" t="str">
        <f>IF(ISBLANK($B514),"",IFERROR(VLOOKUP($B514,ESTOQUE!$B$2:$D$97168,3,FALSE),"Produto não cadastrado"))</f>
        <v>BOTINA OP. BICO PVC Nº 40</v>
      </c>
      <c r="E514" s="99" t="str">
        <f>_xlfn.XLOOKUP(B514,ESTOQUE!B:B,ESTOQUE!G:G,"",0)</f>
        <v>PAR</v>
      </c>
      <c r="F514" s="99">
        <v>2</v>
      </c>
      <c r="G514" s="146"/>
      <c r="H514" s="146"/>
      <c r="I514" s="147"/>
      <c r="J514" s="147"/>
      <c r="K514" s="63"/>
    </row>
    <row r="515" spans="1:11" x14ac:dyDescent="0.25">
      <c r="A515" s="108">
        <v>45961</v>
      </c>
      <c r="B515" s="109">
        <v>48</v>
      </c>
      <c r="C515" s="49" t="s">
        <v>19</v>
      </c>
      <c r="D515" s="110" t="str">
        <f>IF(ISBLANK($B515),"",IFERROR(VLOOKUP($B515,ESTOQUE!$B$2:$D$97168,3,FALSE),"Produto não cadastrado"))</f>
        <v>CALÇA CINZA OP. C/ FAIXA REFLETIVA TAM: M</v>
      </c>
      <c r="E515" s="99" t="str">
        <f>_xlfn.XLOOKUP(B515,ESTOQUE!B:B,ESTOQUE!G:G,"",0)</f>
        <v>UND</v>
      </c>
      <c r="F515" s="99">
        <v>1</v>
      </c>
      <c r="G515" s="146"/>
      <c r="H515" s="146"/>
      <c r="I515" s="147"/>
      <c r="J515" s="147"/>
      <c r="K515" s="63"/>
    </row>
    <row r="516" spans="1:11" x14ac:dyDescent="0.25">
      <c r="A516" s="108">
        <v>45961</v>
      </c>
      <c r="B516" s="109">
        <v>49</v>
      </c>
      <c r="C516" s="49" t="s">
        <v>19</v>
      </c>
      <c r="D516" s="110" t="str">
        <f>IF(ISBLANK($B516),"",IFERROR(VLOOKUP($B516,ESTOQUE!$B$2:$D$97168,3,FALSE),"Produto não cadastrado"))</f>
        <v>CALÇA CINZA OP. C/ FAIXA REFLETIVA TAM: P</v>
      </c>
      <c r="E516" s="99" t="str">
        <f>_xlfn.XLOOKUP(B516,ESTOQUE!B:B,ESTOQUE!G:G,"",0)</f>
        <v>UND</v>
      </c>
      <c r="F516" s="99">
        <v>2</v>
      </c>
      <c r="G516" s="146"/>
      <c r="H516" s="146"/>
      <c r="I516" s="147"/>
      <c r="J516" s="147"/>
      <c r="K516" s="63"/>
    </row>
    <row r="517" spans="1:11" x14ac:dyDescent="0.25">
      <c r="A517" s="108">
        <v>45961</v>
      </c>
      <c r="B517" s="109">
        <v>228</v>
      </c>
      <c r="C517" s="49" t="s">
        <v>19</v>
      </c>
      <c r="D517" s="110" t="str">
        <f>IF(ISBLANK($B517),"",IFERROR(VLOOKUP($B517,ESTOQUE!$B$2:$D$97168,3,FALSE),"Produto não cadastrado"))</f>
        <v xml:space="preserve">BALACLAVA  </v>
      </c>
      <c r="E517" s="99" t="str">
        <f>_xlfn.XLOOKUP(B517,ESTOQUE!B:B,ESTOQUE!G:G,"",0)</f>
        <v>UND</v>
      </c>
      <c r="F517" s="99">
        <v>1</v>
      </c>
      <c r="G517" s="146"/>
      <c r="H517" s="146"/>
      <c r="I517" s="147"/>
      <c r="J517" s="147"/>
      <c r="K517" s="63"/>
    </row>
    <row r="518" spans="1:11" x14ac:dyDescent="0.25">
      <c r="A518" s="108">
        <v>45963</v>
      </c>
      <c r="B518" s="109">
        <v>129</v>
      </c>
      <c r="C518" s="49" t="s">
        <v>19</v>
      </c>
      <c r="D518" s="110" t="str">
        <f>IF(ISBLANK($B518),"",IFERROR(VLOOKUP($B518,ESTOQUE!$B$2:$D$97168,3,FALSE),"Produto não cadastrado"))</f>
        <v>PERNEIRA DE RASPA</v>
      </c>
      <c r="E518" s="99" t="str">
        <f>_xlfn.XLOOKUP(B518,ESTOQUE!B:B,ESTOQUE!G:G,"",0)</f>
        <v>PAR</v>
      </c>
      <c r="F518" s="99">
        <v>1</v>
      </c>
      <c r="G518" s="146"/>
      <c r="H518" s="146"/>
      <c r="I518" s="147"/>
      <c r="J518" s="147"/>
      <c r="K518" s="63"/>
    </row>
    <row r="519" spans="1:11" x14ac:dyDescent="0.25">
      <c r="A519" s="108">
        <v>45963</v>
      </c>
      <c r="B519" s="109">
        <v>139</v>
      </c>
      <c r="C519" s="49" t="s">
        <v>19</v>
      </c>
      <c r="D519" s="110" t="str">
        <f>IF(ISBLANK($B519),"",IFERROR(VLOOKUP($B519,ESTOQUE!$B$2:$D$97168,3,FALSE),"Produto não cadastrado"))</f>
        <v>PROTETOR AURICULAR TIPO PLUG</v>
      </c>
      <c r="E519" s="99" t="str">
        <f>_xlfn.XLOOKUP(B519,ESTOQUE!B:B,ESTOQUE!G:G,"",0)</f>
        <v>UND</v>
      </c>
      <c r="F519" s="99">
        <v>4</v>
      </c>
      <c r="G519" s="146"/>
      <c r="H519" s="146"/>
      <c r="I519" s="147"/>
      <c r="J519" s="147"/>
      <c r="K519" s="63"/>
    </row>
    <row r="520" spans="1:11" x14ac:dyDescent="0.25">
      <c r="A520" s="108">
        <v>45963</v>
      </c>
      <c r="B520" s="109">
        <v>135</v>
      </c>
      <c r="C520" s="49" t="s">
        <v>19</v>
      </c>
      <c r="D520" s="110" t="str">
        <f>IF(ISBLANK($B520),"",IFERROR(VLOOKUP($B520,ESTOQUE!$B$2:$D$97168,3,FALSE),"Produto não cadastrado"))</f>
        <v>TALABARTE DUPLO TIPO Y</v>
      </c>
      <c r="E520" s="99" t="str">
        <f>_xlfn.XLOOKUP(B520,ESTOQUE!B:B,ESTOQUE!G:G,"",0)</f>
        <v>UND</v>
      </c>
      <c r="F520" s="99">
        <v>4</v>
      </c>
      <c r="G520" s="146"/>
      <c r="H520" s="146"/>
      <c r="I520" s="147"/>
      <c r="J520" s="147"/>
      <c r="K520" s="63"/>
    </row>
    <row r="521" spans="1:11" x14ac:dyDescent="0.25">
      <c r="A521" s="108">
        <v>45963</v>
      </c>
      <c r="B521" s="109">
        <v>117</v>
      </c>
      <c r="C521" s="49" t="s">
        <v>19</v>
      </c>
      <c r="D521" s="110" t="str">
        <f>IF(ISBLANK($B521),"",IFERROR(VLOOKUP($B521,ESTOQUE!$B$2:$D$97168,3,FALSE),"Produto não cadastrado"))</f>
        <v>LUVA PIGMENTADA</v>
      </c>
      <c r="E521" s="99" t="str">
        <f>_xlfn.XLOOKUP(B521,ESTOQUE!B:B,ESTOQUE!G:G,"",0)</f>
        <v>PAR</v>
      </c>
      <c r="F521" s="99">
        <v>12</v>
      </c>
      <c r="G521" s="146"/>
      <c r="H521" s="146"/>
      <c r="I521" s="147"/>
      <c r="J521" s="147"/>
      <c r="K521" s="63"/>
    </row>
    <row r="522" spans="1:11" x14ac:dyDescent="0.25">
      <c r="A522" s="108">
        <v>45963</v>
      </c>
      <c r="B522" s="109">
        <v>110</v>
      </c>
      <c r="C522" s="49" t="s">
        <v>19</v>
      </c>
      <c r="D522" s="110" t="str">
        <f>IF(ISBLANK($B522),"",IFERROR(VLOOKUP($B522,ESTOQUE!$B$2:$D$97168,3,FALSE),"Produto não cadastrado"))</f>
        <v>LUVA DE RASPA CANO LONGO</v>
      </c>
      <c r="E522" s="99" t="str">
        <f>_xlfn.XLOOKUP(B522,ESTOQUE!B:B,ESTOQUE!G:G,"",0)</f>
        <v>PAR</v>
      </c>
      <c r="F522" s="99">
        <v>5</v>
      </c>
      <c r="G522" s="146"/>
      <c r="H522" s="146"/>
      <c r="I522" s="147"/>
      <c r="J522" s="147"/>
      <c r="K522" s="63"/>
    </row>
    <row r="523" spans="1:11" x14ac:dyDescent="0.25">
      <c r="A523" s="108">
        <v>45963</v>
      </c>
      <c r="B523" s="109">
        <v>141</v>
      </c>
      <c r="C523" s="49" t="s">
        <v>19</v>
      </c>
      <c r="D523" s="110" t="str">
        <f>IF(ISBLANK($B523),"",IFERROR(VLOOKUP($B523,ESTOQUE!$B$2:$D$97168,3,FALSE),"Produto não cadastrado"))</f>
        <v xml:space="preserve">LUVA DE VAQUETA </v>
      </c>
      <c r="E523" s="99" t="str">
        <f>_xlfn.XLOOKUP(B523,ESTOQUE!B:B,ESTOQUE!G:G,"",0)</f>
        <v>PAR</v>
      </c>
      <c r="F523" s="99">
        <v>3</v>
      </c>
      <c r="G523" s="146"/>
      <c r="H523" s="146"/>
      <c r="I523" s="147"/>
      <c r="J523" s="147"/>
      <c r="K523" s="63"/>
    </row>
    <row r="524" spans="1:11" x14ac:dyDescent="0.25">
      <c r="A524" s="108">
        <v>45963</v>
      </c>
      <c r="B524" s="109">
        <v>111</v>
      </c>
      <c r="C524" s="49" t="s">
        <v>19</v>
      </c>
      <c r="D524" s="110" t="str">
        <f>IF(ISBLANK($B524),"",IFERROR(VLOOKUP($B524,ESTOQUE!$B$2:$D$97168,3,FALSE),"Produto não cadastrado"))</f>
        <v>LUVA DE VAQUETA MARROM</v>
      </c>
      <c r="E524" s="99" t="str">
        <f>_xlfn.XLOOKUP(B524,ESTOQUE!B:B,ESTOQUE!G:G,"",0)</f>
        <v>PAR</v>
      </c>
      <c r="F524" s="99">
        <v>4</v>
      </c>
      <c r="G524" s="146"/>
      <c r="H524" s="146"/>
      <c r="I524" s="147"/>
      <c r="J524" s="147"/>
      <c r="K524" s="63"/>
    </row>
    <row r="525" spans="1:11" x14ac:dyDescent="0.25">
      <c r="A525" s="108">
        <v>45963</v>
      </c>
      <c r="B525" s="109">
        <v>114</v>
      </c>
      <c r="C525" s="49" t="s">
        <v>19</v>
      </c>
      <c r="D525" s="110" t="str">
        <f>IF(ISBLANK($B525),"",IFERROR(VLOOKUP($B525,ESTOQUE!$B$2:$D$97168,3,FALSE),"Produto não cadastrado"))</f>
        <v xml:space="preserve">LUVA LATEX NITRILICA </v>
      </c>
      <c r="E525" s="99" t="str">
        <f>_xlfn.XLOOKUP(B525,ESTOQUE!B:B,ESTOQUE!G:G,"",0)</f>
        <v>PAR</v>
      </c>
      <c r="F525" s="99">
        <v>6</v>
      </c>
      <c r="G525" s="146"/>
      <c r="H525" s="146"/>
      <c r="I525" s="147"/>
      <c r="J525" s="147"/>
      <c r="K525" s="63"/>
    </row>
    <row r="526" spans="1:11" x14ac:dyDescent="0.25">
      <c r="A526" s="108">
        <v>45963</v>
      </c>
      <c r="B526" s="109">
        <v>207</v>
      </c>
      <c r="C526" s="49" t="s">
        <v>19</v>
      </c>
      <c r="D526" s="110" t="str">
        <f>IF(ISBLANK($B526),"",IFERROR(VLOOKUP($B526,ESTOQUE!$B$2:$D$97168,3,FALSE),"Produto não cadastrado"))</f>
        <v>LUVA POLIESTER ANTICORTE BANHADA PU TAM 9</v>
      </c>
      <c r="E526" s="99" t="str">
        <f>_xlfn.XLOOKUP(B526,ESTOQUE!B:B,ESTOQUE!G:G,"",0)</f>
        <v>PAR</v>
      </c>
      <c r="F526" s="99">
        <v>12</v>
      </c>
      <c r="G526" s="146"/>
      <c r="H526" s="146"/>
      <c r="I526" s="147"/>
      <c r="J526" s="147"/>
      <c r="K526" s="63"/>
    </row>
    <row r="527" spans="1:11" x14ac:dyDescent="0.25">
      <c r="A527" s="108">
        <v>45963</v>
      </c>
      <c r="B527" s="109">
        <v>118</v>
      </c>
      <c r="C527" s="49" t="s">
        <v>19</v>
      </c>
      <c r="D527" s="110" t="str">
        <f>IF(ISBLANK($B527),"",IFERROR(VLOOKUP($B527,ESTOQUE!$B$2:$D$97168,3,FALSE),"Produto não cadastrado"))</f>
        <v>MACACÃO DE PROTEÇÃO TYVEK</v>
      </c>
      <c r="E527" s="99" t="str">
        <f>_xlfn.XLOOKUP(B527,ESTOQUE!B:B,ESTOQUE!G:G,"",0)</f>
        <v>UND</v>
      </c>
      <c r="F527" s="99">
        <v>48</v>
      </c>
      <c r="G527" s="146"/>
      <c r="H527" s="146"/>
      <c r="I527" s="147"/>
      <c r="J527" s="147"/>
      <c r="K527" s="63"/>
    </row>
    <row r="528" spans="1:11" x14ac:dyDescent="0.25">
      <c r="A528" s="108">
        <v>45963</v>
      </c>
      <c r="B528" s="109">
        <v>120</v>
      </c>
      <c r="C528" s="49" t="s">
        <v>19</v>
      </c>
      <c r="D528" s="110" t="str">
        <f>IF(ISBLANK($B528),"",IFERROR(VLOOKUP($B528,ESTOQUE!$B$2:$D$97168,3,FALSE),"Produto não cadastrado"))</f>
        <v xml:space="preserve">MACACÃO DE RASPA </v>
      </c>
      <c r="E528" s="99" t="str">
        <f>_xlfn.XLOOKUP(B528,ESTOQUE!B:B,ESTOQUE!G:G,"",0)</f>
        <v>UND</v>
      </c>
      <c r="F528" s="99">
        <v>1</v>
      </c>
      <c r="G528" s="146"/>
      <c r="H528" s="146"/>
      <c r="I528" s="147"/>
      <c r="J528" s="147"/>
      <c r="K528" s="63"/>
    </row>
    <row r="529" spans="1:11" x14ac:dyDescent="0.25">
      <c r="A529" s="108">
        <v>45963</v>
      </c>
      <c r="B529" s="109">
        <v>144</v>
      </c>
      <c r="C529" s="49" t="s">
        <v>19</v>
      </c>
      <c r="D529" s="110" t="str">
        <f>IF(ISBLANK($B529),"",IFERROR(VLOOKUP($B529,ESTOQUE!$B$2:$D$97168,3,FALSE),"Produto não cadastrado"))</f>
        <v>MASCARA PFF2-S C/ FILTRO</v>
      </c>
      <c r="E529" s="99" t="str">
        <f>_xlfn.XLOOKUP(B529,ESTOQUE!B:B,ESTOQUE!G:G,"",0)</f>
        <v>UND</v>
      </c>
      <c r="F529" s="99">
        <v>44</v>
      </c>
      <c r="G529" s="146"/>
      <c r="H529" s="146"/>
      <c r="I529" s="147"/>
      <c r="J529" s="147"/>
      <c r="K529" s="63"/>
    </row>
    <row r="530" spans="1:11" x14ac:dyDescent="0.25">
      <c r="A530" s="108">
        <v>45963</v>
      </c>
      <c r="B530" s="109">
        <v>126</v>
      </c>
      <c r="C530" s="49" t="s">
        <v>19</v>
      </c>
      <c r="D530" s="110" t="str">
        <f>IF(ISBLANK($B530),"",IFERROR(VLOOKUP($B530,ESTOQUE!$B$2:$D$97168,3,FALSE),"Produto não cadastrado"))</f>
        <v>OCULOS DE PROTEÇÃO ESCURO</v>
      </c>
      <c r="E530" s="99" t="str">
        <f>_xlfn.XLOOKUP(B530,ESTOQUE!B:B,ESTOQUE!G:G,"",0)</f>
        <v>UND</v>
      </c>
      <c r="F530" s="99">
        <v>9</v>
      </c>
      <c r="G530" s="146"/>
      <c r="H530" s="146"/>
      <c r="I530" s="147"/>
      <c r="J530" s="147"/>
      <c r="K530" s="63"/>
    </row>
    <row r="531" spans="1:11" x14ac:dyDescent="0.25">
      <c r="A531" s="108">
        <v>45963</v>
      </c>
      <c r="B531" s="109">
        <v>124</v>
      </c>
      <c r="C531" s="49" t="s">
        <v>19</v>
      </c>
      <c r="D531" s="110" t="str">
        <f>IF(ISBLANK($B531),"",IFERROR(VLOOKUP($B531,ESTOQUE!$B$2:$D$97168,3,FALSE),"Produto não cadastrado"))</f>
        <v xml:space="preserve">OCULOS DE PROTEÇÃO INCOLOR </v>
      </c>
      <c r="E531" s="99" t="str">
        <f>_xlfn.XLOOKUP(B531,ESTOQUE!B:B,ESTOQUE!G:G,"",0)</f>
        <v>UND</v>
      </c>
      <c r="F531" s="99">
        <v>5</v>
      </c>
      <c r="G531" s="146"/>
      <c r="H531" s="146"/>
      <c r="I531" s="147"/>
      <c r="J531" s="147"/>
      <c r="K531" s="63"/>
    </row>
    <row r="532" spans="1:11" x14ac:dyDescent="0.25">
      <c r="A532" s="108">
        <v>45963</v>
      </c>
      <c r="B532" s="109">
        <v>224</v>
      </c>
      <c r="C532" s="49" t="s">
        <v>19</v>
      </c>
      <c r="D532" s="110" t="str">
        <f>IF(ISBLANK($B532),"",IFERROR(VLOOKUP($B532,ESTOQUE!$B$2:$D$97168,3,FALSE),"Produto não cadastrado"))</f>
        <v>OCULOS OPERACIONAL SOBRE POR ESCURO</v>
      </c>
      <c r="E532" s="99" t="str">
        <f>_xlfn.XLOOKUP(B532,ESTOQUE!B:B,ESTOQUE!G:G,"",0)</f>
        <v>UND</v>
      </c>
      <c r="F532" s="99">
        <v>4</v>
      </c>
      <c r="G532" s="146"/>
      <c r="H532" s="146"/>
      <c r="I532" s="147"/>
      <c r="J532" s="147"/>
      <c r="K532" s="63"/>
    </row>
    <row r="533" spans="1:11" x14ac:dyDescent="0.25">
      <c r="A533" s="108">
        <v>45963</v>
      </c>
      <c r="B533" s="109">
        <v>225</v>
      </c>
      <c r="C533" s="49" t="s">
        <v>19</v>
      </c>
      <c r="D533" s="110" t="str">
        <f>IF(ISBLANK($B533),"",IFERROR(VLOOKUP($B533,ESTOQUE!$B$2:$D$97168,3,FALSE),"Produto não cadastrado"))</f>
        <v>OCULOS OPERACIONAL SOBRE POR INCOLOR</v>
      </c>
      <c r="E533" s="99" t="str">
        <f>_xlfn.XLOOKUP(B533,ESTOQUE!B:B,ESTOQUE!G:G,"",0)</f>
        <v>UND</v>
      </c>
      <c r="F533" s="99">
        <v>4</v>
      </c>
      <c r="G533" s="146"/>
      <c r="H533" s="146"/>
      <c r="I533" s="147"/>
      <c r="J533" s="147"/>
      <c r="K533" s="63"/>
    </row>
    <row r="534" spans="1:11" x14ac:dyDescent="0.25">
      <c r="A534" s="108">
        <v>45963</v>
      </c>
      <c r="B534" s="109">
        <v>96</v>
      </c>
      <c r="C534" s="49" t="s">
        <v>19</v>
      </c>
      <c r="D534" s="110" t="str">
        <f>IF(ISBLANK($B534),"",IFERROR(VLOOKUP($B534,ESTOQUE!$B$2:$D$97168,3,FALSE),"Produto não cadastrado"))</f>
        <v xml:space="preserve">CINTO DE SEGURANÇA MODELO:C70 </v>
      </c>
      <c r="E534" s="99" t="str">
        <f>_xlfn.XLOOKUP(B534,ESTOQUE!B:B,ESTOQUE!G:G,"",0)</f>
        <v>UND</v>
      </c>
      <c r="F534" s="99">
        <v>2</v>
      </c>
      <c r="G534" s="146"/>
      <c r="H534" s="146"/>
      <c r="I534" s="147"/>
      <c r="J534" s="147"/>
      <c r="K534" s="63"/>
    </row>
    <row r="535" spans="1:11" x14ac:dyDescent="0.25">
      <c r="A535" s="108">
        <v>45963</v>
      </c>
      <c r="B535" s="109">
        <v>97</v>
      </c>
      <c r="C535" s="49" t="s">
        <v>19</v>
      </c>
      <c r="D535" s="110" t="str">
        <f>IF(ISBLANK($B535),"",IFERROR(VLOOKUP($B535,ESTOQUE!$B$2:$D$97168,3,FALSE),"Produto não cadastrado"))</f>
        <v>COLETE REFLETIVO LARANJA M</v>
      </c>
      <c r="E535" s="99" t="str">
        <f>_xlfn.XLOOKUP(B535,ESTOQUE!B:B,ESTOQUE!G:G,"",0)</f>
        <v>UND</v>
      </c>
      <c r="F535" s="99">
        <v>1</v>
      </c>
      <c r="G535" s="146"/>
      <c r="H535" s="146"/>
      <c r="I535" s="147"/>
      <c r="J535" s="147"/>
      <c r="K535" s="63"/>
    </row>
    <row r="536" spans="1:11" x14ac:dyDescent="0.25">
      <c r="A536" s="108">
        <v>45963</v>
      </c>
      <c r="B536" s="109">
        <v>64</v>
      </c>
      <c r="C536" s="49" t="s">
        <v>19</v>
      </c>
      <c r="D536" s="110" t="str">
        <f>IF(ISBLANK($B536),"",IFERROR(VLOOKUP($B536,ESTOQUE!$B$2:$D$97168,3,FALSE),"Produto não cadastrado"))</f>
        <v>CAMISA DE ELETRICISTA NR.10 TAM: GG</v>
      </c>
      <c r="E536" s="99" t="str">
        <f>_xlfn.XLOOKUP(B536,ESTOQUE!B:B,ESTOQUE!G:G,"",0)</f>
        <v>UND</v>
      </c>
      <c r="F536" s="99">
        <v>1</v>
      </c>
      <c r="G536" s="146"/>
      <c r="H536" s="146"/>
      <c r="I536" s="147"/>
      <c r="J536" s="147"/>
      <c r="K536" s="63"/>
    </row>
    <row r="537" spans="1:11" x14ac:dyDescent="0.25">
      <c r="A537" s="108">
        <v>45963</v>
      </c>
      <c r="B537" s="109">
        <v>67</v>
      </c>
      <c r="C537" s="49" t="s">
        <v>19</v>
      </c>
      <c r="D537" s="110" t="str">
        <f>IF(ISBLANK($B537),"",IFERROR(VLOOKUP($B537,ESTOQUE!$B$2:$D$97168,3,FALSE),"Produto não cadastrado"))</f>
        <v>CAMISA LARANJA OP. C/ FAIXA REFLETIVA TAM: G</v>
      </c>
      <c r="E537" s="99" t="str">
        <f>_xlfn.XLOOKUP(B537,ESTOQUE!B:B,ESTOQUE!G:G,"",0)</f>
        <v>UND</v>
      </c>
      <c r="F537" s="99">
        <v>3</v>
      </c>
      <c r="G537" s="146"/>
      <c r="H537" s="146"/>
      <c r="I537" s="147"/>
      <c r="J537" s="147"/>
      <c r="K537" s="63"/>
    </row>
    <row r="538" spans="1:11" x14ac:dyDescent="0.25">
      <c r="A538" s="108">
        <v>45963</v>
      </c>
      <c r="B538" s="109">
        <v>68</v>
      </c>
      <c r="C538" s="49" t="s">
        <v>19</v>
      </c>
      <c r="D538" s="110" t="str">
        <f>IF(ISBLANK($B538),"",IFERROR(VLOOKUP($B538,ESTOQUE!$B$2:$D$97168,3,FALSE),"Produto não cadastrado"))</f>
        <v>CAMISA LARANJA OP. C/ FAIXA REFLETIVA TAM: GG</v>
      </c>
      <c r="E538" s="99" t="str">
        <f>_xlfn.XLOOKUP(B538,ESTOQUE!B:B,ESTOQUE!G:G,"",0)</f>
        <v>UND</v>
      </c>
      <c r="F538" s="99">
        <v>5</v>
      </c>
      <c r="G538" s="146"/>
      <c r="H538" s="146"/>
      <c r="I538" s="147"/>
      <c r="J538" s="147"/>
      <c r="K538" s="63"/>
    </row>
    <row r="539" spans="1:11" x14ac:dyDescent="0.25">
      <c r="A539" s="108">
        <v>45963</v>
      </c>
      <c r="B539" s="109">
        <v>69</v>
      </c>
      <c r="C539" s="49" t="s">
        <v>19</v>
      </c>
      <c r="D539" s="110" t="str">
        <f>IF(ISBLANK($B539),"",IFERROR(VLOOKUP($B539,ESTOQUE!$B$2:$D$97168,3,FALSE),"Produto não cadastrado"))</f>
        <v>CAMISA LARANJA OP. C/ FAIXA REFLETIVA TAM: M</v>
      </c>
      <c r="E539" s="99" t="str">
        <f>_xlfn.XLOOKUP(B539,ESTOQUE!B:B,ESTOQUE!G:G,"",0)</f>
        <v>UND</v>
      </c>
      <c r="F539" s="99">
        <v>4</v>
      </c>
      <c r="G539" s="146"/>
      <c r="H539" s="146"/>
      <c r="I539" s="147"/>
      <c r="J539" s="147"/>
      <c r="K539" s="63"/>
    </row>
    <row r="540" spans="1:11" x14ac:dyDescent="0.25">
      <c r="A540" s="108">
        <v>45963</v>
      </c>
      <c r="B540" s="109">
        <v>70</v>
      </c>
      <c r="C540" s="49" t="s">
        <v>19</v>
      </c>
      <c r="D540" s="110" t="str">
        <f>IF(ISBLANK($B540),"",IFERROR(VLOOKUP($B540,ESTOQUE!$B$2:$D$97168,3,FALSE),"Produto não cadastrado"))</f>
        <v>CAMISA LARANJA OP. C/ FAIXA REFLETIVA TAM: P</v>
      </c>
      <c r="E540" s="99" t="str">
        <f>_xlfn.XLOOKUP(B540,ESTOQUE!B:B,ESTOQUE!G:G,"",0)</f>
        <v>UND</v>
      </c>
      <c r="F540" s="99">
        <v>3</v>
      </c>
      <c r="G540" s="146"/>
      <c r="H540" s="146"/>
      <c r="I540" s="147"/>
      <c r="J540" s="147"/>
      <c r="K540" s="63"/>
    </row>
    <row r="541" spans="1:11" x14ac:dyDescent="0.25">
      <c r="A541" s="108">
        <v>45963</v>
      </c>
      <c r="B541" s="109">
        <v>73</v>
      </c>
      <c r="C541" s="49" t="s">
        <v>19</v>
      </c>
      <c r="D541" s="110" t="str">
        <f>IF(ISBLANK($B541),"",IFERROR(VLOOKUP($B541,ESTOQUE!$B$2:$D$97168,3,FALSE),"Produto não cadastrado"))</f>
        <v>CAPA DE CHUVA GG</v>
      </c>
      <c r="E541" s="99" t="str">
        <f>_xlfn.XLOOKUP(B541,ESTOQUE!B:B,ESTOQUE!G:G,"",0)</f>
        <v>UND</v>
      </c>
      <c r="F541" s="99">
        <v>20</v>
      </c>
      <c r="G541" s="146"/>
      <c r="H541" s="146"/>
      <c r="I541" s="147"/>
      <c r="J541" s="147"/>
      <c r="K541" s="63"/>
    </row>
    <row r="542" spans="1:11" x14ac:dyDescent="0.25">
      <c r="A542" s="108">
        <v>45963</v>
      </c>
      <c r="B542" s="109">
        <v>38</v>
      </c>
      <c r="C542" s="49" t="s">
        <v>19</v>
      </c>
      <c r="D542" s="110" t="str">
        <f>IF(ISBLANK($B542),"",IFERROR(VLOOKUP($B542,ESTOQUE!$B$2:$D$97168,3,FALSE),"Produto não cadastrado"))</f>
        <v>BOTINA OP. BICO PVC Nº 40</v>
      </c>
      <c r="E542" s="99" t="str">
        <f>_xlfn.XLOOKUP(B542,ESTOQUE!B:B,ESTOQUE!G:G,"",0)</f>
        <v>PAR</v>
      </c>
      <c r="F542" s="99">
        <v>4</v>
      </c>
      <c r="G542" s="146"/>
      <c r="H542" s="146"/>
      <c r="I542" s="147"/>
      <c r="J542" s="147"/>
      <c r="K542" s="63"/>
    </row>
    <row r="543" spans="1:11" x14ac:dyDescent="0.25">
      <c r="A543" s="108">
        <v>45963</v>
      </c>
      <c r="B543" s="109">
        <v>39</v>
      </c>
      <c r="C543" s="49" t="s">
        <v>19</v>
      </c>
      <c r="D543" s="110" t="str">
        <f>IF(ISBLANK($B543),"",IFERROR(VLOOKUP($B543,ESTOQUE!$B$2:$D$97168,3,FALSE),"Produto não cadastrado"))</f>
        <v>BOTINA OP. BICO PVC Nº 41</v>
      </c>
      <c r="E543" s="99" t="str">
        <f>_xlfn.XLOOKUP(B543,ESTOQUE!B:B,ESTOQUE!G:G,"",0)</f>
        <v>PAR</v>
      </c>
      <c r="F543" s="99">
        <v>2</v>
      </c>
      <c r="G543" s="146"/>
      <c r="H543" s="146"/>
      <c r="I543" s="147"/>
      <c r="J543" s="147"/>
      <c r="K543" s="63"/>
    </row>
    <row r="544" spans="1:11" x14ac:dyDescent="0.25">
      <c r="A544" s="108">
        <v>45963</v>
      </c>
      <c r="B544" s="109">
        <v>46</v>
      </c>
      <c r="C544" s="49" t="s">
        <v>19</v>
      </c>
      <c r="D544" s="110" t="str">
        <f>IF(ISBLANK($B544),"",IFERROR(VLOOKUP($B544,ESTOQUE!$B$2:$D$97168,3,FALSE),"Produto não cadastrado"))</f>
        <v>CALÇA CINZA OP. C/ FAIXA REFLETIVA TAM: G</v>
      </c>
      <c r="E544" s="99" t="str">
        <f>_xlfn.XLOOKUP(B544,ESTOQUE!B:B,ESTOQUE!G:G,"",0)</f>
        <v>UND</v>
      </c>
      <c r="F544" s="99">
        <v>4</v>
      </c>
      <c r="G544" s="146"/>
      <c r="H544" s="146"/>
      <c r="I544" s="147"/>
      <c r="J544" s="147"/>
      <c r="K544" s="63"/>
    </row>
    <row r="545" spans="1:11" x14ac:dyDescent="0.25">
      <c r="A545" s="108">
        <v>45963</v>
      </c>
      <c r="B545" s="109">
        <v>47</v>
      </c>
      <c r="C545" s="49" t="s">
        <v>19</v>
      </c>
      <c r="D545" s="110" t="str">
        <f>IF(ISBLANK($B545),"",IFERROR(VLOOKUP($B545,ESTOQUE!$B$2:$D$97168,3,FALSE),"Produto não cadastrado"))</f>
        <v>CALÇA CINZA OP. C/ FAIXA REFLETIVA TAM: GG</v>
      </c>
      <c r="E545" s="99" t="str">
        <f>_xlfn.XLOOKUP(B545,ESTOQUE!B:B,ESTOQUE!G:G,"",0)</f>
        <v>UND</v>
      </c>
      <c r="F545" s="99">
        <v>1</v>
      </c>
      <c r="G545" s="146"/>
      <c r="H545" s="146"/>
      <c r="I545" s="147"/>
      <c r="J545" s="147"/>
      <c r="K545" s="63"/>
    </row>
    <row r="546" spans="1:11" x14ac:dyDescent="0.25">
      <c r="A546" s="108">
        <v>45963</v>
      </c>
      <c r="B546" s="109">
        <v>48</v>
      </c>
      <c r="C546" s="49" t="s">
        <v>19</v>
      </c>
      <c r="D546" s="110" t="str">
        <f>IF(ISBLANK($B546),"",IFERROR(VLOOKUP($B546,ESTOQUE!$B$2:$D$97168,3,FALSE),"Produto não cadastrado"))</f>
        <v>CALÇA CINZA OP. C/ FAIXA REFLETIVA TAM: M</v>
      </c>
      <c r="E546" s="99" t="str">
        <f>_xlfn.XLOOKUP(B546,ESTOQUE!B:B,ESTOQUE!G:G,"",0)</f>
        <v>UND</v>
      </c>
      <c r="F546" s="99">
        <v>4</v>
      </c>
      <c r="G546" s="146"/>
      <c r="H546" s="146"/>
      <c r="I546" s="147"/>
      <c r="J546" s="147"/>
      <c r="K546" s="63"/>
    </row>
    <row r="547" spans="1:11" x14ac:dyDescent="0.25">
      <c r="A547" s="108">
        <v>45963</v>
      </c>
      <c r="B547" s="109">
        <v>49</v>
      </c>
      <c r="C547" s="49" t="s">
        <v>19</v>
      </c>
      <c r="D547" s="110" t="str">
        <f>IF(ISBLANK($B547),"",IFERROR(VLOOKUP($B547,ESTOQUE!$B$2:$D$97168,3,FALSE),"Produto não cadastrado"))</f>
        <v>CALÇA CINZA OP. C/ FAIXA REFLETIVA TAM: P</v>
      </c>
      <c r="E547" s="99" t="str">
        <f>_xlfn.XLOOKUP(B547,ESTOQUE!B:B,ESTOQUE!G:G,"",0)</f>
        <v>UND</v>
      </c>
      <c r="F547" s="99">
        <v>4</v>
      </c>
      <c r="G547" s="146"/>
      <c r="H547" s="146"/>
      <c r="I547" s="147"/>
      <c r="J547" s="147"/>
      <c r="K547" s="63"/>
    </row>
    <row r="548" spans="1:11" x14ac:dyDescent="0.25">
      <c r="A548" s="108">
        <v>45963</v>
      </c>
      <c r="B548" s="109">
        <v>190</v>
      </c>
      <c r="C548" s="49" t="s">
        <v>19</v>
      </c>
      <c r="D548" s="110" t="str">
        <f>IF(ISBLANK($B548),"",IFERROR(VLOOKUP($B548,ESTOQUE!$B$2:$D$97168,3,FALSE),"Produto não cadastrado"))</f>
        <v>AVENTAL DE RASPA TAM 120X60</v>
      </c>
      <c r="E548" s="99" t="str">
        <f>_xlfn.XLOOKUP(B548,ESTOQUE!B:B,ESTOQUE!G:G,"",0)</f>
        <v>UND</v>
      </c>
      <c r="F548" s="99">
        <v>1</v>
      </c>
      <c r="G548" s="146"/>
      <c r="H548" s="146"/>
      <c r="I548" s="147"/>
      <c r="J548" s="147"/>
      <c r="K548" s="63"/>
    </row>
    <row r="549" spans="1:11" x14ac:dyDescent="0.25">
      <c r="A549" s="108">
        <v>45963</v>
      </c>
      <c r="B549" s="109">
        <v>228</v>
      </c>
      <c r="C549" s="49" t="s">
        <v>19</v>
      </c>
      <c r="D549" s="110" t="str">
        <f>IF(ISBLANK($B549),"",IFERROR(VLOOKUP($B549,ESTOQUE!$B$2:$D$97168,3,FALSE),"Produto não cadastrado"))</f>
        <v xml:space="preserve">BALACLAVA  </v>
      </c>
      <c r="E549" s="99" t="str">
        <f>_xlfn.XLOOKUP(B549,ESTOQUE!B:B,ESTOQUE!G:G,"",0)</f>
        <v>UND</v>
      </c>
      <c r="F549" s="99">
        <v>4</v>
      </c>
      <c r="G549" s="146"/>
      <c r="H549" s="146"/>
      <c r="I549" s="147"/>
      <c r="J549" s="147"/>
      <c r="K549" s="63"/>
    </row>
    <row r="550" spans="1:11" x14ac:dyDescent="0.25">
      <c r="A550" s="108">
        <v>45963</v>
      </c>
      <c r="B550" s="109">
        <v>4</v>
      </c>
      <c r="C550" s="49" t="s">
        <v>19</v>
      </c>
      <c r="D550" s="110" t="str">
        <f>IF(ISBLANK($B550),"",IFERROR(VLOOKUP($B550,ESTOQUE!$B$2:$D$97168,3,FALSE),"Produto não cadastrado"))</f>
        <v>BLUSÃO DE RASPA MANGA LONGA</v>
      </c>
      <c r="E550" s="99" t="str">
        <f>_xlfn.XLOOKUP(B550,ESTOQUE!B:B,ESTOQUE!G:G,"",0)</f>
        <v>UND</v>
      </c>
      <c r="F550" s="99">
        <v>1</v>
      </c>
      <c r="G550" s="146"/>
      <c r="H550" s="146"/>
      <c r="I550" s="147"/>
      <c r="J550" s="147"/>
      <c r="K550" s="63"/>
    </row>
    <row r="551" spans="1:11" x14ac:dyDescent="0.25">
      <c r="A551" s="108">
        <v>45963</v>
      </c>
      <c r="B551" s="109">
        <v>20</v>
      </c>
      <c r="C551" s="49" t="s">
        <v>19</v>
      </c>
      <c r="D551" s="110" t="str">
        <f>IF(ISBLANK($B551),"",IFERROR(VLOOKUP($B551,ESTOQUE!$B$2:$D$97168,3,FALSE),"Produto não cadastrado"))</f>
        <v>BOTA PVC CANO MEDIO Nº 41</v>
      </c>
      <c r="E551" s="99" t="str">
        <f>_xlfn.XLOOKUP(B551,ESTOQUE!B:B,ESTOQUE!G:G,"",0)</f>
        <v>PAR</v>
      </c>
      <c r="F551" s="99">
        <v>1</v>
      </c>
      <c r="G551" s="146"/>
      <c r="H551" s="146"/>
      <c r="I551" s="147"/>
      <c r="J551" s="147"/>
      <c r="K551" s="63"/>
    </row>
    <row r="552" spans="1:11" x14ac:dyDescent="0.25">
      <c r="A552" s="108">
        <v>45965</v>
      </c>
      <c r="B552" s="109">
        <v>139</v>
      </c>
      <c r="C552" s="49" t="s">
        <v>19</v>
      </c>
      <c r="D552" s="110" t="str">
        <f>IF(ISBLANK($B552),"",IFERROR(VLOOKUP($B552,ESTOQUE!$B$2:$D$97168,3,FALSE),"Produto não cadastrado"))</f>
        <v>PROTETOR AURICULAR TIPO PLUG</v>
      </c>
      <c r="E552" s="99" t="str">
        <f>_xlfn.XLOOKUP(B552,ESTOQUE!B:B,ESTOQUE!G:G,"",0)</f>
        <v>UND</v>
      </c>
      <c r="F552" s="99">
        <v>3</v>
      </c>
      <c r="G552" s="146"/>
      <c r="H552" s="146"/>
      <c r="I552" s="147"/>
      <c r="J552" s="147"/>
      <c r="K552" s="63"/>
    </row>
    <row r="553" spans="1:11" x14ac:dyDescent="0.25">
      <c r="A553" s="108">
        <v>45965</v>
      </c>
      <c r="B553" s="109">
        <v>135</v>
      </c>
      <c r="C553" s="49" t="s">
        <v>19</v>
      </c>
      <c r="D553" s="110" t="str">
        <f>IF(ISBLANK($B553),"",IFERROR(VLOOKUP($B553,ESTOQUE!$B$2:$D$97168,3,FALSE),"Produto não cadastrado"))</f>
        <v>TALABARTE DUPLO TIPO Y</v>
      </c>
      <c r="E553" s="99" t="str">
        <f>_xlfn.XLOOKUP(B553,ESTOQUE!B:B,ESTOQUE!G:G,"",0)</f>
        <v>UND</v>
      </c>
      <c r="F553" s="99">
        <v>2</v>
      </c>
      <c r="G553" s="146"/>
      <c r="H553" s="146"/>
      <c r="I553" s="147"/>
      <c r="J553" s="147"/>
      <c r="K553" s="63"/>
    </row>
    <row r="554" spans="1:11" x14ac:dyDescent="0.25">
      <c r="A554" s="108">
        <v>45965</v>
      </c>
      <c r="B554" s="109">
        <v>161</v>
      </c>
      <c r="C554" s="49" t="s">
        <v>19</v>
      </c>
      <c r="D554" s="110" t="str">
        <f>IF(ISBLANK($B554),"",IFERROR(VLOOKUP($B554,ESTOQUE!$B$2:$D$97168,3,FALSE),"Produto não cadastrado"))</f>
        <v>JUGULAR</v>
      </c>
      <c r="E554" s="99" t="str">
        <f>_xlfn.XLOOKUP(B554,ESTOQUE!B:B,ESTOQUE!G:G,"",0)</f>
        <v>UND</v>
      </c>
      <c r="F554" s="99">
        <v>2</v>
      </c>
      <c r="G554" s="146"/>
      <c r="H554" s="146"/>
      <c r="I554" s="147"/>
      <c r="J554" s="147"/>
      <c r="K554" s="63"/>
    </row>
    <row r="555" spans="1:11" x14ac:dyDescent="0.25">
      <c r="A555" s="108">
        <v>45965</v>
      </c>
      <c r="B555" s="109">
        <v>117</v>
      </c>
      <c r="C555" s="49" t="s">
        <v>19</v>
      </c>
      <c r="D555" s="110" t="str">
        <f>IF(ISBLANK($B555),"",IFERROR(VLOOKUP($B555,ESTOQUE!$B$2:$D$97168,3,FALSE),"Produto não cadastrado"))</f>
        <v>LUVA PIGMENTADA</v>
      </c>
      <c r="E555" s="99" t="str">
        <f>_xlfn.XLOOKUP(B555,ESTOQUE!B:B,ESTOQUE!G:G,"",0)</f>
        <v>PAR</v>
      </c>
      <c r="F555" s="99">
        <v>23</v>
      </c>
      <c r="G555" s="146"/>
      <c r="H555" s="146"/>
      <c r="I555" s="147"/>
      <c r="J555" s="147"/>
      <c r="K555" s="63"/>
    </row>
    <row r="556" spans="1:11" x14ac:dyDescent="0.25">
      <c r="A556" s="108">
        <v>45965</v>
      </c>
      <c r="B556" s="109">
        <v>110</v>
      </c>
      <c r="C556" s="49" t="s">
        <v>19</v>
      </c>
      <c r="D556" s="110" t="str">
        <f>IF(ISBLANK($B556),"",IFERROR(VLOOKUP($B556,ESTOQUE!$B$2:$D$97168,3,FALSE),"Produto não cadastrado"))</f>
        <v>LUVA DE RASPA CANO LONGO</v>
      </c>
      <c r="E556" s="99" t="str">
        <f>_xlfn.XLOOKUP(B556,ESTOQUE!B:B,ESTOQUE!G:G,"",0)</f>
        <v>PAR</v>
      </c>
      <c r="F556" s="99">
        <v>4</v>
      </c>
      <c r="G556" s="146"/>
      <c r="H556" s="146"/>
      <c r="I556" s="147"/>
      <c r="J556" s="147"/>
      <c r="K556" s="63"/>
    </row>
    <row r="557" spans="1:11" x14ac:dyDescent="0.25">
      <c r="A557" s="108">
        <v>45965</v>
      </c>
      <c r="B557" s="109">
        <v>141</v>
      </c>
      <c r="C557" s="49" t="s">
        <v>19</v>
      </c>
      <c r="D557" s="110" t="str">
        <f>IF(ISBLANK($B557),"",IFERROR(VLOOKUP($B557,ESTOQUE!$B$2:$D$97168,3,FALSE),"Produto não cadastrado"))</f>
        <v xml:space="preserve">LUVA DE VAQUETA </v>
      </c>
      <c r="E557" s="99" t="str">
        <f>_xlfn.XLOOKUP(B557,ESTOQUE!B:B,ESTOQUE!G:G,"",0)</f>
        <v>PAR</v>
      </c>
      <c r="F557" s="99">
        <v>1</v>
      </c>
      <c r="G557" s="146"/>
      <c r="H557" s="146"/>
      <c r="I557" s="147"/>
      <c r="J557" s="147"/>
      <c r="K557" s="63"/>
    </row>
    <row r="558" spans="1:11" x14ac:dyDescent="0.25">
      <c r="A558" s="108">
        <v>45965</v>
      </c>
      <c r="B558" s="109">
        <v>111</v>
      </c>
      <c r="C558" s="49" t="s">
        <v>19</v>
      </c>
      <c r="D558" s="110" t="str">
        <f>IF(ISBLANK($B558),"",IFERROR(VLOOKUP($B558,ESTOQUE!$B$2:$D$97168,3,FALSE),"Produto não cadastrado"))</f>
        <v>LUVA DE VAQUETA MARROM</v>
      </c>
      <c r="E558" s="99" t="str">
        <f>_xlfn.XLOOKUP(B558,ESTOQUE!B:B,ESTOQUE!G:G,"",0)</f>
        <v>PAR</v>
      </c>
      <c r="F558" s="99">
        <v>7</v>
      </c>
      <c r="G558" s="146"/>
      <c r="H558" s="146"/>
      <c r="I558" s="147"/>
      <c r="J558" s="147"/>
      <c r="K558" s="63"/>
    </row>
    <row r="559" spans="1:11" x14ac:dyDescent="0.25">
      <c r="A559" s="108">
        <v>45965</v>
      </c>
      <c r="B559" s="109">
        <v>189</v>
      </c>
      <c r="C559" s="49" t="s">
        <v>19</v>
      </c>
      <c r="D559" s="110" t="str">
        <f>IF(ISBLANK($B559),"",IFERROR(VLOOKUP($B559,ESTOQUE!$B$2:$D$97168,3,FALSE),"Produto não cadastrado"))</f>
        <v xml:space="preserve">LUVA DE VAQUETA MISTA </v>
      </c>
      <c r="E559" s="99" t="str">
        <f>_xlfn.XLOOKUP(B559,ESTOQUE!B:B,ESTOQUE!G:G,"",0)</f>
        <v>UND</v>
      </c>
      <c r="F559" s="99">
        <v>1</v>
      </c>
      <c r="G559" s="146"/>
      <c r="H559" s="146"/>
      <c r="I559" s="147"/>
      <c r="J559" s="147"/>
      <c r="K559" s="63"/>
    </row>
    <row r="560" spans="1:11" x14ac:dyDescent="0.25">
      <c r="A560" s="108">
        <v>45965</v>
      </c>
      <c r="B560" s="109">
        <v>114</v>
      </c>
      <c r="C560" s="49" t="s">
        <v>19</v>
      </c>
      <c r="D560" s="110" t="str">
        <f>IF(ISBLANK($B560),"",IFERROR(VLOOKUP($B560,ESTOQUE!$B$2:$D$97168,3,FALSE),"Produto não cadastrado"))</f>
        <v xml:space="preserve">LUVA LATEX NITRILICA </v>
      </c>
      <c r="E560" s="99" t="str">
        <f>_xlfn.XLOOKUP(B560,ESTOQUE!B:B,ESTOQUE!G:G,"",0)</f>
        <v>PAR</v>
      </c>
      <c r="F560" s="99">
        <v>7</v>
      </c>
      <c r="G560" s="146"/>
      <c r="H560" s="146"/>
      <c r="I560" s="147"/>
      <c r="J560" s="147"/>
      <c r="K560" s="63"/>
    </row>
    <row r="561" spans="1:11" x14ac:dyDescent="0.25">
      <c r="A561" s="108">
        <v>45965</v>
      </c>
      <c r="B561" s="109">
        <v>192</v>
      </c>
      <c r="C561" s="49" t="s">
        <v>19</v>
      </c>
      <c r="D561" s="110" t="str">
        <f>IF(ISBLANK($B561),"",IFERROR(VLOOKUP($B561,ESTOQUE!$B$2:$D$97168,3,FALSE),"Produto não cadastrado"))</f>
        <v>LUVA QUIMICA ( 2 OU 3)</v>
      </c>
      <c r="E561" s="99" t="str">
        <f>_xlfn.XLOOKUP(B561,ESTOQUE!B:B,ESTOQUE!G:G,"",0)</f>
        <v>UND</v>
      </c>
      <c r="F561" s="99">
        <v>1</v>
      </c>
      <c r="G561" s="146"/>
      <c r="H561" s="146"/>
      <c r="I561" s="147"/>
      <c r="J561" s="147"/>
      <c r="K561" s="63"/>
    </row>
    <row r="562" spans="1:11" x14ac:dyDescent="0.25">
      <c r="A562" s="108">
        <v>45965</v>
      </c>
      <c r="B562" s="109">
        <v>144</v>
      </c>
      <c r="C562" s="49" t="s">
        <v>19</v>
      </c>
      <c r="D562" s="110" t="str">
        <f>IF(ISBLANK($B562),"",IFERROR(VLOOKUP($B562,ESTOQUE!$B$2:$D$97168,3,FALSE),"Produto não cadastrado"))</f>
        <v>MASCARA PFF2-S C/ FILTRO</v>
      </c>
      <c r="E562" s="99" t="str">
        <f>_xlfn.XLOOKUP(B562,ESTOQUE!B:B,ESTOQUE!G:G,"",0)</f>
        <v>UND</v>
      </c>
      <c r="F562" s="99">
        <v>34</v>
      </c>
      <c r="G562" s="146"/>
      <c r="H562" s="146"/>
      <c r="I562" s="147"/>
      <c r="J562" s="147"/>
      <c r="K562" s="63"/>
    </row>
    <row r="563" spans="1:11" x14ac:dyDescent="0.25">
      <c r="A563" s="108">
        <v>45965</v>
      </c>
      <c r="B563" s="109">
        <v>126</v>
      </c>
      <c r="C563" s="49" t="s">
        <v>19</v>
      </c>
      <c r="D563" s="110" t="str">
        <f>IF(ISBLANK($B563),"",IFERROR(VLOOKUP($B563,ESTOQUE!$B$2:$D$97168,3,FALSE),"Produto não cadastrado"))</f>
        <v>OCULOS DE PROTEÇÃO ESCURO</v>
      </c>
      <c r="E563" s="99" t="str">
        <f>_xlfn.XLOOKUP(B563,ESTOQUE!B:B,ESTOQUE!G:G,"",0)</f>
        <v>UND</v>
      </c>
      <c r="F563" s="99">
        <v>15</v>
      </c>
      <c r="G563" s="146"/>
      <c r="H563" s="146"/>
      <c r="I563" s="147"/>
      <c r="J563" s="147"/>
      <c r="K563" s="63"/>
    </row>
    <row r="564" spans="1:11" x14ac:dyDescent="0.25">
      <c r="A564" s="108">
        <v>45965</v>
      </c>
      <c r="B564" s="109">
        <v>124</v>
      </c>
      <c r="C564" s="49" t="s">
        <v>19</v>
      </c>
      <c r="D564" s="110" t="str">
        <f>IF(ISBLANK($B564),"",IFERROR(VLOOKUP($B564,ESTOQUE!$B$2:$D$97168,3,FALSE),"Produto não cadastrado"))</f>
        <v xml:space="preserve">OCULOS DE PROTEÇÃO INCOLOR </v>
      </c>
      <c r="E564" s="99" t="str">
        <f>_xlfn.XLOOKUP(B564,ESTOQUE!B:B,ESTOQUE!G:G,"",0)</f>
        <v>UND</v>
      </c>
      <c r="F564" s="99">
        <v>11</v>
      </c>
      <c r="G564" s="146"/>
      <c r="H564" s="146"/>
      <c r="I564" s="147"/>
      <c r="J564" s="147"/>
      <c r="K564" s="63"/>
    </row>
    <row r="565" spans="1:11" x14ac:dyDescent="0.25">
      <c r="A565" s="108">
        <v>45965</v>
      </c>
      <c r="B565" s="109">
        <v>96</v>
      </c>
      <c r="C565" s="49" t="s">
        <v>19</v>
      </c>
      <c r="D565" s="110" t="str">
        <f>IF(ISBLANK($B565),"",IFERROR(VLOOKUP($B565,ESTOQUE!$B$2:$D$97168,3,FALSE),"Produto não cadastrado"))</f>
        <v xml:space="preserve">CINTO DE SEGURANÇA MODELO:C70 </v>
      </c>
      <c r="E565" s="99" t="str">
        <f>_xlfn.XLOOKUP(B565,ESTOQUE!B:B,ESTOQUE!G:G,"",0)</f>
        <v>UND</v>
      </c>
      <c r="F565" s="99">
        <v>2</v>
      </c>
      <c r="G565" s="146"/>
      <c r="H565" s="146"/>
      <c r="I565" s="147"/>
      <c r="J565" s="147"/>
      <c r="K565" s="63"/>
    </row>
    <row r="566" spans="1:11" x14ac:dyDescent="0.25">
      <c r="A566" s="108">
        <v>45965</v>
      </c>
      <c r="B566" s="109">
        <v>97</v>
      </c>
      <c r="C566" s="49" t="s">
        <v>19</v>
      </c>
      <c r="D566" s="110" t="str">
        <f>IF(ISBLANK($B566),"",IFERROR(VLOOKUP($B566,ESTOQUE!$B$2:$D$97168,3,FALSE),"Produto não cadastrado"))</f>
        <v>COLETE REFLETIVO LARANJA M</v>
      </c>
      <c r="E566" s="99" t="str">
        <f>_xlfn.XLOOKUP(B566,ESTOQUE!B:B,ESTOQUE!G:G,"",0)</f>
        <v>UND</v>
      </c>
      <c r="F566" s="99">
        <v>1</v>
      </c>
      <c r="G566" s="146"/>
      <c r="H566" s="146"/>
      <c r="I566" s="147"/>
      <c r="J566" s="147"/>
      <c r="K566" s="63"/>
    </row>
    <row r="567" spans="1:11" x14ac:dyDescent="0.25">
      <c r="A567" s="108">
        <v>45965</v>
      </c>
      <c r="B567" s="109">
        <v>67</v>
      </c>
      <c r="C567" s="49" t="s">
        <v>19</v>
      </c>
      <c r="D567" s="110" t="str">
        <f>IF(ISBLANK($B567),"",IFERROR(VLOOKUP($B567,ESTOQUE!$B$2:$D$97168,3,FALSE),"Produto não cadastrado"))</f>
        <v>CAMISA LARANJA OP. C/ FAIXA REFLETIVA TAM: G</v>
      </c>
      <c r="E567" s="99" t="str">
        <f>_xlfn.XLOOKUP(B567,ESTOQUE!B:B,ESTOQUE!G:G,"",0)</f>
        <v>UND</v>
      </c>
      <c r="F567" s="99">
        <v>4</v>
      </c>
      <c r="G567" s="146"/>
      <c r="H567" s="146"/>
      <c r="I567" s="147"/>
      <c r="J567" s="147"/>
      <c r="K567" s="63"/>
    </row>
    <row r="568" spans="1:11" x14ac:dyDescent="0.25">
      <c r="A568" s="108">
        <v>45965</v>
      </c>
      <c r="B568" s="109">
        <v>68</v>
      </c>
      <c r="C568" s="49" t="s">
        <v>19</v>
      </c>
      <c r="D568" s="110" t="str">
        <f>IF(ISBLANK($B568),"",IFERROR(VLOOKUP($B568,ESTOQUE!$B$2:$D$97168,3,FALSE),"Produto não cadastrado"))</f>
        <v>CAMISA LARANJA OP. C/ FAIXA REFLETIVA TAM: GG</v>
      </c>
      <c r="E568" s="99" t="str">
        <f>_xlfn.XLOOKUP(B568,ESTOQUE!B:B,ESTOQUE!G:G,"",0)</f>
        <v>UND</v>
      </c>
      <c r="F568" s="99">
        <v>2</v>
      </c>
      <c r="G568" s="146"/>
      <c r="H568" s="146"/>
      <c r="I568" s="147"/>
      <c r="J568" s="147"/>
      <c r="K568" s="63"/>
    </row>
    <row r="569" spans="1:11" x14ac:dyDescent="0.25">
      <c r="A569" s="108">
        <v>45965</v>
      </c>
      <c r="B569" s="109">
        <v>70</v>
      </c>
      <c r="C569" s="49" t="s">
        <v>19</v>
      </c>
      <c r="D569" s="110" t="str">
        <f>IF(ISBLANK($B569),"",IFERROR(VLOOKUP($B569,ESTOQUE!$B$2:$D$97168,3,FALSE),"Produto não cadastrado"))</f>
        <v>CAMISA LARANJA OP. C/ FAIXA REFLETIVA TAM: P</v>
      </c>
      <c r="E569" s="99" t="str">
        <f>_xlfn.XLOOKUP(B569,ESTOQUE!B:B,ESTOQUE!G:G,"",0)</f>
        <v>UND</v>
      </c>
      <c r="F569" s="99">
        <v>2</v>
      </c>
      <c r="G569" s="146"/>
      <c r="H569" s="146"/>
      <c r="I569" s="147"/>
      <c r="J569" s="147"/>
      <c r="K569" s="63"/>
    </row>
    <row r="570" spans="1:11" x14ac:dyDescent="0.25">
      <c r="A570" s="108">
        <v>45965</v>
      </c>
      <c r="B570" s="109">
        <v>46</v>
      </c>
      <c r="C570" s="49" t="s">
        <v>19</v>
      </c>
      <c r="D570" s="110" t="str">
        <f>IF(ISBLANK($B570),"",IFERROR(VLOOKUP($B570,ESTOQUE!$B$2:$D$97168,3,FALSE),"Produto não cadastrado"))</f>
        <v>CALÇA CINZA OP. C/ FAIXA REFLETIVA TAM: G</v>
      </c>
      <c r="E570" s="99" t="str">
        <f>_xlfn.XLOOKUP(B570,ESTOQUE!B:B,ESTOQUE!G:G,"",0)</f>
        <v>UND</v>
      </c>
      <c r="F570" s="99">
        <v>2</v>
      </c>
      <c r="G570" s="146"/>
      <c r="H570" s="146"/>
      <c r="I570" s="147"/>
      <c r="J570" s="147"/>
      <c r="K570" s="63"/>
    </row>
    <row r="571" spans="1:11" x14ac:dyDescent="0.25">
      <c r="A571" s="108">
        <v>45965</v>
      </c>
      <c r="B571" s="109">
        <v>48</v>
      </c>
      <c r="C571" s="49" t="s">
        <v>19</v>
      </c>
      <c r="D571" s="110" t="str">
        <f>IF(ISBLANK($B571),"",IFERROR(VLOOKUP($B571,ESTOQUE!$B$2:$D$97168,3,FALSE),"Produto não cadastrado"))</f>
        <v>CALÇA CINZA OP. C/ FAIXA REFLETIVA TAM: M</v>
      </c>
      <c r="E571" s="99" t="str">
        <f>_xlfn.XLOOKUP(B571,ESTOQUE!B:B,ESTOQUE!G:G,"",0)</f>
        <v>UND</v>
      </c>
      <c r="F571" s="99">
        <v>2</v>
      </c>
      <c r="G571" s="146"/>
      <c r="H571" s="146"/>
      <c r="I571" s="147"/>
      <c r="J571" s="147"/>
      <c r="K571" s="63"/>
    </row>
    <row r="572" spans="1:11" x14ac:dyDescent="0.25">
      <c r="A572" s="108">
        <v>45965</v>
      </c>
      <c r="B572" s="109">
        <v>49</v>
      </c>
      <c r="C572" s="49" t="s">
        <v>19</v>
      </c>
      <c r="D572" s="110" t="str">
        <f>IF(ISBLANK($B572),"",IFERROR(VLOOKUP($B572,ESTOQUE!$B$2:$D$97168,3,FALSE),"Produto não cadastrado"))</f>
        <v>CALÇA CINZA OP. C/ FAIXA REFLETIVA TAM: P</v>
      </c>
      <c r="E572" s="99" t="str">
        <f>_xlfn.XLOOKUP(B572,ESTOQUE!B:B,ESTOQUE!G:G,"",0)</f>
        <v>UND</v>
      </c>
      <c r="F572" s="99">
        <v>2</v>
      </c>
      <c r="G572" s="146"/>
      <c r="H572" s="146"/>
      <c r="I572" s="147"/>
      <c r="J572" s="147"/>
      <c r="K572" s="63"/>
    </row>
    <row r="573" spans="1:11" x14ac:dyDescent="0.25">
      <c r="A573" s="108">
        <v>45965</v>
      </c>
      <c r="B573" s="109">
        <v>228</v>
      </c>
      <c r="C573" s="49" t="s">
        <v>19</v>
      </c>
      <c r="D573" s="110" t="str">
        <f>IF(ISBLANK($B573),"",IFERROR(VLOOKUP($B573,ESTOQUE!$B$2:$D$97168,3,FALSE),"Produto não cadastrado"))</f>
        <v xml:space="preserve">BALACLAVA  </v>
      </c>
      <c r="E573" s="99" t="str">
        <f>_xlfn.XLOOKUP(B573,ESTOQUE!B:B,ESTOQUE!G:G,"",0)</f>
        <v>UND</v>
      </c>
      <c r="F573" s="99">
        <v>4</v>
      </c>
      <c r="G573" s="146"/>
      <c r="H573" s="146"/>
      <c r="I573" s="147"/>
      <c r="J573" s="147"/>
      <c r="K573" s="63"/>
    </row>
    <row r="574" spans="1:11" x14ac:dyDescent="0.25">
      <c r="A574" s="108">
        <v>45966</v>
      </c>
      <c r="B574" s="109">
        <v>130</v>
      </c>
      <c r="C574" s="49" t="s">
        <v>19</v>
      </c>
      <c r="D574" s="110" t="str">
        <f>IF(ISBLANK($B574),"",IFERROR(VLOOKUP($B574,ESTOQUE!$B$2:$D$97168,3,FALSE),"Produto não cadastrado"))</f>
        <v>PROTETOR AUDITIVO TIPO CONCHA L-300</v>
      </c>
      <c r="E574" s="99" t="str">
        <f>_xlfn.XLOOKUP(B574,ESTOQUE!B:B,ESTOQUE!G:G,"",0)</f>
        <v>UND</v>
      </c>
      <c r="F574" s="99">
        <v>1</v>
      </c>
      <c r="G574" s="146"/>
      <c r="H574" s="146"/>
      <c r="I574" s="147"/>
      <c r="J574" s="147"/>
      <c r="K574" s="63"/>
    </row>
    <row r="575" spans="1:11" x14ac:dyDescent="0.25">
      <c r="A575" s="108">
        <v>45966</v>
      </c>
      <c r="B575" s="109">
        <v>139</v>
      </c>
      <c r="C575" s="49" t="s">
        <v>19</v>
      </c>
      <c r="D575" s="110" t="str">
        <f>IF(ISBLANK($B575),"",IFERROR(VLOOKUP($B575,ESTOQUE!$B$2:$D$97168,3,FALSE),"Produto não cadastrado"))</f>
        <v>PROTETOR AURICULAR TIPO PLUG</v>
      </c>
      <c r="E575" s="99" t="str">
        <f>_xlfn.XLOOKUP(B575,ESTOQUE!B:B,ESTOQUE!G:G,"",0)</f>
        <v>UND</v>
      </c>
      <c r="F575" s="99">
        <v>1</v>
      </c>
      <c r="G575" s="146"/>
      <c r="H575" s="146"/>
      <c r="I575" s="147"/>
      <c r="J575" s="147"/>
      <c r="K575" s="63"/>
    </row>
    <row r="576" spans="1:11" x14ac:dyDescent="0.25">
      <c r="A576" s="108">
        <v>45966</v>
      </c>
      <c r="B576" s="109">
        <v>161</v>
      </c>
      <c r="C576" s="49" t="s">
        <v>19</v>
      </c>
      <c r="D576" s="110" t="str">
        <f>IF(ISBLANK($B576),"",IFERROR(VLOOKUP($B576,ESTOQUE!$B$2:$D$97168,3,FALSE),"Produto não cadastrado"))</f>
        <v>JUGULAR</v>
      </c>
      <c r="E576" s="99" t="str">
        <f>_xlfn.XLOOKUP(B576,ESTOQUE!B:B,ESTOQUE!G:G,"",0)</f>
        <v>UND</v>
      </c>
      <c r="F576" s="99">
        <v>5</v>
      </c>
      <c r="G576" s="146"/>
      <c r="H576" s="146"/>
      <c r="I576" s="147"/>
      <c r="J576" s="147"/>
      <c r="K576" s="63"/>
    </row>
    <row r="577" spans="1:11" x14ac:dyDescent="0.25">
      <c r="A577" s="108">
        <v>45966</v>
      </c>
      <c r="B577" s="109">
        <v>110</v>
      </c>
      <c r="C577" s="49" t="s">
        <v>19</v>
      </c>
      <c r="D577" s="110" t="str">
        <f>IF(ISBLANK($B577),"",IFERROR(VLOOKUP($B577,ESTOQUE!$B$2:$D$97168,3,FALSE),"Produto não cadastrado"))</f>
        <v>LUVA DE RASPA CANO LONGO</v>
      </c>
      <c r="E577" s="99" t="str">
        <f>_xlfn.XLOOKUP(B577,ESTOQUE!B:B,ESTOQUE!G:G,"",0)</f>
        <v>PAR</v>
      </c>
      <c r="F577" s="99">
        <v>2</v>
      </c>
      <c r="G577" s="146"/>
      <c r="H577" s="146"/>
      <c r="I577" s="147"/>
      <c r="J577" s="147"/>
      <c r="K577" s="63"/>
    </row>
    <row r="578" spans="1:11" x14ac:dyDescent="0.25">
      <c r="A578" s="108">
        <v>45966</v>
      </c>
      <c r="B578" s="109">
        <v>111</v>
      </c>
      <c r="C578" s="49" t="s">
        <v>19</v>
      </c>
      <c r="D578" s="110" t="str">
        <f>IF(ISBLANK($B578),"",IFERROR(VLOOKUP($B578,ESTOQUE!$B$2:$D$97168,3,FALSE),"Produto não cadastrado"))</f>
        <v>LUVA DE VAQUETA MARROM</v>
      </c>
      <c r="E578" s="99" t="str">
        <f>_xlfn.XLOOKUP(B578,ESTOQUE!B:B,ESTOQUE!G:G,"",0)</f>
        <v>PAR</v>
      </c>
      <c r="F578" s="99">
        <v>2</v>
      </c>
      <c r="G578" s="146"/>
      <c r="H578" s="146"/>
      <c r="I578" s="147"/>
      <c r="J578" s="147"/>
      <c r="K578" s="63"/>
    </row>
    <row r="579" spans="1:11" x14ac:dyDescent="0.25">
      <c r="A579" s="108">
        <v>45966</v>
      </c>
      <c r="B579" s="109">
        <v>189</v>
      </c>
      <c r="C579" s="49" t="s">
        <v>19</v>
      </c>
      <c r="D579" s="110" t="str">
        <f>IF(ISBLANK($B579),"",IFERROR(VLOOKUP($B579,ESTOQUE!$B$2:$D$97168,3,FALSE),"Produto não cadastrado"))</f>
        <v xml:space="preserve">LUVA DE VAQUETA MISTA </v>
      </c>
      <c r="E579" s="99" t="str">
        <f>_xlfn.XLOOKUP(B579,ESTOQUE!B:B,ESTOQUE!G:G,"",0)</f>
        <v>UND</v>
      </c>
      <c r="F579" s="99">
        <v>2</v>
      </c>
      <c r="G579" s="146"/>
      <c r="H579" s="146"/>
      <c r="I579" s="147"/>
      <c r="J579" s="147"/>
      <c r="K579" s="63"/>
    </row>
    <row r="580" spans="1:11" x14ac:dyDescent="0.25">
      <c r="A580" s="108">
        <v>45966</v>
      </c>
      <c r="B580" s="109">
        <v>114</v>
      </c>
      <c r="C580" s="49" t="s">
        <v>19</v>
      </c>
      <c r="D580" s="110" t="str">
        <f>IF(ISBLANK($B580),"",IFERROR(VLOOKUP($B580,ESTOQUE!$B$2:$D$97168,3,FALSE),"Produto não cadastrado"))</f>
        <v xml:space="preserve">LUVA LATEX NITRILICA </v>
      </c>
      <c r="E580" s="99" t="str">
        <f>_xlfn.XLOOKUP(B580,ESTOQUE!B:B,ESTOQUE!G:G,"",0)</f>
        <v>PAR</v>
      </c>
      <c r="F580" s="99">
        <v>2</v>
      </c>
      <c r="G580" s="146"/>
      <c r="H580" s="146"/>
      <c r="I580" s="147"/>
      <c r="J580" s="147"/>
      <c r="K580" s="63"/>
    </row>
    <row r="581" spans="1:11" x14ac:dyDescent="0.25">
      <c r="A581" s="108">
        <v>45966</v>
      </c>
      <c r="B581" s="109">
        <v>117</v>
      </c>
      <c r="C581" s="49" t="s">
        <v>19</v>
      </c>
      <c r="D581" s="110" t="str">
        <f>IF(ISBLANK($B581),"",IFERROR(VLOOKUP($B581,ESTOQUE!$B$2:$D$97168,3,FALSE),"Produto não cadastrado"))</f>
        <v>LUVA PIGMENTADA</v>
      </c>
      <c r="E581" s="99" t="str">
        <f>_xlfn.XLOOKUP(B581,ESTOQUE!B:B,ESTOQUE!G:G,"",0)</f>
        <v>PAR</v>
      </c>
      <c r="F581" s="99">
        <v>20</v>
      </c>
      <c r="G581" s="146"/>
      <c r="H581" s="146"/>
      <c r="I581" s="147"/>
      <c r="J581" s="147"/>
      <c r="K581" s="63"/>
    </row>
    <row r="582" spans="1:11" x14ac:dyDescent="0.25">
      <c r="A582" s="108">
        <v>45966</v>
      </c>
      <c r="B582" s="109">
        <v>207</v>
      </c>
      <c r="C582" s="49" t="s">
        <v>19</v>
      </c>
      <c r="D582" s="110" t="str">
        <f>IF(ISBLANK($B582),"",IFERROR(VLOOKUP($B582,ESTOQUE!$B$2:$D$97168,3,FALSE),"Produto não cadastrado"))</f>
        <v>LUVA POLIESTER ANTICORTE BANHADA PU TAM 9</v>
      </c>
      <c r="E582" s="99" t="str">
        <f>_xlfn.XLOOKUP(B582,ESTOQUE!B:B,ESTOQUE!G:G,"",0)</f>
        <v>PAR</v>
      </c>
      <c r="F582" s="99">
        <v>4</v>
      </c>
      <c r="G582" s="146"/>
      <c r="H582" s="146"/>
      <c r="I582" s="147"/>
      <c r="J582" s="147"/>
      <c r="K582" s="63"/>
    </row>
    <row r="583" spans="1:11" x14ac:dyDescent="0.25">
      <c r="A583" s="108">
        <v>45966</v>
      </c>
      <c r="B583" s="109">
        <v>118</v>
      </c>
      <c r="C583" s="49" t="s">
        <v>19</v>
      </c>
      <c r="D583" s="110" t="str">
        <f>IF(ISBLANK($B583),"",IFERROR(VLOOKUP($B583,ESTOQUE!$B$2:$D$97168,3,FALSE),"Produto não cadastrado"))</f>
        <v>MACACÃO DE PROTEÇÃO TYVEK</v>
      </c>
      <c r="E583" s="99" t="str">
        <f>_xlfn.XLOOKUP(B583,ESTOQUE!B:B,ESTOQUE!G:G,"",0)</f>
        <v>UND</v>
      </c>
      <c r="F583" s="99">
        <v>3</v>
      </c>
      <c r="G583" s="146"/>
      <c r="H583" s="146"/>
      <c r="I583" s="147"/>
      <c r="J583" s="147"/>
      <c r="K583" s="63"/>
    </row>
    <row r="584" spans="1:11" x14ac:dyDescent="0.25">
      <c r="A584" s="108">
        <v>45966</v>
      </c>
      <c r="B584" s="109">
        <v>144</v>
      </c>
      <c r="C584" s="49" t="s">
        <v>19</v>
      </c>
      <c r="D584" s="110" t="str">
        <f>IF(ISBLANK($B584),"",IFERROR(VLOOKUP($B584,ESTOQUE!$B$2:$D$97168,3,FALSE),"Produto não cadastrado"))</f>
        <v>MASCARA PFF2-S C/ FILTRO</v>
      </c>
      <c r="E584" s="99" t="str">
        <f>_xlfn.XLOOKUP(B584,ESTOQUE!B:B,ESTOQUE!G:G,"",0)</f>
        <v>UND</v>
      </c>
      <c r="F584" s="99">
        <v>22</v>
      </c>
      <c r="G584" s="146"/>
      <c r="H584" s="146"/>
      <c r="I584" s="147"/>
      <c r="J584" s="147"/>
      <c r="K584" s="63"/>
    </row>
    <row r="585" spans="1:11" x14ac:dyDescent="0.25">
      <c r="A585" s="108">
        <v>45966</v>
      </c>
      <c r="B585" s="109">
        <v>126</v>
      </c>
      <c r="C585" s="49" t="s">
        <v>19</v>
      </c>
      <c r="D585" s="110" t="str">
        <f>IF(ISBLANK($B585),"",IFERROR(VLOOKUP($B585,ESTOQUE!$B$2:$D$97168,3,FALSE),"Produto não cadastrado"))</f>
        <v>OCULOS DE PROTEÇÃO ESCURO</v>
      </c>
      <c r="E585" s="99" t="str">
        <f>_xlfn.XLOOKUP(B585,ESTOQUE!B:B,ESTOQUE!G:G,"",0)</f>
        <v>UND</v>
      </c>
      <c r="F585" s="99">
        <v>15</v>
      </c>
      <c r="G585" s="146"/>
      <c r="H585" s="146"/>
      <c r="I585" s="147"/>
      <c r="J585" s="147"/>
      <c r="K585" s="63"/>
    </row>
    <row r="586" spans="1:11" x14ac:dyDescent="0.25">
      <c r="A586" s="108">
        <v>45966</v>
      </c>
      <c r="B586" s="109">
        <v>124</v>
      </c>
      <c r="C586" s="49" t="s">
        <v>19</v>
      </c>
      <c r="D586" s="110" t="str">
        <f>IF(ISBLANK($B586),"",IFERROR(VLOOKUP($B586,ESTOQUE!$B$2:$D$97168,3,FALSE),"Produto não cadastrado"))</f>
        <v xml:space="preserve">OCULOS DE PROTEÇÃO INCOLOR </v>
      </c>
      <c r="E586" s="99" t="str">
        <f>_xlfn.XLOOKUP(B586,ESTOQUE!B:B,ESTOQUE!G:G,"",0)</f>
        <v>UND</v>
      </c>
      <c r="F586" s="99">
        <v>4</v>
      </c>
      <c r="G586" s="146"/>
      <c r="H586" s="146"/>
      <c r="I586" s="147"/>
      <c r="J586" s="147"/>
      <c r="K586" s="63"/>
    </row>
    <row r="587" spans="1:11" x14ac:dyDescent="0.25">
      <c r="A587" s="108">
        <v>45966</v>
      </c>
      <c r="B587" s="109">
        <v>225</v>
      </c>
      <c r="C587" s="49" t="s">
        <v>19</v>
      </c>
      <c r="D587" s="110" t="str">
        <f>IF(ISBLANK($B587),"",IFERROR(VLOOKUP($B587,ESTOQUE!$B$2:$D$97168,3,FALSE),"Produto não cadastrado"))</f>
        <v>OCULOS OPERACIONAL SOBRE POR INCOLOR</v>
      </c>
      <c r="E587" s="99" t="str">
        <f>_xlfn.XLOOKUP(B587,ESTOQUE!B:B,ESTOQUE!G:G,"",0)</f>
        <v>UND</v>
      </c>
      <c r="F587" s="99">
        <v>1</v>
      </c>
      <c r="G587" s="146"/>
      <c r="H587" s="146"/>
      <c r="I587" s="147"/>
      <c r="J587" s="147"/>
      <c r="K587" s="63"/>
    </row>
    <row r="588" spans="1:11" x14ac:dyDescent="0.25">
      <c r="A588" s="108">
        <v>45966</v>
      </c>
      <c r="B588" s="109">
        <v>91</v>
      </c>
      <c r="C588" s="49" t="s">
        <v>19</v>
      </c>
      <c r="D588" s="110" t="str">
        <f>IF(ISBLANK($B588),"",IFERROR(VLOOKUP($B588,ESTOQUE!$B$2:$D$97168,3,FALSE),"Produto não cadastrado"))</f>
        <v>CAPACETE PLASTCOR ROXO</v>
      </c>
      <c r="E588" s="99" t="str">
        <f>_xlfn.XLOOKUP(B588,ESTOQUE!B:B,ESTOQUE!G:G,"",0)</f>
        <v>UND</v>
      </c>
      <c r="F588" s="99">
        <v>1</v>
      </c>
      <c r="G588" s="146"/>
      <c r="H588" s="146"/>
      <c r="I588" s="147"/>
      <c r="J588" s="147"/>
      <c r="K588" s="63"/>
    </row>
    <row r="589" spans="1:11" x14ac:dyDescent="0.25">
      <c r="A589" s="108">
        <v>45966</v>
      </c>
      <c r="B589" s="109">
        <v>97</v>
      </c>
      <c r="C589" s="49" t="s">
        <v>19</v>
      </c>
      <c r="D589" s="110" t="str">
        <f>IF(ISBLANK($B589),"",IFERROR(VLOOKUP($B589,ESTOQUE!$B$2:$D$97168,3,FALSE),"Produto não cadastrado"))</f>
        <v>COLETE REFLETIVO LARANJA M</v>
      </c>
      <c r="E589" s="99" t="str">
        <f>_xlfn.XLOOKUP(B589,ESTOQUE!B:B,ESTOQUE!G:G,"",0)</f>
        <v>UND</v>
      </c>
      <c r="F589" s="99">
        <v>1</v>
      </c>
      <c r="G589" s="146"/>
      <c r="H589" s="146"/>
      <c r="I589" s="147"/>
      <c r="J589" s="147"/>
      <c r="K589" s="63"/>
    </row>
    <row r="590" spans="1:11" x14ac:dyDescent="0.25">
      <c r="A590" s="108">
        <v>45966</v>
      </c>
      <c r="B590" s="109">
        <v>98</v>
      </c>
      <c r="C590" s="49" t="s">
        <v>19</v>
      </c>
      <c r="D590" s="110" t="str">
        <f>IF(ISBLANK($B590),"",IFERROR(VLOOKUP($B590,ESTOQUE!$B$2:$D$97168,3,FALSE),"Produto não cadastrado"))</f>
        <v>COLETE REFLETIVO LARANJA XGG</v>
      </c>
      <c r="E590" s="99" t="str">
        <f>_xlfn.XLOOKUP(B590,ESTOQUE!B:B,ESTOQUE!G:G,"",0)</f>
        <v>UND</v>
      </c>
      <c r="F590" s="99">
        <v>1</v>
      </c>
      <c r="G590" s="146"/>
      <c r="H590" s="146"/>
      <c r="I590" s="147"/>
      <c r="J590" s="147"/>
      <c r="K590" s="63"/>
    </row>
    <row r="591" spans="1:11" x14ac:dyDescent="0.25">
      <c r="A591" s="108">
        <v>45966</v>
      </c>
      <c r="B591" s="109">
        <v>67</v>
      </c>
      <c r="C591" s="49" t="s">
        <v>19</v>
      </c>
      <c r="D591" s="110" t="str">
        <f>IF(ISBLANK($B591),"",IFERROR(VLOOKUP($B591,ESTOQUE!$B$2:$D$97168,3,FALSE),"Produto não cadastrado"))</f>
        <v>CAMISA LARANJA OP. C/ FAIXA REFLETIVA TAM: G</v>
      </c>
      <c r="E591" s="99" t="str">
        <f>_xlfn.XLOOKUP(B591,ESTOQUE!B:B,ESTOQUE!G:G,"",0)</f>
        <v>UND</v>
      </c>
      <c r="F591" s="99">
        <v>1</v>
      </c>
      <c r="G591" s="146"/>
      <c r="H591" s="146"/>
      <c r="I591" s="147"/>
      <c r="J591" s="147"/>
      <c r="K591" s="63"/>
    </row>
    <row r="592" spans="1:11" x14ac:dyDescent="0.25">
      <c r="A592" s="108">
        <v>45966</v>
      </c>
      <c r="B592" s="109">
        <v>68</v>
      </c>
      <c r="C592" s="49" t="s">
        <v>19</v>
      </c>
      <c r="D592" s="110" t="str">
        <f>IF(ISBLANK($B592),"",IFERROR(VLOOKUP($B592,ESTOQUE!$B$2:$D$97168,3,FALSE),"Produto não cadastrado"))</f>
        <v>CAMISA LARANJA OP. C/ FAIXA REFLETIVA TAM: GG</v>
      </c>
      <c r="E592" s="99" t="str">
        <f>_xlfn.XLOOKUP(B592,ESTOQUE!B:B,ESTOQUE!G:G,"",0)</f>
        <v>UND</v>
      </c>
      <c r="F592" s="99">
        <v>14</v>
      </c>
      <c r="G592" s="146"/>
      <c r="H592" s="146"/>
      <c r="I592" s="147"/>
      <c r="J592" s="147"/>
      <c r="K592" s="63"/>
    </row>
    <row r="593" spans="1:11" x14ac:dyDescent="0.25">
      <c r="A593" s="108">
        <v>45966</v>
      </c>
      <c r="B593" s="109">
        <v>69</v>
      </c>
      <c r="C593" s="49" t="s">
        <v>19</v>
      </c>
      <c r="D593" s="110" t="str">
        <f>IF(ISBLANK($B593),"",IFERROR(VLOOKUP($B593,ESTOQUE!$B$2:$D$97168,3,FALSE),"Produto não cadastrado"))</f>
        <v>CAMISA LARANJA OP. C/ FAIXA REFLETIVA TAM: M</v>
      </c>
      <c r="E593" s="99" t="str">
        <f>_xlfn.XLOOKUP(B593,ESTOQUE!B:B,ESTOQUE!G:G,"",0)</f>
        <v>UND</v>
      </c>
      <c r="F593" s="99">
        <v>1</v>
      </c>
      <c r="G593" s="146"/>
      <c r="H593" s="146"/>
      <c r="I593" s="147"/>
      <c r="J593" s="147"/>
      <c r="K593" s="63"/>
    </row>
    <row r="594" spans="1:11" x14ac:dyDescent="0.25">
      <c r="A594" s="108">
        <v>45966</v>
      </c>
      <c r="B594" s="109">
        <v>70</v>
      </c>
      <c r="C594" s="49" t="s">
        <v>19</v>
      </c>
      <c r="D594" s="110" t="str">
        <f>IF(ISBLANK($B594),"",IFERROR(VLOOKUP($B594,ESTOQUE!$B$2:$D$97168,3,FALSE),"Produto não cadastrado"))</f>
        <v>CAMISA LARANJA OP. C/ FAIXA REFLETIVA TAM: P</v>
      </c>
      <c r="E594" s="99" t="str">
        <f>_xlfn.XLOOKUP(B594,ESTOQUE!B:B,ESTOQUE!G:G,"",0)</f>
        <v>UND</v>
      </c>
      <c r="F594" s="99">
        <v>4</v>
      </c>
      <c r="G594" s="146"/>
      <c r="H594" s="146"/>
      <c r="I594" s="147"/>
      <c r="J594" s="147"/>
      <c r="K594" s="63"/>
    </row>
    <row r="595" spans="1:11" x14ac:dyDescent="0.25">
      <c r="A595" s="108">
        <v>45966</v>
      </c>
      <c r="B595" s="109">
        <v>73</v>
      </c>
      <c r="C595" s="49" t="s">
        <v>19</v>
      </c>
      <c r="D595" s="110" t="str">
        <f>IF(ISBLANK($B595),"",IFERROR(VLOOKUP($B595,ESTOQUE!$B$2:$D$97168,3,FALSE),"Produto não cadastrado"))</f>
        <v>CAPA DE CHUVA GG</v>
      </c>
      <c r="E595" s="99" t="str">
        <f>_xlfn.XLOOKUP(B595,ESTOQUE!B:B,ESTOQUE!G:G,"",0)</f>
        <v>UND</v>
      </c>
      <c r="F595" s="99">
        <v>16</v>
      </c>
      <c r="G595" s="146"/>
      <c r="H595" s="146"/>
      <c r="I595" s="147"/>
      <c r="J595" s="147"/>
      <c r="K595" s="63"/>
    </row>
    <row r="596" spans="1:11" x14ac:dyDescent="0.25">
      <c r="A596" s="108">
        <v>45966</v>
      </c>
      <c r="B596" s="109">
        <v>37</v>
      </c>
      <c r="C596" s="49" t="s">
        <v>19</v>
      </c>
      <c r="D596" s="110" t="str">
        <f>IF(ISBLANK($B596),"",IFERROR(VLOOKUP($B596,ESTOQUE!$B$2:$D$97168,3,FALSE),"Produto não cadastrado"))</f>
        <v>BOTINA OP. BICO PVC Nº 39</v>
      </c>
      <c r="E596" s="99" t="str">
        <f>_xlfn.XLOOKUP(B596,ESTOQUE!B:B,ESTOQUE!G:G,"",0)</f>
        <v>PAR</v>
      </c>
      <c r="F596" s="99">
        <v>2</v>
      </c>
      <c r="G596" s="146"/>
      <c r="H596" s="146"/>
      <c r="I596" s="147"/>
      <c r="J596" s="147"/>
      <c r="K596" s="63"/>
    </row>
    <row r="597" spans="1:11" x14ac:dyDescent="0.25">
      <c r="A597" s="108">
        <v>45966</v>
      </c>
      <c r="B597" s="109">
        <v>41</v>
      </c>
      <c r="C597" s="49" t="s">
        <v>19</v>
      </c>
      <c r="D597" s="110" t="str">
        <f>IF(ISBLANK($B597),"",IFERROR(VLOOKUP($B597,ESTOQUE!$B$2:$D$97168,3,FALSE),"Produto não cadastrado"))</f>
        <v>BOTINA OP. BICO PVC Nº 43</v>
      </c>
      <c r="E597" s="99" t="str">
        <f>_xlfn.XLOOKUP(B597,ESTOQUE!B:B,ESTOQUE!G:G,"",0)</f>
        <v>PAR</v>
      </c>
      <c r="F597" s="99">
        <v>3</v>
      </c>
      <c r="G597" s="146"/>
      <c r="H597" s="146"/>
      <c r="I597" s="147"/>
      <c r="J597" s="147"/>
      <c r="K597" s="63"/>
    </row>
    <row r="598" spans="1:11" x14ac:dyDescent="0.25">
      <c r="A598" s="108">
        <v>45966</v>
      </c>
      <c r="B598" s="109">
        <v>46</v>
      </c>
      <c r="C598" s="49" t="s">
        <v>19</v>
      </c>
      <c r="D598" s="110" t="str">
        <f>IF(ISBLANK($B598),"",IFERROR(VLOOKUP($B598,ESTOQUE!$B$2:$D$97168,3,FALSE),"Produto não cadastrado"))</f>
        <v>CALÇA CINZA OP. C/ FAIXA REFLETIVA TAM: G</v>
      </c>
      <c r="E598" s="99" t="str">
        <f>_xlfn.XLOOKUP(B598,ESTOQUE!B:B,ESTOQUE!G:G,"",0)</f>
        <v>UND</v>
      </c>
      <c r="F598" s="99">
        <v>4</v>
      </c>
      <c r="G598" s="146"/>
      <c r="H598" s="146"/>
      <c r="I598" s="147"/>
      <c r="J598" s="147"/>
      <c r="K598" s="63"/>
    </row>
    <row r="599" spans="1:11" x14ac:dyDescent="0.25">
      <c r="A599" s="108">
        <v>45966</v>
      </c>
      <c r="B599" s="109">
        <v>47</v>
      </c>
      <c r="C599" s="49" t="s">
        <v>19</v>
      </c>
      <c r="D599" s="110" t="str">
        <f>IF(ISBLANK($B599),"",IFERROR(VLOOKUP($B599,ESTOQUE!$B$2:$D$97168,3,FALSE),"Produto não cadastrado"))</f>
        <v>CALÇA CINZA OP. C/ FAIXA REFLETIVA TAM: GG</v>
      </c>
      <c r="E599" s="99" t="str">
        <f>_xlfn.XLOOKUP(B599,ESTOQUE!B:B,ESTOQUE!G:G,"",0)</f>
        <v>UND</v>
      </c>
      <c r="F599" s="99">
        <v>4</v>
      </c>
      <c r="G599" s="146"/>
      <c r="H599" s="146"/>
      <c r="I599" s="147"/>
      <c r="J599" s="147"/>
      <c r="K599" s="63"/>
    </row>
    <row r="600" spans="1:11" x14ac:dyDescent="0.25">
      <c r="A600" s="108">
        <v>45966</v>
      </c>
      <c r="B600" s="109">
        <v>48</v>
      </c>
      <c r="C600" s="49" t="s">
        <v>19</v>
      </c>
      <c r="D600" s="110" t="str">
        <f>IF(ISBLANK($B600),"",IFERROR(VLOOKUP($B600,ESTOQUE!$B$2:$D$97168,3,FALSE),"Produto não cadastrado"))</f>
        <v>CALÇA CINZA OP. C/ FAIXA REFLETIVA TAM: M</v>
      </c>
      <c r="E600" s="99" t="str">
        <f>_xlfn.XLOOKUP(B600,ESTOQUE!B:B,ESTOQUE!G:G,"",0)</f>
        <v>UND</v>
      </c>
      <c r="F600" s="99">
        <v>1</v>
      </c>
      <c r="G600" s="146"/>
      <c r="H600" s="146"/>
      <c r="I600" s="147"/>
      <c r="J600" s="147"/>
      <c r="K600" s="63"/>
    </row>
    <row r="601" spans="1:11" x14ac:dyDescent="0.25">
      <c r="A601" s="108">
        <v>45966</v>
      </c>
      <c r="B601" s="109">
        <v>49</v>
      </c>
      <c r="C601" s="49" t="s">
        <v>19</v>
      </c>
      <c r="D601" s="110" t="str">
        <f>IF(ISBLANK($B601),"",IFERROR(VLOOKUP($B601,ESTOQUE!$B$2:$D$97168,3,FALSE),"Produto não cadastrado"))</f>
        <v>CALÇA CINZA OP. C/ FAIXA REFLETIVA TAM: P</v>
      </c>
      <c r="E601" s="99" t="str">
        <f>_xlfn.XLOOKUP(B601,ESTOQUE!B:B,ESTOQUE!G:G,"",0)</f>
        <v>UND</v>
      </c>
      <c r="F601" s="99">
        <v>5</v>
      </c>
      <c r="G601" s="146"/>
      <c r="H601" s="146"/>
      <c r="I601" s="147"/>
      <c r="J601" s="147"/>
      <c r="K601" s="63"/>
    </row>
    <row r="602" spans="1:11" x14ac:dyDescent="0.25">
      <c r="A602" s="108">
        <v>45966</v>
      </c>
      <c r="B602" s="109">
        <v>228</v>
      </c>
      <c r="C602" s="49" t="s">
        <v>19</v>
      </c>
      <c r="D602" s="110" t="str">
        <f>IF(ISBLANK($B602),"",IFERROR(VLOOKUP($B602,ESTOQUE!$B$2:$D$97168,3,FALSE),"Produto não cadastrado"))</f>
        <v xml:space="preserve">BALACLAVA  </v>
      </c>
      <c r="E602" s="99" t="str">
        <f>_xlfn.XLOOKUP(B602,ESTOQUE!B:B,ESTOQUE!G:G,"",0)</f>
        <v>UND</v>
      </c>
      <c r="F602" s="99">
        <v>3</v>
      </c>
      <c r="G602" s="146"/>
      <c r="H602" s="146"/>
      <c r="I602" s="147"/>
      <c r="J602" s="147"/>
      <c r="K602" s="63"/>
    </row>
    <row r="603" spans="1:11" x14ac:dyDescent="0.25">
      <c r="A603" s="108">
        <v>45966</v>
      </c>
      <c r="B603" s="109">
        <v>7</v>
      </c>
      <c r="C603" s="49" t="s">
        <v>19</v>
      </c>
      <c r="D603" s="110" t="str">
        <f>IF(ISBLANK($B603),"",IFERROR(VLOOKUP($B603,ESTOQUE!$B$2:$D$97168,3,FALSE),"Produto não cadastrado"))</f>
        <v>BOTA PVC CANO LONGO Nº 39</v>
      </c>
      <c r="E603" s="99" t="str">
        <f>_xlfn.XLOOKUP(B603,ESTOQUE!B:B,ESTOQUE!G:G,"",0)</f>
        <v>PAR</v>
      </c>
      <c r="F603" s="99">
        <v>1</v>
      </c>
      <c r="G603" s="146"/>
      <c r="H603" s="146"/>
      <c r="I603" s="147"/>
      <c r="J603" s="147"/>
      <c r="K603" s="63"/>
    </row>
    <row r="604" spans="1:11" x14ac:dyDescent="0.25">
      <c r="A604" s="108">
        <v>45966</v>
      </c>
      <c r="B604" s="109">
        <v>9</v>
      </c>
      <c r="C604" s="49" t="s">
        <v>19</v>
      </c>
      <c r="D604" s="110" t="str">
        <f>IF(ISBLANK($B604),"",IFERROR(VLOOKUP($B604,ESTOQUE!$B$2:$D$97168,3,FALSE),"Produto não cadastrado"))</f>
        <v>BOTA PVC CANO LONGO Nº 41</v>
      </c>
      <c r="E604" s="99" t="str">
        <f>_xlfn.XLOOKUP(B604,ESTOQUE!B:B,ESTOQUE!G:G,"",0)</f>
        <v>PAR</v>
      </c>
      <c r="F604" s="99">
        <v>1</v>
      </c>
      <c r="G604" s="146"/>
      <c r="H604" s="146"/>
      <c r="I604" s="147"/>
      <c r="J604" s="147"/>
      <c r="K604" s="63"/>
    </row>
    <row r="605" spans="1:11" x14ac:dyDescent="0.25">
      <c r="A605" s="108">
        <v>45967</v>
      </c>
      <c r="B605" s="109">
        <v>190</v>
      </c>
      <c r="C605" s="49" t="s">
        <v>19</v>
      </c>
      <c r="D605" s="110" t="str">
        <f>IF(ISBLANK($B605),"",IFERROR(VLOOKUP($B605,ESTOQUE!$B$2:$D$97168,3,FALSE),"Produto não cadastrado"))</f>
        <v>AVENTAL DE RASPA TAM 120X60</v>
      </c>
      <c r="E605" s="99" t="str">
        <f>_xlfn.XLOOKUP(B605,ESTOQUE!B:B,ESTOQUE!G:G,"",0)</f>
        <v>UND</v>
      </c>
      <c r="F605" s="99">
        <v>9</v>
      </c>
      <c r="G605" s="146"/>
      <c r="H605" s="146"/>
      <c r="I605" s="147"/>
      <c r="J605" s="147"/>
      <c r="K605" s="63"/>
    </row>
    <row r="606" spans="1:11" x14ac:dyDescent="0.25">
      <c r="A606" s="108">
        <v>45967</v>
      </c>
      <c r="B606" s="109">
        <v>228</v>
      </c>
      <c r="C606" s="49" t="s">
        <v>19</v>
      </c>
      <c r="D606" s="110" t="str">
        <f>IF(ISBLANK($B606),"",IFERROR(VLOOKUP($B606,ESTOQUE!$B$2:$D$97168,3,FALSE),"Produto não cadastrado"))</f>
        <v xml:space="preserve">BALACLAVA  </v>
      </c>
      <c r="E606" s="99" t="str">
        <f>_xlfn.XLOOKUP(B606,ESTOQUE!B:B,ESTOQUE!G:G,"",0)</f>
        <v>UND</v>
      </c>
      <c r="F606" s="99">
        <v>6</v>
      </c>
      <c r="G606" s="146"/>
      <c r="H606" s="146"/>
      <c r="I606" s="147"/>
      <c r="J606" s="147"/>
      <c r="K606" s="63"/>
    </row>
    <row r="607" spans="1:11" x14ac:dyDescent="0.25">
      <c r="A607" s="108">
        <v>45967</v>
      </c>
      <c r="B607" s="109">
        <v>46</v>
      </c>
      <c r="C607" s="49" t="s">
        <v>19</v>
      </c>
      <c r="D607" s="110" t="str">
        <f>IF(ISBLANK($B607),"",IFERROR(VLOOKUP($B607,ESTOQUE!$B$2:$D$97168,3,FALSE),"Produto não cadastrado"))</f>
        <v>CALÇA CINZA OP. C/ FAIXA REFLETIVA TAM: G</v>
      </c>
      <c r="E607" s="99" t="str">
        <f>_xlfn.XLOOKUP(B607,ESTOQUE!B:B,ESTOQUE!G:G,"",0)</f>
        <v>UND</v>
      </c>
      <c r="F607" s="99">
        <v>9</v>
      </c>
      <c r="G607" s="146"/>
      <c r="H607" s="146"/>
      <c r="I607" s="147"/>
      <c r="J607" s="147"/>
      <c r="K607" s="63"/>
    </row>
    <row r="608" spans="1:11" x14ac:dyDescent="0.25">
      <c r="A608" s="108">
        <v>45967</v>
      </c>
      <c r="B608" s="109">
        <v>47</v>
      </c>
      <c r="C608" s="49" t="s">
        <v>19</v>
      </c>
      <c r="D608" s="110" t="str">
        <f>IF(ISBLANK($B608),"",IFERROR(VLOOKUP($B608,ESTOQUE!$B$2:$D$97168,3,FALSE),"Produto não cadastrado"))</f>
        <v>CALÇA CINZA OP. C/ FAIXA REFLETIVA TAM: GG</v>
      </c>
      <c r="E608" s="99" t="str">
        <f>_xlfn.XLOOKUP(B608,ESTOQUE!B:B,ESTOQUE!G:G,"",0)</f>
        <v>UND</v>
      </c>
      <c r="F608" s="99">
        <v>2</v>
      </c>
      <c r="G608" s="146"/>
      <c r="H608" s="146"/>
      <c r="I608" s="147"/>
      <c r="J608" s="147"/>
      <c r="K608" s="63"/>
    </row>
    <row r="609" spans="1:11" x14ac:dyDescent="0.25">
      <c r="A609" s="108">
        <v>45967</v>
      </c>
      <c r="B609" s="109">
        <v>48</v>
      </c>
      <c r="C609" s="49" t="s">
        <v>19</v>
      </c>
      <c r="D609" s="110" t="str">
        <f>IF(ISBLANK($B609),"",IFERROR(VLOOKUP($B609,ESTOQUE!$B$2:$D$97168,3,FALSE),"Produto não cadastrado"))</f>
        <v>CALÇA CINZA OP. C/ FAIXA REFLETIVA TAM: M</v>
      </c>
      <c r="E609" s="99" t="str">
        <f>_xlfn.XLOOKUP(B609,ESTOQUE!B:B,ESTOQUE!G:G,"",0)</f>
        <v>UND</v>
      </c>
      <c r="F609" s="99">
        <v>8</v>
      </c>
      <c r="G609" s="146"/>
      <c r="H609" s="146"/>
      <c r="I609" s="147"/>
      <c r="J609" s="147"/>
      <c r="K609" s="63"/>
    </row>
    <row r="610" spans="1:11" x14ac:dyDescent="0.25">
      <c r="A610" s="108">
        <v>45967</v>
      </c>
      <c r="B610" s="109">
        <v>49</v>
      </c>
      <c r="C610" s="49" t="s">
        <v>19</v>
      </c>
      <c r="D610" s="110" t="str">
        <f>IF(ISBLANK($B610),"",IFERROR(VLOOKUP($B610,ESTOQUE!$B$2:$D$97168,3,FALSE),"Produto não cadastrado"))</f>
        <v>CALÇA CINZA OP. C/ FAIXA REFLETIVA TAM: P</v>
      </c>
      <c r="E610" s="99" t="str">
        <f>_xlfn.XLOOKUP(B610,ESTOQUE!B:B,ESTOQUE!G:G,"",0)</f>
        <v>UND</v>
      </c>
      <c r="F610" s="99">
        <v>4</v>
      </c>
      <c r="G610" s="146"/>
      <c r="H610" s="146"/>
      <c r="I610" s="147"/>
      <c r="J610" s="147"/>
      <c r="K610" s="63"/>
    </row>
    <row r="611" spans="1:11" x14ac:dyDescent="0.25">
      <c r="A611" s="108">
        <v>45967</v>
      </c>
      <c r="B611" s="109">
        <v>35</v>
      </c>
      <c r="C611" s="49" t="s">
        <v>19</v>
      </c>
      <c r="D611" s="110" t="str">
        <f>IF(ISBLANK($B611),"",IFERROR(VLOOKUP($B611,ESTOQUE!$B$2:$D$97168,3,FALSE),"Produto não cadastrado"))</f>
        <v>BOTINA OP. BICO PVC Nº 37</v>
      </c>
      <c r="E611" s="99" t="str">
        <f>_xlfn.XLOOKUP(B611,ESTOQUE!B:B,ESTOQUE!G:G,"",0)</f>
        <v>PAR</v>
      </c>
      <c r="F611" s="99">
        <v>1</v>
      </c>
      <c r="G611" s="146"/>
      <c r="H611" s="146"/>
      <c r="I611" s="147"/>
      <c r="J611" s="147"/>
      <c r="K611" s="63"/>
    </row>
    <row r="612" spans="1:11" x14ac:dyDescent="0.25">
      <c r="A612" s="108">
        <v>45967</v>
      </c>
      <c r="B612" s="109">
        <v>67</v>
      </c>
      <c r="C612" s="49" t="s">
        <v>19</v>
      </c>
      <c r="D612" s="110" t="str">
        <f>IF(ISBLANK($B612),"",IFERROR(VLOOKUP($B612,ESTOQUE!$B$2:$D$97168,3,FALSE),"Produto não cadastrado"))</f>
        <v>CAMISA LARANJA OP. C/ FAIXA REFLETIVA TAM: G</v>
      </c>
      <c r="E612" s="99" t="str">
        <f>_xlfn.XLOOKUP(B612,ESTOQUE!B:B,ESTOQUE!G:G,"",0)</f>
        <v>UND</v>
      </c>
      <c r="F612" s="99">
        <v>10</v>
      </c>
      <c r="G612" s="146"/>
      <c r="H612" s="146"/>
      <c r="I612" s="147"/>
      <c r="J612" s="147"/>
      <c r="K612" s="63"/>
    </row>
    <row r="613" spans="1:11" x14ac:dyDescent="0.25">
      <c r="A613" s="108">
        <v>45967</v>
      </c>
      <c r="B613" s="109">
        <v>68</v>
      </c>
      <c r="C613" s="49" t="s">
        <v>19</v>
      </c>
      <c r="D613" s="110" t="str">
        <f>IF(ISBLANK($B613),"",IFERROR(VLOOKUP($B613,ESTOQUE!$B$2:$D$97168,3,FALSE),"Produto não cadastrado"))</f>
        <v>CAMISA LARANJA OP. C/ FAIXA REFLETIVA TAM: GG</v>
      </c>
      <c r="E613" s="99" t="str">
        <f>_xlfn.XLOOKUP(B613,ESTOQUE!B:B,ESTOQUE!G:G,"",0)</f>
        <v>UND</v>
      </c>
      <c r="F613" s="99">
        <v>4</v>
      </c>
      <c r="G613" s="146"/>
      <c r="H613" s="146"/>
      <c r="I613" s="147"/>
      <c r="J613" s="147"/>
      <c r="K613" s="63"/>
    </row>
    <row r="614" spans="1:11" x14ac:dyDescent="0.25">
      <c r="A614" s="108">
        <v>45967</v>
      </c>
      <c r="B614" s="109">
        <v>69</v>
      </c>
      <c r="C614" s="49" t="s">
        <v>19</v>
      </c>
      <c r="D614" s="110" t="str">
        <f>IF(ISBLANK($B614),"",IFERROR(VLOOKUP($B614,ESTOQUE!$B$2:$D$97168,3,FALSE),"Produto não cadastrado"))</f>
        <v>CAMISA LARANJA OP. C/ FAIXA REFLETIVA TAM: M</v>
      </c>
      <c r="E614" s="99" t="str">
        <f>_xlfn.XLOOKUP(B614,ESTOQUE!B:B,ESTOQUE!G:G,"",0)</f>
        <v>UND</v>
      </c>
      <c r="F614" s="99">
        <v>6</v>
      </c>
      <c r="G614" s="146"/>
      <c r="H614" s="146"/>
      <c r="I614" s="147"/>
      <c r="J614" s="147"/>
      <c r="K614" s="63"/>
    </row>
    <row r="615" spans="1:11" x14ac:dyDescent="0.25">
      <c r="A615" s="108">
        <v>45967</v>
      </c>
      <c r="B615" s="109">
        <v>70</v>
      </c>
      <c r="C615" s="49" t="s">
        <v>19</v>
      </c>
      <c r="D615" s="110" t="str">
        <f>IF(ISBLANK($B615),"",IFERROR(VLOOKUP($B615,ESTOQUE!$B$2:$D$97168,3,FALSE),"Produto não cadastrado"))</f>
        <v>CAMISA LARANJA OP. C/ FAIXA REFLETIVA TAM: P</v>
      </c>
      <c r="E615" s="99" t="str">
        <f>_xlfn.XLOOKUP(B615,ESTOQUE!B:B,ESTOQUE!G:G,"",0)</f>
        <v>UND</v>
      </c>
      <c r="F615" s="99">
        <v>1</v>
      </c>
      <c r="G615" s="146"/>
      <c r="H615" s="146"/>
      <c r="I615" s="147"/>
      <c r="J615" s="147"/>
      <c r="K615" s="63"/>
    </row>
    <row r="616" spans="1:11" x14ac:dyDescent="0.25">
      <c r="A616" s="108">
        <v>45967</v>
      </c>
      <c r="B616" s="109">
        <v>71</v>
      </c>
      <c r="C616" s="49" t="s">
        <v>19</v>
      </c>
      <c r="D616" s="110" t="str">
        <f>IF(ISBLANK($B616),"",IFERROR(VLOOKUP($B616,ESTOQUE!$B$2:$D$97168,3,FALSE),"Produto não cadastrado"))</f>
        <v>CAMISA LARANJA OP. C/ FAIXA REFLETIVA TAM: XG</v>
      </c>
      <c r="E616" s="99" t="str">
        <f>_xlfn.XLOOKUP(B616,ESTOQUE!B:B,ESTOQUE!G:G,"",0)</f>
        <v>UND</v>
      </c>
      <c r="F616" s="99">
        <v>1</v>
      </c>
      <c r="G616" s="146"/>
      <c r="H616" s="146"/>
      <c r="I616" s="147"/>
      <c r="J616" s="147"/>
      <c r="K616" s="63"/>
    </row>
    <row r="617" spans="1:11" x14ac:dyDescent="0.25">
      <c r="A617" s="108">
        <v>45967</v>
      </c>
      <c r="B617" s="109">
        <v>72</v>
      </c>
      <c r="C617" s="49" t="s">
        <v>19</v>
      </c>
      <c r="D617" s="110" t="str">
        <f>IF(ISBLANK($B617),"",IFERROR(VLOOKUP($B617,ESTOQUE!$B$2:$D$97168,3,FALSE),"Produto não cadastrado"))</f>
        <v>CAPA DE CHUVA G</v>
      </c>
      <c r="E617" s="99" t="str">
        <f>_xlfn.XLOOKUP(B617,ESTOQUE!B:B,ESTOQUE!G:G,"",0)</f>
        <v>UND</v>
      </c>
      <c r="F617" s="99">
        <v>10</v>
      </c>
      <c r="G617" s="146"/>
      <c r="H617" s="146"/>
      <c r="I617" s="147"/>
      <c r="J617" s="147"/>
      <c r="K617" s="63"/>
    </row>
    <row r="618" spans="1:11" x14ac:dyDescent="0.25">
      <c r="A618" s="108">
        <v>45967</v>
      </c>
      <c r="B618" s="109">
        <v>73</v>
      </c>
      <c r="C618" s="49" t="s">
        <v>19</v>
      </c>
      <c r="D618" s="110" t="str">
        <f>IF(ISBLANK($B618),"",IFERROR(VLOOKUP($B618,ESTOQUE!$B$2:$D$97168,3,FALSE),"Produto não cadastrado"))</f>
        <v>CAPA DE CHUVA GG</v>
      </c>
      <c r="E618" s="99" t="str">
        <f>_xlfn.XLOOKUP(B618,ESTOQUE!B:B,ESTOQUE!G:G,"",0)</f>
        <v>UND</v>
      </c>
      <c r="F618" s="99">
        <v>4</v>
      </c>
      <c r="G618" s="146"/>
      <c r="H618" s="146"/>
      <c r="I618" s="147"/>
      <c r="J618" s="147"/>
      <c r="K618" s="63"/>
    </row>
    <row r="619" spans="1:11" x14ac:dyDescent="0.25">
      <c r="A619" s="108">
        <v>45967</v>
      </c>
      <c r="B619" s="109">
        <v>94</v>
      </c>
      <c r="C619" s="49" t="s">
        <v>19</v>
      </c>
      <c r="D619" s="110" t="str">
        <f>IF(ISBLANK($B619),"",IFERROR(VLOOKUP($B619,ESTOQUE!$B$2:$D$97168,3,FALSE),"Produto não cadastrado"))</f>
        <v>CARNEIRA P/ CAPACETE CAMPER</v>
      </c>
      <c r="E619" s="99" t="str">
        <f>_xlfn.XLOOKUP(B619,ESTOQUE!B:B,ESTOQUE!G:G,"",0)</f>
        <v>UND</v>
      </c>
      <c r="F619" s="99">
        <v>1</v>
      </c>
      <c r="G619" s="146"/>
      <c r="H619" s="146"/>
      <c r="I619" s="147"/>
      <c r="J619" s="147"/>
      <c r="K619" s="63"/>
    </row>
    <row r="620" spans="1:11" x14ac:dyDescent="0.25">
      <c r="A620" s="108">
        <v>45967</v>
      </c>
      <c r="B620" s="109">
        <v>97</v>
      </c>
      <c r="C620" s="49" t="s">
        <v>19</v>
      </c>
      <c r="D620" s="110" t="str">
        <f>IF(ISBLANK($B620),"",IFERROR(VLOOKUP($B620,ESTOQUE!$B$2:$D$97168,3,FALSE),"Produto não cadastrado"))</f>
        <v>COLETE REFLETIVO LARANJA M</v>
      </c>
      <c r="E620" s="99" t="str">
        <f>_xlfn.XLOOKUP(B620,ESTOQUE!B:B,ESTOQUE!G:G,"",0)</f>
        <v>UND</v>
      </c>
      <c r="F620" s="99">
        <v>2</v>
      </c>
      <c r="G620" s="146"/>
      <c r="H620" s="146"/>
      <c r="I620" s="147"/>
      <c r="J620" s="147"/>
      <c r="K620" s="63"/>
    </row>
    <row r="621" spans="1:11" x14ac:dyDescent="0.25">
      <c r="A621" s="108">
        <v>45967</v>
      </c>
      <c r="B621" s="109">
        <v>98</v>
      </c>
      <c r="C621" s="49" t="s">
        <v>19</v>
      </c>
      <c r="D621" s="110" t="str">
        <f>IF(ISBLANK($B621),"",IFERROR(VLOOKUP($B621,ESTOQUE!$B$2:$D$97168,3,FALSE),"Produto não cadastrado"))</f>
        <v>COLETE REFLETIVO LARANJA XGG</v>
      </c>
      <c r="E621" s="99" t="str">
        <f>_xlfn.XLOOKUP(B621,ESTOQUE!B:B,ESTOQUE!G:G,"",0)</f>
        <v>UND</v>
      </c>
      <c r="F621" s="99">
        <v>1</v>
      </c>
      <c r="G621" s="146"/>
      <c r="H621" s="146"/>
      <c r="I621" s="147"/>
      <c r="J621" s="147"/>
      <c r="K621" s="63"/>
    </row>
    <row r="622" spans="1:11" x14ac:dyDescent="0.25">
      <c r="A622" s="108">
        <v>45967</v>
      </c>
      <c r="B622" s="109">
        <v>161</v>
      </c>
      <c r="C622" s="49" t="s">
        <v>19</v>
      </c>
      <c r="D622" s="110" t="str">
        <f>IF(ISBLANK($B622),"",IFERROR(VLOOKUP($B622,ESTOQUE!$B$2:$D$97168,3,FALSE),"Produto não cadastrado"))</f>
        <v>JUGULAR</v>
      </c>
      <c r="E622" s="99" t="str">
        <f>_xlfn.XLOOKUP(B622,ESTOQUE!B:B,ESTOQUE!G:G,"",0)</f>
        <v>UND</v>
      </c>
      <c r="F622" s="99">
        <v>4</v>
      </c>
      <c r="G622" s="146"/>
      <c r="H622" s="146"/>
      <c r="I622" s="147"/>
      <c r="J622" s="147"/>
      <c r="K622" s="63"/>
    </row>
    <row r="623" spans="1:11" x14ac:dyDescent="0.25">
      <c r="A623" s="108">
        <v>45967</v>
      </c>
      <c r="B623" s="109">
        <v>110</v>
      </c>
      <c r="C623" s="49" t="s">
        <v>19</v>
      </c>
      <c r="D623" s="110" t="str">
        <f>IF(ISBLANK($B623),"",IFERROR(VLOOKUP($B623,ESTOQUE!$B$2:$D$97168,3,FALSE),"Produto não cadastrado"))</f>
        <v>LUVA DE RASPA CANO LONGO</v>
      </c>
      <c r="E623" s="99" t="str">
        <f>_xlfn.XLOOKUP(B623,ESTOQUE!B:B,ESTOQUE!G:G,"",0)</f>
        <v>PAR</v>
      </c>
      <c r="F623" s="99">
        <v>1</v>
      </c>
      <c r="G623" s="146"/>
      <c r="H623" s="146"/>
      <c r="I623" s="147"/>
      <c r="J623" s="147"/>
      <c r="K623" s="63"/>
    </row>
    <row r="624" spans="1:11" x14ac:dyDescent="0.25">
      <c r="A624" s="108">
        <v>45967</v>
      </c>
      <c r="B624" s="109">
        <v>141</v>
      </c>
      <c r="C624" s="49" t="s">
        <v>19</v>
      </c>
      <c r="D624" s="110" t="str">
        <f>IF(ISBLANK($B624),"",IFERROR(VLOOKUP($B624,ESTOQUE!$B$2:$D$97168,3,FALSE),"Produto não cadastrado"))</f>
        <v xml:space="preserve">LUVA DE VAQUETA </v>
      </c>
      <c r="E624" s="99" t="str">
        <f>_xlfn.XLOOKUP(B624,ESTOQUE!B:B,ESTOQUE!G:G,"",0)</f>
        <v>PAR</v>
      </c>
      <c r="F624" s="99">
        <v>1</v>
      </c>
      <c r="G624" s="146"/>
      <c r="H624" s="146"/>
      <c r="I624" s="147"/>
      <c r="J624" s="147"/>
      <c r="K624" s="63"/>
    </row>
    <row r="625" spans="1:11" x14ac:dyDescent="0.25">
      <c r="A625" s="108">
        <v>45967</v>
      </c>
      <c r="B625" s="109">
        <v>189</v>
      </c>
      <c r="C625" s="49" t="s">
        <v>19</v>
      </c>
      <c r="D625" s="110" t="str">
        <f>IF(ISBLANK($B625),"",IFERROR(VLOOKUP($B625,ESTOQUE!$B$2:$D$97168,3,FALSE),"Produto não cadastrado"))</f>
        <v xml:space="preserve">LUVA DE VAQUETA MISTA </v>
      </c>
      <c r="E625" s="99" t="str">
        <f>_xlfn.XLOOKUP(B625,ESTOQUE!B:B,ESTOQUE!G:G,"",0)</f>
        <v>UND</v>
      </c>
      <c r="F625" s="99">
        <v>2</v>
      </c>
      <c r="G625" s="146"/>
      <c r="H625" s="146"/>
      <c r="I625" s="147"/>
      <c r="J625" s="147"/>
      <c r="K625" s="63"/>
    </row>
    <row r="626" spans="1:11" x14ac:dyDescent="0.25">
      <c r="A626" s="108">
        <v>45967</v>
      </c>
      <c r="B626" s="109">
        <v>114</v>
      </c>
      <c r="C626" s="49" t="s">
        <v>19</v>
      </c>
      <c r="D626" s="110" t="str">
        <f>IF(ISBLANK($B626),"",IFERROR(VLOOKUP($B626,ESTOQUE!$B$2:$D$97168,3,FALSE),"Produto não cadastrado"))</f>
        <v xml:space="preserve">LUVA LATEX NITRILICA </v>
      </c>
      <c r="E626" s="99" t="str">
        <f>_xlfn.XLOOKUP(B626,ESTOQUE!B:B,ESTOQUE!G:G,"",0)</f>
        <v>PAR</v>
      </c>
      <c r="F626" s="99">
        <v>5</v>
      </c>
      <c r="G626" s="146"/>
      <c r="H626" s="146"/>
      <c r="I626" s="147"/>
      <c r="J626" s="147"/>
      <c r="K626" s="63"/>
    </row>
    <row r="627" spans="1:11" x14ac:dyDescent="0.25">
      <c r="A627" s="108">
        <v>45967</v>
      </c>
      <c r="B627" s="109">
        <v>117</v>
      </c>
      <c r="C627" s="49" t="s">
        <v>19</v>
      </c>
      <c r="D627" s="110" t="str">
        <f>IF(ISBLANK($B627),"",IFERROR(VLOOKUP($B627,ESTOQUE!$B$2:$D$97168,3,FALSE),"Produto não cadastrado"))</f>
        <v>LUVA PIGMENTADA</v>
      </c>
      <c r="E627" s="99" t="str">
        <f>_xlfn.XLOOKUP(B627,ESTOQUE!B:B,ESTOQUE!G:G,"",0)</f>
        <v>PAR</v>
      </c>
      <c r="F627" s="99">
        <v>6</v>
      </c>
      <c r="G627" s="146"/>
      <c r="H627" s="146"/>
      <c r="I627" s="147"/>
      <c r="J627" s="147"/>
      <c r="K627" s="63"/>
    </row>
    <row r="628" spans="1:11" x14ac:dyDescent="0.25">
      <c r="A628" s="108">
        <v>45967</v>
      </c>
      <c r="B628" s="109">
        <v>207</v>
      </c>
      <c r="C628" s="49" t="s">
        <v>19</v>
      </c>
      <c r="D628" s="110" t="str">
        <f>IF(ISBLANK($B628),"",IFERROR(VLOOKUP($B628,ESTOQUE!$B$2:$D$97168,3,FALSE),"Produto não cadastrado"))</f>
        <v>LUVA POLIESTER ANTICORTE BANHADA PU TAM 9</v>
      </c>
      <c r="E628" s="99" t="str">
        <f>_xlfn.XLOOKUP(B628,ESTOQUE!B:B,ESTOQUE!G:G,"",0)</f>
        <v>PAR</v>
      </c>
      <c r="F628" s="99">
        <v>29</v>
      </c>
      <c r="G628" s="146"/>
      <c r="H628" s="146"/>
      <c r="I628" s="147"/>
      <c r="J628" s="147"/>
      <c r="K628" s="63"/>
    </row>
    <row r="629" spans="1:11" x14ac:dyDescent="0.25">
      <c r="A629" s="108">
        <v>45967</v>
      </c>
      <c r="B629" s="109">
        <v>116</v>
      </c>
      <c r="C629" s="49" t="s">
        <v>19</v>
      </c>
      <c r="D629" s="110" t="str">
        <f>IF(ISBLANK($B629),"",IFERROR(VLOOKUP($B629,ESTOQUE!$B$2:$D$97168,3,FALSE),"Produto não cadastrado"))</f>
        <v>LUVA PVC LINEA - CANO LONGO</v>
      </c>
      <c r="E629" s="99" t="str">
        <f>_xlfn.XLOOKUP(B629,ESTOQUE!B:B,ESTOQUE!G:G,"",0)</f>
        <v>PAR</v>
      </c>
      <c r="F629" s="99">
        <v>1</v>
      </c>
      <c r="G629" s="146"/>
      <c r="H629" s="146"/>
      <c r="I629" s="147"/>
      <c r="J629" s="147"/>
      <c r="K629" s="63"/>
    </row>
    <row r="630" spans="1:11" x14ac:dyDescent="0.25">
      <c r="A630" s="108">
        <v>45967</v>
      </c>
      <c r="B630" s="109">
        <v>118</v>
      </c>
      <c r="C630" s="49" t="s">
        <v>19</v>
      </c>
      <c r="D630" s="110" t="str">
        <f>IF(ISBLANK($B630),"",IFERROR(VLOOKUP($B630,ESTOQUE!$B$2:$D$97168,3,FALSE),"Produto não cadastrado"))</f>
        <v>MACACÃO DE PROTEÇÃO TYVEK</v>
      </c>
      <c r="E630" s="99" t="str">
        <f>_xlfn.XLOOKUP(B630,ESTOQUE!B:B,ESTOQUE!G:G,"",0)</f>
        <v>UND</v>
      </c>
      <c r="F630" s="99">
        <v>16</v>
      </c>
      <c r="G630" s="146"/>
      <c r="H630" s="146"/>
      <c r="I630" s="147"/>
      <c r="J630" s="147"/>
      <c r="K630" s="63"/>
    </row>
    <row r="631" spans="1:11" x14ac:dyDescent="0.25">
      <c r="A631" s="108">
        <v>45967</v>
      </c>
      <c r="B631" s="109">
        <v>144</v>
      </c>
      <c r="C631" s="49" t="s">
        <v>19</v>
      </c>
      <c r="D631" s="110" t="str">
        <f>IF(ISBLANK($B631),"",IFERROR(VLOOKUP($B631,ESTOQUE!$B$2:$D$97168,3,FALSE),"Produto não cadastrado"))</f>
        <v>MASCARA PFF2-S C/ FILTRO</v>
      </c>
      <c r="E631" s="99" t="str">
        <f>_xlfn.XLOOKUP(B631,ESTOQUE!B:B,ESTOQUE!G:G,"",0)</f>
        <v>UND</v>
      </c>
      <c r="F631" s="99">
        <v>30</v>
      </c>
      <c r="G631" s="146"/>
      <c r="H631" s="146"/>
      <c r="I631" s="147"/>
      <c r="J631" s="147"/>
      <c r="K631" s="63"/>
    </row>
    <row r="632" spans="1:11" x14ac:dyDescent="0.25">
      <c r="A632" s="108">
        <v>45967</v>
      </c>
      <c r="B632" s="109">
        <v>126</v>
      </c>
      <c r="C632" s="49" t="s">
        <v>19</v>
      </c>
      <c r="D632" s="110" t="str">
        <f>IF(ISBLANK($B632),"",IFERROR(VLOOKUP($B632,ESTOQUE!$B$2:$D$97168,3,FALSE),"Produto não cadastrado"))</f>
        <v>OCULOS DE PROTEÇÃO ESCURO</v>
      </c>
      <c r="E632" s="99" t="str">
        <f>_xlfn.XLOOKUP(B632,ESTOQUE!B:B,ESTOQUE!G:G,"",0)</f>
        <v>UND</v>
      </c>
      <c r="F632" s="99">
        <v>6</v>
      </c>
      <c r="G632" s="146"/>
      <c r="H632" s="146"/>
      <c r="I632" s="147"/>
      <c r="J632" s="147"/>
      <c r="K632" s="63"/>
    </row>
    <row r="633" spans="1:11" x14ac:dyDescent="0.25">
      <c r="A633" s="108">
        <v>45967</v>
      </c>
      <c r="B633" s="109">
        <v>124</v>
      </c>
      <c r="C633" s="49" t="s">
        <v>19</v>
      </c>
      <c r="D633" s="110" t="str">
        <f>IF(ISBLANK($B633),"",IFERROR(VLOOKUP($B633,ESTOQUE!$B$2:$D$97168,3,FALSE),"Produto não cadastrado"))</f>
        <v xml:space="preserve">OCULOS DE PROTEÇÃO INCOLOR </v>
      </c>
      <c r="E633" s="99" t="str">
        <f>_xlfn.XLOOKUP(B633,ESTOQUE!B:B,ESTOQUE!G:G,"",0)</f>
        <v>UND</v>
      </c>
      <c r="F633" s="99">
        <v>6</v>
      </c>
      <c r="G633" s="146"/>
      <c r="H633" s="146"/>
      <c r="I633" s="147"/>
      <c r="J633" s="147"/>
      <c r="K633" s="63"/>
    </row>
    <row r="634" spans="1:11" x14ac:dyDescent="0.25">
      <c r="A634" s="108">
        <v>45967</v>
      </c>
      <c r="B634" s="109">
        <v>224</v>
      </c>
      <c r="C634" s="49" t="s">
        <v>19</v>
      </c>
      <c r="D634" s="110" t="str">
        <f>IF(ISBLANK($B634),"",IFERROR(VLOOKUP($B634,ESTOQUE!$B$2:$D$97168,3,FALSE),"Produto não cadastrado"))</f>
        <v>OCULOS OPERACIONAL SOBRE POR ESCURO</v>
      </c>
      <c r="E634" s="99" t="str">
        <f>_xlfn.XLOOKUP(B634,ESTOQUE!B:B,ESTOQUE!G:G,"",0)</f>
        <v>UND</v>
      </c>
      <c r="F634" s="99">
        <v>4</v>
      </c>
      <c r="G634" s="146"/>
      <c r="H634" s="146"/>
      <c r="I634" s="147"/>
      <c r="J634" s="147"/>
      <c r="K634" s="63"/>
    </row>
    <row r="635" spans="1:11" x14ac:dyDescent="0.25">
      <c r="A635" s="108">
        <v>45967</v>
      </c>
      <c r="B635" s="109">
        <v>9</v>
      </c>
      <c r="C635" s="49" t="s">
        <v>19</v>
      </c>
      <c r="D635" s="110" t="str">
        <f>IF(ISBLANK($B635),"",IFERROR(VLOOKUP($B635,ESTOQUE!$B$2:$D$97168,3,FALSE),"Produto não cadastrado"))</f>
        <v>BOTA PVC CANO LONGO Nº 41</v>
      </c>
      <c r="E635" s="99" t="str">
        <f>_xlfn.XLOOKUP(B635,ESTOQUE!B:B,ESTOQUE!G:G,"",0)</f>
        <v>PAR</v>
      </c>
      <c r="F635" s="99">
        <v>2</v>
      </c>
      <c r="G635" s="146"/>
      <c r="H635" s="146"/>
      <c r="I635" s="147"/>
      <c r="J635" s="147"/>
      <c r="K635" s="63"/>
    </row>
    <row r="636" spans="1:11" x14ac:dyDescent="0.25">
      <c r="A636" s="108">
        <v>45967</v>
      </c>
      <c r="B636" s="109">
        <v>7</v>
      </c>
      <c r="C636" s="49" t="s">
        <v>19</v>
      </c>
      <c r="D636" s="110" t="str">
        <f>IF(ISBLANK($B636),"",IFERROR(VLOOKUP($B636,ESTOQUE!$B$2:$D$97168,3,FALSE),"Produto não cadastrado"))</f>
        <v>BOTA PVC CANO LONGO Nº 39</v>
      </c>
      <c r="E636" s="99" t="str">
        <f>_xlfn.XLOOKUP(B636,ESTOQUE!B:B,ESTOQUE!G:G,"",0)</f>
        <v>PAR</v>
      </c>
      <c r="F636" s="99">
        <v>1</v>
      </c>
      <c r="G636" s="146"/>
      <c r="H636" s="146"/>
      <c r="I636" s="147"/>
      <c r="J636" s="147"/>
      <c r="K636" s="63"/>
    </row>
    <row r="637" spans="1:11" x14ac:dyDescent="0.25">
      <c r="A637" s="108">
        <v>45968</v>
      </c>
      <c r="B637" s="109">
        <v>228</v>
      </c>
      <c r="C637" s="49" t="s">
        <v>19</v>
      </c>
      <c r="D637" s="110" t="str">
        <f>IF(ISBLANK($B637),"",IFERROR(VLOOKUP($B637,ESTOQUE!$B$2:$D$97168,3,FALSE),"Produto não cadastrado"))</f>
        <v xml:space="preserve">BALACLAVA  </v>
      </c>
      <c r="E637" s="99" t="str">
        <f>_xlfn.XLOOKUP(B637,ESTOQUE!B:B,ESTOQUE!G:G,"",0)</f>
        <v>UND</v>
      </c>
      <c r="F637" s="99">
        <v>5</v>
      </c>
      <c r="G637" s="146"/>
      <c r="H637" s="146"/>
      <c r="I637" s="147"/>
      <c r="J637" s="147"/>
      <c r="K637" s="63"/>
    </row>
    <row r="638" spans="1:11" x14ac:dyDescent="0.25">
      <c r="A638" s="108">
        <v>45968</v>
      </c>
      <c r="B638" s="109">
        <v>37</v>
      </c>
      <c r="C638" s="49" t="s">
        <v>19</v>
      </c>
      <c r="D638" s="110" t="str">
        <f>IF(ISBLANK($B638),"",IFERROR(VLOOKUP($B638,ESTOQUE!$B$2:$D$97168,3,FALSE),"Produto não cadastrado"))</f>
        <v>BOTINA OP. BICO PVC Nº 39</v>
      </c>
      <c r="E638" s="99" t="str">
        <f>_xlfn.XLOOKUP(B638,ESTOQUE!B:B,ESTOQUE!G:G,"",0)</f>
        <v>PAR</v>
      </c>
      <c r="F638" s="99">
        <v>5</v>
      </c>
      <c r="G638" s="146"/>
      <c r="H638" s="146"/>
      <c r="I638" s="147"/>
      <c r="J638" s="147"/>
      <c r="K638" s="63"/>
    </row>
    <row r="639" spans="1:11" x14ac:dyDescent="0.25">
      <c r="A639" s="108">
        <v>45968</v>
      </c>
      <c r="B639" s="109">
        <v>39</v>
      </c>
      <c r="C639" s="49" t="s">
        <v>19</v>
      </c>
      <c r="D639" s="110" t="str">
        <f>IF(ISBLANK($B639),"",IFERROR(VLOOKUP($B639,ESTOQUE!$B$2:$D$97168,3,FALSE),"Produto não cadastrado"))</f>
        <v>BOTINA OP. BICO PVC Nº 41</v>
      </c>
      <c r="E639" s="99" t="str">
        <f>_xlfn.XLOOKUP(B639,ESTOQUE!B:B,ESTOQUE!G:G,"",0)</f>
        <v>PAR</v>
      </c>
      <c r="F639" s="99">
        <v>2</v>
      </c>
      <c r="G639" s="146"/>
      <c r="H639" s="146"/>
      <c r="I639" s="147"/>
      <c r="J639" s="147"/>
      <c r="K639" s="63"/>
    </row>
    <row r="640" spans="1:11" x14ac:dyDescent="0.25">
      <c r="A640" s="108">
        <v>45968</v>
      </c>
      <c r="B640" s="109">
        <v>46</v>
      </c>
      <c r="C640" s="49" t="s">
        <v>19</v>
      </c>
      <c r="D640" s="110" t="str">
        <f>IF(ISBLANK($B640),"",IFERROR(VLOOKUP($B640,ESTOQUE!$B$2:$D$97168,3,FALSE),"Produto não cadastrado"))</f>
        <v>CALÇA CINZA OP. C/ FAIXA REFLETIVA TAM: G</v>
      </c>
      <c r="E640" s="99" t="str">
        <f>_xlfn.XLOOKUP(B640,ESTOQUE!B:B,ESTOQUE!G:G,"",0)</f>
        <v>UND</v>
      </c>
      <c r="F640" s="99">
        <v>5</v>
      </c>
      <c r="G640" s="146"/>
      <c r="H640" s="146"/>
      <c r="I640" s="147"/>
      <c r="J640" s="147"/>
      <c r="K640" s="63"/>
    </row>
    <row r="641" spans="1:11" x14ac:dyDescent="0.25">
      <c r="A641" s="108">
        <v>45968</v>
      </c>
      <c r="B641" s="109">
        <v>47</v>
      </c>
      <c r="C641" s="49" t="s">
        <v>19</v>
      </c>
      <c r="D641" s="110" t="str">
        <f>IF(ISBLANK($B641),"",IFERROR(VLOOKUP($B641,ESTOQUE!$B$2:$D$97168,3,FALSE),"Produto não cadastrado"))</f>
        <v>CALÇA CINZA OP. C/ FAIXA REFLETIVA TAM: GG</v>
      </c>
      <c r="E641" s="99" t="str">
        <f>_xlfn.XLOOKUP(B641,ESTOQUE!B:B,ESTOQUE!G:G,"",0)</f>
        <v>UND</v>
      </c>
      <c r="F641" s="99">
        <v>2</v>
      </c>
      <c r="G641" s="146"/>
      <c r="H641" s="146"/>
      <c r="I641" s="147"/>
      <c r="J641" s="147"/>
      <c r="K641" s="63"/>
    </row>
    <row r="642" spans="1:11" x14ac:dyDescent="0.25">
      <c r="A642" s="108">
        <v>45968</v>
      </c>
      <c r="B642" s="109">
        <v>48</v>
      </c>
      <c r="C642" s="49" t="s">
        <v>19</v>
      </c>
      <c r="D642" s="110" t="str">
        <f>IF(ISBLANK($B642),"",IFERROR(VLOOKUP($B642,ESTOQUE!$B$2:$D$97168,3,FALSE),"Produto não cadastrado"))</f>
        <v>CALÇA CINZA OP. C/ FAIXA REFLETIVA TAM: M</v>
      </c>
      <c r="E642" s="99" t="str">
        <f>_xlfn.XLOOKUP(B642,ESTOQUE!B:B,ESTOQUE!G:G,"",0)</f>
        <v>UND</v>
      </c>
      <c r="F642" s="99">
        <v>7</v>
      </c>
      <c r="G642" s="146"/>
      <c r="H642" s="146"/>
      <c r="I642" s="147"/>
      <c r="J642" s="147"/>
      <c r="K642" s="63"/>
    </row>
    <row r="643" spans="1:11" x14ac:dyDescent="0.25">
      <c r="A643" s="108">
        <v>45968</v>
      </c>
      <c r="B643" s="109">
        <v>49</v>
      </c>
      <c r="C643" s="49" t="s">
        <v>19</v>
      </c>
      <c r="D643" s="110" t="str">
        <f>IF(ISBLANK($B643),"",IFERROR(VLOOKUP($B643,ESTOQUE!$B$2:$D$97168,3,FALSE),"Produto não cadastrado"))</f>
        <v>CALÇA CINZA OP. C/ FAIXA REFLETIVA TAM: P</v>
      </c>
      <c r="E643" s="99" t="str">
        <f>_xlfn.XLOOKUP(B643,ESTOQUE!B:B,ESTOQUE!G:G,"",0)</f>
        <v>UND</v>
      </c>
      <c r="F643" s="99">
        <v>1</v>
      </c>
      <c r="G643" s="146"/>
      <c r="H643" s="146"/>
      <c r="I643" s="147"/>
      <c r="J643" s="147"/>
      <c r="K643" s="63"/>
    </row>
    <row r="644" spans="1:11" x14ac:dyDescent="0.25">
      <c r="A644" s="108">
        <v>45968</v>
      </c>
      <c r="B644" s="109">
        <v>67</v>
      </c>
      <c r="C644" s="49" t="s">
        <v>19</v>
      </c>
      <c r="D644" s="110" t="str">
        <f>IF(ISBLANK($B644),"",IFERROR(VLOOKUP($B644,ESTOQUE!$B$2:$D$97168,3,FALSE),"Produto não cadastrado"))</f>
        <v>CAMISA LARANJA OP. C/ FAIXA REFLETIVA TAM: G</v>
      </c>
      <c r="E644" s="99" t="str">
        <f>_xlfn.XLOOKUP(B644,ESTOQUE!B:B,ESTOQUE!G:G,"",0)</f>
        <v>UND</v>
      </c>
      <c r="F644" s="99">
        <v>5</v>
      </c>
      <c r="G644" s="146"/>
      <c r="H644" s="146"/>
      <c r="I644" s="147"/>
      <c r="J644" s="147"/>
      <c r="K644" s="63"/>
    </row>
    <row r="645" spans="1:11" x14ac:dyDescent="0.25">
      <c r="A645" s="108">
        <v>45968</v>
      </c>
      <c r="B645" s="109">
        <v>68</v>
      </c>
      <c r="C645" s="49" t="s">
        <v>19</v>
      </c>
      <c r="D645" s="110" t="str">
        <f>IF(ISBLANK($B645),"",IFERROR(VLOOKUP($B645,ESTOQUE!$B$2:$D$97168,3,FALSE),"Produto não cadastrado"))</f>
        <v>CAMISA LARANJA OP. C/ FAIXA REFLETIVA TAM: GG</v>
      </c>
      <c r="E645" s="99" t="str">
        <f>_xlfn.XLOOKUP(B645,ESTOQUE!B:B,ESTOQUE!G:G,"",0)</f>
        <v>UND</v>
      </c>
      <c r="F645" s="99">
        <v>2</v>
      </c>
      <c r="G645" s="146"/>
      <c r="H645" s="146"/>
      <c r="I645" s="147"/>
      <c r="J645" s="147"/>
      <c r="K645" s="63"/>
    </row>
    <row r="646" spans="1:11" x14ac:dyDescent="0.25">
      <c r="A646" s="108">
        <v>45968</v>
      </c>
      <c r="B646" s="109">
        <v>69</v>
      </c>
      <c r="C646" s="49" t="s">
        <v>19</v>
      </c>
      <c r="D646" s="110" t="str">
        <f>IF(ISBLANK($B646),"",IFERROR(VLOOKUP($B646,ESTOQUE!$B$2:$D$97168,3,FALSE),"Produto não cadastrado"))</f>
        <v>CAMISA LARANJA OP. C/ FAIXA REFLETIVA TAM: M</v>
      </c>
      <c r="E646" s="99" t="str">
        <f>_xlfn.XLOOKUP(B646,ESTOQUE!B:B,ESTOQUE!G:G,"",0)</f>
        <v>UND</v>
      </c>
      <c r="F646" s="99">
        <v>9</v>
      </c>
      <c r="G646" s="146"/>
      <c r="H646" s="146"/>
      <c r="I646" s="147"/>
      <c r="J646" s="147"/>
      <c r="K646" s="63"/>
    </row>
    <row r="647" spans="1:11" x14ac:dyDescent="0.25">
      <c r="A647" s="108">
        <v>45968</v>
      </c>
      <c r="B647" s="109">
        <v>73</v>
      </c>
      <c r="C647" s="49" t="s">
        <v>19</v>
      </c>
      <c r="D647" s="110" t="str">
        <f>IF(ISBLANK($B647),"",IFERROR(VLOOKUP($B647,ESTOQUE!$B$2:$D$97168,3,FALSE),"Produto não cadastrado"))</f>
        <v>CAPA DE CHUVA GG</v>
      </c>
      <c r="E647" s="99" t="str">
        <f>_xlfn.XLOOKUP(B647,ESTOQUE!B:B,ESTOQUE!G:G,"",0)</f>
        <v>UND</v>
      </c>
      <c r="F647" s="99">
        <v>7</v>
      </c>
      <c r="G647" s="146"/>
      <c r="H647" s="146"/>
      <c r="I647" s="147"/>
      <c r="J647" s="147"/>
      <c r="K647" s="63"/>
    </row>
    <row r="648" spans="1:11" x14ac:dyDescent="0.25">
      <c r="A648" s="108">
        <v>45968</v>
      </c>
      <c r="B648" s="109">
        <v>96</v>
      </c>
      <c r="C648" s="49" t="s">
        <v>19</v>
      </c>
      <c r="D648" s="110" t="str">
        <f>IF(ISBLANK($B648),"",IFERROR(VLOOKUP($B648,ESTOQUE!$B$2:$D$97168,3,FALSE),"Produto não cadastrado"))</f>
        <v xml:space="preserve">CINTO DE SEGURANÇA MODELO:C70 </v>
      </c>
      <c r="E648" s="99" t="str">
        <f>_xlfn.XLOOKUP(B648,ESTOQUE!B:B,ESTOQUE!G:G,"",0)</f>
        <v>UND</v>
      </c>
      <c r="F648" s="99">
        <v>8</v>
      </c>
      <c r="G648" s="146"/>
      <c r="H648" s="146"/>
      <c r="I648" s="147"/>
      <c r="J648" s="147"/>
      <c r="K648" s="63"/>
    </row>
    <row r="649" spans="1:11" x14ac:dyDescent="0.25">
      <c r="A649" s="108">
        <v>45968</v>
      </c>
      <c r="B649" s="109">
        <v>97</v>
      </c>
      <c r="C649" s="49" t="s">
        <v>19</v>
      </c>
      <c r="D649" s="110" t="str">
        <f>IF(ISBLANK($B649),"",IFERROR(VLOOKUP($B649,ESTOQUE!$B$2:$D$97168,3,FALSE),"Produto não cadastrado"))</f>
        <v>COLETE REFLETIVO LARANJA M</v>
      </c>
      <c r="E649" s="99" t="str">
        <f>_xlfn.XLOOKUP(B649,ESTOQUE!B:B,ESTOQUE!G:G,"",0)</f>
        <v>UND</v>
      </c>
      <c r="F649" s="99">
        <v>2</v>
      </c>
      <c r="G649" s="146"/>
      <c r="H649" s="146"/>
      <c r="I649" s="147"/>
      <c r="J649" s="147"/>
      <c r="K649" s="63"/>
    </row>
    <row r="650" spans="1:11" x14ac:dyDescent="0.25">
      <c r="A650" s="108">
        <v>45968</v>
      </c>
      <c r="B650" s="109">
        <v>114</v>
      </c>
      <c r="C650" s="49" t="s">
        <v>19</v>
      </c>
      <c r="D650" s="110" t="str">
        <f>IF(ISBLANK($B650),"",IFERROR(VLOOKUP($B650,ESTOQUE!$B$2:$D$97168,3,FALSE),"Produto não cadastrado"))</f>
        <v xml:space="preserve">LUVA LATEX NITRILICA </v>
      </c>
      <c r="E650" s="99" t="str">
        <f>_xlfn.XLOOKUP(B650,ESTOQUE!B:B,ESTOQUE!G:G,"",0)</f>
        <v>PAR</v>
      </c>
      <c r="F650" s="99">
        <v>46</v>
      </c>
      <c r="G650" s="146"/>
      <c r="H650" s="146"/>
      <c r="I650" s="147"/>
      <c r="J650" s="147"/>
      <c r="K650" s="63"/>
    </row>
    <row r="651" spans="1:11" x14ac:dyDescent="0.25">
      <c r="A651" s="108">
        <v>45968</v>
      </c>
      <c r="B651" s="109">
        <v>110</v>
      </c>
      <c r="C651" s="49" t="s">
        <v>19</v>
      </c>
      <c r="D651" s="110" t="str">
        <f>IF(ISBLANK($B651),"",IFERROR(VLOOKUP($B651,ESTOQUE!$B$2:$D$97168,3,FALSE),"Produto não cadastrado"))</f>
        <v>LUVA DE RASPA CANO LONGO</v>
      </c>
      <c r="E651" s="99" t="str">
        <f>_xlfn.XLOOKUP(B651,ESTOQUE!B:B,ESTOQUE!G:G,"",0)</f>
        <v>PAR</v>
      </c>
      <c r="F651" s="99">
        <v>5</v>
      </c>
      <c r="G651" s="146"/>
      <c r="H651" s="146"/>
      <c r="I651" s="147"/>
      <c r="J651" s="147"/>
      <c r="K651" s="63"/>
    </row>
    <row r="652" spans="1:11" x14ac:dyDescent="0.25">
      <c r="A652" s="108">
        <v>45968</v>
      </c>
      <c r="B652" s="109">
        <v>189</v>
      </c>
      <c r="C652" s="49" t="s">
        <v>19</v>
      </c>
      <c r="D652" s="110" t="str">
        <f>IF(ISBLANK($B652),"",IFERROR(VLOOKUP($B652,ESTOQUE!$B$2:$D$97168,3,FALSE),"Produto não cadastrado"))</f>
        <v xml:space="preserve">LUVA DE VAQUETA MISTA </v>
      </c>
      <c r="E652" s="99" t="str">
        <f>_xlfn.XLOOKUP(B652,ESTOQUE!B:B,ESTOQUE!G:G,"",0)</f>
        <v>UND</v>
      </c>
      <c r="F652" s="99">
        <v>4</v>
      </c>
      <c r="G652" s="146"/>
      <c r="H652" s="146"/>
      <c r="I652" s="147"/>
      <c r="J652" s="147"/>
      <c r="K652" s="63"/>
    </row>
    <row r="653" spans="1:11" x14ac:dyDescent="0.25">
      <c r="A653" s="108">
        <v>45968</v>
      </c>
      <c r="B653" s="109">
        <v>257</v>
      </c>
      <c r="C653" s="49" t="s">
        <v>19</v>
      </c>
      <c r="D653" s="110" t="str">
        <f>IF(ISBLANK($B653),"",IFERROR(VLOOKUP($B653,ESTOQUE!$B$2:$D$97168,3,FALSE),"Produto não cadastrado"))</f>
        <v xml:space="preserve">LUVA MULTITATO </v>
      </c>
      <c r="E653" s="99" t="str">
        <f>_xlfn.XLOOKUP(B653,ESTOQUE!B:B,ESTOQUE!G:G,"",0)</f>
        <v>UND</v>
      </c>
      <c r="F653" s="99">
        <v>1</v>
      </c>
      <c r="G653" s="146"/>
      <c r="H653" s="146"/>
      <c r="I653" s="147"/>
      <c r="J653" s="147"/>
      <c r="K653" s="63"/>
    </row>
    <row r="654" spans="1:11" x14ac:dyDescent="0.25">
      <c r="A654" s="108">
        <v>45968</v>
      </c>
      <c r="B654" s="109">
        <v>117</v>
      </c>
      <c r="C654" s="49" t="s">
        <v>19</v>
      </c>
      <c r="D654" s="110" t="str">
        <f>IF(ISBLANK($B654),"",IFERROR(VLOOKUP($B654,ESTOQUE!$B$2:$D$97168,3,FALSE),"Produto não cadastrado"))</f>
        <v>LUVA PIGMENTADA</v>
      </c>
      <c r="E654" s="99" t="str">
        <f>_xlfn.XLOOKUP(B654,ESTOQUE!B:B,ESTOQUE!G:G,"",0)</f>
        <v>PAR</v>
      </c>
      <c r="F654" s="99">
        <v>8</v>
      </c>
      <c r="G654" s="146"/>
      <c r="H654" s="146"/>
      <c r="I654" s="147"/>
      <c r="J654" s="147"/>
      <c r="K654" s="63"/>
    </row>
    <row r="655" spans="1:11" x14ac:dyDescent="0.25">
      <c r="A655" s="108">
        <v>45968</v>
      </c>
      <c r="B655" s="109">
        <v>207</v>
      </c>
      <c r="C655" s="49" t="s">
        <v>19</v>
      </c>
      <c r="D655" s="110" t="str">
        <f>IF(ISBLANK($B655),"",IFERROR(VLOOKUP($B655,ESTOQUE!$B$2:$D$97168,3,FALSE),"Produto não cadastrado"))</f>
        <v>LUVA POLIESTER ANTICORTE BANHADA PU TAM 9</v>
      </c>
      <c r="E655" s="99" t="str">
        <f>_xlfn.XLOOKUP(B655,ESTOQUE!B:B,ESTOQUE!G:G,"",0)</f>
        <v>PAR</v>
      </c>
      <c r="F655" s="99">
        <v>15</v>
      </c>
      <c r="G655" s="146"/>
      <c r="H655" s="146"/>
      <c r="I655" s="147"/>
      <c r="J655" s="147"/>
      <c r="K655" s="63"/>
    </row>
    <row r="656" spans="1:11" x14ac:dyDescent="0.25">
      <c r="A656" s="108">
        <v>45968</v>
      </c>
      <c r="B656" s="109">
        <v>118</v>
      </c>
      <c r="C656" s="49" t="s">
        <v>19</v>
      </c>
      <c r="D656" s="110" t="str">
        <f>IF(ISBLANK($B656),"",IFERROR(VLOOKUP($B656,ESTOQUE!$B$2:$D$97168,3,FALSE),"Produto não cadastrado"))</f>
        <v>MACACÃO DE PROTEÇÃO TYVEK</v>
      </c>
      <c r="E656" s="99" t="str">
        <f>_xlfn.XLOOKUP(B656,ESTOQUE!B:B,ESTOQUE!G:G,"",0)</f>
        <v>UND</v>
      </c>
      <c r="F656" s="99">
        <v>8</v>
      </c>
      <c r="G656" s="146"/>
      <c r="H656" s="146"/>
      <c r="I656" s="147"/>
      <c r="J656" s="147"/>
      <c r="K656" s="63"/>
    </row>
    <row r="657" spans="1:11" x14ac:dyDescent="0.25">
      <c r="A657" s="108">
        <v>45968</v>
      </c>
      <c r="B657" s="109">
        <v>144</v>
      </c>
      <c r="C657" s="49" t="s">
        <v>19</v>
      </c>
      <c r="D657" s="110" t="str">
        <f>IF(ISBLANK($B657),"",IFERROR(VLOOKUP($B657,ESTOQUE!$B$2:$D$97168,3,FALSE),"Produto não cadastrado"))</f>
        <v>MASCARA PFF2-S C/ FILTRO</v>
      </c>
      <c r="E657" s="99" t="str">
        <f>_xlfn.XLOOKUP(B657,ESTOQUE!B:B,ESTOQUE!G:G,"",0)</f>
        <v>UND</v>
      </c>
      <c r="F657" s="99">
        <v>22</v>
      </c>
      <c r="G657" s="146"/>
      <c r="H657" s="146"/>
      <c r="I657" s="147"/>
      <c r="J657" s="147"/>
      <c r="K657" s="63"/>
    </row>
    <row r="658" spans="1:11" x14ac:dyDescent="0.25">
      <c r="A658" s="108">
        <v>45968</v>
      </c>
      <c r="B658" s="109">
        <v>126</v>
      </c>
      <c r="C658" s="49" t="s">
        <v>19</v>
      </c>
      <c r="D658" s="110" t="str">
        <f>IF(ISBLANK($B658),"",IFERROR(VLOOKUP($B658,ESTOQUE!$B$2:$D$97168,3,FALSE),"Produto não cadastrado"))</f>
        <v>OCULOS DE PROTEÇÃO ESCURO</v>
      </c>
      <c r="E658" s="99" t="str">
        <f>_xlfn.XLOOKUP(B658,ESTOQUE!B:B,ESTOQUE!G:G,"",0)</f>
        <v>UND</v>
      </c>
      <c r="F658" s="99">
        <v>5</v>
      </c>
      <c r="G658" s="146"/>
      <c r="H658" s="146"/>
      <c r="I658" s="147"/>
      <c r="J658" s="147"/>
      <c r="K658" s="63"/>
    </row>
    <row r="659" spans="1:11" x14ac:dyDescent="0.25">
      <c r="A659" s="108">
        <v>45968</v>
      </c>
      <c r="B659" s="109">
        <v>124</v>
      </c>
      <c r="C659" s="49" t="s">
        <v>19</v>
      </c>
      <c r="D659" s="110" t="str">
        <f>IF(ISBLANK($B659),"",IFERROR(VLOOKUP($B659,ESTOQUE!$B$2:$D$97168,3,FALSE),"Produto não cadastrado"))</f>
        <v xml:space="preserve">OCULOS DE PROTEÇÃO INCOLOR </v>
      </c>
      <c r="E659" s="99" t="str">
        <f>_xlfn.XLOOKUP(B659,ESTOQUE!B:B,ESTOQUE!G:G,"",0)</f>
        <v>UND</v>
      </c>
      <c r="F659" s="99">
        <v>9</v>
      </c>
      <c r="G659" s="146"/>
      <c r="H659" s="146"/>
      <c r="I659" s="147"/>
      <c r="J659" s="147"/>
      <c r="K659" s="63"/>
    </row>
    <row r="660" spans="1:11" x14ac:dyDescent="0.25">
      <c r="A660" s="108">
        <v>45968</v>
      </c>
      <c r="B660" s="109">
        <v>224</v>
      </c>
      <c r="C660" s="49" t="s">
        <v>19</v>
      </c>
      <c r="D660" s="110" t="str">
        <f>IF(ISBLANK($B660),"",IFERROR(VLOOKUP($B660,ESTOQUE!$B$2:$D$97168,3,FALSE),"Produto não cadastrado"))</f>
        <v>OCULOS OPERACIONAL SOBRE POR ESCURO</v>
      </c>
      <c r="E660" s="99" t="str">
        <f>_xlfn.XLOOKUP(B660,ESTOQUE!B:B,ESTOQUE!G:G,"",0)</f>
        <v>UND</v>
      </c>
      <c r="F660" s="99">
        <v>2</v>
      </c>
      <c r="G660" s="146"/>
      <c r="H660" s="146"/>
      <c r="I660" s="147"/>
      <c r="J660" s="147"/>
      <c r="K660" s="63"/>
    </row>
    <row r="661" spans="1:11" x14ac:dyDescent="0.25">
      <c r="A661" s="108">
        <v>45968</v>
      </c>
      <c r="B661" s="109">
        <v>225</v>
      </c>
      <c r="C661" s="49" t="s">
        <v>19</v>
      </c>
      <c r="D661" s="110" t="str">
        <f>IF(ISBLANK($B661),"",IFERROR(VLOOKUP($B661,ESTOQUE!$B$2:$D$97168,3,FALSE),"Produto não cadastrado"))</f>
        <v>OCULOS OPERACIONAL SOBRE POR INCOLOR</v>
      </c>
      <c r="E661" s="99" t="str">
        <f>_xlfn.XLOOKUP(B661,ESTOQUE!B:B,ESTOQUE!G:G,"",0)</f>
        <v>UND</v>
      </c>
      <c r="F661" s="99">
        <v>2</v>
      </c>
      <c r="G661" s="146"/>
      <c r="H661" s="146"/>
      <c r="I661" s="147"/>
      <c r="J661" s="147"/>
      <c r="K661" s="63"/>
    </row>
    <row r="662" spans="1:11" x14ac:dyDescent="0.25">
      <c r="A662" s="108">
        <v>45968</v>
      </c>
      <c r="B662" s="109">
        <v>129</v>
      </c>
      <c r="C662" s="49" t="s">
        <v>19</v>
      </c>
      <c r="D662" s="110" t="str">
        <f>IF(ISBLANK($B662),"",IFERROR(VLOOKUP($B662,ESTOQUE!$B$2:$D$97168,3,FALSE),"Produto não cadastrado"))</f>
        <v>PERNEIRA DE RASPA</v>
      </c>
      <c r="E662" s="99" t="str">
        <f>_xlfn.XLOOKUP(B662,ESTOQUE!B:B,ESTOQUE!G:G,"",0)</f>
        <v>PAR</v>
      </c>
      <c r="F662" s="99">
        <v>1</v>
      </c>
      <c r="G662" s="146"/>
      <c r="H662" s="146"/>
      <c r="I662" s="147"/>
      <c r="J662" s="147"/>
      <c r="K662" s="63"/>
    </row>
    <row r="663" spans="1:11" x14ac:dyDescent="0.25">
      <c r="A663" s="108">
        <v>45968</v>
      </c>
      <c r="B663" s="109">
        <v>139</v>
      </c>
      <c r="C663" s="49" t="s">
        <v>19</v>
      </c>
      <c r="D663" s="110" t="str">
        <f>IF(ISBLANK($B663),"",IFERROR(VLOOKUP($B663,ESTOQUE!$B$2:$D$97168,3,FALSE),"Produto não cadastrado"))</f>
        <v>PROTETOR AURICULAR TIPO PLUG</v>
      </c>
      <c r="E663" s="99" t="str">
        <f>_xlfn.XLOOKUP(B663,ESTOQUE!B:B,ESTOQUE!G:G,"",0)</f>
        <v>UND</v>
      </c>
      <c r="F663" s="99">
        <v>6</v>
      </c>
      <c r="G663" s="146"/>
      <c r="H663" s="146"/>
      <c r="I663" s="147"/>
      <c r="J663" s="147"/>
      <c r="K663" s="63"/>
    </row>
    <row r="664" spans="1:11" x14ac:dyDescent="0.25">
      <c r="A664" s="108">
        <v>45968</v>
      </c>
      <c r="B664" s="109">
        <v>135</v>
      </c>
      <c r="C664" s="49" t="s">
        <v>19</v>
      </c>
      <c r="D664" s="110" t="str">
        <f>IF(ISBLANK($B664),"",IFERROR(VLOOKUP($B664,ESTOQUE!$B$2:$D$97168,3,FALSE),"Produto não cadastrado"))</f>
        <v>TALABARTE DUPLO TIPO Y</v>
      </c>
      <c r="E664" s="99" t="str">
        <f>_xlfn.XLOOKUP(B664,ESTOQUE!B:B,ESTOQUE!G:G,"",0)</f>
        <v>UND</v>
      </c>
      <c r="F664" s="99">
        <v>7</v>
      </c>
      <c r="G664" s="146"/>
      <c r="H664" s="146"/>
      <c r="I664" s="147"/>
      <c r="J664" s="147"/>
      <c r="K664" s="63"/>
    </row>
    <row r="665" spans="1:11" x14ac:dyDescent="0.25">
      <c r="A665" s="108">
        <v>45969</v>
      </c>
      <c r="B665" s="109">
        <v>228</v>
      </c>
      <c r="C665" s="49" t="s">
        <v>19</v>
      </c>
      <c r="D665" s="110" t="str">
        <f>IF(ISBLANK($B665),"",IFERROR(VLOOKUP($B665,ESTOQUE!$B$2:$D$97168,3,FALSE),"Produto não cadastrado"))</f>
        <v xml:space="preserve">BALACLAVA  </v>
      </c>
      <c r="E665" s="99" t="str">
        <f>_xlfn.XLOOKUP(B665,ESTOQUE!B:B,ESTOQUE!G:G,"",0)</f>
        <v>UND</v>
      </c>
      <c r="F665" s="99">
        <v>2</v>
      </c>
      <c r="G665" s="146"/>
      <c r="H665" s="146"/>
      <c r="I665" s="147"/>
      <c r="J665" s="147"/>
      <c r="K665" s="63"/>
    </row>
    <row r="666" spans="1:11" x14ac:dyDescent="0.25">
      <c r="A666" s="108">
        <v>45969</v>
      </c>
      <c r="B666" s="109">
        <v>46</v>
      </c>
      <c r="C666" s="49" t="s">
        <v>19</v>
      </c>
      <c r="D666" s="110" t="str">
        <f>IF(ISBLANK($B666),"",IFERROR(VLOOKUP($B666,ESTOQUE!$B$2:$D$97168,3,FALSE),"Produto não cadastrado"))</f>
        <v>CALÇA CINZA OP. C/ FAIXA REFLETIVA TAM: G</v>
      </c>
      <c r="E666" s="99" t="str">
        <f>_xlfn.XLOOKUP(B666,ESTOQUE!B:B,ESTOQUE!G:G,"",0)</f>
        <v>UND</v>
      </c>
      <c r="F666" s="99">
        <v>2</v>
      </c>
      <c r="G666" s="146"/>
      <c r="H666" s="146"/>
      <c r="I666" s="147"/>
      <c r="J666" s="147"/>
      <c r="K666" s="63"/>
    </row>
    <row r="667" spans="1:11" x14ac:dyDescent="0.25">
      <c r="A667" s="108">
        <v>45969</v>
      </c>
      <c r="B667" s="109">
        <v>48</v>
      </c>
      <c r="C667" s="49" t="s">
        <v>19</v>
      </c>
      <c r="D667" s="110" t="str">
        <f>IF(ISBLANK($B667),"",IFERROR(VLOOKUP($B667,ESTOQUE!$B$2:$D$97168,3,FALSE),"Produto não cadastrado"))</f>
        <v>CALÇA CINZA OP. C/ FAIXA REFLETIVA TAM: M</v>
      </c>
      <c r="E667" s="99" t="str">
        <f>_xlfn.XLOOKUP(B667,ESTOQUE!B:B,ESTOQUE!G:G,"",0)</f>
        <v>UND</v>
      </c>
      <c r="F667" s="99">
        <v>1</v>
      </c>
      <c r="G667" s="146"/>
      <c r="H667" s="146"/>
      <c r="I667" s="147"/>
      <c r="J667" s="147"/>
      <c r="K667" s="63"/>
    </row>
    <row r="668" spans="1:11" x14ac:dyDescent="0.25">
      <c r="A668" s="108">
        <v>45969</v>
      </c>
      <c r="B668" s="109">
        <v>67</v>
      </c>
      <c r="C668" s="49" t="s">
        <v>19</v>
      </c>
      <c r="D668" s="110" t="str">
        <f>IF(ISBLANK($B668),"",IFERROR(VLOOKUP($B668,ESTOQUE!$B$2:$D$97168,3,FALSE),"Produto não cadastrado"))</f>
        <v>CAMISA LARANJA OP. C/ FAIXA REFLETIVA TAM: G</v>
      </c>
      <c r="E668" s="99" t="str">
        <f>_xlfn.XLOOKUP(B668,ESTOQUE!B:B,ESTOQUE!G:G,"",0)</f>
        <v>UND</v>
      </c>
      <c r="F668" s="99">
        <v>3</v>
      </c>
      <c r="G668" s="146"/>
      <c r="H668" s="146"/>
      <c r="I668" s="147"/>
      <c r="J668" s="147"/>
      <c r="K668" s="63"/>
    </row>
    <row r="669" spans="1:11" x14ac:dyDescent="0.25">
      <c r="A669" s="108">
        <v>45969</v>
      </c>
      <c r="B669" s="109">
        <v>69</v>
      </c>
      <c r="C669" s="49" t="s">
        <v>19</v>
      </c>
      <c r="D669" s="110" t="str">
        <f>IF(ISBLANK($B669),"",IFERROR(VLOOKUP($B669,ESTOQUE!$B$2:$D$97168,3,FALSE),"Produto não cadastrado"))</f>
        <v>CAMISA LARANJA OP. C/ FAIXA REFLETIVA TAM: M</v>
      </c>
      <c r="E669" s="99" t="str">
        <f>_xlfn.XLOOKUP(B669,ESTOQUE!B:B,ESTOQUE!G:G,"",0)</f>
        <v>UND</v>
      </c>
      <c r="F669" s="99">
        <v>1</v>
      </c>
      <c r="G669" s="146"/>
      <c r="H669" s="146"/>
      <c r="I669" s="147"/>
      <c r="J669" s="147"/>
      <c r="K669" s="63"/>
    </row>
    <row r="670" spans="1:11" x14ac:dyDescent="0.25">
      <c r="A670" s="108">
        <v>45969</v>
      </c>
      <c r="B670" s="109">
        <v>73</v>
      </c>
      <c r="C670" s="49" t="s">
        <v>19</v>
      </c>
      <c r="D670" s="110" t="str">
        <f>IF(ISBLANK($B670),"",IFERROR(VLOOKUP($B670,ESTOQUE!$B$2:$D$97168,3,FALSE),"Produto não cadastrado"))</f>
        <v>CAPA DE CHUVA GG</v>
      </c>
      <c r="E670" s="99" t="str">
        <f>_xlfn.XLOOKUP(B670,ESTOQUE!B:B,ESTOQUE!G:G,"",0)</f>
        <v>UND</v>
      </c>
      <c r="F670" s="99">
        <v>47</v>
      </c>
      <c r="G670" s="146"/>
      <c r="H670" s="146"/>
      <c r="I670" s="147"/>
      <c r="J670" s="147"/>
      <c r="K670" s="63"/>
    </row>
    <row r="671" spans="1:11" x14ac:dyDescent="0.25">
      <c r="A671" s="108">
        <v>45969</v>
      </c>
      <c r="B671" s="109">
        <v>110</v>
      </c>
      <c r="C671" s="49" t="s">
        <v>19</v>
      </c>
      <c r="D671" s="110" t="str">
        <f>IF(ISBLANK($B671),"",IFERROR(VLOOKUP($B671,ESTOQUE!$B$2:$D$97168,3,FALSE),"Produto não cadastrado"))</f>
        <v>LUVA DE RASPA CANO LONGO</v>
      </c>
      <c r="E671" s="99" t="str">
        <f>_xlfn.XLOOKUP(B671,ESTOQUE!B:B,ESTOQUE!G:G,"",0)</f>
        <v>PAR</v>
      </c>
      <c r="F671" s="99">
        <v>1</v>
      </c>
      <c r="G671" s="146"/>
      <c r="H671" s="146"/>
      <c r="I671" s="147"/>
      <c r="J671" s="147"/>
      <c r="K671" s="63"/>
    </row>
    <row r="672" spans="1:11" x14ac:dyDescent="0.25">
      <c r="A672" s="108">
        <v>45969</v>
      </c>
      <c r="B672" s="109">
        <v>114</v>
      </c>
      <c r="C672" s="49" t="s">
        <v>19</v>
      </c>
      <c r="D672" s="110" t="str">
        <f>IF(ISBLANK($B672),"",IFERROR(VLOOKUP($B672,ESTOQUE!$B$2:$D$97168,3,FALSE),"Produto não cadastrado"))</f>
        <v xml:space="preserve">LUVA LATEX NITRILICA </v>
      </c>
      <c r="E672" s="99" t="str">
        <f>_xlfn.XLOOKUP(B672,ESTOQUE!B:B,ESTOQUE!G:G,"",0)</f>
        <v>PAR</v>
      </c>
      <c r="F672" s="99">
        <v>4</v>
      </c>
      <c r="G672" s="146"/>
      <c r="H672" s="146"/>
      <c r="I672" s="147"/>
      <c r="J672" s="147"/>
      <c r="K672" s="63"/>
    </row>
    <row r="673" spans="1:11" x14ac:dyDescent="0.25">
      <c r="A673" s="108">
        <v>45969</v>
      </c>
      <c r="B673" s="109">
        <v>117</v>
      </c>
      <c r="C673" s="49" t="s">
        <v>19</v>
      </c>
      <c r="D673" s="110" t="str">
        <f>IF(ISBLANK($B673),"",IFERROR(VLOOKUP($B673,ESTOQUE!$B$2:$D$97168,3,FALSE),"Produto não cadastrado"))</f>
        <v>LUVA PIGMENTADA</v>
      </c>
      <c r="E673" s="99" t="str">
        <f>_xlfn.XLOOKUP(B673,ESTOQUE!B:B,ESTOQUE!G:G,"",0)</f>
        <v>PAR</v>
      </c>
      <c r="F673" s="99">
        <v>2</v>
      </c>
      <c r="G673" s="146"/>
      <c r="H673" s="146"/>
      <c r="I673" s="147"/>
      <c r="J673" s="147"/>
      <c r="K673" s="63"/>
    </row>
    <row r="674" spans="1:11" x14ac:dyDescent="0.25">
      <c r="A674" s="108">
        <v>45969</v>
      </c>
      <c r="B674" s="109">
        <v>207</v>
      </c>
      <c r="C674" s="49" t="s">
        <v>19</v>
      </c>
      <c r="D674" s="110" t="str">
        <f>IF(ISBLANK($B674),"",IFERROR(VLOOKUP($B674,ESTOQUE!$B$2:$D$97168,3,FALSE),"Produto não cadastrado"))</f>
        <v>LUVA POLIESTER ANTICORTE BANHADA PU TAM 9</v>
      </c>
      <c r="E674" s="99" t="str">
        <f>_xlfn.XLOOKUP(B674,ESTOQUE!B:B,ESTOQUE!G:G,"",0)</f>
        <v>PAR</v>
      </c>
      <c r="F674" s="99">
        <v>3</v>
      </c>
      <c r="G674" s="146"/>
      <c r="H674" s="146"/>
      <c r="I674" s="147"/>
      <c r="J674" s="147"/>
      <c r="K674" s="63"/>
    </row>
    <row r="675" spans="1:11" x14ac:dyDescent="0.25">
      <c r="A675" s="108">
        <v>45969</v>
      </c>
      <c r="B675" s="109">
        <v>118</v>
      </c>
      <c r="C675" s="49" t="s">
        <v>19</v>
      </c>
      <c r="D675" s="110" t="str">
        <f>IF(ISBLANK($B675),"",IFERROR(VLOOKUP($B675,ESTOQUE!$B$2:$D$97168,3,FALSE),"Produto não cadastrado"))</f>
        <v>MACACÃO DE PROTEÇÃO TYVEK</v>
      </c>
      <c r="E675" s="99" t="str">
        <f>_xlfn.XLOOKUP(B675,ESTOQUE!B:B,ESTOQUE!G:G,"",0)</f>
        <v>UND</v>
      </c>
      <c r="F675" s="99">
        <v>22</v>
      </c>
      <c r="G675" s="146"/>
      <c r="H675" s="146"/>
      <c r="I675" s="147"/>
      <c r="J675" s="147"/>
      <c r="K675" s="63"/>
    </row>
    <row r="676" spans="1:11" x14ac:dyDescent="0.25">
      <c r="A676" s="108">
        <v>45969</v>
      </c>
      <c r="B676" s="109">
        <v>144</v>
      </c>
      <c r="C676" s="49" t="s">
        <v>19</v>
      </c>
      <c r="D676" s="110" t="str">
        <f>IF(ISBLANK($B676),"",IFERROR(VLOOKUP($B676,ESTOQUE!$B$2:$D$97168,3,FALSE),"Produto não cadastrado"))</f>
        <v>MASCARA PFF2-S C/ FILTRO</v>
      </c>
      <c r="E676" s="99" t="str">
        <f>_xlfn.XLOOKUP(B676,ESTOQUE!B:B,ESTOQUE!G:G,"",0)</f>
        <v>UND</v>
      </c>
      <c r="F676" s="99">
        <v>10</v>
      </c>
      <c r="G676" s="146"/>
      <c r="H676" s="146"/>
      <c r="I676" s="147"/>
      <c r="J676" s="147"/>
      <c r="K676" s="63"/>
    </row>
    <row r="677" spans="1:11" x14ac:dyDescent="0.25">
      <c r="A677" s="108">
        <v>45969</v>
      </c>
      <c r="B677" s="109">
        <v>126</v>
      </c>
      <c r="C677" s="49" t="s">
        <v>19</v>
      </c>
      <c r="D677" s="110" t="str">
        <f>IF(ISBLANK($B677),"",IFERROR(VLOOKUP($B677,ESTOQUE!$B$2:$D$97168,3,FALSE),"Produto não cadastrado"))</f>
        <v>OCULOS DE PROTEÇÃO ESCURO</v>
      </c>
      <c r="E677" s="99" t="str">
        <f>_xlfn.XLOOKUP(B677,ESTOQUE!B:B,ESTOQUE!G:G,"",0)</f>
        <v>UND</v>
      </c>
      <c r="F677" s="99">
        <v>4</v>
      </c>
      <c r="G677" s="146"/>
      <c r="H677" s="146"/>
      <c r="I677" s="147"/>
      <c r="J677" s="147"/>
      <c r="K677" s="63"/>
    </row>
    <row r="678" spans="1:11" x14ac:dyDescent="0.25">
      <c r="A678" s="108">
        <v>45969</v>
      </c>
      <c r="B678" s="109">
        <v>124</v>
      </c>
      <c r="C678" s="49" t="s">
        <v>19</v>
      </c>
      <c r="D678" s="110" t="str">
        <f>IF(ISBLANK($B678),"",IFERROR(VLOOKUP($B678,ESTOQUE!$B$2:$D$97168,3,FALSE),"Produto não cadastrado"))</f>
        <v xml:space="preserve">OCULOS DE PROTEÇÃO INCOLOR </v>
      </c>
      <c r="E678" s="99" t="str">
        <f>_xlfn.XLOOKUP(B678,ESTOQUE!B:B,ESTOQUE!G:G,"",0)</f>
        <v>UND</v>
      </c>
      <c r="F678" s="99">
        <v>4</v>
      </c>
      <c r="G678" s="146"/>
      <c r="H678" s="146"/>
      <c r="I678" s="147"/>
      <c r="J678" s="147"/>
      <c r="K678" s="63"/>
    </row>
    <row r="679" spans="1:11" x14ac:dyDescent="0.25">
      <c r="A679" s="108">
        <v>45969</v>
      </c>
      <c r="B679" s="109">
        <v>224</v>
      </c>
      <c r="C679" s="49" t="s">
        <v>19</v>
      </c>
      <c r="D679" s="110" t="str">
        <f>IF(ISBLANK($B679),"",IFERROR(VLOOKUP($B679,ESTOQUE!$B$2:$D$97168,3,FALSE),"Produto não cadastrado"))</f>
        <v>OCULOS OPERACIONAL SOBRE POR ESCURO</v>
      </c>
      <c r="E679" s="99" t="str">
        <f>_xlfn.XLOOKUP(B679,ESTOQUE!B:B,ESTOQUE!G:G,"",0)</f>
        <v>UND</v>
      </c>
      <c r="F679" s="99">
        <v>2</v>
      </c>
      <c r="G679" s="146"/>
      <c r="H679" s="146"/>
      <c r="I679" s="147"/>
      <c r="J679" s="147"/>
      <c r="K679" s="63"/>
    </row>
    <row r="680" spans="1:11" x14ac:dyDescent="0.25">
      <c r="A680" s="108">
        <v>45969</v>
      </c>
      <c r="B680" s="109">
        <v>225</v>
      </c>
      <c r="C680" s="49" t="s">
        <v>19</v>
      </c>
      <c r="D680" s="110" t="str">
        <f>IF(ISBLANK($B680),"",IFERROR(VLOOKUP($B680,ESTOQUE!$B$2:$D$97168,3,FALSE),"Produto não cadastrado"))</f>
        <v>OCULOS OPERACIONAL SOBRE POR INCOLOR</v>
      </c>
      <c r="E680" s="99" t="str">
        <f>_xlfn.XLOOKUP(B680,ESTOQUE!B:B,ESTOQUE!G:G,"",0)</f>
        <v>UND</v>
      </c>
      <c r="F680" s="99">
        <v>2</v>
      </c>
      <c r="G680" s="146"/>
      <c r="H680" s="146"/>
      <c r="I680" s="147"/>
      <c r="J680" s="147"/>
      <c r="K680" s="63"/>
    </row>
    <row r="681" spans="1:11" x14ac:dyDescent="0.25">
      <c r="A681" s="108">
        <v>45969</v>
      </c>
      <c r="B681" s="109">
        <v>191</v>
      </c>
      <c r="C681" s="49" t="s">
        <v>19</v>
      </c>
      <c r="D681" s="110" t="str">
        <f>IF(ISBLANK($B681),"",IFERROR(VLOOKUP($B681,ESTOQUE!$B$2:$D$97168,3,FALSE),"Produto não cadastrado"))</f>
        <v>PROTETOR AUDITIVO TIPO CONCHA</v>
      </c>
      <c r="E681" s="99" t="str">
        <f>_xlfn.XLOOKUP(B681,ESTOQUE!B:B,ESTOQUE!G:G,"",0)</f>
        <v>UND</v>
      </c>
      <c r="F681" s="99">
        <v>1</v>
      </c>
      <c r="G681" s="146"/>
      <c r="H681" s="146"/>
      <c r="I681" s="147"/>
      <c r="J681" s="147"/>
      <c r="K681" s="63"/>
    </row>
    <row r="682" spans="1:11" x14ac:dyDescent="0.25">
      <c r="A682" s="108">
        <v>45969</v>
      </c>
      <c r="B682" s="109">
        <v>139</v>
      </c>
      <c r="C682" s="49" t="s">
        <v>19</v>
      </c>
      <c r="D682" s="110" t="str">
        <f>IF(ISBLANK($B682),"",IFERROR(VLOOKUP($B682,ESTOQUE!$B$2:$D$97168,3,FALSE),"Produto não cadastrado"))</f>
        <v>PROTETOR AURICULAR TIPO PLUG</v>
      </c>
      <c r="E682" s="99" t="str">
        <f>_xlfn.XLOOKUP(B682,ESTOQUE!B:B,ESTOQUE!G:G,"",0)</f>
        <v>UND</v>
      </c>
      <c r="F682" s="99">
        <v>1</v>
      </c>
      <c r="G682" s="146"/>
      <c r="H682" s="146"/>
      <c r="I682" s="147"/>
      <c r="J682" s="147"/>
      <c r="K682" s="63"/>
    </row>
    <row r="683" spans="1:11" x14ac:dyDescent="0.25">
      <c r="A683" s="108">
        <v>45970</v>
      </c>
      <c r="B683" s="109">
        <v>228</v>
      </c>
      <c r="C683" s="49" t="s">
        <v>19</v>
      </c>
      <c r="D683" s="110" t="str">
        <f>IF(ISBLANK($B683),"",IFERROR(VLOOKUP($B683,ESTOQUE!$B$2:$D$97168,3,FALSE),"Produto não cadastrado"))</f>
        <v xml:space="preserve">BALACLAVA  </v>
      </c>
      <c r="E683" s="99" t="str">
        <f>_xlfn.XLOOKUP(B683,ESTOQUE!B:B,ESTOQUE!G:G,"",0)</f>
        <v>UND</v>
      </c>
      <c r="F683" s="99">
        <v>4</v>
      </c>
      <c r="G683" s="146"/>
      <c r="H683" s="146"/>
      <c r="I683" s="147"/>
      <c r="J683" s="147"/>
      <c r="K683" s="63"/>
    </row>
    <row r="684" spans="1:11" x14ac:dyDescent="0.25">
      <c r="A684" s="108">
        <v>45970</v>
      </c>
      <c r="B684" s="109">
        <v>11</v>
      </c>
      <c r="C684" s="49" t="s">
        <v>19</v>
      </c>
      <c r="D684" s="110" t="str">
        <f>IF(ISBLANK($B684),"",IFERROR(VLOOKUP($B684,ESTOQUE!$B$2:$D$97168,3,FALSE),"Produto não cadastrado"))</f>
        <v>BOTA PVC CANO LONGO Nº 43</v>
      </c>
      <c r="E684" s="99" t="str">
        <f>_xlfn.XLOOKUP(B684,ESTOQUE!B:B,ESTOQUE!G:G,"",0)</f>
        <v>PAR</v>
      </c>
      <c r="F684" s="99">
        <v>1</v>
      </c>
      <c r="G684" s="146"/>
      <c r="H684" s="146"/>
      <c r="I684" s="147"/>
      <c r="J684" s="147"/>
      <c r="K684" s="63"/>
    </row>
    <row r="685" spans="1:11" x14ac:dyDescent="0.25">
      <c r="A685" s="108">
        <v>45970</v>
      </c>
      <c r="B685" s="109">
        <v>37</v>
      </c>
      <c r="C685" s="49" t="s">
        <v>19</v>
      </c>
      <c r="D685" s="110" t="str">
        <f>IF(ISBLANK($B685),"",IFERROR(VLOOKUP($B685,ESTOQUE!$B$2:$D$97168,3,FALSE),"Produto não cadastrado"))</f>
        <v>BOTINA OP. BICO PVC Nº 39</v>
      </c>
      <c r="E685" s="99" t="str">
        <f>_xlfn.XLOOKUP(B685,ESTOQUE!B:B,ESTOQUE!G:G,"",0)</f>
        <v>PAR</v>
      </c>
      <c r="F685" s="99">
        <v>1</v>
      </c>
      <c r="G685" s="146"/>
      <c r="H685" s="146"/>
      <c r="I685" s="147"/>
      <c r="J685" s="147"/>
      <c r="K685" s="63"/>
    </row>
    <row r="686" spans="1:11" x14ac:dyDescent="0.25">
      <c r="A686" s="108">
        <v>45970</v>
      </c>
      <c r="B686" s="109">
        <v>41</v>
      </c>
      <c r="C686" s="49" t="s">
        <v>19</v>
      </c>
      <c r="D686" s="110" t="str">
        <f>IF(ISBLANK($B686),"",IFERROR(VLOOKUP($B686,ESTOQUE!$B$2:$D$97168,3,FALSE),"Produto não cadastrado"))</f>
        <v>BOTINA OP. BICO PVC Nº 43</v>
      </c>
      <c r="E686" s="99" t="str">
        <f>_xlfn.XLOOKUP(B686,ESTOQUE!B:B,ESTOQUE!G:G,"",0)</f>
        <v>PAR</v>
      </c>
      <c r="F686" s="99">
        <v>1</v>
      </c>
      <c r="G686" s="146"/>
      <c r="H686" s="146"/>
      <c r="I686" s="147"/>
      <c r="J686" s="147"/>
      <c r="K686" s="63"/>
    </row>
    <row r="687" spans="1:11" x14ac:dyDescent="0.25">
      <c r="A687" s="108">
        <v>45970</v>
      </c>
      <c r="B687" s="109">
        <v>216</v>
      </c>
      <c r="C687" s="49" t="s">
        <v>19</v>
      </c>
      <c r="D687" s="110" t="str">
        <f>IF(ISBLANK($B687),"",IFERROR(VLOOKUP($B687,ESTOQUE!$B$2:$D$97168,3,FALSE),"Produto não cadastrado"))</f>
        <v>BOTINA SEGURANÇA METATARSO  39</v>
      </c>
      <c r="E687" s="99" t="str">
        <f>_xlfn.XLOOKUP(B687,ESTOQUE!B:B,ESTOQUE!G:G,"",0)</f>
        <v>PAR</v>
      </c>
      <c r="F687" s="99">
        <v>1</v>
      </c>
      <c r="G687" s="146"/>
      <c r="H687" s="146"/>
      <c r="I687" s="147"/>
      <c r="J687" s="147"/>
      <c r="K687" s="63"/>
    </row>
    <row r="688" spans="1:11" x14ac:dyDescent="0.25">
      <c r="A688" s="108">
        <v>45970</v>
      </c>
      <c r="B688" s="109">
        <v>220</v>
      </c>
      <c r="C688" s="49" t="s">
        <v>19</v>
      </c>
      <c r="D688" s="110" t="str">
        <f>IF(ISBLANK($B688),"",IFERROR(VLOOKUP($B688,ESTOQUE!$B$2:$D$97168,3,FALSE),"Produto não cadastrado"))</f>
        <v>BOTINA SEGURANÇA METATARSO  43</v>
      </c>
      <c r="E688" s="99" t="str">
        <f>_xlfn.XLOOKUP(B688,ESTOQUE!B:B,ESTOQUE!G:G,"",0)</f>
        <v>PAR</v>
      </c>
      <c r="F688" s="99">
        <v>1</v>
      </c>
      <c r="G688" s="146"/>
      <c r="H688" s="146"/>
      <c r="I688" s="147"/>
      <c r="J688" s="147"/>
      <c r="K688" s="63"/>
    </row>
    <row r="689" spans="1:11" x14ac:dyDescent="0.25">
      <c r="A689" s="108">
        <v>45970</v>
      </c>
      <c r="B689" s="109">
        <v>46</v>
      </c>
      <c r="C689" s="49" t="s">
        <v>19</v>
      </c>
      <c r="D689" s="110" t="str">
        <f>IF(ISBLANK($B689),"",IFERROR(VLOOKUP($B689,ESTOQUE!$B$2:$D$97168,3,FALSE),"Produto não cadastrado"))</f>
        <v>CALÇA CINZA OP. C/ FAIXA REFLETIVA TAM: G</v>
      </c>
      <c r="E689" s="99" t="str">
        <f>_xlfn.XLOOKUP(B689,ESTOQUE!B:B,ESTOQUE!G:G,"",0)</f>
        <v>UND</v>
      </c>
      <c r="F689" s="99">
        <v>17</v>
      </c>
      <c r="G689" s="146"/>
      <c r="H689" s="146"/>
      <c r="I689" s="147"/>
      <c r="J689" s="147"/>
      <c r="K689" s="63"/>
    </row>
    <row r="690" spans="1:11" x14ac:dyDescent="0.25">
      <c r="A690" s="108">
        <v>45970</v>
      </c>
      <c r="B690" s="109">
        <v>47</v>
      </c>
      <c r="C690" s="49" t="s">
        <v>19</v>
      </c>
      <c r="D690" s="110" t="str">
        <f>IF(ISBLANK($B690),"",IFERROR(VLOOKUP($B690,ESTOQUE!$B$2:$D$97168,3,FALSE),"Produto não cadastrado"))</f>
        <v>CALÇA CINZA OP. C/ FAIXA REFLETIVA TAM: GG</v>
      </c>
      <c r="E690" s="99" t="str">
        <f>_xlfn.XLOOKUP(B690,ESTOQUE!B:B,ESTOQUE!G:G,"",0)</f>
        <v>UND</v>
      </c>
      <c r="F690" s="99">
        <v>10</v>
      </c>
      <c r="G690" s="146"/>
      <c r="H690" s="146"/>
      <c r="I690" s="147"/>
      <c r="J690" s="147"/>
      <c r="K690" s="63"/>
    </row>
    <row r="691" spans="1:11" x14ac:dyDescent="0.25">
      <c r="A691" s="108">
        <v>45970</v>
      </c>
      <c r="B691" s="109">
        <v>48</v>
      </c>
      <c r="C691" s="49" t="s">
        <v>19</v>
      </c>
      <c r="D691" s="110" t="str">
        <f>IF(ISBLANK($B691),"",IFERROR(VLOOKUP($B691,ESTOQUE!$B$2:$D$97168,3,FALSE),"Produto não cadastrado"))</f>
        <v>CALÇA CINZA OP. C/ FAIXA REFLETIVA TAM: M</v>
      </c>
      <c r="E691" s="99" t="str">
        <f>_xlfn.XLOOKUP(B691,ESTOQUE!B:B,ESTOQUE!G:G,"",0)</f>
        <v>UND</v>
      </c>
      <c r="F691" s="99">
        <v>9</v>
      </c>
      <c r="G691" s="146"/>
      <c r="H691" s="146"/>
      <c r="I691" s="147"/>
      <c r="J691" s="147"/>
      <c r="K691" s="63"/>
    </row>
    <row r="692" spans="1:11" x14ac:dyDescent="0.25">
      <c r="A692" s="108">
        <v>45970</v>
      </c>
      <c r="B692" s="109">
        <v>221</v>
      </c>
      <c r="C692" s="49" t="s">
        <v>19</v>
      </c>
      <c r="D692" s="110" t="str">
        <f>IF(ISBLANK($B692),"",IFERROR(VLOOKUP($B692,ESTOQUE!$B$2:$D$97168,3,FALSE),"Produto não cadastrado"))</f>
        <v>BOTINA SEGURANÇA METATARSO  44</v>
      </c>
      <c r="E692" s="99" t="str">
        <f>_xlfn.XLOOKUP(B692,ESTOQUE!B:B,ESTOQUE!G:G,"",0)</f>
        <v>PAR</v>
      </c>
      <c r="F692" s="99">
        <v>1</v>
      </c>
      <c r="G692" s="146"/>
      <c r="H692" s="146"/>
      <c r="I692" s="147"/>
      <c r="J692" s="147"/>
      <c r="K692" s="63"/>
    </row>
    <row r="693" spans="1:11" x14ac:dyDescent="0.25">
      <c r="A693" s="108">
        <v>45970</v>
      </c>
      <c r="B693" s="109">
        <v>49</v>
      </c>
      <c r="C693" s="49" t="s">
        <v>19</v>
      </c>
      <c r="D693" s="110" t="str">
        <f>IF(ISBLANK($B693),"",IFERROR(VLOOKUP($B693,ESTOQUE!$B$2:$D$97168,3,FALSE),"Produto não cadastrado"))</f>
        <v>CALÇA CINZA OP. C/ FAIXA REFLETIVA TAM: P</v>
      </c>
      <c r="E693" s="99" t="str">
        <f>_xlfn.XLOOKUP(B693,ESTOQUE!B:B,ESTOQUE!G:G,"",0)</f>
        <v>UND</v>
      </c>
      <c r="F693" s="99">
        <v>12</v>
      </c>
      <c r="G693" s="146"/>
      <c r="H693" s="146"/>
      <c r="I693" s="147"/>
      <c r="J693" s="147"/>
      <c r="K693" s="63"/>
    </row>
    <row r="694" spans="1:11" x14ac:dyDescent="0.25">
      <c r="A694" s="108">
        <v>45970</v>
      </c>
      <c r="B694" s="109">
        <v>50</v>
      </c>
      <c r="C694" s="49" t="s">
        <v>19</v>
      </c>
      <c r="D694" s="110" t="str">
        <f>IF(ISBLANK($B694),"",IFERROR(VLOOKUP($B694,ESTOQUE!$B$2:$D$97168,3,FALSE),"Produto não cadastrado"))</f>
        <v>CALÇA CINZA OP. C/ FAIXA REFLETIVA TAM: XG</v>
      </c>
      <c r="E694" s="99" t="str">
        <f>_xlfn.XLOOKUP(B694,ESTOQUE!B:B,ESTOQUE!G:G,"",0)</f>
        <v>UND</v>
      </c>
      <c r="F694" s="99">
        <v>4</v>
      </c>
      <c r="G694" s="146"/>
      <c r="H694" s="146"/>
      <c r="I694" s="147"/>
      <c r="J694" s="147"/>
      <c r="K694" s="63"/>
    </row>
    <row r="695" spans="1:11" x14ac:dyDescent="0.25">
      <c r="A695" s="108">
        <v>45970</v>
      </c>
      <c r="B695" s="109">
        <v>53</v>
      </c>
      <c r="C695" s="49" t="s">
        <v>19</v>
      </c>
      <c r="D695" s="110" t="str">
        <f>IF(ISBLANK($B695),"",IFERROR(VLOOKUP($B695,ESTOQUE!$B$2:$D$97168,3,FALSE),"Produto não cadastrado"))</f>
        <v>CALÇA DE ELETRICISTA NR.10 TAM: P</v>
      </c>
      <c r="E695" s="99" t="str">
        <f>_xlfn.XLOOKUP(B695,ESTOQUE!B:B,ESTOQUE!G:G,"",0)</f>
        <v>UND</v>
      </c>
      <c r="F695" s="99">
        <v>1</v>
      </c>
      <c r="G695" s="146"/>
      <c r="H695" s="146"/>
      <c r="I695" s="147"/>
      <c r="J695" s="147"/>
      <c r="K695" s="63"/>
    </row>
    <row r="696" spans="1:11" x14ac:dyDescent="0.25">
      <c r="A696" s="108">
        <v>45970</v>
      </c>
      <c r="B696" s="109">
        <v>58</v>
      </c>
      <c r="C696" s="49" t="s">
        <v>19</v>
      </c>
      <c r="D696" s="110" t="str">
        <f>IF(ISBLANK($B696),"",IFERROR(VLOOKUP($B696,ESTOQUE!$B$2:$D$97168,3,FALSE),"Produto não cadastrado"))</f>
        <v>CAMISA ADM FEMININA TAM: M</v>
      </c>
      <c r="E696" s="99" t="str">
        <f>_xlfn.XLOOKUP(B696,ESTOQUE!B:B,ESTOQUE!G:G,"",0)</f>
        <v>UND</v>
      </c>
      <c r="F696" s="99">
        <v>2</v>
      </c>
      <c r="G696" s="146"/>
      <c r="H696" s="146"/>
      <c r="I696" s="147"/>
      <c r="J696" s="147"/>
      <c r="K696" s="63"/>
    </row>
    <row r="697" spans="1:11" x14ac:dyDescent="0.25">
      <c r="A697" s="108">
        <v>45970</v>
      </c>
      <c r="B697" s="109">
        <v>65</v>
      </c>
      <c r="C697" s="49" t="s">
        <v>19</v>
      </c>
      <c r="D697" s="110" t="str">
        <f>IF(ISBLANK($B697),"",IFERROR(VLOOKUP($B697,ESTOQUE!$B$2:$D$97168,3,FALSE),"Produto não cadastrado"))</f>
        <v>CAMISA DE ELETRICISTA NR.10 TAM: P</v>
      </c>
      <c r="E697" s="99" t="str">
        <f>_xlfn.XLOOKUP(B697,ESTOQUE!B:B,ESTOQUE!G:G,"",0)</f>
        <v>UND</v>
      </c>
      <c r="F697" s="99">
        <v>1</v>
      </c>
      <c r="G697" s="146"/>
      <c r="H697" s="146"/>
      <c r="I697" s="147"/>
      <c r="J697" s="147"/>
      <c r="K697" s="63"/>
    </row>
    <row r="698" spans="1:11" x14ac:dyDescent="0.25">
      <c r="A698" s="108">
        <v>45970</v>
      </c>
      <c r="B698" s="109">
        <v>67</v>
      </c>
      <c r="C698" s="49" t="s">
        <v>19</v>
      </c>
      <c r="D698" s="110" t="str">
        <f>IF(ISBLANK($B698),"",IFERROR(VLOOKUP($B698,ESTOQUE!$B$2:$D$97168,3,FALSE),"Produto não cadastrado"))</f>
        <v>CAMISA LARANJA OP. C/ FAIXA REFLETIVA TAM: G</v>
      </c>
      <c r="E698" s="99" t="str">
        <f>_xlfn.XLOOKUP(B698,ESTOQUE!B:B,ESTOQUE!G:G,"",0)</f>
        <v>UND</v>
      </c>
      <c r="F698" s="99">
        <v>5</v>
      </c>
      <c r="G698" s="146"/>
      <c r="H698" s="146"/>
      <c r="I698" s="147"/>
      <c r="J698" s="147"/>
      <c r="K698" s="63"/>
    </row>
    <row r="699" spans="1:11" x14ac:dyDescent="0.25">
      <c r="A699" s="108">
        <v>45970</v>
      </c>
      <c r="B699" s="109">
        <v>68</v>
      </c>
      <c r="C699" s="49" t="s">
        <v>19</v>
      </c>
      <c r="D699" s="110" t="str">
        <f>IF(ISBLANK($B699),"",IFERROR(VLOOKUP($B699,ESTOQUE!$B$2:$D$97168,3,FALSE),"Produto não cadastrado"))</f>
        <v>CAMISA LARANJA OP. C/ FAIXA REFLETIVA TAM: GG</v>
      </c>
      <c r="E699" s="99" t="str">
        <f>_xlfn.XLOOKUP(B699,ESTOQUE!B:B,ESTOQUE!G:G,"",0)</f>
        <v>UND</v>
      </c>
      <c r="F699" s="99">
        <v>5</v>
      </c>
      <c r="G699" s="146"/>
      <c r="H699" s="146"/>
      <c r="I699" s="147"/>
      <c r="J699" s="147"/>
      <c r="K699" s="63"/>
    </row>
    <row r="700" spans="1:11" x14ac:dyDescent="0.25">
      <c r="A700" s="108">
        <v>45970</v>
      </c>
      <c r="B700" s="109">
        <v>69</v>
      </c>
      <c r="C700" s="49" t="s">
        <v>19</v>
      </c>
      <c r="D700" s="110" t="str">
        <f>IF(ISBLANK($B700),"",IFERROR(VLOOKUP($B700,ESTOQUE!$B$2:$D$97168,3,FALSE),"Produto não cadastrado"))</f>
        <v>CAMISA LARANJA OP. C/ FAIXA REFLETIVA TAM: M</v>
      </c>
      <c r="E700" s="99" t="str">
        <f>_xlfn.XLOOKUP(B700,ESTOQUE!B:B,ESTOQUE!G:G,"",0)</f>
        <v>UND</v>
      </c>
      <c r="F700" s="99">
        <v>8</v>
      </c>
      <c r="G700" s="146"/>
      <c r="H700" s="146"/>
      <c r="I700" s="147"/>
      <c r="J700" s="147"/>
      <c r="K700" s="63"/>
    </row>
    <row r="701" spans="1:11" x14ac:dyDescent="0.25">
      <c r="A701" s="108">
        <v>45970</v>
      </c>
      <c r="B701" s="109">
        <v>70</v>
      </c>
      <c r="C701" s="49" t="s">
        <v>19</v>
      </c>
      <c r="D701" s="110" t="str">
        <f>IF(ISBLANK($B701),"",IFERROR(VLOOKUP($B701,ESTOQUE!$B$2:$D$97168,3,FALSE),"Produto não cadastrado"))</f>
        <v>CAMISA LARANJA OP. C/ FAIXA REFLETIVA TAM: P</v>
      </c>
      <c r="E701" s="99" t="str">
        <f>_xlfn.XLOOKUP(B701,ESTOQUE!B:B,ESTOQUE!G:G,"",0)</f>
        <v>UND</v>
      </c>
      <c r="F701" s="99">
        <v>22</v>
      </c>
      <c r="G701" s="146"/>
      <c r="H701" s="146"/>
      <c r="I701" s="147"/>
      <c r="J701" s="147"/>
      <c r="K701" s="63"/>
    </row>
    <row r="702" spans="1:11" x14ac:dyDescent="0.25">
      <c r="A702" s="108">
        <v>45970</v>
      </c>
      <c r="B702" s="109">
        <v>73</v>
      </c>
      <c r="C702" s="49" t="s">
        <v>19</v>
      </c>
      <c r="D702" s="110" t="str">
        <f>IF(ISBLANK($B702),"",IFERROR(VLOOKUP($B702,ESTOQUE!$B$2:$D$97168,3,FALSE),"Produto não cadastrado"))</f>
        <v>CAPA DE CHUVA GG</v>
      </c>
      <c r="E702" s="99" t="str">
        <f>_xlfn.XLOOKUP(B702,ESTOQUE!B:B,ESTOQUE!G:G,"",0)</f>
        <v>UND</v>
      </c>
      <c r="F702" s="99">
        <v>40</v>
      </c>
      <c r="G702" s="146"/>
      <c r="H702" s="146"/>
      <c r="I702" s="147"/>
      <c r="J702" s="147"/>
      <c r="K702" s="63"/>
    </row>
    <row r="703" spans="1:11" x14ac:dyDescent="0.25">
      <c r="A703" s="108">
        <v>45970</v>
      </c>
      <c r="B703" s="109">
        <v>60</v>
      </c>
      <c r="C703" s="49" t="s">
        <v>19</v>
      </c>
      <c r="D703" s="110" t="str">
        <f>IF(ISBLANK($B703),"",IFERROR(VLOOKUP($B703,ESTOQUE!$B$2:$D$97168,3,FALSE),"Produto não cadastrado"))</f>
        <v>CAMISA ADM MASCULINA TAM: G</v>
      </c>
      <c r="E703" s="99" t="str">
        <f>_xlfn.XLOOKUP(B703,ESTOQUE!B:B,ESTOQUE!G:G,"",0)</f>
        <v>UND</v>
      </c>
      <c r="F703" s="99">
        <v>1</v>
      </c>
      <c r="G703" s="146"/>
      <c r="H703" s="146"/>
      <c r="I703" s="147"/>
      <c r="J703" s="147"/>
      <c r="K703" s="63"/>
    </row>
    <row r="704" spans="1:11" x14ac:dyDescent="0.25">
      <c r="A704" s="108">
        <v>45970</v>
      </c>
      <c r="B704" s="109">
        <v>96</v>
      </c>
      <c r="C704" s="49" t="s">
        <v>19</v>
      </c>
      <c r="D704" s="110" t="str">
        <f>IF(ISBLANK($B704),"",IFERROR(VLOOKUP($B704,ESTOQUE!$B$2:$D$97168,3,FALSE),"Produto não cadastrado"))</f>
        <v xml:space="preserve">CINTO DE SEGURANÇA MODELO:C70 </v>
      </c>
      <c r="E704" s="99" t="str">
        <f>_xlfn.XLOOKUP(B704,ESTOQUE!B:B,ESTOQUE!G:G,"",0)</f>
        <v>UND</v>
      </c>
      <c r="F704" s="99">
        <v>2</v>
      </c>
      <c r="G704" s="146"/>
      <c r="H704" s="146"/>
      <c r="I704" s="147"/>
      <c r="J704" s="147"/>
      <c r="K704" s="63"/>
    </row>
    <row r="705" spans="1:11" x14ac:dyDescent="0.25">
      <c r="A705" s="108">
        <v>45970</v>
      </c>
      <c r="B705" s="109">
        <v>97</v>
      </c>
      <c r="C705" s="49" t="s">
        <v>19</v>
      </c>
      <c r="D705" s="110" t="str">
        <f>IF(ISBLANK($B705),"",IFERROR(VLOOKUP($B705,ESTOQUE!$B$2:$D$97168,3,FALSE),"Produto não cadastrado"))</f>
        <v>COLETE REFLETIVO LARANJA M</v>
      </c>
      <c r="E705" s="99" t="str">
        <f>_xlfn.XLOOKUP(B705,ESTOQUE!B:B,ESTOQUE!G:G,"",0)</f>
        <v>UND</v>
      </c>
      <c r="F705" s="99">
        <v>1</v>
      </c>
      <c r="G705" s="146"/>
      <c r="H705" s="146"/>
      <c r="I705" s="147"/>
      <c r="J705" s="147"/>
      <c r="K705" s="63"/>
    </row>
    <row r="706" spans="1:11" x14ac:dyDescent="0.25">
      <c r="A706" s="108">
        <v>45970</v>
      </c>
      <c r="B706" s="109">
        <v>110</v>
      </c>
      <c r="C706" s="49" t="s">
        <v>19</v>
      </c>
      <c r="D706" s="110" t="str">
        <f>IF(ISBLANK($B706),"",IFERROR(VLOOKUP($B706,ESTOQUE!$B$2:$D$97168,3,FALSE),"Produto não cadastrado"))</f>
        <v>LUVA DE RASPA CANO LONGO</v>
      </c>
      <c r="E706" s="99" t="str">
        <f>_xlfn.XLOOKUP(B706,ESTOQUE!B:B,ESTOQUE!G:G,"",0)</f>
        <v>PAR</v>
      </c>
      <c r="F706" s="99">
        <v>8</v>
      </c>
      <c r="G706" s="146"/>
      <c r="H706" s="146"/>
      <c r="I706" s="147"/>
      <c r="J706" s="147"/>
      <c r="K706" s="63"/>
    </row>
    <row r="707" spans="1:11" x14ac:dyDescent="0.25">
      <c r="A707" s="108">
        <v>45970</v>
      </c>
      <c r="B707" s="109">
        <v>141</v>
      </c>
      <c r="C707" s="49" t="s">
        <v>19</v>
      </c>
      <c r="D707" s="110" t="str">
        <f>IF(ISBLANK($B707),"",IFERROR(VLOOKUP($B707,ESTOQUE!$B$2:$D$97168,3,FALSE),"Produto não cadastrado"))</f>
        <v xml:space="preserve">LUVA DE VAQUETA </v>
      </c>
      <c r="E707" s="99" t="str">
        <f>_xlfn.XLOOKUP(B707,ESTOQUE!B:B,ESTOQUE!G:G,"",0)</f>
        <v>PAR</v>
      </c>
      <c r="F707" s="99">
        <v>5</v>
      </c>
      <c r="G707" s="146"/>
      <c r="H707" s="146"/>
      <c r="I707" s="147"/>
      <c r="J707" s="147"/>
      <c r="K707" s="63"/>
    </row>
    <row r="708" spans="1:11" x14ac:dyDescent="0.25">
      <c r="A708" s="108">
        <v>45970</v>
      </c>
      <c r="B708" s="109">
        <v>189</v>
      </c>
      <c r="C708" s="49" t="s">
        <v>19</v>
      </c>
      <c r="D708" s="110" t="str">
        <f>IF(ISBLANK($B708),"",IFERROR(VLOOKUP($B708,ESTOQUE!$B$2:$D$97168,3,FALSE),"Produto não cadastrado"))</f>
        <v xml:space="preserve">LUVA DE VAQUETA MISTA </v>
      </c>
      <c r="E708" s="99" t="str">
        <f>_xlfn.XLOOKUP(B708,ESTOQUE!B:B,ESTOQUE!G:G,"",0)</f>
        <v>UND</v>
      </c>
      <c r="F708" s="99">
        <v>2</v>
      </c>
      <c r="G708" s="146"/>
      <c r="H708" s="146"/>
      <c r="I708" s="147"/>
      <c r="J708" s="147"/>
      <c r="K708" s="63"/>
    </row>
    <row r="709" spans="1:11" x14ac:dyDescent="0.25">
      <c r="A709" s="108">
        <v>45970</v>
      </c>
      <c r="B709" s="109">
        <v>114</v>
      </c>
      <c r="C709" s="49" t="s">
        <v>19</v>
      </c>
      <c r="D709" s="110" t="str">
        <f>IF(ISBLANK($B709),"",IFERROR(VLOOKUP($B709,ESTOQUE!$B$2:$D$97168,3,FALSE),"Produto não cadastrado"))</f>
        <v xml:space="preserve">LUVA LATEX NITRILICA </v>
      </c>
      <c r="E709" s="99" t="str">
        <f>_xlfn.XLOOKUP(B709,ESTOQUE!B:B,ESTOQUE!G:G,"",0)</f>
        <v>PAR</v>
      </c>
      <c r="F709" s="99">
        <v>11</v>
      </c>
      <c r="G709" s="146"/>
      <c r="H709" s="146"/>
      <c r="I709" s="147"/>
      <c r="J709" s="147"/>
      <c r="K709" s="63"/>
    </row>
    <row r="710" spans="1:11" x14ac:dyDescent="0.25">
      <c r="A710" s="108">
        <v>45970</v>
      </c>
      <c r="B710" s="109">
        <v>257</v>
      </c>
      <c r="C710" s="49" t="s">
        <v>19</v>
      </c>
      <c r="D710" s="110" t="str">
        <f>IF(ISBLANK($B710),"",IFERROR(VLOOKUP($B710,ESTOQUE!$B$2:$D$97168,3,FALSE),"Produto não cadastrado"))</f>
        <v xml:space="preserve">LUVA MULTITATO </v>
      </c>
      <c r="E710" s="99" t="str">
        <f>_xlfn.XLOOKUP(B710,ESTOQUE!B:B,ESTOQUE!G:G,"",0)</f>
        <v>UND</v>
      </c>
      <c r="F710" s="99">
        <v>2</v>
      </c>
      <c r="G710" s="146"/>
      <c r="H710" s="146"/>
      <c r="I710" s="147"/>
      <c r="J710" s="147"/>
      <c r="K710" s="63"/>
    </row>
    <row r="711" spans="1:11" x14ac:dyDescent="0.25">
      <c r="A711" s="108">
        <v>45970</v>
      </c>
      <c r="B711" s="109">
        <v>117</v>
      </c>
      <c r="C711" s="49" t="s">
        <v>19</v>
      </c>
      <c r="D711" s="110" t="str">
        <f>IF(ISBLANK($B711),"",IFERROR(VLOOKUP($B711,ESTOQUE!$B$2:$D$97168,3,FALSE),"Produto não cadastrado"))</f>
        <v>LUVA PIGMENTADA</v>
      </c>
      <c r="E711" s="99" t="str">
        <f>_xlfn.XLOOKUP(B711,ESTOQUE!B:B,ESTOQUE!G:G,"",0)</f>
        <v>PAR</v>
      </c>
      <c r="F711" s="99">
        <v>21</v>
      </c>
      <c r="G711" s="146"/>
      <c r="H711" s="146"/>
      <c r="I711" s="147"/>
      <c r="J711" s="147"/>
      <c r="K711" s="63"/>
    </row>
    <row r="712" spans="1:11" x14ac:dyDescent="0.25">
      <c r="A712" s="108">
        <v>45970</v>
      </c>
      <c r="B712" s="109">
        <v>207</v>
      </c>
      <c r="C712" s="49" t="s">
        <v>19</v>
      </c>
      <c r="D712" s="110" t="str">
        <f>IF(ISBLANK($B712),"",IFERROR(VLOOKUP($B712,ESTOQUE!$B$2:$D$97168,3,FALSE),"Produto não cadastrado"))</f>
        <v>LUVA POLIESTER ANTICORTE BANHADA PU TAM 9</v>
      </c>
      <c r="E712" s="99" t="str">
        <f>_xlfn.XLOOKUP(B712,ESTOQUE!B:B,ESTOQUE!G:G,"",0)</f>
        <v>PAR</v>
      </c>
      <c r="F712" s="99">
        <v>40</v>
      </c>
      <c r="G712" s="146"/>
      <c r="H712" s="146"/>
      <c r="I712" s="147"/>
      <c r="J712" s="147"/>
      <c r="K712" s="63"/>
    </row>
    <row r="713" spans="1:11" x14ac:dyDescent="0.25">
      <c r="A713" s="108">
        <v>45970</v>
      </c>
      <c r="B713" s="109">
        <v>118</v>
      </c>
      <c r="C713" s="49" t="s">
        <v>19</v>
      </c>
      <c r="D713" s="110" t="str">
        <f>IF(ISBLANK($B713),"",IFERROR(VLOOKUP($B713,ESTOQUE!$B$2:$D$97168,3,FALSE),"Produto não cadastrado"))</f>
        <v>MACACÃO DE PROTEÇÃO TYVEK</v>
      </c>
      <c r="E713" s="99" t="str">
        <f>_xlfn.XLOOKUP(B713,ESTOQUE!B:B,ESTOQUE!G:G,"",0)</f>
        <v>UND</v>
      </c>
      <c r="F713" s="99">
        <v>36</v>
      </c>
      <c r="G713" s="146"/>
      <c r="H713" s="146"/>
      <c r="I713" s="147"/>
      <c r="J713" s="147"/>
      <c r="K713" s="63"/>
    </row>
    <row r="714" spans="1:11" x14ac:dyDescent="0.25">
      <c r="A714" s="108">
        <v>45970</v>
      </c>
      <c r="B714" s="109">
        <v>144</v>
      </c>
      <c r="C714" s="49" t="s">
        <v>19</v>
      </c>
      <c r="D714" s="110" t="str">
        <f>IF(ISBLANK($B714),"",IFERROR(VLOOKUP($B714,ESTOQUE!$B$2:$D$97168,3,FALSE),"Produto não cadastrado"))</f>
        <v>MASCARA PFF2-S C/ FILTRO</v>
      </c>
      <c r="E714" s="99" t="str">
        <f>_xlfn.XLOOKUP(B714,ESTOQUE!B:B,ESTOQUE!G:G,"",0)</f>
        <v>UND</v>
      </c>
      <c r="F714" s="99">
        <v>17</v>
      </c>
      <c r="G714" s="146"/>
      <c r="H714" s="146"/>
      <c r="I714" s="147"/>
      <c r="J714" s="147"/>
      <c r="K714" s="63"/>
    </row>
    <row r="715" spans="1:11" x14ac:dyDescent="0.25">
      <c r="A715" s="108">
        <v>45970</v>
      </c>
      <c r="B715" s="109">
        <v>126</v>
      </c>
      <c r="C715" s="49" t="s">
        <v>19</v>
      </c>
      <c r="D715" s="110" t="str">
        <f>IF(ISBLANK($B715),"",IFERROR(VLOOKUP($B715,ESTOQUE!$B$2:$D$97168,3,FALSE),"Produto não cadastrado"))</f>
        <v>OCULOS DE PROTEÇÃO ESCURO</v>
      </c>
      <c r="E715" s="99" t="str">
        <f>_xlfn.XLOOKUP(B715,ESTOQUE!B:B,ESTOQUE!G:G,"",0)</f>
        <v>UND</v>
      </c>
      <c r="F715" s="99">
        <v>14</v>
      </c>
      <c r="G715" s="146"/>
      <c r="H715" s="146"/>
      <c r="I715" s="147"/>
      <c r="J715" s="147"/>
      <c r="K715" s="63"/>
    </row>
    <row r="716" spans="1:11" x14ac:dyDescent="0.25">
      <c r="A716" s="108">
        <v>45970</v>
      </c>
      <c r="B716" s="109">
        <v>124</v>
      </c>
      <c r="C716" s="49" t="s">
        <v>19</v>
      </c>
      <c r="D716" s="110" t="str">
        <f>IF(ISBLANK($B716),"",IFERROR(VLOOKUP($B716,ESTOQUE!$B$2:$D$97168,3,FALSE),"Produto não cadastrado"))</f>
        <v xml:space="preserve">OCULOS DE PROTEÇÃO INCOLOR </v>
      </c>
      <c r="E716" s="99" t="str">
        <f>_xlfn.XLOOKUP(B716,ESTOQUE!B:B,ESTOQUE!G:G,"",0)</f>
        <v>UND</v>
      </c>
      <c r="F716" s="99">
        <v>18</v>
      </c>
      <c r="G716" s="146"/>
      <c r="H716" s="146"/>
      <c r="I716" s="147"/>
      <c r="J716" s="147"/>
      <c r="K716" s="63"/>
    </row>
    <row r="717" spans="1:11" x14ac:dyDescent="0.25">
      <c r="A717" s="108">
        <v>45970</v>
      </c>
      <c r="B717" s="109">
        <v>224</v>
      </c>
      <c r="C717" s="49" t="s">
        <v>19</v>
      </c>
      <c r="D717" s="110" t="str">
        <f>IF(ISBLANK($B717),"",IFERROR(VLOOKUP($B717,ESTOQUE!$B$2:$D$97168,3,FALSE),"Produto não cadastrado"))</f>
        <v>OCULOS OPERACIONAL SOBRE POR ESCURO</v>
      </c>
      <c r="E717" s="99" t="str">
        <f>_xlfn.XLOOKUP(B717,ESTOQUE!B:B,ESTOQUE!G:G,"",0)</f>
        <v>UND</v>
      </c>
      <c r="F717" s="99">
        <v>2</v>
      </c>
      <c r="G717" s="146"/>
      <c r="H717" s="146"/>
      <c r="I717" s="147"/>
      <c r="J717" s="147"/>
      <c r="K717" s="63"/>
    </row>
    <row r="718" spans="1:11" x14ac:dyDescent="0.25">
      <c r="A718" s="108">
        <v>45970</v>
      </c>
      <c r="B718" s="109">
        <v>225</v>
      </c>
      <c r="C718" s="49" t="s">
        <v>19</v>
      </c>
      <c r="D718" s="110" t="str">
        <f>IF(ISBLANK($B718),"",IFERROR(VLOOKUP($B718,ESTOQUE!$B$2:$D$97168,3,FALSE),"Produto não cadastrado"))</f>
        <v>OCULOS OPERACIONAL SOBRE POR INCOLOR</v>
      </c>
      <c r="E718" s="99" t="str">
        <f>_xlfn.XLOOKUP(B718,ESTOQUE!B:B,ESTOQUE!G:G,"",0)</f>
        <v>UND</v>
      </c>
      <c r="F718" s="99">
        <v>3</v>
      </c>
      <c r="G718" s="146"/>
      <c r="H718" s="146"/>
      <c r="I718" s="147"/>
      <c r="J718" s="147"/>
      <c r="K718" s="63"/>
    </row>
    <row r="719" spans="1:11" x14ac:dyDescent="0.25">
      <c r="A719" s="108">
        <v>45970</v>
      </c>
      <c r="B719" s="109">
        <v>139</v>
      </c>
      <c r="C719" s="49" t="s">
        <v>19</v>
      </c>
      <c r="D719" s="110" t="str">
        <f>IF(ISBLANK($B719),"",IFERROR(VLOOKUP($B719,ESTOQUE!$B$2:$D$97168,3,FALSE),"Produto não cadastrado"))</f>
        <v>PROTETOR AURICULAR TIPO PLUG</v>
      </c>
      <c r="E719" s="99" t="str">
        <f>_xlfn.XLOOKUP(B719,ESTOQUE!B:B,ESTOQUE!G:G,"",0)</f>
        <v>UND</v>
      </c>
      <c r="F719" s="99">
        <v>6</v>
      </c>
      <c r="G719" s="146"/>
      <c r="H719" s="146"/>
      <c r="I719" s="147"/>
      <c r="J719" s="147"/>
      <c r="K719" s="63"/>
    </row>
    <row r="720" spans="1:11" x14ac:dyDescent="0.25">
      <c r="A720" s="108">
        <v>45970</v>
      </c>
      <c r="B720" s="109">
        <v>135</v>
      </c>
      <c r="C720" s="49" t="s">
        <v>19</v>
      </c>
      <c r="D720" s="110" t="str">
        <f>IF(ISBLANK($B720),"",IFERROR(VLOOKUP($B720,ESTOQUE!$B$2:$D$97168,3,FALSE),"Produto não cadastrado"))</f>
        <v>TALABARTE DUPLO TIPO Y</v>
      </c>
      <c r="E720" s="99" t="str">
        <f>_xlfn.XLOOKUP(B720,ESTOQUE!B:B,ESTOQUE!G:G,"",0)</f>
        <v>UND</v>
      </c>
      <c r="F720" s="99">
        <v>7</v>
      </c>
      <c r="G720" s="146"/>
      <c r="H720" s="146"/>
      <c r="I720" s="147"/>
      <c r="J720" s="147"/>
      <c r="K720" s="63"/>
    </row>
    <row r="721" spans="1:11" x14ac:dyDescent="0.25">
      <c r="A721" s="108">
        <v>45971</v>
      </c>
      <c r="B721" s="109">
        <v>2</v>
      </c>
      <c r="C721" s="49" t="s">
        <v>19</v>
      </c>
      <c r="D721" s="110" t="str">
        <f>IF(ISBLANK($B721),"",IFERROR(VLOOKUP($B721,ESTOQUE!$B$2:$D$97168,3,FALSE),"Produto não cadastrado"))</f>
        <v>AVENTAL DE RASPA TAM 1X60MT</v>
      </c>
      <c r="E721" s="99" t="str">
        <f>_xlfn.XLOOKUP(B721,ESTOQUE!B:B,ESTOQUE!G:G,"",0)</f>
        <v>UND</v>
      </c>
      <c r="F721" s="99">
        <v>1</v>
      </c>
      <c r="G721" s="146"/>
      <c r="H721" s="146"/>
      <c r="I721" s="147"/>
      <c r="J721" s="147"/>
      <c r="K721" s="63"/>
    </row>
    <row r="722" spans="1:11" x14ac:dyDescent="0.25">
      <c r="A722" s="108">
        <v>45971</v>
      </c>
      <c r="B722" s="109">
        <v>228</v>
      </c>
      <c r="C722" s="49" t="s">
        <v>19</v>
      </c>
      <c r="D722" s="110" t="str">
        <f>IF(ISBLANK($B722),"",IFERROR(VLOOKUP($B722,ESTOQUE!$B$2:$D$97168,3,FALSE),"Produto não cadastrado"))</f>
        <v xml:space="preserve">BALACLAVA  </v>
      </c>
      <c r="E722" s="99" t="str">
        <f>_xlfn.XLOOKUP(B722,ESTOQUE!B:B,ESTOQUE!G:G,"",0)</f>
        <v>UND</v>
      </c>
      <c r="F722" s="99">
        <v>1</v>
      </c>
      <c r="G722" s="146"/>
      <c r="H722" s="146"/>
      <c r="I722" s="147"/>
      <c r="J722" s="147"/>
      <c r="K722" s="63"/>
    </row>
    <row r="723" spans="1:11" x14ac:dyDescent="0.25">
      <c r="A723" s="108">
        <v>45971</v>
      </c>
      <c r="B723" s="109">
        <v>36</v>
      </c>
      <c r="C723" s="49" t="s">
        <v>19</v>
      </c>
      <c r="D723" s="110" t="str">
        <f>IF(ISBLANK($B723),"",IFERROR(VLOOKUP($B723,ESTOQUE!$B$2:$D$97168,3,FALSE),"Produto não cadastrado"))</f>
        <v>BOTINA OP. BICO PVC Nº 38</v>
      </c>
      <c r="E723" s="99" t="str">
        <f>_xlfn.XLOOKUP(B723,ESTOQUE!B:B,ESTOQUE!G:G,"",0)</f>
        <v>PAR</v>
      </c>
      <c r="F723" s="99">
        <v>1</v>
      </c>
      <c r="G723" s="146"/>
      <c r="H723" s="146"/>
      <c r="I723" s="147"/>
      <c r="J723" s="147"/>
      <c r="K723" s="63"/>
    </row>
    <row r="724" spans="1:11" x14ac:dyDescent="0.25">
      <c r="A724" s="108">
        <v>45971</v>
      </c>
      <c r="B724" s="109">
        <v>46</v>
      </c>
      <c r="C724" s="49" t="s">
        <v>19</v>
      </c>
      <c r="D724" s="110" t="str">
        <f>IF(ISBLANK($B724),"",IFERROR(VLOOKUP($B724,ESTOQUE!$B$2:$D$97168,3,FALSE),"Produto não cadastrado"))</f>
        <v>CALÇA CINZA OP. C/ FAIXA REFLETIVA TAM: G</v>
      </c>
      <c r="E724" s="99" t="str">
        <f>_xlfn.XLOOKUP(B724,ESTOQUE!B:B,ESTOQUE!G:G,"",0)</f>
        <v>UND</v>
      </c>
      <c r="F724" s="99">
        <v>1</v>
      </c>
      <c r="G724" s="146"/>
      <c r="H724" s="146"/>
      <c r="I724" s="147"/>
      <c r="J724" s="147"/>
      <c r="K724" s="63"/>
    </row>
    <row r="725" spans="1:11" x14ac:dyDescent="0.25">
      <c r="A725" s="108">
        <v>45971</v>
      </c>
      <c r="B725" s="109">
        <v>48</v>
      </c>
      <c r="C725" s="49" t="s">
        <v>19</v>
      </c>
      <c r="D725" s="110" t="str">
        <f>IF(ISBLANK($B725),"",IFERROR(VLOOKUP($B725,ESTOQUE!$B$2:$D$97168,3,FALSE),"Produto não cadastrado"))</f>
        <v>CALÇA CINZA OP. C/ FAIXA REFLETIVA TAM: M</v>
      </c>
      <c r="E725" s="99" t="str">
        <f>_xlfn.XLOOKUP(B725,ESTOQUE!B:B,ESTOQUE!G:G,"",0)</f>
        <v>UND</v>
      </c>
      <c r="F725" s="99">
        <v>1</v>
      </c>
      <c r="G725" s="146"/>
      <c r="H725" s="146"/>
      <c r="I725" s="147"/>
      <c r="J725" s="147"/>
      <c r="K725" s="63"/>
    </row>
    <row r="726" spans="1:11" x14ac:dyDescent="0.25">
      <c r="A726" s="108">
        <v>45971</v>
      </c>
      <c r="B726" s="109">
        <v>49</v>
      </c>
      <c r="C726" s="49" t="s">
        <v>19</v>
      </c>
      <c r="D726" s="110" t="str">
        <f>IF(ISBLANK($B726),"",IFERROR(VLOOKUP($B726,ESTOQUE!$B$2:$D$97168,3,FALSE),"Produto não cadastrado"))</f>
        <v>CALÇA CINZA OP. C/ FAIXA REFLETIVA TAM: P</v>
      </c>
      <c r="E726" s="99" t="str">
        <f>_xlfn.XLOOKUP(B726,ESTOQUE!B:B,ESTOQUE!G:G,"",0)</f>
        <v>UND</v>
      </c>
      <c r="F726" s="99">
        <v>4</v>
      </c>
      <c r="G726" s="146"/>
      <c r="H726" s="146"/>
      <c r="I726" s="147"/>
      <c r="J726" s="147"/>
      <c r="K726" s="63"/>
    </row>
    <row r="727" spans="1:11" x14ac:dyDescent="0.25">
      <c r="A727" s="108">
        <v>45971</v>
      </c>
      <c r="B727" s="109">
        <v>97</v>
      </c>
      <c r="C727" s="49" t="s">
        <v>19</v>
      </c>
      <c r="D727" s="110" t="str">
        <f>IF(ISBLANK($B727),"",IFERROR(VLOOKUP($B727,ESTOQUE!$B$2:$D$97168,3,FALSE),"Produto não cadastrado"))</f>
        <v>COLETE REFLETIVO LARANJA M</v>
      </c>
      <c r="E727" s="99" t="str">
        <f>_xlfn.XLOOKUP(B727,ESTOQUE!B:B,ESTOQUE!G:G,"",0)</f>
        <v>UND</v>
      </c>
      <c r="F727" s="99">
        <v>1</v>
      </c>
      <c r="G727" s="146"/>
      <c r="H727" s="146"/>
      <c r="I727" s="147"/>
      <c r="J727" s="147"/>
      <c r="K727" s="63"/>
    </row>
    <row r="728" spans="1:11" x14ac:dyDescent="0.25">
      <c r="A728" s="108">
        <v>45971</v>
      </c>
      <c r="B728" s="109">
        <v>67</v>
      </c>
      <c r="C728" s="49" t="s">
        <v>19</v>
      </c>
      <c r="D728" s="110" t="str">
        <f>IF(ISBLANK($B728),"",IFERROR(VLOOKUP($B728,ESTOQUE!$B$2:$D$97168,3,FALSE),"Produto não cadastrado"))</f>
        <v>CAMISA LARANJA OP. C/ FAIXA REFLETIVA TAM: G</v>
      </c>
      <c r="E728" s="99" t="str">
        <f>_xlfn.XLOOKUP(B728,ESTOQUE!B:B,ESTOQUE!G:G,"",0)</f>
        <v>UND</v>
      </c>
      <c r="F728" s="99">
        <v>1</v>
      </c>
      <c r="G728" s="146"/>
      <c r="H728" s="146"/>
      <c r="I728" s="147"/>
      <c r="J728" s="147"/>
      <c r="K728" s="63"/>
    </row>
    <row r="729" spans="1:11" x14ac:dyDescent="0.25">
      <c r="A729" s="108">
        <v>45971</v>
      </c>
      <c r="B729" s="109">
        <v>68</v>
      </c>
      <c r="C729" s="49" t="s">
        <v>19</v>
      </c>
      <c r="D729" s="110" t="str">
        <f>IF(ISBLANK($B729),"",IFERROR(VLOOKUP($B729,ESTOQUE!$B$2:$D$97168,3,FALSE),"Produto não cadastrado"))</f>
        <v>CAMISA LARANJA OP. C/ FAIXA REFLETIVA TAM: GG</v>
      </c>
      <c r="E729" s="99" t="str">
        <f>_xlfn.XLOOKUP(B729,ESTOQUE!B:B,ESTOQUE!G:G,"",0)</f>
        <v>UND</v>
      </c>
      <c r="F729" s="99">
        <v>1</v>
      </c>
      <c r="G729" s="146"/>
      <c r="H729" s="146"/>
      <c r="I729" s="147"/>
      <c r="J729" s="147"/>
      <c r="K729" s="63"/>
    </row>
    <row r="730" spans="1:11" x14ac:dyDescent="0.25">
      <c r="A730" s="108">
        <v>45971</v>
      </c>
      <c r="B730" s="109">
        <v>69</v>
      </c>
      <c r="C730" s="49" t="s">
        <v>19</v>
      </c>
      <c r="D730" s="110" t="str">
        <f>IF(ISBLANK($B730),"",IFERROR(VLOOKUP($B730,ESTOQUE!$B$2:$D$97168,3,FALSE),"Produto não cadastrado"))</f>
        <v>CAMISA LARANJA OP. C/ FAIXA REFLETIVA TAM: M</v>
      </c>
      <c r="E730" s="99" t="str">
        <f>_xlfn.XLOOKUP(B730,ESTOQUE!B:B,ESTOQUE!G:G,"",0)</f>
        <v>UND</v>
      </c>
      <c r="F730" s="99">
        <v>1</v>
      </c>
      <c r="G730" s="146"/>
      <c r="H730" s="146"/>
      <c r="I730" s="147"/>
      <c r="J730" s="147"/>
      <c r="K730" s="63"/>
    </row>
    <row r="731" spans="1:11" x14ac:dyDescent="0.25">
      <c r="A731" s="108">
        <v>45971</v>
      </c>
      <c r="B731" s="109">
        <v>70</v>
      </c>
      <c r="C731" s="49" t="s">
        <v>19</v>
      </c>
      <c r="D731" s="110" t="str">
        <f>IF(ISBLANK($B731),"",IFERROR(VLOOKUP($B731,ESTOQUE!$B$2:$D$97168,3,FALSE),"Produto não cadastrado"))</f>
        <v>CAMISA LARANJA OP. C/ FAIXA REFLETIVA TAM: P</v>
      </c>
      <c r="E731" s="99" t="str">
        <f>_xlfn.XLOOKUP(B731,ESTOQUE!B:B,ESTOQUE!G:G,"",0)</f>
        <v>UND</v>
      </c>
      <c r="F731" s="99">
        <v>1</v>
      </c>
      <c r="G731" s="146"/>
      <c r="H731" s="146"/>
      <c r="I731" s="147"/>
      <c r="J731" s="147"/>
      <c r="K731" s="63"/>
    </row>
    <row r="732" spans="1:11" x14ac:dyDescent="0.25">
      <c r="A732" s="108">
        <v>45971</v>
      </c>
      <c r="B732" s="109">
        <v>110</v>
      </c>
      <c r="C732" s="49" t="s">
        <v>19</v>
      </c>
      <c r="D732" s="110" t="str">
        <f>IF(ISBLANK($B732),"",IFERROR(VLOOKUP($B732,ESTOQUE!$B$2:$D$97168,3,FALSE),"Produto não cadastrado"))</f>
        <v>LUVA DE RASPA CANO LONGO</v>
      </c>
      <c r="E732" s="99" t="str">
        <f>_xlfn.XLOOKUP(B732,ESTOQUE!B:B,ESTOQUE!G:G,"",0)</f>
        <v>PAR</v>
      </c>
      <c r="F732" s="99">
        <v>2</v>
      </c>
      <c r="G732" s="146"/>
      <c r="H732" s="146"/>
      <c r="I732" s="147"/>
      <c r="J732" s="147"/>
      <c r="K732" s="63"/>
    </row>
    <row r="733" spans="1:11" x14ac:dyDescent="0.25">
      <c r="A733" s="108">
        <v>45971</v>
      </c>
      <c r="B733" s="109">
        <v>114</v>
      </c>
      <c r="C733" s="49" t="s">
        <v>19</v>
      </c>
      <c r="D733" s="110" t="str">
        <f>IF(ISBLANK($B733),"",IFERROR(VLOOKUP($B733,ESTOQUE!$B$2:$D$97168,3,FALSE),"Produto não cadastrado"))</f>
        <v xml:space="preserve">LUVA LATEX NITRILICA </v>
      </c>
      <c r="E733" s="99" t="str">
        <f>_xlfn.XLOOKUP(B733,ESTOQUE!B:B,ESTOQUE!G:G,"",0)</f>
        <v>PAR</v>
      </c>
      <c r="F733" s="99">
        <v>4</v>
      </c>
      <c r="G733" s="146"/>
      <c r="H733" s="146"/>
      <c r="I733" s="147"/>
      <c r="J733" s="147"/>
      <c r="K733" s="63"/>
    </row>
    <row r="734" spans="1:11" x14ac:dyDescent="0.25">
      <c r="A734" s="108">
        <v>45971</v>
      </c>
      <c r="B734" s="109">
        <v>117</v>
      </c>
      <c r="C734" s="49" t="s">
        <v>19</v>
      </c>
      <c r="D734" s="110" t="str">
        <f>IF(ISBLANK($B734),"",IFERROR(VLOOKUP($B734,ESTOQUE!$B$2:$D$97168,3,FALSE),"Produto não cadastrado"))</f>
        <v>LUVA PIGMENTADA</v>
      </c>
      <c r="E734" s="99" t="str">
        <f>_xlfn.XLOOKUP(B734,ESTOQUE!B:B,ESTOQUE!G:G,"",0)</f>
        <v>PAR</v>
      </c>
      <c r="F734" s="99">
        <v>2</v>
      </c>
      <c r="G734" s="146"/>
      <c r="H734" s="146"/>
      <c r="I734" s="147"/>
      <c r="J734" s="147"/>
      <c r="K734" s="63"/>
    </row>
    <row r="735" spans="1:11" x14ac:dyDescent="0.25">
      <c r="A735" s="108">
        <v>45971</v>
      </c>
      <c r="B735" s="109">
        <v>118</v>
      </c>
      <c r="C735" s="49" t="s">
        <v>19</v>
      </c>
      <c r="D735" s="110" t="str">
        <f>IF(ISBLANK($B735),"",IFERROR(VLOOKUP($B735,ESTOQUE!$B$2:$D$97168,3,FALSE),"Produto não cadastrado"))</f>
        <v>MACACÃO DE PROTEÇÃO TYVEK</v>
      </c>
      <c r="E735" s="99" t="str">
        <f>_xlfn.XLOOKUP(B735,ESTOQUE!B:B,ESTOQUE!G:G,"",0)</f>
        <v>UND</v>
      </c>
      <c r="F735" s="99">
        <v>5</v>
      </c>
      <c r="G735" s="146"/>
      <c r="H735" s="146"/>
      <c r="I735" s="147"/>
      <c r="J735" s="147"/>
      <c r="K735" s="63"/>
    </row>
    <row r="736" spans="1:11" x14ac:dyDescent="0.25">
      <c r="A736" s="108">
        <v>45971</v>
      </c>
      <c r="B736" s="109">
        <v>144</v>
      </c>
      <c r="C736" s="49" t="s">
        <v>19</v>
      </c>
      <c r="D736" s="110" t="str">
        <f>IF(ISBLANK($B736),"",IFERROR(VLOOKUP($B736,ESTOQUE!$B$2:$D$97168,3,FALSE),"Produto não cadastrado"))</f>
        <v>MASCARA PFF2-S C/ FILTRO</v>
      </c>
      <c r="E736" s="99" t="str">
        <f>_xlfn.XLOOKUP(B736,ESTOQUE!B:B,ESTOQUE!G:G,"",0)</f>
        <v>UND</v>
      </c>
      <c r="F736" s="99">
        <v>3</v>
      </c>
      <c r="G736" s="146"/>
      <c r="H736" s="146"/>
      <c r="I736" s="147"/>
      <c r="J736" s="147"/>
      <c r="K736" s="63"/>
    </row>
    <row r="737" spans="1:11" x14ac:dyDescent="0.25">
      <c r="A737" s="108">
        <v>45971</v>
      </c>
      <c r="B737" s="109">
        <v>126</v>
      </c>
      <c r="C737" s="49" t="s">
        <v>19</v>
      </c>
      <c r="D737" s="110" t="str">
        <f>IF(ISBLANK($B737),"",IFERROR(VLOOKUP($B737,ESTOQUE!$B$2:$D$97168,3,FALSE),"Produto não cadastrado"))</f>
        <v>OCULOS DE PROTEÇÃO ESCURO</v>
      </c>
      <c r="E737" s="99" t="str">
        <f>_xlfn.XLOOKUP(B737,ESTOQUE!B:B,ESTOQUE!G:G,"",0)</f>
        <v>UND</v>
      </c>
      <c r="F737" s="99">
        <v>2</v>
      </c>
      <c r="G737" s="146"/>
      <c r="H737" s="146"/>
      <c r="I737" s="147"/>
      <c r="J737" s="147"/>
      <c r="K737" s="63"/>
    </row>
    <row r="738" spans="1:11" x14ac:dyDescent="0.25">
      <c r="A738" s="108">
        <v>45971</v>
      </c>
      <c r="B738" s="109">
        <v>124</v>
      </c>
      <c r="C738" s="49" t="s">
        <v>19</v>
      </c>
      <c r="D738" s="110" t="str">
        <f>IF(ISBLANK($B738),"",IFERROR(VLOOKUP($B738,ESTOQUE!$B$2:$D$97168,3,FALSE),"Produto não cadastrado"))</f>
        <v xml:space="preserve">OCULOS DE PROTEÇÃO INCOLOR </v>
      </c>
      <c r="E738" s="99" t="str">
        <f>_xlfn.XLOOKUP(B738,ESTOQUE!B:B,ESTOQUE!G:G,"",0)</f>
        <v>UND</v>
      </c>
      <c r="F738" s="99">
        <v>1</v>
      </c>
      <c r="G738" s="146"/>
      <c r="H738" s="146"/>
      <c r="I738" s="147"/>
      <c r="J738" s="147"/>
      <c r="K738" s="63"/>
    </row>
    <row r="739" spans="1:11" x14ac:dyDescent="0.25">
      <c r="A739" s="108">
        <v>45972</v>
      </c>
      <c r="B739" s="109">
        <v>2</v>
      </c>
      <c r="C739" s="49" t="s">
        <v>19</v>
      </c>
      <c r="D739" s="110" t="str">
        <f>IF(ISBLANK($B739),"",IFERROR(VLOOKUP($B739,ESTOQUE!$B$2:$D$97168,3,FALSE),"Produto não cadastrado"))</f>
        <v>AVENTAL DE RASPA TAM 1X60MT</v>
      </c>
      <c r="E739" s="99" t="str">
        <f>_xlfn.XLOOKUP(B739,ESTOQUE!B:B,ESTOQUE!G:G,"",0)</f>
        <v>UND</v>
      </c>
      <c r="F739" s="99">
        <v>1</v>
      </c>
      <c r="G739" s="146"/>
      <c r="H739" s="146"/>
      <c r="I739" s="147"/>
      <c r="J739" s="147"/>
      <c r="K739" s="63"/>
    </row>
    <row r="740" spans="1:11" x14ac:dyDescent="0.25">
      <c r="A740" s="108">
        <v>45972</v>
      </c>
      <c r="B740" s="109">
        <v>228</v>
      </c>
      <c r="C740" s="49" t="s">
        <v>19</v>
      </c>
      <c r="D740" s="110" t="str">
        <f>IF(ISBLANK($B740),"",IFERROR(VLOOKUP($B740,ESTOQUE!$B$2:$D$97168,3,FALSE),"Produto não cadastrado"))</f>
        <v xml:space="preserve">BALACLAVA  </v>
      </c>
      <c r="E740" s="99" t="str">
        <f>_xlfn.XLOOKUP(B740,ESTOQUE!B:B,ESTOQUE!G:G,"",0)</f>
        <v>UND</v>
      </c>
      <c r="F740" s="99">
        <v>4</v>
      </c>
      <c r="G740" s="146"/>
      <c r="H740" s="146"/>
      <c r="I740" s="147"/>
      <c r="J740" s="147"/>
      <c r="K740" s="63"/>
    </row>
    <row r="741" spans="1:11" x14ac:dyDescent="0.25">
      <c r="A741" s="108">
        <v>45972</v>
      </c>
      <c r="B741" s="109">
        <v>36</v>
      </c>
      <c r="C741" s="49" t="s">
        <v>19</v>
      </c>
      <c r="D741" s="110" t="str">
        <f>IF(ISBLANK($B741),"",IFERROR(VLOOKUP($B741,ESTOQUE!$B$2:$D$97168,3,FALSE),"Produto não cadastrado"))</f>
        <v>BOTINA OP. BICO PVC Nº 38</v>
      </c>
      <c r="E741" s="99" t="str">
        <f>_xlfn.XLOOKUP(B741,ESTOQUE!B:B,ESTOQUE!G:G,"",0)</f>
        <v>PAR</v>
      </c>
      <c r="F741" s="99">
        <v>1</v>
      </c>
      <c r="G741" s="146"/>
      <c r="H741" s="146"/>
      <c r="I741" s="147"/>
      <c r="J741" s="147"/>
      <c r="K741" s="63"/>
    </row>
    <row r="742" spans="1:11" x14ac:dyDescent="0.25">
      <c r="A742" s="108">
        <v>45972</v>
      </c>
      <c r="B742" s="109">
        <v>37</v>
      </c>
      <c r="C742" s="49" t="s">
        <v>19</v>
      </c>
      <c r="D742" s="110" t="str">
        <f>IF(ISBLANK($B742),"",IFERROR(VLOOKUP($B742,ESTOQUE!$B$2:$D$97168,3,FALSE),"Produto não cadastrado"))</f>
        <v>BOTINA OP. BICO PVC Nº 39</v>
      </c>
      <c r="E742" s="99" t="str">
        <f>_xlfn.XLOOKUP(B742,ESTOQUE!B:B,ESTOQUE!G:G,"",0)</f>
        <v>PAR</v>
      </c>
      <c r="F742" s="99">
        <v>3</v>
      </c>
      <c r="G742" s="146"/>
      <c r="H742" s="146"/>
      <c r="I742" s="147"/>
      <c r="J742" s="147"/>
      <c r="K742" s="63"/>
    </row>
    <row r="743" spans="1:11" x14ac:dyDescent="0.25">
      <c r="A743" s="108">
        <v>45972</v>
      </c>
      <c r="B743" s="109">
        <v>41</v>
      </c>
      <c r="C743" s="49" t="s">
        <v>19</v>
      </c>
      <c r="D743" s="110" t="str">
        <f>IF(ISBLANK($B743),"",IFERROR(VLOOKUP($B743,ESTOQUE!$B$2:$D$97168,3,FALSE),"Produto não cadastrado"))</f>
        <v>BOTINA OP. BICO PVC Nº 43</v>
      </c>
      <c r="E743" s="99" t="str">
        <f>_xlfn.XLOOKUP(B743,ESTOQUE!B:B,ESTOQUE!G:G,"",0)</f>
        <v>PAR</v>
      </c>
      <c r="F743" s="99">
        <v>2</v>
      </c>
      <c r="G743" s="146"/>
      <c r="H743" s="146"/>
      <c r="I743" s="147"/>
      <c r="J743" s="147"/>
      <c r="K743" s="63"/>
    </row>
    <row r="744" spans="1:11" x14ac:dyDescent="0.25">
      <c r="A744" s="108">
        <v>45972</v>
      </c>
      <c r="B744" s="109">
        <v>220</v>
      </c>
      <c r="C744" s="49" t="s">
        <v>19</v>
      </c>
      <c r="D744" s="110" t="str">
        <f>IF(ISBLANK($B744),"",IFERROR(VLOOKUP($B744,ESTOQUE!$B$2:$D$97168,3,FALSE),"Produto não cadastrado"))</f>
        <v>BOTINA SEGURANÇA METATARSO  43</v>
      </c>
      <c r="E744" s="99" t="str">
        <f>_xlfn.XLOOKUP(B744,ESTOQUE!B:B,ESTOQUE!G:G,"",0)</f>
        <v>PAR</v>
      </c>
      <c r="F744" s="99">
        <v>1</v>
      </c>
      <c r="G744" s="146"/>
      <c r="H744" s="146"/>
      <c r="I744" s="147"/>
      <c r="J744" s="147"/>
      <c r="K744" s="63"/>
    </row>
    <row r="745" spans="1:11" x14ac:dyDescent="0.25">
      <c r="A745" s="108">
        <v>45972</v>
      </c>
      <c r="B745" s="109">
        <v>46</v>
      </c>
      <c r="C745" s="49" t="s">
        <v>19</v>
      </c>
      <c r="D745" s="110" t="str">
        <f>IF(ISBLANK($B745),"",IFERROR(VLOOKUP($B745,ESTOQUE!$B$2:$D$97168,3,FALSE),"Produto não cadastrado"))</f>
        <v>CALÇA CINZA OP. C/ FAIXA REFLETIVA TAM: G</v>
      </c>
      <c r="E745" s="99" t="str">
        <f>_xlfn.XLOOKUP(B745,ESTOQUE!B:B,ESTOQUE!G:G,"",0)</f>
        <v>UND</v>
      </c>
      <c r="F745" s="99">
        <v>13</v>
      </c>
      <c r="G745" s="146"/>
      <c r="H745" s="146"/>
      <c r="I745" s="147"/>
      <c r="J745" s="147"/>
      <c r="K745" s="63"/>
    </row>
    <row r="746" spans="1:11" x14ac:dyDescent="0.25">
      <c r="A746" s="108">
        <v>45972</v>
      </c>
      <c r="B746" s="109">
        <v>47</v>
      </c>
      <c r="C746" s="49" t="s">
        <v>19</v>
      </c>
      <c r="D746" s="110" t="str">
        <f>IF(ISBLANK($B746),"",IFERROR(VLOOKUP($B746,ESTOQUE!$B$2:$D$97168,3,FALSE),"Produto não cadastrado"))</f>
        <v>CALÇA CINZA OP. C/ FAIXA REFLETIVA TAM: GG</v>
      </c>
      <c r="E746" s="99" t="str">
        <f>_xlfn.XLOOKUP(B746,ESTOQUE!B:B,ESTOQUE!G:G,"",0)</f>
        <v>UND</v>
      </c>
      <c r="F746" s="99">
        <v>8</v>
      </c>
      <c r="G746" s="146"/>
      <c r="H746" s="146"/>
      <c r="I746" s="147"/>
      <c r="J746" s="147"/>
      <c r="K746" s="63"/>
    </row>
    <row r="747" spans="1:11" x14ac:dyDescent="0.25">
      <c r="A747" s="108">
        <v>45972</v>
      </c>
      <c r="B747" s="109">
        <v>48</v>
      </c>
      <c r="C747" s="49" t="s">
        <v>19</v>
      </c>
      <c r="D747" s="110" t="str">
        <f>IF(ISBLANK($B747),"",IFERROR(VLOOKUP($B747,ESTOQUE!$B$2:$D$97168,3,FALSE),"Produto não cadastrado"))</f>
        <v>CALÇA CINZA OP. C/ FAIXA REFLETIVA TAM: M</v>
      </c>
      <c r="E747" s="99" t="str">
        <f>_xlfn.XLOOKUP(B747,ESTOQUE!B:B,ESTOQUE!G:G,"",0)</f>
        <v>UND</v>
      </c>
      <c r="F747" s="99">
        <v>10</v>
      </c>
      <c r="G747" s="146"/>
      <c r="H747" s="146"/>
      <c r="I747" s="147"/>
      <c r="J747" s="147"/>
      <c r="K747" s="63"/>
    </row>
    <row r="748" spans="1:11" x14ac:dyDescent="0.25">
      <c r="A748" s="108">
        <v>45972</v>
      </c>
      <c r="B748" s="109">
        <v>49</v>
      </c>
      <c r="C748" s="49" t="s">
        <v>19</v>
      </c>
      <c r="D748" s="110" t="str">
        <f>IF(ISBLANK($B748),"",IFERROR(VLOOKUP($B748,ESTOQUE!$B$2:$D$97168,3,FALSE),"Produto não cadastrado"))</f>
        <v>CALÇA CINZA OP. C/ FAIXA REFLETIVA TAM: P</v>
      </c>
      <c r="E748" s="99" t="str">
        <f>_xlfn.XLOOKUP(B748,ESTOQUE!B:B,ESTOQUE!G:G,"",0)</f>
        <v>UND</v>
      </c>
      <c r="F748" s="99">
        <v>7</v>
      </c>
      <c r="G748" s="146"/>
      <c r="H748" s="146"/>
      <c r="I748" s="147"/>
      <c r="J748" s="147"/>
      <c r="K748" s="63"/>
    </row>
    <row r="749" spans="1:11" x14ac:dyDescent="0.25">
      <c r="A749" s="108">
        <v>45972</v>
      </c>
      <c r="B749" s="109">
        <v>67</v>
      </c>
      <c r="C749" s="49" t="s">
        <v>19</v>
      </c>
      <c r="D749" s="110" t="str">
        <f>IF(ISBLANK($B749),"",IFERROR(VLOOKUP($B749,ESTOQUE!$B$2:$D$97168,3,FALSE),"Produto não cadastrado"))</f>
        <v>CAMISA LARANJA OP. C/ FAIXA REFLETIVA TAM: G</v>
      </c>
      <c r="E749" s="99" t="str">
        <f>_xlfn.XLOOKUP(B749,ESTOQUE!B:B,ESTOQUE!G:G,"",0)</f>
        <v>UND</v>
      </c>
      <c r="F749" s="99">
        <v>7</v>
      </c>
      <c r="G749" s="146"/>
      <c r="H749" s="146"/>
      <c r="I749" s="147"/>
      <c r="J749" s="147"/>
      <c r="K749" s="63"/>
    </row>
    <row r="750" spans="1:11" x14ac:dyDescent="0.25">
      <c r="A750" s="108">
        <v>45972</v>
      </c>
      <c r="B750" s="109">
        <v>68</v>
      </c>
      <c r="C750" s="49" t="s">
        <v>19</v>
      </c>
      <c r="D750" s="110" t="str">
        <f>IF(ISBLANK($B750),"",IFERROR(VLOOKUP($B750,ESTOQUE!$B$2:$D$97168,3,FALSE),"Produto não cadastrado"))</f>
        <v>CAMISA LARANJA OP. C/ FAIXA REFLETIVA TAM: GG</v>
      </c>
      <c r="E750" s="99" t="str">
        <f>_xlfn.XLOOKUP(B750,ESTOQUE!B:B,ESTOQUE!G:G,"",0)</f>
        <v>UND</v>
      </c>
      <c r="F750" s="99">
        <v>3</v>
      </c>
      <c r="G750" s="146"/>
      <c r="H750" s="146"/>
      <c r="I750" s="147"/>
      <c r="J750" s="147"/>
      <c r="K750" s="63"/>
    </row>
    <row r="751" spans="1:11" x14ac:dyDescent="0.25">
      <c r="A751" s="108">
        <v>45972</v>
      </c>
      <c r="B751" s="109">
        <v>69</v>
      </c>
      <c r="C751" s="49" t="s">
        <v>19</v>
      </c>
      <c r="D751" s="110" t="str">
        <f>IF(ISBLANK($B751),"",IFERROR(VLOOKUP($B751,ESTOQUE!$B$2:$D$97168,3,FALSE),"Produto não cadastrado"))</f>
        <v>CAMISA LARANJA OP. C/ FAIXA REFLETIVA TAM: M</v>
      </c>
      <c r="E751" s="99" t="str">
        <f>_xlfn.XLOOKUP(B751,ESTOQUE!B:B,ESTOQUE!G:G,"",0)</f>
        <v>UND</v>
      </c>
      <c r="F751" s="99">
        <v>5</v>
      </c>
      <c r="G751" s="146"/>
      <c r="H751" s="146"/>
      <c r="I751" s="147"/>
      <c r="J751" s="147"/>
      <c r="K751" s="63"/>
    </row>
    <row r="752" spans="1:11" x14ac:dyDescent="0.25">
      <c r="A752" s="108">
        <v>45972</v>
      </c>
      <c r="B752" s="109">
        <v>70</v>
      </c>
      <c r="C752" s="49" t="s">
        <v>19</v>
      </c>
      <c r="D752" s="110" t="str">
        <f>IF(ISBLANK($B752),"",IFERROR(VLOOKUP($B752,ESTOQUE!$B$2:$D$97168,3,FALSE),"Produto não cadastrado"))</f>
        <v>CAMISA LARANJA OP. C/ FAIXA REFLETIVA TAM: P</v>
      </c>
      <c r="E752" s="99" t="str">
        <f>_xlfn.XLOOKUP(B752,ESTOQUE!B:B,ESTOQUE!G:G,"",0)</f>
        <v>UND</v>
      </c>
      <c r="F752" s="99">
        <v>5</v>
      </c>
      <c r="G752" s="146"/>
      <c r="H752" s="146"/>
      <c r="I752" s="147"/>
      <c r="J752" s="147"/>
      <c r="K752" s="63"/>
    </row>
    <row r="753" spans="1:11" x14ac:dyDescent="0.25">
      <c r="A753" s="108">
        <v>45972</v>
      </c>
      <c r="B753" s="109">
        <v>97</v>
      </c>
      <c r="C753" s="49" t="s">
        <v>19</v>
      </c>
      <c r="D753" s="110" t="str">
        <f>IF(ISBLANK($B753),"",IFERROR(VLOOKUP($B753,ESTOQUE!$B$2:$D$97168,3,FALSE),"Produto não cadastrado"))</f>
        <v>COLETE REFLETIVO LARANJA M</v>
      </c>
      <c r="E753" s="99" t="str">
        <f>_xlfn.XLOOKUP(B753,ESTOQUE!B:B,ESTOQUE!G:G,"",0)</f>
        <v>UND</v>
      </c>
      <c r="F753" s="99">
        <v>3</v>
      </c>
      <c r="G753" s="146"/>
      <c r="H753" s="146"/>
      <c r="I753" s="147"/>
      <c r="J753" s="147"/>
      <c r="K753" s="63"/>
    </row>
    <row r="754" spans="1:11" x14ac:dyDescent="0.25">
      <c r="A754" s="108">
        <v>45972</v>
      </c>
      <c r="B754" s="109">
        <v>98</v>
      </c>
      <c r="C754" s="49" t="s">
        <v>19</v>
      </c>
      <c r="D754" s="110" t="str">
        <f>IF(ISBLANK($B754),"",IFERROR(VLOOKUP($B754,ESTOQUE!$B$2:$D$97168,3,FALSE),"Produto não cadastrado"))</f>
        <v>COLETE REFLETIVO LARANJA XGG</v>
      </c>
      <c r="E754" s="99" t="str">
        <f>_xlfn.XLOOKUP(B754,ESTOQUE!B:B,ESTOQUE!G:G,"",0)</f>
        <v>UND</v>
      </c>
      <c r="F754" s="99">
        <v>1</v>
      </c>
      <c r="G754" s="146"/>
      <c r="H754" s="146"/>
      <c r="I754" s="147"/>
      <c r="J754" s="147"/>
      <c r="K754" s="63"/>
    </row>
    <row r="755" spans="1:11" x14ac:dyDescent="0.25">
      <c r="A755" s="108">
        <v>45972</v>
      </c>
      <c r="B755" s="109">
        <v>110</v>
      </c>
      <c r="C755" s="49" t="s">
        <v>19</v>
      </c>
      <c r="D755" s="110" t="str">
        <f>IF(ISBLANK($B755),"",IFERROR(VLOOKUP($B755,ESTOQUE!$B$2:$D$97168,3,FALSE),"Produto não cadastrado"))</f>
        <v>LUVA DE RASPA CANO LONGO</v>
      </c>
      <c r="E755" s="99" t="str">
        <f>_xlfn.XLOOKUP(B755,ESTOQUE!B:B,ESTOQUE!G:G,"",0)</f>
        <v>PAR</v>
      </c>
      <c r="F755" s="99">
        <v>6</v>
      </c>
      <c r="G755" s="146"/>
      <c r="H755" s="146"/>
      <c r="I755" s="147"/>
      <c r="J755" s="147"/>
      <c r="K755" s="63"/>
    </row>
    <row r="756" spans="1:11" x14ac:dyDescent="0.25">
      <c r="A756" s="108">
        <v>45972</v>
      </c>
      <c r="B756" s="109">
        <v>257</v>
      </c>
      <c r="C756" s="49" t="s">
        <v>19</v>
      </c>
      <c r="D756" s="110" t="str">
        <f>IF(ISBLANK($B756),"",IFERROR(VLOOKUP($B756,ESTOQUE!$B$2:$D$97168,3,FALSE),"Produto não cadastrado"))</f>
        <v xml:space="preserve">LUVA MULTITATO </v>
      </c>
      <c r="E756" s="99" t="str">
        <f>_xlfn.XLOOKUP(B756,ESTOQUE!B:B,ESTOQUE!G:G,"",0)</f>
        <v>UND</v>
      </c>
      <c r="F756" s="99">
        <v>1</v>
      </c>
      <c r="G756" s="146"/>
      <c r="H756" s="146"/>
      <c r="I756" s="147"/>
      <c r="J756" s="147"/>
      <c r="K756" s="63"/>
    </row>
    <row r="757" spans="1:11" x14ac:dyDescent="0.25">
      <c r="A757" s="108">
        <v>45972</v>
      </c>
      <c r="B757" s="109">
        <v>117</v>
      </c>
      <c r="C757" s="49" t="s">
        <v>19</v>
      </c>
      <c r="D757" s="110" t="str">
        <f>IF(ISBLANK($B757),"",IFERROR(VLOOKUP($B757,ESTOQUE!$B$2:$D$97168,3,FALSE),"Produto não cadastrado"))</f>
        <v>LUVA PIGMENTADA</v>
      </c>
      <c r="E757" s="99" t="str">
        <f>_xlfn.XLOOKUP(B757,ESTOQUE!B:B,ESTOQUE!G:G,"",0)</f>
        <v>PAR</v>
      </c>
      <c r="F757" s="99">
        <v>5</v>
      </c>
      <c r="G757" s="146"/>
      <c r="H757" s="146"/>
      <c r="I757" s="147"/>
      <c r="J757" s="147"/>
      <c r="K757" s="63"/>
    </row>
    <row r="758" spans="1:11" x14ac:dyDescent="0.25">
      <c r="A758" s="108">
        <v>45972</v>
      </c>
      <c r="B758" s="109">
        <v>207</v>
      </c>
      <c r="C758" s="49" t="s">
        <v>19</v>
      </c>
      <c r="D758" s="110" t="str">
        <f>IF(ISBLANK($B758),"",IFERROR(VLOOKUP($B758,ESTOQUE!$B$2:$D$97168,3,FALSE),"Produto não cadastrado"))</f>
        <v>LUVA POLIESTER ANTICORTE BANHADA PU TAM 9</v>
      </c>
      <c r="E758" s="99" t="str">
        <f>_xlfn.XLOOKUP(B758,ESTOQUE!B:B,ESTOQUE!G:G,"",0)</f>
        <v>PAR</v>
      </c>
      <c r="F758" s="99">
        <v>22</v>
      </c>
      <c r="G758" s="146"/>
      <c r="H758" s="146"/>
      <c r="I758" s="147"/>
      <c r="J758" s="147"/>
      <c r="K758" s="63"/>
    </row>
    <row r="759" spans="1:11" x14ac:dyDescent="0.25">
      <c r="A759" s="108">
        <v>45972</v>
      </c>
      <c r="B759" s="109">
        <v>118</v>
      </c>
      <c r="C759" s="49" t="s">
        <v>19</v>
      </c>
      <c r="D759" s="110" t="str">
        <f>IF(ISBLANK($B759),"",IFERROR(VLOOKUP($B759,ESTOQUE!$B$2:$D$97168,3,FALSE),"Produto não cadastrado"))</f>
        <v>MACACÃO DE PROTEÇÃO TYVEK</v>
      </c>
      <c r="E759" s="99" t="str">
        <f>_xlfn.XLOOKUP(B759,ESTOQUE!B:B,ESTOQUE!G:G,"",0)</f>
        <v>UND</v>
      </c>
      <c r="F759" s="99">
        <v>23</v>
      </c>
      <c r="G759" s="146"/>
      <c r="H759" s="146"/>
      <c r="I759" s="147"/>
      <c r="J759" s="147"/>
      <c r="K759" s="63"/>
    </row>
    <row r="760" spans="1:11" x14ac:dyDescent="0.25">
      <c r="A760" s="108">
        <v>45972</v>
      </c>
      <c r="B760" s="109">
        <v>144</v>
      </c>
      <c r="C760" s="49" t="s">
        <v>19</v>
      </c>
      <c r="D760" s="110" t="str">
        <f>IF(ISBLANK($B760),"",IFERROR(VLOOKUP($B760,ESTOQUE!$B$2:$D$97168,3,FALSE),"Produto não cadastrado"))</f>
        <v>MASCARA PFF2-S C/ FILTRO</v>
      </c>
      <c r="E760" s="99" t="str">
        <f>_xlfn.XLOOKUP(B760,ESTOQUE!B:B,ESTOQUE!G:G,"",0)</f>
        <v>UND</v>
      </c>
      <c r="F760" s="99">
        <v>45</v>
      </c>
      <c r="G760" s="146"/>
      <c r="H760" s="146"/>
      <c r="I760" s="147"/>
      <c r="J760" s="147"/>
      <c r="K760" s="63"/>
    </row>
    <row r="761" spans="1:11" x14ac:dyDescent="0.25">
      <c r="A761" s="108">
        <v>45972</v>
      </c>
      <c r="B761" s="109">
        <v>126</v>
      </c>
      <c r="C761" s="49" t="s">
        <v>19</v>
      </c>
      <c r="D761" s="110" t="str">
        <f>IF(ISBLANK($B761),"",IFERROR(VLOOKUP($B761,ESTOQUE!$B$2:$D$97168,3,FALSE),"Produto não cadastrado"))</f>
        <v>OCULOS DE PROTEÇÃO ESCURO</v>
      </c>
      <c r="E761" s="99" t="str">
        <f>_xlfn.XLOOKUP(B761,ESTOQUE!B:B,ESTOQUE!G:G,"",0)</f>
        <v>UND</v>
      </c>
      <c r="F761" s="99">
        <v>18</v>
      </c>
      <c r="G761" s="146"/>
      <c r="H761" s="146"/>
      <c r="I761" s="147"/>
      <c r="J761" s="147"/>
      <c r="K761" s="63"/>
    </row>
    <row r="762" spans="1:11" x14ac:dyDescent="0.25">
      <c r="A762" s="108">
        <v>45972</v>
      </c>
      <c r="B762" s="109">
        <v>124</v>
      </c>
      <c r="C762" s="49" t="s">
        <v>19</v>
      </c>
      <c r="D762" s="110" t="str">
        <f>IF(ISBLANK($B762),"",IFERROR(VLOOKUP($B762,ESTOQUE!$B$2:$D$97168,3,FALSE),"Produto não cadastrado"))</f>
        <v xml:space="preserve">OCULOS DE PROTEÇÃO INCOLOR </v>
      </c>
      <c r="E762" s="99" t="str">
        <f>_xlfn.XLOOKUP(B762,ESTOQUE!B:B,ESTOQUE!G:G,"",0)</f>
        <v>UND</v>
      </c>
      <c r="F762" s="99">
        <v>3</v>
      </c>
      <c r="G762" s="146"/>
      <c r="H762" s="146"/>
      <c r="I762" s="147"/>
      <c r="J762" s="147"/>
      <c r="K762" s="63"/>
    </row>
    <row r="763" spans="1:11" x14ac:dyDescent="0.25">
      <c r="A763" s="108">
        <v>45972</v>
      </c>
      <c r="B763" s="109">
        <v>224</v>
      </c>
      <c r="C763" s="49" t="s">
        <v>19</v>
      </c>
      <c r="D763" s="110" t="str">
        <f>IF(ISBLANK($B763),"",IFERROR(VLOOKUP($B763,ESTOQUE!$B$2:$D$97168,3,FALSE),"Produto não cadastrado"))</f>
        <v>OCULOS OPERACIONAL SOBRE POR ESCURO</v>
      </c>
      <c r="E763" s="99" t="str">
        <f>_xlfn.XLOOKUP(B763,ESTOQUE!B:B,ESTOQUE!G:G,"",0)</f>
        <v>UND</v>
      </c>
      <c r="F763" s="99">
        <v>3</v>
      </c>
      <c r="G763" s="146"/>
      <c r="H763" s="146"/>
      <c r="I763" s="147"/>
      <c r="J763" s="147"/>
      <c r="K763" s="63"/>
    </row>
    <row r="764" spans="1:11" x14ac:dyDescent="0.25">
      <c r="A764" s="108">
        <v>45972</v>
      </c>
      <c r="B764" s="109">
        <v>129</v>
      </c>
      <c r="C764" s="49" t="s">
        <v>19</v>
      </c>
      <c r="D764" s="110" t="str">
        <f>IF(ISBLANK($B764),"",IFERROR(VLOOKUP($B764,ESTOQUE!$B$2:$D$97168,3,FALSE),"Produto não cadastrado"))</f>
        <v>PERNEIRA DE RASPA</v>
      </c>
      <c r="E764" s="99" t="str">
        <f>_xlfn.XLOOKUP(B764,ESTOQUE!B:B,ESTOQUE!G:G,"",0)</f>
        <v>PAR</v>
      </c>
      <c r="F764" s="99">
        <v>1</v>
      </c>
      <c r="G764" s="146"/>
      <c r="H764" s="146"/>
      <c r="I764" s="147"/>
      <c r="J764" s="147"/>
      <c r="K764" s="63"/>
    </row>
    <row r="765" spans="1:11" x14ac:dyDescent="0.25">
      <c r="A765" s="108">
        <v>45972</v>
      </c>
      <c r="B765" s="109">
        <v>130</v>
      </c>
      <c r="C765" s="49" t="s">
        <v>19</v>
      </c>
      <c r="D765" s="110" t="str">
        <f>IF(ISBLANK($B765),"",IFERROR(VLOOKUP($B765,ESTOQUE!$B$2:$D$97168,3,FALSE),"Produto não cadastrado"))</f>
        <v>PROTETOR AUDITIVO TIPO CONCHA L-300</v>
      </c>
      <c r="E765" s="99" t="str">
        <f>_xlfn.XLOOKUP(B765,ESTOQUE!B:B,ESTOQUE!G:G,"",0)</f>
        <v>UND</v>
      </c>
      <c r="F765" s="99">
        <v>2</v>
      </c>
      <c r="G765" s="146"/>
      <c r="H765" s="146"/>
      <c r="I765" s="147"/>
      <c r="J765" s="147"/>
      <c r="K765" s="63"/>
    </row>
    <row r="766" spans="1:11" x14ac:dyDescent="0.25">
      <c r="A766" s="108">
        <v>45972</v>
      </c>
      <c r="B766" s="109">
        <v>139</v>
      </c>
      <c r="C766" s="49" t="s">
        <v>19</v>
      </c>
      <c r="D766" s="110" t="str">
        <f>IF(ISBLANK($B766),"",IFERROR(VLOOKUP($B766,ESTOQUE!$B$2:$D$97168,3,FALSE),"Produto não cadastrado"))</f>
        <v>PROTETOR AURICULAR TIPO PLUG</v>
      </c>
      <c r="E766" s="99" t="str">
        <f>_xlfn.XLOOKUP(B766,ESTOQUE!B:B,ESTOQUE!G:G,"",0)</f>
        <v>UND</v>
      </c>
      <c r="F766" s="99">
        <v>5</v>
      </c>
      <c r="G766" s="146"/>
      <c r="H766" s="146"/>
      <c r="I766" s="147"/>
      <c r="J766" s="147"/>
      <c r="K766" s="63"/>
    </row>
    <row r="767" spans="1:11" x14ac:dyDescent="0.25">
      <c r="A767" s="108">
        <v>45972</v>
      </c>
      <c r="B767" s="109">
        <v>231</v>
      </c>
      <c r="C767" s="49" t="s">
        <v>19</v>
      </c>
      <c r="D767" s="110" t="str">
        <f>IF(ISBLANK($B767),"",IFERROR(VLOOKUP($B767,ESTOQUE!$B$2:$D$97168,3,FALSE),"Produto não cadastrado"))</f>
        <v xml:space="preserve">PROTETOR DE VERGALHÃO </v>
      </c>
      <c r="E767" s="99" t="str">
        <f>_xlfn.XLOOKUP(B767,ESTOQUE!B:B,ESTOQUE!G:G,"",0)</f>
        <v>UND</v>
      </c>
      <c r="F767" s="99">
        <v>7</v>
      </c>
      <c r="G767" s="146"/>
      <c r="H767" s="146"/>
      <c r="I767" s="147"/>
      <c r="J767" s="147"/>
      <c r="K767" s="63"/>
    </row>
    <row r="768" spans="1:11" x14ac:dyDescent="0.25">
      <c r="A768" s="108">
        <v>45972</v>
      </c>
      <c r="B768" s="109">
        <v>194</v>
      </c>
      <c r="C768" s="49" t="s">
        <v>19</v>
      </c>
      <c r="D768" s="110" t="str">
        <f>IF(ISBLANK($B768),"",IFERROR(VLOOKUP($B768,ESTOQUE!$B$2:$D$97168,3,FALSE),"Produto não cadastrado"))</f>
        <v>VISEIRA ACOPLADA</v>
      </c>
      <c r="E768" s="99" t="str">
        <f>_xlfn.XLOOKUP(B768,ESTOQUE!B:B,ESTOQUE!G:G,"",0)</f>
        <v>UND</v>
      </c>
      <c r="F768" s="99">
        <v>1</v>
      </c>
      <c r="G768" s="146"/>
      <c r="H768" s="146"/>
      <c r="I768" s="147"/>
      <c r="J768" s="147"/>
      <c r="K768" s="63"/>
    </row>
    <row r="769" spans="1:11" x14ac:dyDescent="0.25">
      <c r="A769" s="108">
        <v>45973</v>
      </c>
      <c r="B769" s="109">
        <v>228</v>
      </c>
      <c r="C769" s="49" t="s">
        <v>19</v>
      </c>
      <c r="D769" s="110" t="str">
        <f>IF(ISBLANK($B769),"",IFERROR(VLOOKUP($B769,ESTOQUE!$B$2:$D$97168,3,FALSE),"Produto não cadastrado"))</f>
        <v xml:space="preserve">BALACLAVA  </v>
      </c>
      <c r="E769" s="99" t="str">
        <f>_xlfn.XLOOKUP(B769,ESTOQUE!B:B,ESTOQUE!G:G,"",0)</f>
        <v>UND</v>
      </c>
      <c r="F769" s="99">
        <v>22</v>
      </c>
      <c r="G769" s="146"/>
      <c r="H769" s="146"/>
      <c r="I769" s="147"/>
      <c r="J769" s="147"/>
      <c r="K769" s="63"/>
    </row>
    <row r="770" spans="1:11" x14ac:dyDescent="0.25">
      <c r="A770" s="108">
        <v>45973</v>
      </c>
      <c r="B770" s="109">
        <v>8</v>
      </c>
      <c r="C770" s="49" t="s">
        <v>19</v>
      </c>
      <c r="D770" s="110" t="str">
        <f>IF(ISBLANK($B770),"",IFERROR(VLOOKUP($B770,ESTOQUE!$B$2:$D$97168,3,FALSE),"Produto não cadastrado"))</f>
        <v>BOTA PVC CANO LONGO Nº 40</v>
      </c>
      <c r="E770" s="99" t="str">
        <f>_xlfn.XLOOKUP(B770,ESTOQUE!B:B,ESTOQUE!G:G,"",0)</f>
        <v>PAR</v>
      </c>
      <c r="F770" s="99">
        <v>3</v>
      </c>
      <c r="G770" s="146"/>
      <c r="H770" s="146"/>
      <c r="I770" s="147"/>
      <c r="J770" s="147"/>
      <c r="K770" s="63"/>
    </row>
    <row r="771" spans="1:11" x14ac:dyDescent="0.25">
      <c r="A771" s="108">
        <v>45973</v>
      </c>
      <c r="B771" s="109">
        <v>11</v>
      </c>
      <c r="C771" s="49" t="s">
        <v>19</v>
      </c>
      <c r="D771" s="110" t="str">
        <f>IF(ISBLANK($B771),"",IFERROR(VLOOKUP($B771,ESTOQUE!$B$2:$D$97168,3,FALSE),"Produto não cadastrado"))</f>
        <v>BOTA PVC CANO LONGO Nº 43</v>
      </c>
      <c r="E771" s="99" t="str">
        <f>_xlfn.XLOOKUP(B771,ESTOQUE!B:B,ESTOQUE!G:G,"",0)</f>
        <v>PAR</v>
      </c>
      <c r="F771" s="99">
        <v>16</v>
      </c>
      <c r="G771" s="146"/>
      <c r="H771" s="146"/>
      <c r="I771" s="147"/>
      <c r="J771" s="147"/>
      <c r="K771" s="63"/>
    </row>
    <row r="772" spans="1:11" x14ac:dyDescent="0.25">
      <c r="A772" s="108">
        <v>45973</v>
      </c>
      <c r="B772" s="109">
        <v>12</v>
      </c>
      <c r="C772" s="49" t="s">
        <v>19</v>
      </c>
      <c r="D772" s="110" t="str">
        <f>IF(ISBLANK($B772),"",IFERROR(VLOOKUP($B772,ESTOQUE!$B$2:$D$97168,3,FALSE),"Produto não cadastrado"))</f>
        <v>BOTA PVC CANO LONGO Nº 44</v>
      </c>
      <c r="E772" s="99" t="str">
        <f>_xlfn.XLOOKUP(B772,ESTOQUE!B:B,ESTOQUE!G:G,"",0)</f>
        <v>PAR</v>
      </c>
      <c r="F772" s="99">
        <v>2</v>
      </c>
      <c r="G772" s="146"/>
      <c r="H772" s="146"/>
      <c r="I772" s="147"/>
      <c r="J772" s="147"/>
      <c r="K772" s="63"/>
    </row>
    <row r="773" spans="1:11" x14ac:dyDescent="0.25">
      <c r="A773" s="108">
        <v>45973</v>
      </c>
      <c r="B773" s="109">
        <v>13</v>
      </c>
      <c r="C773" s="49" t="s">
        <v>19</v>
      </c>
      <c r="D773" s="110" t="str">
        <f>IF(ISBLANK($B773),"",IFERROR(VLOOKUP($B773,ESTOQUE!$B$2:$D$97168,3,FALSE),"Produto não cadastrado"))</f>
        <v>BOTA PVC CANO LONGO Nº 45</v>
      </c>
      <c r="E773" s="99" t="str">
        <f>_xlfn.XLOOKUP(B773,ESTOQUE!B:B,ESTOQUE!G:G,"",0)</f>
        <v>PAR</v>
      </c>
      <c r="F773" s="99">
        <v>4</v>
      </c>
      <c r="G773" s="146"/>
      <c r="H773" s="146"/>
      <c r="I773" s="147"/>
      <c r="J773" s="147"/>
      <c r="K773" s="63"/>
    </row>
    <row r="774" spans="1:11" x14ac:dyDescent="0.25">
      <c r="A774" s="108">
        <v>45973</v>
      </c>
      <c r="B774" s="109">
        <v>221</v>
      </c>
      <c r="C774" s="49" t="s">
        <v>19</v>
      </c>
      <c r="D774" s="110" t="str">
        <f>IF(ISBLANK($B774),"",IFERROR(VLOOKUP($B774,ESTOQUE!$B$2:$D$97168,3,FALSE),"Produto não cadastrado"))</f>
        <v>BOTINA SEGURANÇA METATARSO  44</v>
      </c>
      <c r="E774" s="99" t="str">
        <f>_xlfn.XLOOKUP(B774,ESTOQUE!B:B,ESTOQUE!G:G,"",0)</f>
        <v>PAR</v>
      </c>
      <c r="F774" s="99">
        <v>3</v>
      </c>
      <c r="G774" s="146"/>
      <c r="H774" s="146"/>
      <c r="I774" s="147"/>
      <c r="J774" s="147"/>
      <c r="K774" s="63"/>
    </row>
    <row r="775" spans="1:11" x14ac:dyDescent="0.25">
      <c r="A775" s="108">
        <v>45973</v>
      </c>
      <c r="B775" s="109">
        <v>223</v>
      </c>
      <c r="C775" s="49" t="s">
        <v>19</v>
      </c>
      <c r="D775" s="110" t="str">
        <f>IF(ISBLANK($B775),"",IFERROR(VLOOKUP($B775,ESTOQUE!$B$2:$D$97168,3,FALSE),"Produto não cadastrado"))</f>
        <v>BOTINA SEGURANÇA METATARSO  46</v>
      </c>
      <c r="E775" s="99" t="str">
        <f>_xlfn.XLOOKUP(B775,ESTOQUE!B:B,ESTOQUE!G:G,"",0)</f>
        <v>PAR</v>
      </c>
      <c r="F775" s="99">
        <v>1</v>
      </c>
      <c r="G775" s="146"/>
      <c r="H775" s="146"/>
      <c r="I775" s="147"/>
      <c r="J775" s="147"/>
      <c r="K775" s="63"/>
    </row>
    <row r="776" spans="1:11" x14ac:dyDescent="0.25">
      <c r="A776" s="108">
        <v>45973</v>
      </c>
      <c r="B776" s="109">
        <v>46</v>
      </c>
      <c r="C776" s="49" t="s">
        <v>19</v>
      </c>
      <c r="D776" s="110" t="str">
        <f>IF(ISBLANK($B776),"",IFERROR(VLOOKUP($B776,ESTOQUE!$B$2:$D$97168,3,FALSE),"Produto não cadastrado"))</f>
        <v>CALÇA CINZA OP. C/ FAIXA REFLETIVA TAM: G</v>
      </c>
      <c r="E776" s="99" t="str">
        <f>_xlfn.XLOOKUP(B776,ESTOQUE!B:B,ESTOQUE!G:G,"",0)</f>
        <v>UND</v>
      </c>
      <c r="F776" s="99">
        <v>12</v>
      </c>
      <c r="G776" s="146"/>
      <c r="H776" s="146"/>
      <c r="I776" s="147"/>
      <c r="J776" s="147"/>
      <c r="K776" s="63"/>
    </row>
    <row r="777" spans="1:11" x14ac:dyDescent="0.25">
      <c r="A777" s="108">
        <v>45973</v>
      </c>
      <c r="B777" s="109">
        <v>52</v>
      </c>
      <c r="C777" s="49" t="s">
        <v>19</v>
      </c>
      <c r="D777" s="110" t="str">
        <f>IF(ISBLANK($B777),"",IFERROR(VLOOKUP($B777,ESTOQUE!$B$2:$D$97168,3,FALSE),"Produto não cadastrado"))</f>
        <v>CALÇA DE ELETRICISTA NR.10 TAM: GG</v>
      </c>
      <c r="E777" s="99" t="str">
        <f>_xlfn.XLOOKUP(B777,ESTOQUE!B:B,ESTOQUE!G:G,"",0)</f>
        <v>UND</v>
      </c>
      <c r="F777" s="99">
        <v>2</v>
      </c>
      <c r="G777" s="146"/>
      <c r="H777" s="146"/>
      <c r="I777" s="147"/>
      <c r="J777" s="147"/>
      <c r="K777" s="63"/>
    </row>
    <row r="778" spans="1:11" x14ac:dyDescent="0.25">
      <c r="A778" s="108">
        <v>45973</v>
      </c>
      <c r="B778" s="109">
        <v>53</v>
      </c>
      <c r="C778" s="49" t="s">
        <v>19</v>
      </c>
      <c r="D778" s="110" t="str">
        <f>IF(ISBLANK($B778),"",IFERROR(VLOOKUP($B778,ESTOQUE!$B$2:$D$97168,3,FALSE),"Produto não cadastrado"))</f>
        <v>CALÇA DE ELETRICISTA NR.10 TAM: P</v>
      </c>
      <c r="E778" s="99" t="str">
        <f>_xlfn.XLOOKUP(B778,ESTOQUE!B:B,ESTOQUE!G:G,"",0)</f>
        <v>UND</v>
      </c>
      <c r="F778" s="99">
        <v>1</v>
      </c>
      <c r="G778" s="146"/>
      <c r="H778" s="146"/>
      <c r="I778" s="147"/>
      <c r="J778" s="147"/>
      <c r="K778" s="63"/>
    </row>
    <row r="779" spans="1:11" x14ac:dyDescent="0.25">
      <c r="A779" s="108">
        <v>45973</v>
      </c>
      <c r="B779" s="109">
        <v>65</v>
      </c>
      <c r="C779" s="49" t="s">
        <v>19</v>
      </c>
      <c r="D779" s="110" t="str">
        <f>IF(ISBLANK($B779),"",IFERROR(VLOOKUP($B779,ESTOQUE!$B$2:$D$97168,3,FALSE),"Produto não cadastrado"))</f>
        <v>CAMISA DE ELETRICISTA NR.10 TAM: P</v>
      </c>
      <c r="E779" s="99" t="str">
        <f>_xlfn.XLOOKUP(B779,ESTOQUE!B:B,ESTOQUE!G:G,"",0)</f>
        <v>UND</v>
      </c>
      <c r="F779" s="99">
        <v>1</v>
      </c>
      <c r="G779" s="146"/>
      <c r="H779" s="146"/>
      <c r="I779" s="147"/>
      <c r="J779" s="147"/>
      <c r="K779" s="63"/>
    </row>
    <row r="780" spans="1:11" x14ac:dyDescent="0.25">
      <c r="A780" s="108">
        <v>45973</v>
      </c>
      <c r="B780" s="109">
        <v>67</v>
      </c>
      <c r="C780" s="49" t="s">
        <v>19</v>
      </c>
      <c r="D780" s="110" t="str">
        <f>IF(ISBLANK($B780),"",IFERROR(VLOOKUP($B780,ESTOQUE!$B$2:$D$97168,3,FALSE),"Produto não cadastrado"))</f>
        <v>CAMISA LARANJA OP. C/ FAIXA REFLETIVA TAM: G</v>
      </c>
      <c r="E780" s="99" t="str">
        <f>_xlfn.XLOOKUP(B780,ESTOQUE!B:B,ESTOQUE!G:G,"",0)</f>
        <v>UND</v>
      </c>
      <c r="F780" s="99">
        <v>1</v>
      </c>
      <c r="G780" s="146"/>
      <c r="H780" s="146"/>
      <c r="I780" s="147"/>
      <c r="J780" s="147"/>
      <c r="K780" s="63"/>
    </row>
    <row r="781" spans="1:11" x14ac:dyDescent="0.25">
      <c r="A781" s="108">
        <v>45973</v>
      </c>
      <c r="B781" s="109">
        <v>68</v>
      </c>
      <c r="C781" s="49" t="s">
        <v>19</v>
      </c>
      <c r="D781" s="110" t="str">
        <f>IF(ISBLANK($B781),"",IFERROR(VLOOKUP($B781,ESTOQUE!$B$2:$D$97168,3,FALSE),"Produto não cadastrado"))</f>
        <v>CAMISA LARANJA OP. C/ FAIXA REFLETIVA TAM: GG</v>
      </c>
      <c r="E781" s="99" t="str">
        <f>_xlfn.XLOOKUP(B781,ESTOQUE!B:B,ESTOQUE!G:G,"",0)</f>
        <v>UND</v>
      </c>
      <c r="F781" s="99">
        <v>21</v>
      </c>
      <c r="G781" s="146"/>
      <c r="H781" s="146"/>
      <c r="I781" s="147"/>
      <c r="J781" s="147"/>
      <c r="K781" s="63"/>
    </row>
    <row r="782" spans="1:11" x14ac:dyDescent="0.25">
      <c r="A782" s="108">
        <v>45973</v>
      </c>
      <c r="B782" s="109">
        <v>70</v>
      </c>
      <c r="C782" s="49" t="s">
        <v>19</v>
      </c>
      <c r="D782" s="110" t="str">
        <f>IF(ISBLANK($B782),"",IFERROR(VLOOKUP($B782,ESTOQUE!$B$2:$D$97168,3,FALSE),"Produto não cadastrado"))</f>
        <v>CAMISA LARANJA OP. C/ FAIXA REFLETIVA TAM: P</v>
      </c>
      <c r="E782" s="99" t="str">
        <f>_xlfn.XLOOKUP(B782,ESTOQUE!B:B,ESTOQUE!G:G,"",0)</f>
        <v>UND</v>
      </c>
      <c r="F782" s="99">
        <v>2</v>
      </c>
      <c r="G782" s="146"/>
      <c r="H782" s="146"/>
      <c r="I782" s="147"/>
      <c r="J782" s="147"/>
      <c r="K782" s="63"/>
    </row>
    <row r="783" spans="1:11" x14ac:dyDescent="0.25">
      <c r="A783" s="108">
        <v>45973</v>
      </c>
      <c r="B783" s="109">
        <v>73</v>
      </c>
      <c r="C783" s="49" t="s">
        <v>19</v>
      </c>
      <c r="D783" s="110" t="str">
        <f>IF(ISBLANK($B783),"",IFERROR(VLOOKUP($B783,ESTOQUE!$B$2:$D$97168,3,FALSE),"Produto não cadastrado"))</f>
        <v>CAPA DE CHUVA GG</v>
      </c>
      <c r="E783" s="99" t="str">
        <f>_xlfn.XLOOKUP(B783,ESTOQUE!B:B,ESTOQUE!G:G,"",0)</f>
        <v>UND</v>
      </c>
      <c r="F783" s="99">
        <v>20</v>
      </c>
      <c r="G783" s="146"/>
      <c r="H783" s="146"/>
      <c r="I783" s="147"/>
      <c r="J783" s="147"/>
      <c r="K783" s="63"/>
    </row>
    <row r="784" spans="1:11" x14ac:dyDescent="0.25">
      <c r="A784" s="108">
        <v>45973</v>
      </c>
      <c r="B784" s="109">
        <v>177</v>
      </c>
      <c r="C784" s="49" t="s">
        <v>19</v>
      </c>
      <c r="D784" s="110" t="str">
        <f>IF(ISBLANK($B784),"",IFERROR(VLOOKUP($B784,ESTOQUE!$B$2:$D$97168,3,FALSE),"Produto não cadastrado"))</f>
        <v>CAPACETE GENISIS AMARELO</v>
      </c>
      <c r="E784" s="99" t="str">
        <f>_xlfn.XLOOKUP(B784,ESTOQUE!B:B,ESTOQUE!G:G,"",0)</f>
        <v>UND</v>
      </c>
      <c r="F784" s="99">
        <v>1</v>
      </c>
      <c r="G784" s="146"/>
      <c r="H784" s="146"/>
      <c r="I784" s="147"/>
      <c r="J784" s="147"/>
      <c r="K784" s="63"/>
    </row>
    <row r="785" spans="1:11" x14ac:dyDescent="0.25">
      <c r="A785" s="108">
        <v>45973</v>
      </c>
      <c r="B785" s="109">
        <v>76</v>
      </c>
      <c r="C785" s="49" t="s">
        <v>19</v>
      </c>
      <c r="D785" s="110" t="str">
        <f>IF(ISBLANK($B785),"",IFERROR(VLOOKUP($B785,ESTOQUE!$B$2:$D$97168,3,FALSE),"Produto não cadastrado"))</f>
        <v>CAPACETE CAMPER BRANCO</v>
      </c>
      <c r="E785" s="99" t="str">
        <f>_xlfn.XLOOKUP(B785,ESTOQUE!B:B,ESTOQUE!G:G,"",0)</f>
        <v>UND</v>
      </c>
      <c r="F785" s="99">
        <v>4</v>
      </c>
      <c r="G785" s="146"/>
      <c r="H785" s="146"/>
      <c r="I785" s="147"/>
      <c r="J785" s="147"/>
      <c r="K785" s="63"/>
    </row>
    <row r="786" spans="1:11" x14ac:dyDescent="0.25">
      <c r="A786" s="108">
        <v>45973</v>
      </c>
      <c r="B786" s="109">
        <v>178</v>
      </c>
      <c r="C786" s="49" t="s">
        <v>19</v>
      </c>
      <c r="D786" s="110" t="str">
        <f>IF(ISBLANK($B786),"",IFERROR(VLOOKUP($B786,ESTOQUE!$B$2:$D$97168,3,FALSE),"Produto não cadastrado"))</f>
        <v>CAPACETE GENISIS VERMELHO</v>
      </c>
      <c r="E786" s="99" t="str">
        <f>_xlfn.XLOOKUP(B786,ESTOQUE!B:B,ESTOQUE!G:G,"",0)</f>
        <v>UND</v>
      </c>
      <c r="F786" s="99">
        <v>1</v>
      </c>
      <c r="G786" s="146"/>
      <c r="H786" s="146"/>
      <c r="I786" s="147"/>
      <c r="J786" s="147"/>
      <c r="K786" s="63"/>
    </row>
    <row r="787" spans="1:11" x14ac:dyDescent="0.25">
      <c r="A787" s="108">
        <v>45973</v>
      </c>
      <c r="B787" s="109">
        <v>87</v>
      </c>
      <c r="C787" s="49" t="s">
        <v>19</v>
      </c>
      <c r="D787" s="110" t="str">
        <f>IF(ISBLANK($B787),"",IFERROR(VLOOKUP($B787,ESTOQUE!$B$2:$D$97168,3,FALSE),"Produto não cadastrado"))</f>
        <v>CAPACETE PLASTCOR AMARELO</v>
      </c>
      <c r="E787" s="99" t="str">
        <f>_xlfn.XLOOKUP(B787,ESTOQUE!B:B,ESTOQUE!G:G,"",0)</f>
        <v>UND</v>
      </c>
      <c r="F787" s="99">
        <v>1</v>
      </c>
      <c r="G787" s="146"/>
      <c r="H787" s="146"/>
      <c r="I787" s="147"/>
      <c r="J787" s="147"/>
      <c r="K787" s="63"/>
    </row>
    <row r="788" spans="1:11" x14ac:dyDescent="0.25">
      <c r="A788" s="108">
        <v>45973</v>
      </c>
      <c r="B788" s="109">
        <v>88</v>
      </c>
      <c r="C788" s="49" t="s">
        <v>19</v>
      </c>
      <c r="D788" s="110" t="str">
        <f>IF(ISBLANK($B788),"",IFERROR(VLOOKUP($B788,ESTOQUE!$B$2:$D$97168,3,FALSE),"Produto não cadastrado"))</f>
        <v>CAPACETE PLASTCOR AZUL ESCURO</v>
      </c>
      <c r="E788" s="99" t="str">
        <f>_xlfn.XLOOKUP(B788,ESTOQUE!B:B,ESTOQUE!G:G,"",0)</f>
        <v>UND</v>
      </c>
      <c r="F788" s="99">
        <v>2</v>
      </c>
      <c r="G788" s="146"/>
      <c r="H788" s="146"/>
      <c r="I788" s="147"/>
      <c r="J788" s="147"/>
      <c r="K788" s="63"/>
    </row>
    <row r="789" spans="1:11" x14ac:dyDescent="0.25">
      <c r="A789" s="108">
        <v>45973</v>
      </c>
      <c r="B789" s="109">
        <v>96</v>
      </c>
      <c r="C789" s="49" t="s">
        <v>19</v>
      </c>
      <c r="D789" s="110" t="str">
        <f>IF(ISBLANK($B789),"",IFERROR(VLOOKUP($B789,ESTOQUE!$B$2:$D$97168,3,FALSE),"Produto não cadastrado"))</f>
        <v xml:space="preserve">CINTO DE SEGURANÇA MODELO:C70 </v>
      </c>
      <c r="E789" s="99" t="str">
        <f>_xlfn.XLOOKUP(B789,ESTOQUE!B:B,ESTOQUE!G:G,"",0)</f>
        <v>UND</v>
      </c>
      <c r="F789" s="99">
        <v>6</v>
      </c>
      <c r="G789" s="146"/>
      <c r="H789" s="146"/>
      <c r="I789" s="147"/>
      <c r="J789" s="147"/>
      <c r="K789" s="63"/>
    </row>
    <row r="790" spans="1:11" x14ac:dyDescent="0.25">
      <c r="A790" s="108">
        <v>45973</v>
      </c>
      <c r="B790" s="109">
        <v>97</v>
      </c>
      <c r="C790" s="49" t="s">
        <v>19</v>
      </c>
      <c r="D790" s="110" t="str">
        <f>IF(ISBLANK($B790),"",IFERROR(VLOOKUP($B790,ESTOQUE!$B$2:$D$97168,3,FALSE),"Produto não cadastrado"))</f>
        <v>COLETE REFLETIVO LARANJA M</v>
      </c>
      <c r="E790" s="99" t="str">
        <f>_xlfn.XLOOKUP(B790,ESTOQUE!B:B,ESTOQUE!G:G,"",0)</f>
        <v>UND</v>
      </c>
      <c r="F790" s="99">
        <v>56</v>
      </c>
      <c r="G790" s="146"/>
      <c r="H790" s="146"/>
      <c r="I790" s="147"/>
      <c r="J790" s="147"/>
      <c r="K790" s="63"/>
    </row>
    <row r="791" spans="1:11" x14ac:dyDescent="0.25">
      <c r="A791" s="108">
        <v>45973</v>
      </c>
      <c r="B791" s="109">
        <v>98</v>
      </c>
      <c r="C791" s="49" t="s">
        <v>19</v>
      </c>
      <c r="D791" s="110" t="str">
        <f>IF(ISBLANK($B791),"",IFERROR(VLOOKUP($B791,ESTOQUE!$B$2:$D$97168,3,FALSE),"Produto não cadastrado"))</f>
        <v>COLETE REFLETIVO LARANJA XGG</v>
      </c>
      <c r="E791" s="99" t="str">
        <f>_xlfn.XLOOKUP(B791,ESTOQUE!B:B,ESTOQUE!G:G,"",0)</f>
        <v>UND</v>
      </c>
      <c r="F791" s="99">
        <v>1</v>
      </c>
      <c r="G791" s="146"/>
      <c r="H791" s="146"/>
      <c r="I791" s="147"/>
      <c r="J791" s="147"/>
      <c r="K791" s="63"/>
    </row>
    <row r="792" spans="1:11" x14ac:dyDescent="0.25">
      <c r="A792" s="108">
        <v>45973</v>
      </c>
      <c r="B792" s="109">
        <v>101</v>
      </c>
      <c r="C792" s="49" t="s">
        <v>19</v>
      </c>
      <c r="D792" s="110" t="str">
        <f>IF(ISBLANK($B792),"",IFERROR(VLOOKUP($B792,ESTOQUE!$B$2:$D$97168,3,FALSE),"Produto não cadastrado"))</f>
        <v>JARDINEIRA AMARELA BOTA Nº 39</v>
      </c>
      <c r="E792" s="99" t="str">
        <f>_xlfn.XLOOKUP(B792,ESTOQUE!B:B,ESTOQUE!G:G,"",0)</f>
        <v>UND</v>
      </c>
      <c r="F792" s="99">
        <v>1</v>
      </c>
      <c r="G792" s="146"/>
      <c r="H792" s="146"/>
      <c r="I792" s="147"/>
      <c r="J792" s="147"/>
      <c r="K792" s="63"/>
    </row>
    <row r="793" spans="1:11" x14ac:dyDescent="0.25">
      <c r="A793" s="108">
        <v>45973</v>
      </c>
      <c r="B793" s="109">
        <v>102</v>
      </c>
      <c r="C793" s="49" t="s">
        <v>19</v>
      </c>
      <c r="D793" s="110" t="str">
        <f>IF(ISBLANK($B793),"",IFERROR(VLOOKUP($B793,ESTOQUE!$B$2:$D$97168,3,FALSE),"Produto não cadastrado"))</f>
        <v>JARDINEIRA AMARELA BOTA Nº 40</v>
      </c>
      <c r="E793" s="99" t="str">
        <f>_xlfn.XLOOKUP(B793,ESTOQUE!B:B,ESTOQUE!G:G,"",0)</f>
        <v>UND</v>
      </c>
      <c r="F793" s="99">
        <v>8</v>
      </c>
      <c r="G793" s="146"/>
      <c r="H793" s="146"/>
      <c r="I793" s="147"/>
      <c r="J793" s="147"/>
      <c r="K793" s="63"/>
    </row>
    <row r="794" spans="1:11" x14ac:dyDescent="0.25">
      <c r="A794" s="108">
        <v>45973</v>
      </c>
      <c r="B794" s="109">
        <v>103</v>
      </c>
      <c r="C794" s="49" t="s">
        <v>19</v>
      </c>
      <c r="D794" s="110" t="str">
        <f>IF(ISBLANK($B794),"",IFERROR(VLOOKUP($B794,ESTOQUE!$B$2:$D$97168,3,FALSE),"Produto não cadastrado"))</f>
        <v>JARDINEIRA AMARELA BOTA Nº 41</v>
      </c>
      <c r="E794" s="99" t="str">
        <f>_xlfn.XLOOKUP(B794,ESTOQUE!B:B,ESTOQUE!G:G,"",0)</f>
        <v>UND</v>
      </c>
      <c r="F794" s="99">
        <v>5</v>
      </c>
      <c r="G794" s="146"/>
      <c r="H794" s="146"/>
      <c r="I794" s="147"/>
      <c r="J794" s="147"/>
      <c r="K794" s="63"/>
    </row>
    <row r="795" spans="1:11" x14ac:dyDescent="0.25">
      <c r="A795" s="108">
        <v>45973</v>
      </c>
      <c r="B795" s="109">
        <v>104</v>
      </c>
      <c r="C795" s="49" t="s">
        <v>19</v>
      </c>
      <c r="D795" s="110" t="str">
        <f>IF(ISBLANK($B795),"",IFERROR(VLOOKUP($B795,ESTOQUE!$B$2:$D$97168,3,FALSE),"Produto não cadastrado"))</f>
        <v>JARDINEIRA AMARELA BOTA Nº 42</v>
      </c>
      <c r="E795" s="99" t="str">
        <f>_xlfn.XLOOKUP(B795,ESTOQUE!B:B,ESTOQUE!G:G,"",0)</f>
        <v>UND</v>
      </c>
      <c r="F795" s="99">
        <v>11</v>
      </c>
      <c r="G795" s="146"/>
      <c r="H795" s="146"/>
      <c r="I795" s="147"/>
      <c r="J795" s="147"/>
      <c r="K795" s="63"/>
    </row>
    <row r="796" spans="1:11" x14ac:dyDescent="0.25">
      <c r="A796" s="108">
        <v>45973</v>
      </c>
      <c r="B796" s="109">
        <v>105</v>
      </c>
      <c r="C796" s="49" t="s">
        <v>19</v>
      </c>
      <c r="D796" s="110" t="str">
        <f>IF(ISBLANK($B796),"",IFERROR(VLOOKUP($B796,ESTOQUE!$B$2:$D$97168,3,FALSE),"Produto não cadastrado"))</f>
        <v>JARDINEIRA AMARELA BOTA Nº 43</v>
      </c>
      <c r="E796" s="99" t="str">
        <f>_xlfn.XLOOKUP(B796,ESTOQUE!B:B,ESTOQUE!G:G,"",0)</f>
        <v>UND</v>
      </c>
      <c r="F796" s="99">
        <v>9</v>
      </c>
      <c r="G796" s="146"/>
      <c r="H796" s="146"/>
      <c r="I796" s="147"/>
      <c r="J796" s="147"/>
      <c r="K796" s="63"/>
    </row>
    <row r="797" spans="1:11" x14ac:dyDescent="0.25">
      <c r="A797" s="108">
        <v>45973</v>
      </c>
      <c r="B797" s="109">
        <v>161</v>
      </c>
      <c r="C797" s="49" t="s">
        <v>19</v>
      </c>
      <c r="D797" s="110" t="str">
        <f>IF(ISBLANK($B797),"",IFERROR(VLOOKUP($B797,ESTOQUE!$B$2:$D$97168,3,FALSE),"Produto não cadastrado"))</f>
        <v>JUGULAR</v>
      </c>
      <c r="E797" s="99" t="str">
        <f>_xlfn.XLOOKUP(B797,ESTOQUE!B:B,ESTOQUE!G:G,"",0)</f>
        <v>UND</v>
      </c>
      <c r="F797" s="99">
        <v>19</v>
      </c>
      <c r="G797" s="146"/>
      <c r="H797" s="146"/>
      <c r="I797" s="147"/>
      <c r="J797" s="147"/>
      <c r="K797" s="63"/>
    </row>
    <row r="798" spans="1:11" x14ac:dyDescent="0.25">
      <c r="A798" s="108">
        <v>45973</v>
      </c>
      <c r="B798" s="109">
        <v>125</v>
      </c>
      <c r="C798" s="49" t="s">
        <v>19</v>
      </c>
      <c r="D798" s="110" t="str">
        <f>IF(ISBLANK($B798),"",IFERROR(VLOOKUP($B798,ESTOQUE!$B$2:$D$97168,3,FALSE),"Produto não cadastrado"))</f>
        <v xml:space="preserve">MASCARA DE SOLDA AUTOMATICA </v>
      </c>
      <c r="E798" s="99" t="str">
        <f>_xlfn.XLOOKUP(B798,ESTOQUE!B:B,ESTOQUE!G:G,"",0)</f>
        <v>UND</v>
      </c>
      <c r="F798" s="99">
        <v>6</v>
      </c>
      <c r="G798" s="146"/>
      <c r="H798" s="146"/>
      <c r="I798" s="147"/>
      <c r="J798" s="147"/>
      <c r="K798" s="63"/>
    </row>
    <row r="799" spans="1:11" x14ac:dyDescent="0.25">
      <c r="A799" s="108">
        <v>45973</v>
      </c>
      <c r="B799" s="109">
        <v>144</v>
      </c>
      <c r="C799" s="49" t="s">
        <v>19</v>
      </c>
      <c r="D799" s="110" t="str">
        <f>IF(ISBLANK($B799),"",IFERROR(VLOOKUP($B799,ESTOQUE!$B$2:$D$97168,3,FALSE),"Produto não cadastrado"))</f>
        <v>MASCARA PFF2-S C/ FILTRO</v>
      </c>
      <c r="E799" s="99" t="str">
        <f>_xlfn.XLOOKUP(B799,ESTOQUE!B:B,ESTOQUE!G:G,"",0)</f>
        <v>UND</v>
      </c>
      <c r="F799" s="99">
        <v>290</v>
      </c>
      <c r="G799" s="146"/>
      <c r="H799" s="146"/>
      <c r="I799" s="147"/>
      <c r="J799" s="147"/>
      <c r="K799" s="63"/>
    </row>
    <row r="800" spans="1:11" x14ac:dyDescent="0.25">
      <c r="A800" s="108">
        <v>45973</v>
      </c>
      <c r="B800" s="109">
        <v>224</v>
      </c>
      <c r="C800" s="49" t="s">
        <v>19</v>
      </c>
      <c r="D800" s="110" t="str">
        <f>IF(ISBLANK($B800),"",IFERROR(VLOOKUP($B800,ESTOQUE!$B$2:$D$97168,3,FALSE),"Produto não cadastrado"))</f>
        <v>OCULOS OPERACIONAL SOBRE POR ESCURO</v>
      </c>
      <c r="E800" s="99" t="str">
        <f>_xlfn.XLOOKUP(B800,ESTOQUE!B:B,ESTOQUE!G:G,"",0)</f>
        <v>UND</v>
      </c>
      <c r="F800" s="99">
        <v>84</v>
      </c>
      <c r="G800" s="146"/>
      <c r="H800" s="146"/>
      <c r="I800" s="147"/>
      <c r="J800" s="147"/>
      <c r="K800" s="63"/>
    </row>
    <row r="801" spans="1:11" x14ac:dyDescent="0.25">
      <c r="A801" s="108">
        <v>45973</v>
      </c>
      <c r="B801" s="109">
        <v>139</v>
      </c>
      <c r="C801" s="49" t="s">
        <v>19</v>
      </c>
      <c r="D801" s="110" t="str">
        <f>IF(ISBLANK($B801),"",IFERROR(VLOOKUP($B801,ESTOQUE!$B$2:$D$97168,3,FALSE),"Produto não cadastrado"))</f>
        <v>PROTETOR AURICULAR TIPO PLUG</v>
      </c>
      <c r="E801" s="99" t="str">
        <f>_xlfn.XLOOKUP(B801,ESTOQUE!B:B,ESTOQUE!G:G,"",0)</f>
        <v>UND</v>
      </c>
      <c r="F801" s="99">
        <v>13</v>
      </c>
      <c r="G801" s="146"/>
      <c r="H801" s="146"/>
      <c r="I801" s="147"/>
      <c r="J801" s="147"/>
      <c r="K801" s="63"/>
    </row>
    <row r="802" spans="1:11" x14ac:dyDescent="0.25">
      <c r="A802" s="108">
        <v>45973</v>
      </c>
      <c r="B802" s="109">
        <v>236</v>
      </c>
      <c r="C802" s="49" t="s">
        <v>19</v>
      </c>
      <c r="D802" s="110" t="str">
        <f>IF(ISBLANK($B802),"",IFERROR(VLOOKUP($B802,ESTOQUE!$B$2:$D$97168,3,FALSE),"Produto não cadastrado"))</f>
        <v>TALABARTE DUPLO Y SOLDADOR</v>
      </c>
      <c r="E802" s="99" t="str">
        <f>_xlfn.XLOOKUP(B802,ESTOQUE!B:B,ESTOQUE!G:G,"",0)</f>
        <v>UND</v>
      </c>
      <c r="F802" s="99">
        <v>2</v>
      </c>
      <c r="G802" s="146"/>
      <c r="H802" s="146"/>
      <c r="I802" s="147"/>
      <c r="J802" s="147"/>
      <c r="K802" s="63"/>
    </row>
    <row r="803" spans="1:11" x14ac:dyDescent="0.25">
      <c r="A803" s="108">
        <v>45974</v>
      </c>
      <c r="B803" s="109">
        <v>228</v>
      </c>
      <c r="C803" s="49" t="s">
        <v>19</v>
      </c>
      <c r="D803" s="110" t="str">
        <f>IF(ISBLANK($B803),"",IFERROR(VLOOKUP($B803,ESTOQUE!$B$2:$D$97168,3,FALSE),"Produto não cadastrado"))</f>
        <v xml:space="preserve">BALACLAVA  </v>
      </c>
      <c r="E803" s="99" t="str">
        <f>_xlfn.XLOOKUP(B803,ESTOQUE!B:B,ESTOQUE!G:G,"",0)</f>
        <v>UND</v>
      </c>
      <c r="F803" s="99">
        <v>2</v>
      </c>
      <c r="G803" s="146"/>
      <c r="H803" s="146"/>
      <c r="I803" s="147"/>
      <c r="J803" s="147"/>
      <c r="K803" s="63"/>
    </row>
    <row r="804" spans="1:11" x14ac:dyDescent="0.25">
      <c r="A804" s="108">
        <v>45974</v>
      </c>
      <c r="B804" s="109">
        <v>10</v>
      </c>
      <c r="C804" s="49" t="s">
        <v>19</v>
      </c>
      <c r="D804" s="110" t="str">
        <f>IF(ISBLANK($B804),"",IFERROR(VLOOKUP($B804,ESTOQUE!$B$2:$D$97168,3,FALSE),"Produto não cadastrado"))</f>
        <v>BOTA PVC CANO LONGO Nº 42</v>
      </c>
      <c r="E804" s="99" t="str">
        <f>_xlfn.XLOOKUP(B804,ESTOQUE!B:B,ESTOQUE!G:G,"",0)</f>
        <v>PAR</v>
      </c>
      <c r="F804" s="99">
        <v>2</v>
      </c>
      <c r="G804" s="146"/>
      <c r="H804" s="146"/>
      <c r="I804" s="147"/>
      <c r="J804" s="147"/>
      <c r="K804" s="63"/>
    </row>
    <row r="805" spans="1:11" x14ac:dyDescent="0.25">
      <c r="A805" s="108">
        <v>45974</v>
      </c>
      <c r="B805" s="109">
        <v>37</v>
      </c>
      <c r="C805" s="49" t="s">
        <v>19</v>
      </c>
      <c r="D805" s="110" t="str">
        <f>IF(ISBLANK($B805),"",IFERROR(VLOOKUP($B805,ESTOQUE!$B$2:$D$97168,3,FALSE),"Produto não cadastrado"))</f>
        <v>BOTINA OP. BICO PVC Nº 39</v>
      </c>
      <c r="E805" s="99" t="str">
        <f>_xlfn.XLOOKUP(B805,ESTOQUE!B:B,ESTOQUE!G:G,"",0)</f>
        <v>PAR</v>
      </c>
      <c r="F805" s="99">
        <v>2</v>
      </c>
      <c r="G805" s="146"/>
      <c r="H805" s="146"/>
      <c r="I805" s="147"/>
      <c r="J805" s="147"/>
      <c r="K805" s="63"/>
    </row>
    <row r="806" spans="1:11" x14ac:dyDescent="0.25">
      <c r="A806" s="108">
        <v>45974</v>
      </c>
      <c r="B806" s="109">
        <v>217</v>
      </c>
      <c r="C806" s="49" t="s">
        <v>19</v>
      </c>
      <c r="D806" s="110" t="str">
        <f>IF(ISBLANK($B806),"",IFERROR(VLOOKUP($B806,ESTOQUE!$B$2:$D$97168,3,FALSE),"Produto não cadastrado"))</f>
        <v>BOTINA SEGURANÇA METATARSO  40</v>
      </c>
      <c r="E806" s="99" t="str">
        <f>_xlfn.XLOOKUP(B806,ESTOQUE!B:B,ESTOQUE!G:G,"",0)</f>
        <v>PAR</v>
      </c>
      <c r="F806" s="99">
        <v>1</v>
      </c>
      <c r="G806" s="146"/>
      <c r="H806" s="146"/>
      <c r="I806" s="147"/>
      <c r="J806" s="147"/>
      <c r="K806" s="63"/>
    </row>
    <row r="807" spans="1:11" x14ac:dyDescent="0.25">
      <c r="A807" s="108">
        <v>45974</v>
      </c>
      <c r="B807" s="109">
        <v>46</v>
      </c>
      <c r="C807" s="49" t="s">
        <v>19</v>
      </c>
      <c r="D807" s="110" t="str">
        <f>IF(ISBLANK($B807),"",IFERROR(VLOOKUP($B807,ESTOQUE!$B$2:$D$97168,3,FALSE),"Produto não cadastrado"))</f>
        <v>CALÇA CINZA OP. C/ FAIXA REFLETIVA TAM: G</v>
      </c>
      <c r="E807" s="99" t="str">
        <f>_xlfn.XLOOKUP(B807,ESTOQUE!B:B,ESTOQUE!G:G,"",0)</f>
        <v>UND</v>
      </c>
      <c r="F807" s="99">
        <v>7</v>
      </c>
      <c r="G807" s="146"/>
      <c r="H807" s="146"/>
      <c r="I807" s="147"/>
      <c r="J807" s="147"/>
      <c r="K807" s="63"/>
    </row>
    <row r="808" spans="1:11" x14ac:dyDescent="0.25">
      <c r="A808" s="108">
        <v>45974</v>
      </c>
      <c r="B808" s="109">
        <v>47</v>
      </c>
      <c r="C808" s="49" t="s">
        <v>19</v>
      </c>
      <c r="D808" s="110" t="str">
        <f>IF(ISBLANK($B808),"",IFERROR(VLOOKUP($B808,ESTOQUE!$B$2:$D$97168,3,FALSE),"Produto não cadastrado"))</f>
        <v>CALÇA CINZA OP. C/ FAIXA REFLETIVA TAM: GG</v>
      </c>
      <c r="E808" s="99" t="str">
        <f>_xlfn.XLOOKUP(B808,ESTOQUE!B:B,ESTOQUE!G:G,"",0)</f>
        <v>UND</v>
      </c>
      <c r="F808" s="99">
        <v>2</v>
      </c>
      <c r="G808" s="146"/>
      <c r="H808" s="146"/>
      <c r="I808" s="147"/>
      <c r="J808" s="147"/>
      <c r="K808" s="63"/>
    </row>
    <row r="809" spans="1:11" x14ac:dyDescent="0.25">
      <c r="A809" s="108">
        <v>45974</v>
      </c>
      <c r="B809" s="109">
        <v>50</v>
      </c>
      <c r="C809" s="49" t="s">
        <v>19</v>
      </c>
      <c r="D809" s="110" t="str">
        <f>IF(ISBLANK($B809),"",IFERROR(VLOOKUP($B809,ESTOQUE!$B$2:$D$97168,3,FALSE),"Produto não cadastrado"))</f>
        <v>CALÇA CINZA OP. C/ FAIXA REFLETIVA TAM: XG</v>
      </c>
      <c r="E809" s="99" t="str">
        <f>_xlfn.XLOOKUP(B809,ESTOQUE!B:B,ESTOQUE!G:G,"",0)</f>
        <v>UND</v>
      </c>
      <c r="F809" s="99">
        <v>2</v>
      </c>
      <c r="G809" s="146"/>
      <c r="H809" s="146"/>
      <c r="I809" s="147"/>
      <c r="J809" s="147"/>
      <c r="K809" s="63"/>
    </row>
    <row r="810" spans="1:11" x14ac:dyDescent="0.25">
      <c r="A810" s="108">
        <v>45974</v>
      </c>
      <c r="B810" s="109">
        <v>64</v>
      </c>
      <c r="C810" s="49" t="s">
        <v>19</v>
      </c>
      <c r="D810" s="110" t="str">
        <f>IF(ISBLANK($B810),"",IFERROR(VLOOKUP($B810,ESTOQUE!$B$2:$D$97168,3,FALSE),"Produto não cadastrado"))</f>
        <v>CAMISA DE ELETRICISTA NR.10 TAM: GG</v>
      </c>
      <c r="E810" s="99" t="str">
        <f>_xlfn.XLOOKUP(B810,ESTOQUE!B:B,ESTOQUE!G:G,"",0)</f>
        <v>UND</v>
      </c>
      <c r="F810" s="99">
        <v>1</v>
      </c>
      <c r="G810" s="146"/>
      <c r="H810" s="146"/>
      <c r="I810" s="147"/>
      <c r="J810" s="147"/>
      <c r="K810" s="63"/>
    </row>
    <row r="811" spans="1:11" x14ac:dyDescent="0.25">
      <c r="A811" s="108">
        <v>45974</v>
      </c>
      <c r="B811" s="109">
        <v>67</v>
      </c>
      <c r="C811" s="49" t="s">
        <v>19</v>
      </c>
      <c r="D811" s="110" t="str">
        <f>IF(ISBLANK($B811),"",IFERROR(VLOOKUP($B811,ESTOQUE!$B$2:$D$97168,3,FALSE),"Produto não cadastrado"))</f>
        <v>CAMISA LARANJA OP. C/ FAIXA REFLETIVA TAM: G</v>
      </c>
      <c r="E811" s="99" t="str">
        <f>_xlfn.XLOOKUP(B811,ESTOQUE!B:B,ESTOQUE!G:G,"",0)</f>
        <v>UND</v>
      </c>
      <c r="F811" s="99">
        <v>8</v>
      </c>
      <c r="G811" s="146"/>
      <c r="H811" s="146"/>
      <c r="I811" s="147"/>
      <c r="J811" s="147"/>
      <c r="K811" s="63"/>
    </row>
    <row r="812" spans="1:11" x14ac:dyDescent="0.25">
      <c r="A812" s="108">
        <v>45974</v>
      </c>
      <c r="B812" s="109">
        <v>69</v>
      </c>
      <c r="C812" s="49" t="s">
        <v>19</v>
      </c>
      <c r="D812" s="110" t="str">
        <f>IF(ISBLANK($B812),"",IFERROR(VLOOKUP($B812,ESTOQUE!$B$2:$D$97168,3,FALSE),"Produto não cadastrado"))</f>
        <v>CAMISA LARANJA OP. C/ FAIXA REFLETIVA TAM: M</v>
      </c>
      <c r="E812" s="99" t="str">
        <f>_xlfn.XLOOKUP(B812,ESTOQUE!B:B,ESTOQUE!G:G,"",0)</f>
        <v>UND</v>
      </c>
      <c r="F812" s="99">
        <v>5</v>
      </c>
      <c r="G812" s="146"/>
      <c r="H812" s="146"/>
      <c r="I812" s="147"/>
      <c r="J812" s="147"/>
      <c r="K812" s="63"/>
    </row>
    <row r="813" spans="1:11" x14ac:dyDescent="0.25">
      <c r="A813" s="108">
        <v>45974</v>
      </c>
      <c r="B813" s="109">
        <v>70</v>
      </c>
      <c r="C813" s="49" t="s">
        <v>19</v>
      </c>
      <c r="D813" s="110" t="str">
        <f>IF(ISBLANK($B813),"",IFERROR(VLOOKUP($B813,ESTOQUE!$B$2:$D$97168,3,FALSE),"Produto não cadastrado"))</f>
        <v>CAMISA LARANJA OP. C/ FAIXA REFLETIVA TAM: P</v>
      </c>
      <c r="E813" s="99" t="str">
        <f>_xlfn.XLOOKUP(B813,ESTOQUE!B:B,ESTOQUE!G:G,"",0)</f>
        <v>UND</v>
      </c>
      <c r="F813" s="99">
        <v>1</v>
      </c>
      <c r="G813" s="146"/>
      <c r="H813" s="146"/>
      <c r="I813" s="147"/>
      <c r="J813" s="147"/>
      <c r="K813" s="63"/>
    </row>
    <row r="814" spans="1:11" x14ac:dyDescent="0.25">
      <c r="A814" s="108">
        <v>45974</v>
      </c>
      <c r="B814" s="109">
        <v>71</v>
      </c>
      <c r="C814" s="49" t="s">
        <v>19</v>
      </c>
      <c r="D814" s="110" t="str">
        <f>IF(ISBLANK($B814),"",IFERROR(VLOOKUP($B814,ESTOQUE!$B$2:$D$97168,3,FALSE),"Produto não cadastrado"))</f>
        <v>CAMISA LARANJA OP. C/ FAIXA REFLETIVA TAM: XG</v>
      </c>
      <c r="E814" s="99" t="str">
        <f>_xlfn.XLOOKUP(B814,ESTOQUE!B:B,ESTOQUE!G:G,"",0)</f>
        <v>UND</v>
      </c>
      <c r="F814" s="99">
        <v>1</v>
      </c>
      <c r="G814" s="146"/>
      <c r="H814" s="146"/>
      <c r="I814" s="147"/>
      <c r="J814" s="147"/>
      <c r="K814" s="63"/>
    </row>
    <row r="815" spans="1:11" x14ac:dyDescent="0.25">
      <c r="A815" s="108">
        <v>45974</v>
      </c>
      <c r="B815" s="109">
        <v>180</v>
      </c>
      <c r="C815" s="49" t="s">
        <v>19</v>
      </c>
      <c r="D815" s="110" t="str">
        <f>IF(ISBLANK($B815),"",IFERROR(VLOOKUP($B815,ESTOQUE!$B$2:$D$97168,3,FALSE),"Produto não cadastrado"))</f>
        <v>CAPACETE GENISIS MARRON</v>
      </c>
      <c r="E815" s="99" t="str">
        <f>_xlfn.XLOOKUP(B815,ESTOQUE!B:B,ESTOQUE!G:G,"",0)</f>
        <v>UND</v>
      </c>
      <c r="F815" s="99">
        <v>2</v>
      </c>
      <c r="G815" s="146"/>
      <c r="H815" s="146"/>
      <c r="I815" s="147"/>
      <c r="J815" s="147"/>
      <c r="K815" s="63"/>
    </row>
    <row r="816" spans="1:11" x14ac:dyDescent="0.25">
      <c r="A816" s="108">
        <v>45974</v>
      </c>
      <c r="B816" s="109">
        <v>95</v>
      </c>
      <c r="C816" s="49" t="s">
        <v>19</v>
      </c>
      <c r="D816" s="110" t="str">
        <f>IF(ISBLANK($B816),"",IFERROR(VLOOKUP($B816,ESTOQUE!$B$2:$D$97168,3,FALSE),"Produto não cadastrado"))</f>
        <v>CARNEIRA P/ CAPACETE LIBUS</v>
      </c>
      <c r="E816" s="99" t="str">
        <f>_xlfn.XLOOKUP(B816,ESTOQUE!B:B,ESTOQUE!G:G,"",0)</f>
        <v>UND</v>
      </c>
      <c r="F816" s="99">
        <v>1</v>
      </c>
      <c r="G816" s="146"/>
      <c r="H816" s="146"/>
      <c r="I816" s="147"/>
      <c r="J816" s="147"/>
      <c r="K816" s="63"/>
    </row>
    <row r="817" spans="1:11" x14ac:dyDescent="0.25">
      <c r="A817" s="108">
        <v>45974</v>
      </c>
      <c r="B817" s="109">
        <v>210</v>
      </c>
      <c r="C817" s="49" t="s">
        <v>19</v>
      </c>
      <c r="D817" s="110" t="str">
        <f>IF(ISBLANK($B817),"",IFERROR(VLOOKUP($B817,ESTOQUE!$B$2:$D$97168,3,FALSE),"Produto não cadastrado"))</f>
        <v>COLETE REFLETIVO LARANJA G</v>
      </c>
      <c r="E817" s="99" t="str">
        <f>_xlfn.XLOOKUP(B817,ESTOQUE!B:B,ESTOQUE!G:G,"",0)</f>
        <v>UND</v>
      </c>
      <c r="F817" s="99">
        <v>2</v>
      </c>
      <c r="G817" s="146"/>
      <c r="H817" s="146"/>
      <c r="I817" s="147"/>
      <c r="J817" s="147"/>
      <c r="K817" s="63"/>
    </row>
    <row r="818" spans="1:11" x14ac:dyDescent="0.25">
      <c r="A818" s="108">
        <v>45974</v>
      </c>
      <c r="B818" s="109">
        <v>97</v>
      </c>
      <c r="C818" s="49" t="s">
        <v>19</v>
      </c>
      <c r="D818" s="110" t="str">
        <f>IF(ISBLANK($B818),"",IFERROR(VLOOKUP($B818,ESTOQUE!$B$2:$D$97168,3,FALSE),"Produto não cadastrado"))</f>
        <v>COLETE REFLETIVO LARANJA M</v>
      </c>
      <c r="E818" s="99" t="str">
        <f>_xlfn.XLOOKUP(B818,ESTOQUE!B:B,ESTOQUE!G:G,"",0)</f>
        <v>UND</v>
      </c>
      <c r="F818" s="99">
        <v>3</v>
      </c>
      <c r="G818" s="146"/>
      <c r="H818" s="146"/>
      <c r="I818" s="147"/>
      <c r="J818" s="147"/>
      <c r="K818" s="63"/>
    </row>
    <row r="819" spans="1:11" x14ac:dyDescent="0.25">
      <c r="A819" s="108">
        <v>45974</v>
      </c>
      <c r="B819" s="109">
        <v>161</v>
      </c>
      <c r="C819" s="49" t="s">
        <v>19</v>
      </c>
      <c r="D819" s="110" t="str">
        <f>IF(ISBLANK($B819),"",IFERROR(VLOOKUP($B819,ESTOQUE!$B$2:$D$97168,3,FALSE),"Produto não cadastrado"))</f>
        <v>JUGULAR</v>
      </c>
      <c r="E819" s="99" t="str">
        <f>_xlfn.XLOOKUP(B819,ESTOQUE!B:B,ESTOQUE!G:G,"",0)</f>
        <v>UND</v>
      </c>
      <c r="F819" s="99">
        <v>3</v>
      </c>
      <c r="G819" s="146"/>
      <c r="H819" s="146"/>
      <c r="I819" s="147"/>
      <c r="J819" s="147"/>
      <c r="K819" s="63"/>
    </row>
    <row r="820" spans="1:11" x14ac:dyDescent="0.25">
      <c r="A820" s="108">
        <v>45974</v>
      </c>
      <c r="B820" s="109">
        <v>110</v>
      </c>
      <c r="C820" s="49" t="s">
        <v>19</v>
      </c>
      <c r="D820" s="110" t="str">
        <f>IF(ISBLANK($B820),"",IFERROR(VLOOKUP($B820,ESTOQUE!$B$2:$D$97168,3,FALSE),"Produto não cadastrado"))</f>
        <v>LUVA DE RASPA CANO LONGO</v>
      </c>
      <c r="E820" s="99" t="str">
        <f>_xlfn.XLOOKUP(B820,ESTOQUE!B:B,ESTOQUE!G:G,"",0)</f>
        <v>PAR</v>
      </c>
      <c r="F820" s="99">
        <v>4</v>
      </c>
      <c r="G820" s="146"/>
      <c r="H820" s="146"/>
      <c r="I820" s="147"/>
      <c r="J820" s="147"/>
      <c r="K820" s="63"/>
    </row>
    <row r="821" spans="1:11" x14ac:dyDescent="0.25">
      <c r="A821" s="108">
        <v>45974</v>
      </c>
      <c r="B821" s="109">
        <v>114</v>
      </c>
      <c r="C821" s="49" t="s">
        <v>19</v>
      </c>
      <c r="D821" s="110" t="str">
        <f>IF(ISBLANK($B821),"",IFERROR(VLOOKUP($B821,ESTOQUE!$B$2:$D$97168,3,FALSE),"Produto não cadastrado"))</f>
        <v xml:space="preserve">LUVA LATEX NITRILICA </v>
      </c>
      <c r="E821" s="99" t="str">
        <f>_xlfn.XLOOKUP(B821,ESTOQUE!B:B,ESTOQUE!G:G,"",0)</f>
        <v>PAR</v>
      </c>
      <c r="F821" s="99">
        <v>7</v>
      </c>
      <c r="G821" s="146"/>
      <c r="H821" s="146"/>
      <c r="I821" s="147"/>
      <c r="J821" s="147"/>
      <c r="K821" s="63"/>
    </row>
    <row r="822" spans="1:11" x14ac:dyDescent="0.25">
      <c r="A822" s="108">
        <v>45974</v>
      </c>
      <c r="B822" s="109">
        <v>257</v>
      </c>
      <c r="C822" s="49" t="s">
        <v>19</v>
      </c>
      <c r="D822" s="110" t="str">
        <f>IF(ISBLANK($B822),"",IFERROR(VLOOKUP($B822,ESTOQUE!$B$2:$D$97168,3,FALSE),"Produto não cadastrado"))</f>
        <v xml:space="preserve">LUVA MULTITATO </v>
      </c>
      <c r="E822" s="99" t="str">
        <f>_xlfn.XLOOKUP(B822,ESTOQUE!B:B,ESTOQUE!G:G,"",0)</f>
        <v>UND</v>
      </c>
      <c r="F822" s="99">
        <v>1</v>
      </c>
      <c r="G822" s="146"/>
      <c r="H822" s="146"/>
      <c r="I822" s="147"/>
      <c r="J822" s="147"/>
      <c r="K822" s="63"/>
    </row>
    <row r="823" spans="1:11" x14ac:dyDescent="0.25">
      <c r="A823" s="108">
        <v>45974</v>
      </c>
      <c r="B823" s="109">
        <v>117</v>
      </c>
      <c r="C823" s="49" t="s">
        <v>19</v>
      </c>
      <c r="D823" s="110" t="str">
        <f>IF(ISBLANK($B823),"",IFERROR(VLOOKUP($B823,ESTOQUE!$B$2:$D$97168,3,FALSE),"Produto não cadastrado"))</f>
        <v>LUVA PIGMENTADA</v>
      </c>
      <c r="E823" s="99" t="str">
        <f>_xlfn.XLOOKUP(B823,ESTOQUE!B:B,ESTOQUE!G:G,"",0)</f>
        <v>PAR</v>
      </c>
      <c r="F823" s="99">
        <v>6</v>
      </c>
      <c r="G823" s="146"/>
      <c r="H823" s="146"/>
      <c r="I823" s="147"/>
      <c r="J823" s="147"/>
      <c r="K823" s="63"/>
    </row>
    <row r="824" spans="1:11" x14ac:dyDescent="0.25">
      <c r="A824" s="108">
        <v>45974</v>
      </c>
      <c r="B824" s="109">
        <v>118</v>
      </c>
      <c r="C824" s="49" t="s">
        <v>19</v>
      </c>
      <c r="D824" s="110" t="str">
        <f>IF(ISBLANK($B824),"",IFERROR(VLOOKUP($B824,ESTOQUE!$B$2:$D$97168,3,FALSE),"Produto não cadastrado"))</f>
        <v>MACACÃO DE PROTEÇÃO TYVEK</v>
      </c>
      <c r="E824" s="99" t="str">
        <f>_xlfn.XLOOKUP(B824,ESTOQUE!B:B,ESTOQUE!G:G,"",0)</f>
        <v>UND</v>
      </c>
      <c r="F824" s="99">
        <v>5</v>
      </c>
      <c r="G824" s="146"/>
      <c r="H824" s="146"/>
      <c r="I824" s="147"/>
      <c r="J824" s="147"/>
      <c r="K824" s="63"/>
    </row>
    <row r="825" spans="1:11" x14ac:dyDescent="0.25">
      <c r="A825" s="108">
        <v>45974</v>
      </c>
      <c r="B825" s="109">
        <v>144</v>
      </c>
      <c r="C825" s="49" t="s">
        <v>19</v>
      </c>
      <c r="D825" s="110" t="str">
        <f>IF(ISBLANK($B825),"",IFERROR(VLOOKUP($B825,ESTOQUE!$B$2:$D$97168,3,FALSE),"Produto não cadastrado"))</f>
        <v>MASCARA PFF2-S C/ FILTRO</v>
      </c>
      <c r="E825" s="99" t="str">
        <f>_xlfn.XLOOKUP(B825,ESTOQUE!B:B,ESTOQUE!G:G,"",0)</f>
        <v>UND</v>
      </c>
      <c r="F825" s="99">
        <v>27</v>
      </c>
      <c r="G825" s="146"/>
      <c r="H825" s="146"/>
      <c r="I825" s="147"/>
      <c r="J825" s="147"/>
      <c r="K825" s="63"/>
    </row>
    <row r="826" spans="1:11" x14ac:dyDescent="0.25">
      <c r="A826" s="108">
        <v>45974</v>
      </c>
      <c r="B826" s="109">
        <v>126</v>
      </c>
      <c r="C826" s="49" t="s">
        <v>19</v>
      </c>
      <c r="D826" s="110" t="str">
        <f>IF(ISBLANK($B826),"",IFERROR(VLOOKUP($B826,ESTOQUE!$B$2:$D$97168,3,FALSE),"Produto não cadastrado"))</f>
        <v>OCULOS DE PROTEÇÃO ESCURO</v>
      </c>
      <c r="E826" s="99" t="str">
        <f>_xlfn.XLOOKUP(B826,ESTOQUE!B:B,ESTOQUE!G:G,"",0)</f>
        <v>UND</v>
      </c>
      <c r="F826" s="99">
        <v>9</v>
      </c>
      <c r="G826" s="146"/>
      <c r="H826" s="146"/>
      <c r="I826" s="147"/>
      <c r="J826" s="147"/>
      <c r="K826" s="63"/>
    </row>
    <row r="827" spans="1:11" x14ac:dyDescent="0.25">
      <c r="A827" s="108">
        <v>45974</v>
      </c>
      <c r="B827" s="109">
        <v>124</v>
      </c>
      <c r="C827" s="49" t="s">
        <v>19</v>
      </c>
      <c r="D827" s="110" t="str">
        <f>IF(ISBLANK($B827),"",IFERROR(VLOOKUP($B827,ESTOQUE!$B$2:$D$97168,3,FALSE),"Produto não cadastrado"))</f>
        <v xml:space="preserve">OCULOS DE PROTEÇÃO INCOLOR </v>
      </c>
      <c r="E827" s="99" t="str">
        <f>_xlfn.XLOOKUP(B827,ESTOQUE!B:B,ESTOQUE!G:G,"",0)</f>
        <v>UND</v>
      </c>
      <c r="F827" s="99">
        <v>6</v>
      </c>
      <c r="G827" s="146"/>
      <c r="H827" s="146"/>
      <c r="I827" s="147"/>
      <c r="J827" s="147"/>
      <c r="K827" s="63"/>
    </row>
    <row r="828" spans="1:11" x14ac:dyDescent="0.25">
      <c r="A828" s="108">
        <v>45974</v>
      </c>
      <c r="B828" s="109">
        <v>111</v>
      </c>
      <c r="C828" s="49" t="s">
        <v>19</v>
      </c>
      <c r="D828" s="110" t="str">
        <f>IF(ISBLANK($B828),"",IFERROR(VLOOKUP($B828,ESTOQUE!$B$2:$D$97168,3,FALSE),"Produto não cadastrado"))</f>
        <v>LUVA DE VAQUETA MARROM</v>
      </c>
      <c r="E828" s="99" t="str">
        <f>_xlfn.XLOOKUP(B828,ESTOQUE!B:B,ESTOQUE!G:G,"",0)</f>
        <v>PAR</v>
      </c>
      <c r="F828" s="99">
        <v>25</v>
      </c>
      <c r="G828" s="146"/>
      <c r="H828" s="146"/>
      <c r="I828" s="147"/>
      <c r="J828" s="147"/>
      <c r="K828" s="63"/>
    </row>
    <row r="829" spans="1:11" x14ac:dyDescent="0.25">
      <c r="A829" s="108">
        <v>45974</v>
      </c>
      <c r="B829" s="109">
        <v>139</v>
      </c>
      <c r="C829" s="49" t="s">
        <v>19</v>
      </c>
      <c r="D829" s="110" t="str">
        <f>IF(ISBLANK($B829),"",IFERROR(VLOOKUP($B829,ESTOQUE!$B$2:$D$97168,3,FALSE),"Produto não cadastrado"))</f>
        <v>PROTETOR AURICULAR TIPO PLUG</v>
      </c>
      <c r="E829" s="99" t="str">
        <f>_xlfn.XLOOKUP(B829,ESTOQUE!B:B,ESTOQUE!G:G,"",0)</f>
        <v>UND</v>
      </c>
      <c r="F829" s="99">
        <v>4</v>
      </c>
      <c r="G829" s="146"/>
      <c r="H829" s="146"/>
      <c r="I829" s="147"/>
      <c r="J829" s="147"/>
      <c r="K829" s="63"/>
    </row>
    <row r="830" spans="1:11" x14ac:dyDescent="0.25">
      <c r="A830" s="108">
        <v>45974</v>
      </c>
      <c r="B830" s="109">
        <v>228</v>
      </c>
      <c r="C830" s="49" t="s">
        <v>19</v>
      </c>
      <c r="D830" s="110" t="str">
        <f>IF(ISBLANK($B830),"",IFERROR(VLOOKUP($B830,ESTOQUE!$B$2:$D$97168,3,FALSE),"Produto não cadastrado"))</f>
        <v xml:space="preserve">BALACLAVA  </v>
      </c>
      <c r="E830" s="99" t="str">
        <f>_xlfn.XLOOKUP(B830,ESTOQUE!B:B,ESTOQUE!G:G,"",0)</f>
        <v>UND</v>
      </c>
      <c r="F830" s="99">
        <v>11</v>
      </c>
      <c r="G830" s="146"/>
      <c r="H830" s="146"/>
      <c r="I830" s="147"/>
      <c r="J830" s="147"/>
      <c r="K830" s="63"/>
    </row>
    <row r="831" spans="1:11" x14ac:dyDescent="0.25">
      <c r="A831" s="108">
        <v>45975</v>
      </c>
      <c r="B831" s="109">
        <v>228</v>
      </c>
      <c r="C831" s="49" t="s">
        <v>19</v>
      </c>
      <c r="D831" s="110" t="str">
        <f>IF(ISBLANK($B831),"",IFERROR(VLOOKUP($B831,ESTOQUE!$B$2:$D$97168,3,FALSE),"Produto não cadastrado"))</f>
        <v xml:space="preserve">BALACLAVA  </v>
      </c>
      <c r="E831" s="99" t="str">
        <f>_xlfn.XLOOKUP(B831,ESTOQUE!B:B,ESTOQUE!G:G,"",0)</f>
        <v>UND</v>
      </c>
      <c r="F831" s="99">
        <v>4</v>
      </c>
      <c r="G831" s="146"/>
      <c r="H831" s="146"/>
      <c r="I831" s="147"/>
      <c r="J831" s="147"/>
      <c r="K831" s="63"/>
    </row>
    <row r="832" spans="1:11" x14ac:dyDescent="0.25">
      <c r="A832" s="108">
        <v>45975</v>
      </c>
      <c r="B832" s="109">
        <v>34</v>
      </c>
      <c r="C832" s="49" t="s">
        <v>19</v>
      </c>
      <c r="D832" s="110" t="str">
        <f>IF(ISBLANK($B832),"",IFERROR(VLOOKUP($B832,ESTOQUE!$B$2:$D$97168,3,FALSE),"Produto não cadastrado"))</f>
        <v>BOTINA OP. BICO PVC Nº 36</v>
      </c>
      <c r="E832" s="99" t="str">
        <f>_xlfn.XLOOKUP(B832,ESTOQUE!B:B,ESTOQUE!G:G,"",0)</f>
        <v>PAR</v>
      </c>
      <c r="F832" s="99">
        <v>1</v>
      </c>
      <c r="G832" s="146"/>
      <c r="H832" s="146"/>
      <c r="I832" s="147"/>
      <c r="J832" s="147"/>
      <c r="K832" s="63"/>
    </row>
    <row r="833" spans="1:11" x14ac:dyDescent="0.25">
      <c r="A833" s="108">
        <v>45975</v>
      </c>
      <c r="B833" s="109">
        <v>46</v>
      </c>
      <c r="C833" s="49" t="s">
        <v>19</v>
      </c>
      <c r="D833" s="110" t="str">
        <f>IF(ISBLANK($B833),"",IFERROR(VLOOKUP($B833,ESTOQUE!$B$2:$D$97168,3,FALSE),"Produto não cadastrado"))</f>
        <v>CALÇA CINZA OP. C/ FAIXA REFLETIVA TAM: G</v>
      </c>
      <c r="E833" s="99" t="str">
        <f>_xlfn.XLOOKUP(B833,ESTOQUE!B:B,ESTOQUE!G:G,"",0)</f>
        <v>UND</v>
      </c>
      <c r="F833" s="99">
        <v>6</v>
      </c>
      <c r="G833" s="146"/>
      <c r="H833" s="146"/>
      <c r="I833" s="147"/>
      <c r="J833" s="147"/>
      <c r="K833" s="63"/>
    </row>
    <row r="834" spans="1:11" x14ac:dyDescent="0.25">
      <c r="A834" s="108">
        <v>45975</v>
      </c>
      <c r="B834" s="109">
        <v>47</v>
      </c>
      <c r="C834" s="49" t="s">
        <v>19</v>
      </c>
      <c r="D834" s="110" t="str">
        <f>IF(ISBLANK($B834),"",IFERROR(VLOOKUP($B834,ESTOQUE!$B$2:$D$97168,3,FALSE),"Produto não cadastrado"))</f>
        <v>CALÇA CINZA OP. C/ FAIXA REFLETIVA TAM: GG</v>
      </c>
      <c r="E834" s="99" t="str">
        <f>_xlfn.XLOOKUP(B834,ESTOQUE!B:B,ESTOQUE!G:G,"",0)</f>
        <v>UND</v>
      </c>
      <c r="F834" s="99">
        <v>1</v>
      </c>
      <c r="G834" s="146"/>
      <c r="H834" s="146"/>
      <c r="I834" s="147"/>
      <c r="J834" s="147"/>
      <c r="K834" s="63"/>
    </row>
    <row r="835" spans="1:11" x14ac:dyDescent="0.25">
      <c r="A835" s="108">
        <v>45975</v>
      </c>
      <c r="B835" s="109">
        <v>50</v>
      </c>
      <c r="C835" s="49" t="s">
        <v>19</v>
      </c>
      <c r="D835" s="110" t="str">
        <f>IF(ISBLANK($B835),"",IFERROR(VLOOKUP($B835,ESTOQUE!$B$2:$D$97168,3,FALSE),"Produto não cadastrado"))</f>
        <v>CALÇA CINZA OP. C/ FAIXA REFLETIVA TAM: XG</v>
      </c>
      <c r="E835" s="99" t="str">
        <f>_xlfn.XLOOKUP(B835,ESTOQUE!B:B,ESTOQUE!G:G,"",0)</f>
        <v>UND</v>
      </c>
      <c r="F835" s="99">
        <v>1</v>
      </c>
      <c r="G835" s="146"/>
      <c r="H835" s="146"/>
      <c r="I835" s="147"/>
      <c r="J835" s="147"/>
      <c r="K835" s="63"/>
    </row>
    <row r="836" spans="1:11" x14ac:dyDescent="0.25">
      <c r="A836" s="108">
        <v>45975</v>
      </c>
      <c r="B836" s="109">
        <v>67</v>
      </c>
      <c r="C836" s="49" t="s">
        <v>19</v>
      </c>
      <c r="D836" s="110" t="str">
        <f>IF(ISBLANK($B836),"",IFERROR(VLOOKUP($B836,ESTOQUE!$B$2:$D$97168,3,FALSE),"Produto não cadastrado"))</f>
        <v>CAMISA LARANJA OP. C/ FAIXA REFLETIVA TAM: G</v>
      </c>
      <c r="E836" s="99" t="str">
        <f>_xlfn.XLOOKUP(B836,ESTOQUE!B:B,ESTOQUE!G:G,"",0)</f>
        <v>UND</v>
      </c>
      <c r="F836" s="99">
        <v>6</v>
      </c>
      <c r="G836" s="146"/>
      <c r="H836" s="146"/>
      <c r="I836" s="147"/>
      <c r="J836" s="147"/>
      <c r="K836" s="63"/>
    </row>
    <row r="837" spans="1:11" x14ac:dyDescent="0.25">
      <c r="A837" s="108">
        <v>45975</v>
      </c>
      <c r="B837" s="109">
        <v>69</v>
      </c>
      <c r="C837" s="49" t="s">
        <v>19</v>
      </c>
      <c r="D837" s="110" t="str">
        <f>IF(ISBLANK($B837),"",IFERROR(VLOOKUP($B837,ESTOQUE!$B$2:$D$97168,3,FALSE),"Produto não cadastrado"))</f>
        <v>CAMISA LARANJA OP. C/ FAIXA REFLETIVA TAM: M</v>
      </c>
      <c r="E837" s="99" t="str">
        <f>_xlfn.XLOOKUP(B837,ESTOQUE!B:B,ESTOQUE!G:G,"",0)</f>
        <v>UND</v>
      </c>
      <c r="F837" s="99">
        <v>4</v>
      </c>
      <c r="G837" s="146"/>
      <c r="H837" s="146"/>
      <c r="I837" s="147"/>
      <c r="J837" s="147"/>
      <c r="K837" s="63"/>
    </row>
    <row r="838" spans="1:11" x14ac:dyDescent="0.25">
      <c r="A838" s="108">
        <v>45975</v>
      </c>
      <c r="B838" s="109">
        <v>96</v>
      </c>
      <c r="C838" s="49" t="s">
        <v>19</v>
      </c>
      <c r="D838" s="110" t="str">
        <f>IF(ISBLANK($B838),"",IFERROR(VLOOKUP($B838,ESTOQUE!$B$2:$D$97168,3,FALSE),"Produto não cadastrado"))</f>
        <v xml:space="preserve">CINTO DE SEGURANÇA MODELO:C70 </v>
      </c>
      <c r="E838" s="99" t="str">
        <f>_xlfn.XLOOKUP(B838,ESTOQUE!B:B,ESTOQUE!G:G,"",0)</f>
        <v>UND</v>
      </c>
      <c r="F838" s="99">
        <v>1</v>
      </c>
      <c r="G838" s="146"/>
      <c r="H838" s="146"/>
      <c r="I838" s="147"/>
      <c r="J838" s="147"/>
      <c r="K838" s="63"/>
    </row>
    <row r="839" spans="1:11" x14ac:dyDescent="0.25">
      <c r="A839" s="108">
        <v>45975</v>
      </c>
      <c r="B839" s="109">
        <v>110</v>
      </c>
      <c r="C839" s="49" t="s">
        <v>19</v>
      </c>
      <c r="D839" s="110" t="str">
        <f>IF(ISBLANK($B839),"",IFERROR(VLOOKUP($B839,ESTOQUE!$B$2:$D$97168,3,FALSE),"Produto não cadastrado"))</f>
        <v>LUVA DE RASPA CANO LONGO</v>
      </c>
      <c r="E839" s="99" t="str">
        <f>_xlfn.XLOOKUP(B839,ESTOQUE!B:B,ESTOQUE!G:G,"",0)</f>
        <v>PAR</v>
      </c>
      <c r="F839" s="99">
        <v>20</v>
      </c>
      <c r="G839" s="146"/>
      <c r="H839" s="146"/>
      <c r="I839" s="147"/>
      <c r="J839" s="147"/>
      <c r="K839" s="63"/>
    </row>
    <row r="840" spans="1:11" x14ac:dyDescent="0.25">
      <c r="A840" s="108">
        <v>45975</v>
      </c>
      <c r="B840" s="109">
        <v>111</v>
      </c>
      <c r="C840" s="49" t="s">
        <v>19</v>
      </c>
      <c r="D840" s="110" t="str">
        <f>IF(ISBLANK($B840),"",IFERROR(VLOOKUP($B840,ESTOQUE!$B$2:$D$97168,3,FALSE),"Produto não cadastrado"))</f>
        <v>LUVA DE VAQUETA MARROM</v>
      </c>
      <c r="E840" s="99" t="str">
        <f>_xlfn.XLOOKUP(B840,ESTOQUE!B:B,ESTOQUE!G:G,"",0)</f>
        <v>PAR</v>
      </c>
      <c r="F840" s="99">
        <v>15</v>
      </c>
      <c r="G840" s="146"/>
      <c r="H840" s="146"/>
      <c r="I840" s="147"/>
      <c r="J840" s="147"/>
      <c r="K840" s="63"/>
    </row>
    <row r="841" spans="1:11" x14ac:dyDescent="0.25">
      <c r="A841" s="108">
        <v>45975</v>
      </c>
      <c r="B841" s="109">
        <v>114</v>
      </c>
      <c r="C841" s="49" t="s">
        <v>19</v>
      </c>
      <c r="D841" s="110" t="str">
        <f>IF(ISBLANK($B841),"",IFERROR(VLOOKUP($B841,ESTOQUE!$B$2:$D$97168,3,FALSE),"Produto não cadastrado"))</f>
        <v xml:space="preserve">LUVA LATEX NITRILICA </v>
      </c>
      <c r="E841" s="99" t="str">
        <f>_xlfn.XLOOKUP(B841,ESTOQUE!B:B,ESTOQUE!G:G,"",0)</f>
        <v>PAR</v>
      </c>
      <c r="F841" s="99">
        <v>4</v>
      </c>
      <c r="G841" s="146"/>
      <c r="H841" s="146"/>
      <c r="I841" s="147"/>
      <c r="J841" s="147"/>
      <c r="K841" s="63"/>
    </row>
    <row r="842" spans="1:11" x14ac:dyDescent="0.25">
      <c r="A842" s="108">
        <v>45975</v>
      </c>
      <c r="B842" s="109">
        <v>209</v>
      </c>
      <c r="C842" s="49" t="s">
        <v>19</v>
      </c>
      <c r="D842" s="110" t="str">
        <f>IF(ISBLANK($B842),"",IFERROR(VLOOKUP($B842,ESTOQUE!$B$2:$D$97168,3,FALSE),"Produto não cadastrado"))</f>
        <v>LUVA PARA SOLDADOR MIG AZUL TAM 10</v>
      </c>
      <c r="E842" s="99" t="str">
        <f>_xlfn.XLOOKUP(B842,ESTOQUE!B:B,ESTOQUE!G:G,"",0)</f>
        <v>PAR</v>
      </c>
      <c r="F842" s="99">
        <v>1</v>
      </c>
      <c r="G842" s="146"/>
      <c r="H842" s="146"/>
      <c r="I842" s="147"/>
      <c r="J842" s="147"/>
      <c r="K842" s="63"/>
    </row>
    <row r="843" spans="1:11" x14ac:dyDescent="0.25">
      <c r="A843" s="108">
        <v>45975</v>
      </c>
      <c r="B843" s="109">
        <v>117</v>
      </c>
      <c r="C843" s="49" t="s">
        <v>19</v>
      </c>
      <c r="D843" s="110" t="str">
        <f>IF(ISBLANK($B843),"",IFERROR(VLOOKUP($B843,ESTOQUE!$B$2:$D$97168,3,FALSE),"Produto não cadastrado"))</f>
        <v>LUVA PIGMENTADA</v>
      </c>
      <c r="E843" s="99" t="str">
        <f>_xlfn.XLOOKUP(B843,ESTOQUE!B:B,ESTOQUE!G:G,"",0)</f>
        <v>PAR</v>
      </c>
      <c r="F843" s="99">
        <v>1</v>
      </c>
      <c r="G843" s="146"/>
      <c r="H843" s="146"/>
      <c r="I843" s="147"/>
      <c r="J843" s="147"/>
      <c r="K843" s="63"/>
    </row>
    <row r="844" spans="1:11" x14ac:dyDescent="0.25">
      <c r="A844" s="108">
        <v>45975</v>
      </c>
      <c r="B844" s="109">
        <v>207</v>
      </c>
      <c r="C844" s="49" t="s">
        <v>19</v>
      </c>
      <c r="D844" s="110" t="str">
        <f>IF(ISBLANK($B844),"",IFERROR(VLOOKUP($B844,ESTOQUE!$B$2:$D$97168,3,FALSE),"Produto não cadastrado"))</f>
        <v>LUVA POLIESTER ANTICORTE BANHADA PU TAM 9</v>
      </c>
      <c r="E844" s="99" t="str">
        <f>_xlfn.XLOOKUP(B844,ESTOQUE!B:B,ESTOQUE!G:G,"",0)</f>
        <v>PAR</v>
      </c>
      <c r="F844" s="99">
        <v>10</v>
      </c>
      <c r="G844" s="146"/>
      <c r="H844" s="146"/>
      <c r="I844" s="147"/>
      <c r="J844" s="147"/>
      <c r="K844" s="63"/>
    </row>
    <row r="845" spans="1:11" x14ac:dyDescent="0.25">
      <c r="A845" s="108">
        <v>45975</v>
      </c>
      <c r="B845" s="109">
        <v>118</v>
      </c>
      <c r="C845" s="49" t="s">
        <v>19</v>
      </c>
      <c r="D845" s="110" t="str">
        <f>IF(ISBLANK($B845),"",IFERROR(VLOOKUP($B845,ESTOQUE!$B$2:$D$97168,3,FALSE),"Produto não cadastrado"))</f>
        <v>MACACÃO DE PROTEÇÃO TYVEK</v>
      </c>
      <c r="E845" s="99" t="str">
        <f>_xlfn.XLOOKUP(B845,ESTOQUE!B:B,ESTOQUE!G:G,"",0)</f>
        <v>UND</v>
      </c>
      <c r="F845" s="99">
        <v>5</v>
      </c>
      <c r="G845" s="146"/>
      <c r="H845" s="146"/>
      <c r="I845" s="147"/>
      <c r="J845" s="147"/>
      <c r="K845" s="63"/>
    </row>
    <row r="846" spans="1:11" x14ac:dyDescent="0.25">
      <c r="A846" s="108">
        <v>45975</v>
      </c>
      <c r="B846" s="109">
        <v>125</v>
      </c>
      <c r="C846" s="49" t="s">
        <v>19</v>
      </c>
      <c r="D846" s="110" t="str">
        <f>IF(ISBLANK($B846),"",IFERROR(VLOOKUP($B846,ESTOQUE!$B$2:$D$97168,3,FALSE),"Produto não cadastrado"))</f>
        <v xml:space="preserve">MASCARA DE SOLDA AUTOMATICA </v>
      </c>
      <c r="E846" s="99" t="str">
        <f>_xlfn.XLOOKUP(B846,ESTOQUE!B:B,ESTOQUE!G:G,"",0)</f>
        <v>UND</v>
      </c>
      <c r="F846" s="99">
        <v>1</v>
      </c>
      <c r="G846" s="146"/>
      <c r="H846" s="146"/>
      <c r="I846" s="147"/>
      <c r="J846" s="147"/>
      <c r="K846" s="63"/>
    </row>
    <row r="847" spans="1:11" x14ac:dyDescent="0.25">
      <c r="A847" s="108">
        <v>45975</v>
      </c>
      <c r="B847" s="109">
        <v>144</v>
      </c>
      <c r="C847" s="49" t="s">
        <v>19</v>
      </c>
      <c r="D847" s="110" t="str">
        <f>IF(ISBLANK($B847),"",IFERROR(VLOOKUP($B847,ESTOQUE!$B$2:$D$97168,3,FALSE),"Produto não cadastrado"))</f>
        <v>MASCARA PFF2-S C/ FILTRO</v>
      </c>
      <c r="E847" s="99" t="str">
        <f>_xlfn.XLOOKUP(B847,ESTOQUE!B:B,ESTOQUE!G:G,"",0)</f>
        <v>UND</v>
      </c>
      <c r="F847" s="99">
        <v>37</v>
      </c>
      <c r="G847" s="146"/>
      <c r="H847" s="146"/>
      <c r="I847" s="147"/>
      <c r="J847" s="147"/>
      <c r="K847" s="63"/>
    </row>
    <row r="848" spans="1:11" x14ac:dyDescent="0.25">
      <c r="A848" s="108">
        <v>45975</v>
      </c>
      <c r="B848" s="109">
        <v>126</v>
      </c>
      <c r="C848" s="49" t="s">
        <v>19</v>
      </c>
      <c r="D848" s="110" t="str">
        <f>IF(ISBLANK($B848),"",IFERROR(VLOOKUP($B848,ESTOQUE!$B$2:$D$97168,3,FALSE),"Produto não cadastrado"))</f>
        <v>OCULOS DE PROTEÇÃO ESCURO</v>
      </c>
      <c r="E848" s="99" t="str">
        <f>_xlfn.XLOOKUP(B848,ESTOQUE!B:B,ESTOQUE!G:G,"",0)</f>
        <v>UND</v>
      </c>
      <c r="F848" s="99">
        <v>15</v>
      </c>
      <c r="G848" s="146"/>
      <c r="H848" s="146"/>
      <c r="I848" s="147"/>
      <c r="J848" s="147"/>
      <c r="K848" s="63"/>
    </row>
    <row r="849" spans="1:11" x14ac:dyDescent="0.25">
      <c r="A849" s="108">
        <v>45975</v>
      </c>
      <c r="B849" s="109">
        <v>124</v>
      </c>
      <c r="C849" s="49" t="s">
        <v>19</v>
      </c>
      <c r="D849" s="110" t="str">
        <f>IF(ISBLANK($B849),"",IFERROR(VLOOKUP($B849,ESTOQUE!$B$2:$D$97168,3,FALSE),"Produto não cadastrado"))</f>
        <v xml:space="preserve">OCULOS DE PROTEÇÃO INCOLOR </v>
      </c>
      <c r="E849" s="99" t="str">
        <f>_xlfn.XLOOKUP(B849,ESTOQUE!B:B,ESTOQUE!G:G,"",0)</f>
        <v>UND</v>
      </c>
      <c r="F849" s="99">
        <v>8</v>
      </c>
      <c r="G849" s="146"/>
      <c r="H849" s="146"/>
      <c r="I849" s="147"/>
      <c r="J849" s="147"/>
      <c r="K849" s="63"/>
    </row>
    <row r="850" spans="1:11" x14ac:dyDescent="0.25">
      <c r="A850" s="108">
        <v>45975</v>
      </c>
      <c r="B850" s="109">
        <v>224</v>
      </c>
      <c r="C850" s="49" t="s">
        <v>19</v>
      </c>
      <c r="D850" s="110" t="str">
        <f>IF(ISBLANK($B850),"",IFERROR(VLOOKUP($B850,ESTOQUE!$B$2:$D$97168,3,FALSE),"Produto não cadastrado"))</f>
        <v>OCULOS OPERACIONAL SOBRE POR ESCURO</v>
      </c>
      <c r="E850" s="99" t="str">
        <f>_xlfn.XLOOKUP(B850,ESTOQUE!B:B,ESTOQUE!G:G,"",0)</f>
        <v>UND</v>
      </c>
      <c r="F850" s="99">
        <v>1</v>
      </c>
      <c r="G850" s="146"/>
      <c r="H850" s="146"/>
      <c r="I850" s="147"/>
      <c r="J850" s="147"/>
      <c r="K850" s="63"/>
    </row>
    <row r="851" spans="1:11" x14ac:dyDescent="0.25">
      <c r="A851" s="108">
        <v>45975</v>
      </c>
      <c r="B851" s="109">
        <v>225</v>
      </c>
      <c r="C851" s="49" t="s">
        <v>19</v>
      </c>
      <c r="D851" s="110" t="str">
        <f>IF(ISBLANK($B851),"",IFERROR(VLOOKUP($B851,ESTOQUE!$B$2:$D$97168,3,FALSE),"Produto não cadastrado"))</f>
        <v>OCULOS OPERACIONAL SOBRE POR INCOLOR</v>
      </c>
      <c r="E851" s="99" t="str">
        <f>_xlfn.XLOOKUP(B851,ESTOQUE!B:B,ESTOQUE!G:G,"",0)</f>
        <v>UND</v>
      </c>
      <c r="F851" s="99">
        <v>1</v>
      </c>
      <c r="G851" s="146"/>
      <c r="H851" s="146"/>
      <c r="I851" s="147"/>
      <c r="J851" s="147"/>
      <c r="K851" s="63"/>
    </row>
    <row r="852" spans="1:11" x14ac:dyDescent="0.25">
      <c r="A852" s="108">
        <v>45975</v>
      </c>
      <c r="B852" s="109">
        <v>139</v>
      </c>
      <c r="C852" s="49" t="s">
        <v>19</v>
      </c>
      <c r="D852" s="110" t="str">
        <f>IF(ISBLANK($B852),"",IFERROR(VLOOKUP($B852,ESTOQUE!$B$2:$D$97168,3,FALSE),"Produto não cadastrado"))</f>
        <v>PROTETOR AURICULAR TIPO PLUG</v>
      </c>
      <c r="E852" s="99" t="str">
        <f>_xlfn.XLOOKUP(B852,ESTOQUE!B:B,ESTOQUE!G:G,"",0)</f>
        <v>UND</v>
      </c>
      <c r="F852" s="99">
        <v>5</v>
      </c>
      <c r="G852" s="146"/>
      <c r="H852" s="146"/>
      <c r="I852" s="147"/>
      <c r="J852" s="147"/>
      <c r="K852" s="63"/>
    </row>
    <row r="853" spans="1:11" x14ac:dyDescent="0.25">
      <c r="A853" s="108">
        <v>45975</v>
      </c>
      <c r="B853" s="109">
        <v>125</v>
      </c>
      <c r="C853" s="49" t="s">
        <v>19</v>
      </c>
      <c r="D853" s="110" t="str">
        <f>IF(ISBLANK($B853),"",IFERROR(VLOOKUP($B853,ESTOQUE!$B$2:$D$97168,3,FALSE),"Produto não cadastrado"))</f>
        <v xml:space="preserve">MASCARA DE SOLDA AUTOMATICA </v>
      </c>
      <c r="E853" s="99" t="str">
        <f>_xlfn.XLOOKUP(B853,ESTOQUE!B:B,ESTOQUE!G:G,"",0)</f>
        <v>UND</v>
      </c>
      <c r="F853" s="99">
        <v>4</v>
      </c>
      <c r="G853" s="146"/>
      <c r="H853" s="146"/>
      <c r="I853" s="147"/>
      <c r="J853" s="147"/>
      <c r="K853" s="63"/>
    </row>
    <row r="854" spans="1:11" x14ac:dyDescent="0.25">
      <c r="A854" s="108">
        <v>45976</v>
      </c>
      <c r="B854" s="109">
        <v>228</v>
      </c>
      <c r="C854" s="49" t="s">
        <v>19</v>
      </c>
      <c r="D854" s="110" t="str">
        <f>IF(ISBLANK($B854),"",IFERROR(VLOOKUP($B854,ESTOQUE!$B$2:$D$97168,3,FALSE),"Produto não cadastrado"))</f>
        <v xml:space="preserve">BALACLAVA  </v>
      </c>
      <c r="E854" s="99" t="str">
        <f>_xlfn.XLOOKUP(B854,ESTOQUE!B:B,ESTOQUE!G:G,"",0)</f>
        <v>UND</v>
      </c>
      <c r="F854" s="99">
        <v>4</v>
      </c>
      <c r="G854" s="146"/>
      <c r="H854" s="146"/>
      <c r="I854" s="147"/>
      <c r="J854" s="147"/>
      <c r="K854" s="63"/>
    </row>
    <row r="855" spans="1:11" x14ac:dyDescent="0.25">
      <c r="A855" s="108">
        <v>45976</v>
      </c>
      <c r="B855" s="109">
        <v>37</v>
      </c>
      <c r="C855" s="49" t="s">
        <v>19</v>
      </c>
      <c r="D855" s="110" t="str">
        <f>IF(ISBLANK($B855),"",IFERROR(VLOOKUP($B855,ESTOQUE!$B$2:$D$97168,3,FALSE),"Produto não cadastrado"))</f>
        <v>BOTINA OP. BICO PVC Nº 39</v>
      </c>
      <c r="E855" s="99" t="str">
        <f>_xlfn.XLOOKUP(B855,ESTOQUE!B:B,ESTOQUE!G:G,"",0)</f>
        <v>PAR</v>
      </c>
      <c r="F855" s="99">
        <v>1</v>
      </c>
      <c r="G855" s="146"/>
      <c r="H855" s="146"/>
      <c r="I855" s="147"/>
      <c r="J855" s="147"/>
      <c r="K855" s="63"/>
    </row>
    <row r="856" spans="1:11" x14ac:dyDescent="0.25">
      <c r="A856" s="108">
        <v>45976</v>
      </c>
      <c r="B856" s="109">
        <v>218</v>
      </c>
      <c r="C856" s="49" t="s">
        <v>19</v>
      </c>
      <c r="D856" s="110" t="str">
        <f>IF(ISBLANK($B856),"",IFERROR(VLOOKUP($B856,ESTOQUE!$B$2:$D$97168,3,FALSE),"Produto não cadastrado"))</f>
        <v>BOTINA SEGURANÇA METATARSO  41</v>
      </c>
      <c r="E856" s="99" t="str">
        <f>_xlfn.XLOOKUP(B856,ESTOQUE!B:B,ESTOQUE!G:G,"",0)</f>
        <v>PAR</v>
      </c>
      <c r="F856" s="99">
        <v>1</v>
      </c>
      <c r="G856" s="146"/>
      <c r="H856" s="146"/>
      <c r="I856" s="147"/>
      <c r="J856" s="147"/>
      <c r="K856" s="63"/>
    </row>
    <row r="857" spans="1:11" x14ac:dyDescent="0.25">
      <c r="A857" s="108">
        <v>45976</v>
      </c>
      <c r="B857" s="109">
        <v>46</v>
      </c>
      <c r="C857" s="49" t="s">
        <v>19</v>
      </c>
      <c r="D857" s="110" t="str">
        <f>IF(ISBLANK($B857),"",IFERROR(VLOOKUP($B857,ESTOQUE!$B$2:$D$97168,3,FALSE),"Produto não cadastrado"))</f>
        <v>CALÇA CINZA OP. C/ FAIXA REFLETIVA TAM: G</v>
      </c>
      <c r="E857" s="99" t="str">
        <f>_xlfn.XLOOKUP(B857,ESTOQUE!B:B,ESTOQUE!G:G,"",0)</f>
        <v>UND</v>
      </c>
      <c r="F857" s="99">
        <v>4</v>
      </c>
      <c r="G857" s="146"/>
      <c r="H857" s="146"/>
      <c r="I857" s="147"/>
      <c r="J857" s="147"/>
      <c r="K857" s="63"/>
    </row>
    <row r="858" spans="1:11" x14ac:dyDescent="0.25">
      <c r="A858" s="108">
        <v>45976</v>
      </c>
      <c r="B858" s="109">
        <v>67</v>
      </c>
      <c r="C858" s="49" t="s">
        <v>19</v>
      </c>
      <c r="D858" s="110" t="str">
        <f>IF(ISBLANK($B858),"",IFERROR(VLOOKUP($B858,ESTOQUE!$B$2:$D$97168,3,FALSE),"Produto não cadastrado"))</f>
        <v>CAMISA LARANJA OP. C/ FAIXA REFLETIVA TAM: G</v>
      </c>
      <c r="E858" s="99" t="str">
        <f>_xlfn.XLOOKUP(B858,ESTOQUE!B:B,ESTOQUE!G:G,"",0)</f>
        <v>UND</v>
      </c>
      <c r="F858" s="99">
        <v>2</v>
      </c>
      <c r="G858" s="146"/>
      <c r="H858" s="146"/>
      <c r="I858" s="147"/>
      <c r="J858" s="147"/>
      <c r="K858" s="63"/>
    </row>
    <row r="859" spans="1:11" x14ac:dyDescent="0.25">
      <c r="A859" s="108">
        <v>45976</v>
      </c>
      <c r="B859" s="109">
        <v>70</v>
      </c>
      <c r="C859" s="49" t="s">
        <v>19</v>
      </c>
      <c r="D859" s="110" t="str">
        <f>IF(ISBLANK($B859),"",IFERROR(VLOOKUP($B859,ESTOQUE!$B$2:$D$97168,3,FALSE),"Produto não cadastrado"))</f>
        <v>CAMISA LARANJA OP. C/ FAIXA REFLETIVA TAM: P</v>
      </c>
      <c r="E859" s="99" t="str">
        <f>_xlfn.XLOOKUP(B859,ESTOQUE!B:B,ESTOQUE!G:G,"",0)</f>
        <v>UND</v>
      </c>
      <c r="F859" s="99">
        <v>1</v>
      </c>
      <c r="G859" s="146"/>
      <c r="H859" s="146"/>
      <c r="I859" s="147"/>
      <c r="J859" s="147"/>
      <c r="K859" s="63"/>
    </row>
    <row r="860" spans="1:11" x14ac:dyDescent="0.25">
      <c r="A860" s="108">
        <v>45976</v>
      </c>
      <c r="B860" s="109">
        <v>96</v>
      </c>
      <c r="C860" s="49" t="s">
        <v>19</v>
      </c>
      <c r="D860" s="110" t="str">
        <f>IF(ISBLANK($B860),"",IFERROR(VLOOKUP($B860,ESTOQUE!$B$2:$D$97168,3,FALSE),"Produto não cadastrado"))</f>
        <v xml:space="preserve">CINTO DE SEGURANÇA MODELO:C70 </v>
      </c>
      <c r="E860" s="99" t="str">
        <f>_xlfn.XLOOKUP(B860,ESTOQUE!B:B,ESTOQUE!G:G,"",0)</f>
        <v>UND</v>
      </c>
      <c r="F860" s="99">
        <v>1</v>
      </c>
      <c r="G860" s="146"/>
      <c r="H860" s="146"/>
      <c r="I860" s="147"/>
      <c r="J860" s="147"/>
      <c r="K860" s="63"/>
    </row>
    <row r="861" spans="1:11" x14ac:dyDescent="0.25">
      <c r="A861" s="108">
        <v>45976</v>
      </c>
      <c r="B861" s="109">
        <v>97</v>
      </c>
      <c r="C861" s="49" t="s">
        <v>19</v>
      </c>
      <c r="D861" s="110" t="str">
        <f>IF(ISBLANK($B861),"",IFERROR(VLOOKUP($B861,ESTOQUE!$B$2:$D$97168,3,FALSE),"Produto não cadastrado"))</f>
        <v>COLETE REFLETIVO LARANJA M</v>
      </c>
      <c r="E861" s="99" t="str">
        <f>_xlfn.XLOOKUP(B861,ESTOQUE!B:B,ESTOQUE!G:G,"",0)</f>
        <v>UND</v>
      </c>
      <c r="F861" s="99">
        <v>2</v>
      </c>
      <c r="G861" s="146"/>
      <c r="H861" s="146"/>
      <c r="I861" s="147"/>
      <c r="J861" s="147"/>
      <c r="K861" s="63"/>
    </row>
    <row r="862" spans="1:11" x14ac:dyDescent="0.25">
      <c r="A862" s="108">
        <v>45976</v>
      </c>
      <c r="B862" s="109">
        <v>161</v>
      </c>
      <c r="C862" s="49" t="s">
        <v>19</v>
      </c>
      <c r="D862" s="110" t="str">
        <f>IF(ISBLANK($B862),"",IFERROR(VLOOKUP($B862,ESTOQUE!$B$2:$D$97168,3,FALSE),"Produto não cadastrado"))</f>
        <v>JUGULAR</v>
      </c>
      <c r="E862" s="99" t="str">
        <f>_xlfn.XLOOKUP(B862,ESTOQUE!B:B,ESTOQUE!G:G,"",0)</f>
        <v>UND</v>
      </c>
      <c r="F862" s="99">
        <v>1</v>
      </c>
      <c r="G862" s="146"/>
      <c r="H862" s="146"/>
      <c r="I862" s="147"/>
      <c r="J862" s="147"/>
      <c r="K862" s="63"/>
    </row>
    <row r="863" spans="1:11" x14ac:dyDescent="0.25">
      <c r="A863" s="108">
        <v>45976</v>
      </c>
      <c r="B863" s="109">
        <v>148</v>
      </c>
      <c r="C863" s="49" t="s">
        <v>19</v>
      </c>
      <c r="D863" s="110" t="str">
        <f>IF(ISBLANK($B863),"",IFERROR(VLOOKUP($B863,ESTOQUE!$B$2:$D$97168,3,FALSE),"Produto não cadastrado"))</f>
        <v>LUVA DE PU PRETA TAM 8</v>
      </c>
      <c r="E863" s="99" t="str">
        <f>_xlfn.XLOOKUP(B863,ESTOQUE!B:B,ESTOQUE!G:G,"",0)</f>
        <v>PAR</v>
      </c>
      <c r="F863" s="99"/>
      <c r="G863" s="146"/>
      <c r="H863" s="146"/>
      <c r="I863" s="147"/>
      <c r="J863" s="147"/>
      <c r="K863" s="63"/>
    </row>
    <row r="864" spans="1:11" x14ac:dyDescent="0.25">
      <c r="A864" s="108">
        <v>45976</v>
      </c>
      <c r="B864" s="109">
        <v>110</v>
      </c>
      <c r="C864" s="49" t="s">
        <v>19</v>
      </c>
      <c r="D864" s="110" t="str">
        <f>IF(ISBLANK($B864),"",IFERROR(VLOOKUP($B864,ESTOQUE!$B$2:$D$97168,3,FALSE),"Produto não cadastrado"))</f>
        <v>LUVA DE RASPA CANO LONGO</v>
      </c>
      <c r="E864" s="99" t="str">
        <f>_xlfn.XLOOKUP(B864,ESTOQUE!B:B,ESTOQUE!G:G,"",0)</f>
        <v>PAR</v>
      </c>
      <c r="F864" s="99">
        <v>2</v>
      </c>
      <c r="G864" s="146"/>
      <c r="H864" s="146"/>
      <c r="I864" s="147"/>
      <c r="J864" s="147"/>
      <c r="K864" s="63"/>
    </row>
    <row r="865" spans="1:11" x14ac:dyDescent="0.25">
      <c r="A865" s="108">
        <v>45976</v>
      </c>
      <c r="B865" s="109">
        <v>111</v>
      </c>
      <c r="C865" s="49" t="s">
        <v>19</v>
      </c>
      <c r="D865" s="110" t="str">
        <f>IF(ISBLANK($B865),"",IFERROR(VLOOKUP($B865,ESTOQUE!$B$2:$D$97168,3,FALSE),"Produto não cadastrado"))</f>
        <v>LUVA DE VAQUETA MARROM</v>
      </c>
      <c r="E865" s="99" t="str">
        <f>_xlfn.XLOOKUP(B865,ESTOQUE!B:B,ESTOQUE!G:G,"",0)</f>
        <v>PAR</v>
      </c>
      <c r="F865" s="99">
        <v>4</v>
      </c>
      <c r="G865" s="146"/>
      <c r="H865" s="146"/>
      <c r="I865" s="147"/>
      <c r="J865" s="147"/>
      <c r="K865" s="63"/>
    </row>
    <row r="866" spans="1:11" x14ac:dyDescent="0.25">
      <c r="A866" s="108">
        <v>45976</v>
      </c>
      <c r="B866" s="109">
        <v>114</v>
      </c>
      <c r="C866" s="49" t="s">
        <v>19</v>
      </c>
      <c r="D866" s="110" t="str">
        <f>IF(ISBLANK($B866),"",IFERROR(VLOOKUP($B866,ESTOQUE!$B$2:$D$97168,3,FALSE),"Produto não cadastrado"))</f>
        <v xml:space="preserve">LUVA LATEX NITRILICA </v>
      </c>
      <c r="E866" s="99" t="str">
        <f>_xlfn.XLOOKUP(B866,ESTOQUE!B:B,ESTOQUE!G:G,"",0)</f>
        <v>PAR</v>
      </c>
      <c r="F866" s="99">
        <v>4</v>
      </c>
      <c r="G866" s="146"/>
      <c r="H866" s="146"/>
      <c r="I866" s="147"/>
      <c r="J866" s="147"/>
      <c r="K866" s="63"/>
    </row>
    <row r="867" spans="1:11" x14ac:dyDescent="0.25">
      <c r="A867" s="108">
        <v>45976</v>
      </c>
      <c r="B867" s="109">
        <v>257</v>
      </c>
      <c r="C867" s="49" t="s">
        <v>19</v>
      </c>
      <c r="D867" s="110" t="str">
        <f>IF(ISBLANK($B867),"",IFERROR(VLOOKUP($B867,ESTOQUE!$B$2:$D$97168,3,FALSE),"Produto não cadastrado"))</f>
        <v xml:space="preserve">LUVA MULTITATO </v>
      </c>
      <c r="E867" s="99" t="str">
        <f>_xlfn.XLOOKUP(B867,ESTOQUE!B:B,ESTOQUE!G:G,"",0)</f>
        <v>UND</v>
      </c>
      <c r="F867" s="99">
        <v>1</v>
      </c>
      <c r="G867" s="146"/>
      <c r="H867" s="146"/>
      <c r="I867" s="147"/>
      <c r="J867" s="147"/>
      <c r="K867" s="63"/>
    </row>
    <row r="868" spans="1:11" x14ac:dyDescent="0.25">
      <c r="A868" s="108">
        <v>45976</v>
      </c>
      <c r="B868" s="109">
        <v>117</v>
      </c>
      <c r="C868" s="49" t="s">
        <v>19</v>
      </c>
      <c r="D868" s="110" t="str">
        <f>IF(ISBLANK($B868),"",IFERROR(VLOOKUP($B868,ESTOQUE!$B$2:$D$97168,3,FALSE),"Produto não cadastrado"))</f>
        <v>LUVA PIGMENTADA</v>
      </c>
      <c r="E868" s="99" t="str">
        <f>_xlfn.XLOOKUP(B868,ESTOQUE!B:B,ESTOQUE!G:G,"",0)</f>
        <v>PAR</v>
      </c>
      <c r="F868" s="99">
        <v>1</v>
      </c>
      <c r="G868" s="146"/>
      <c r="H868" s="146"/>
      <c r="I868" s="147"/>
      <c r="J868" s="147"/>
      <c r="K868" s="63"/>
    </row>
    <row r="869" spans="1:11" x14ac:dyDescent="0.25">
      <c r="A869" s="108">
        <v>45976</v>
      </c>
      <c r="B869" s="109">
        <v>118</v>
      </c>
      <c r="C869" s="49" t="s">
        <v>19</v>
      </c>
      <c r="D869" s="110" t="str">
        <f>IF(ISBLANK($B869),"",IFERROR(VLOOKUP($B869,ESTOQUE!$B$2:$D$97168,3,FALSE),"Produto não cadastrado"))</f>
        <v>MACACÃO DE PROTEÇÃO TYVEK</v>
      </c>
      <c r="E869" s="99" t="str">
        <f>_xlfn.XLOOKUP(B869,ESTOQUE!B:B,ESTOQUE!G:G,"",0)</f>
        <v>UND</v>
      </c>
      <c r="F869" s="99">
        <v>2</v>
      </c>
      <c r="G869" s="146"/>
      <c r="H869" s="146"/>
      <c r="I869" s="147"/>
      <c r="J869" s="147"/>
      <c r="K869" s="63"/>
    </row>
    <row r="870" spans="1:11" x14ac:dyDescent="0.25">
      <c r="A870" s="108">
        <v>45976</v>
      </c>
      <c r="B870" s="109">
        <v>114</v>
      </c>
      <c r="C870" s="49" t="s">
        <v>19</v>
      </c>
      <c r="D870" s="110" t="str">
        <f>IF(ISBLANK($B870),"",IFERROR(VLOOKUP($B870,ESTOQUE!$B$2:$D$97168,3,FALSE),"Produto não cadastrado"))</f>
        <v xml:space="preserve">LUVA LATEX NITRILICA </v>
      </c>
      <c r="E870" s="99" t="str">
        <f>_xlfn.XLOOKUP(B870,ESTOQUE!B:B,ESTOQUE!G:G,"",0)</f>
        <v>PAR</v>
      </c>
      <c r="F870" s="99">
        <v>4</v>
      </c>
      <c r="G870" s="146"/>
      <c r="H870" s="146"/>
      <c r="I870" s="147"/>
      <c r="J870" s="147"/>
      <c r="K870" s="63"/>
    </row>
    <row r="871" spans="1:11" x14ac:dyDescent="0.25">
      <c r="A871" s="108">
        <v>45976</v>
      </c>
      <c r="B871" s="109">
        <v>257</v>
      </c>
      <c r="C871" s="49" t="s">
        <v>19</v>
      </c>
      <c r="D871" s="110" t="str">
        <f>IF(ISBLANK($B871),"",IFERROR(VLOOKUP($B871,ESTOQUE!$B$2:$D$97168,3,FALSE),"Produto não cadastrado"))</f>
        <v xml:space="preserve">LUVA MULTITATO </v>
      </c>
      <c r="E871" s="99" t="str">
        <f>_xlfn.XLOOKUP(B871,ESTOQUE!B:B,ESTOQUE!G:G,"",0)</f>
        <v>UND</v>
      </c>
      <c r="F871" s="99">
        <v>1</v>
      </c>
      <c r="G871" s="146"/>
      <c r="H871" s="146"/>
      <c r="I871" s="147"/>
      <c r="J871" s="147"/>
      <c r="K871" s="63"/>
    </row>
    <row r="872" spans="1:11" x14ac:dyDescent="0.25">
      <c r="A872" s="108">
        <v>45976</v>
      </c>
      <c r="B872" s="109">
        <v>209</v>
      </c>
      <c r="C872" s="49" t="s">
        <v>19</v>
      </c>
      <c r="D872" s="110" t="str">
        <f>IF(ISBLANK($B872),"",IFERROR(VLOOKUP($B872,ESTOQUE!$B$2:$D$97168,3,FALSE),"Produto não cadastrado"))</f>
        <v>LUVA PARA SOLDADOR MIG AZUL TAM 10</v>
      </c>
      <c r="E872" s="99" t="str">
        <f>_xlfn.XLOOKUP(B872,ESTOQUE!B:B,ESTOQUE!G:G,"",0)</f>
        <v>PAR</v>
      </c>
      <c r="F872" s="99">
        <v>1</v>
      </c>
      <c r="G872" s="146"/>
      <c r="H872" s="146"/>
      <c r="I872" s="147"/>
      <c r="J872" s="147"/>
      <c r="K872" s="63"/>
    </row>
    <row r="873" spans="1:11" x14ac:dyDescent="0.25">
      <c r="A873" s="108">
        <v>45976</v>
      </c>
      <c r="B873" s="109">
        <v>144</v>
      </c>
      <c r="C873" s="49" t="s">
        <v>19</v>
      </c>
      <c r="D873" s="110" t="str">
        <f>IF(ISBLANK($B873),"",IFERROR(VLOOKUP($B873,ESTOQUE!$B$2:$D$97168,3,FALSE),"Produto não cadastrado"))</f>
        <v>MASCARA PFF2-S C/ FILTRO</v>
      </c>
      <c r="E873" s="99" t="str">
        <f>_xlfn.XLOOKUP(B873,ESTOQUE!B:B,ESTOQUE!G:G,"",0)</f>
        <v>UND</v>
      </c>
      <c r="F873" s="99">
        <v>50</v>
      </c>
      <c r="G873" s="146"/>
      <c r="H873" s="146"/>
      <c r="I873" s="147"/>
      <c r="J873" s="147"/>
      <c r="K873" s="63"/>
    </row>
    <row r="874" spans="1:11" x14ac:dyDescent="0.25">
      <c r="A874" s="108">
        <v>45976</v>
      </c>
      <c r="B874" s="109">
        <v>126</v>
      </c>
      <c r="C874" s="49" t="s">
        <v>19</v>
      </c>
      <c r="D874" s="110" t="str">
        <f>IF(ISBLANK($B874),"",IFERROR(VLOOKUP($B874,ESTOQUE!$B$2:$D$97168,3,FALSE),"Produto não cadastrado"))</f>
        <v>OCULOS DE PROTEÇÃO ESCURO</v>
      </c>
      <c r="E874" s="99" t="str">
        <f>_xlfn.XLOOKUP(B874,ESTOQUE!B:B,ESTOQUE!G:G,"",0)</f>
        <v>UND</v>
      </c>
      <c r="F874" s="99">
        <v>9</v>
      </c>
      <c r="G874" s="146"/>
      <c r="H874" s="146"/>
      <c r="I874" s="147"/>
      <c r="J874" s="147"/>
      <c r="K874" s="63"/>
    </row>
    <row r="875" spans="1:11" x14ac:dyDescent="0.25">
      <c r="A875" s="108">
        <v>45976</v>
      </c>
      <c r="B875" s="109">
        <v>124</v>
      </c>
      <c r="C875" s="49" t="s">
        <v>19</v>
      </c>
      <c r="D875" s="110" t="str">
        <f>IF(ISBLANK($B875),"",IFERROR(VLOOKUP($B875,ESTOQUE!$B$2:$D$97168,3,FALSE),"Produto não cadastrado"))</f>
        <v xml:space="preserve">OCULOS DE PROTEÇÃO INCOLOR </v>
      </c>
      <c r="E875" s="99" t="str">
        <f>_xlfn.XLOOKUP(B875,ESTOQUE!B:B,ESTOQUE!G:G,"",0)</f>
        <v>UND</v>
      </c>
      <c r="F875" s="99">
        <v>2</v>
      </c>
      <c r="G875" s="146"/>
      <c r="H875" s="146"/>
      <c r="I875" s="147"/>
      <c r="J875" s="147"/>
      <c r="K875" s="63"/>
    </row>
    <row r="876" spans="1:11" x14ac:dyDescent="0.25">
      <c r="A876" s="108">
        <v>45976</v>
      </c>
      <c r="B876" s="109">
        <v>224</v>
      </c>
      <c r="C876" s="49" t="s">
        <v>19</v>
      </c>
      <c r="D876" s="110" t="str">
        <f>IF(ISBLANK($B876),"",IFERROR(VLOOKUP($B876,ESTOQUE!$B$2:$D$97168,3,FALSE),"Produto não cadastrado"))</f>
        <v>OCULOS OPERACIONAL SOBRE POR ESCURO</v>
      </c>
      <c r="E876" s="99" t="str">
        <f>_xlfn.XLOOKUP(B876,ESTOQUE!B:B,ESTOQUE!G:G,"",0)</f>
        <v>UND</v>
      </c>
      <c r="F876" s="99">
        <v>1</v>
      </c>
      <c r="G876" s="146"/>
      <c r="H876" s="146"/>
      <c r="I876" s="147"/>
      <c r="J876" s="147"/>
      <c r="K876" s="63"/>
    </row>
    <row r="877" spans="1:11" x14ac:dyDescent="0.25">
      <c r="A877" s="108">
        <v>45976</v>
      </c>
      <c r="B877" s="109">
        <v>129</v>
      </c>
      <c r="C877" s="49" t="s">
        <v>19</v>
      </c>
      <c r="D877" s="110" t="str">
        <f>IF(ISBLANK($B877),"",IFERROR(VLOOKUP($B877,ESTOQUE!$B$2:$D$97168,3,FALSE),"Produto não cadastrado"))</f>
        <v>PERNEIRA DE RASPA</v>
      </c>
      <c r="E877" s="99" t="str">
        <f>_xlfn.XLOOKUP(B877,ESTOQUE!B:B,ESTOQUE!G:G,"",0)</f>
        <v>PAR</v>
      </c>
      <c r="F877" s="99">
        <v>1</v>
      </c>
      <c r="G877" s="146"/>
      <c r="H877" s="146"/>
      <c r="I877" s="147"/>
      <c r="J877" s="147"/>
      <c r="K877" s="63"/>
    </row>
    <row r="878" spans="1:11" x14ac:dyDescent="0.25">
      <c r="A878" s="108">
        <v>45976</v>
      </c>
      <c r="B878" s="109">
        <v>139</v>
      </c>
      <c r="C878" s="49" t="s">
        <v>19</v>
      </c>
      <c r="D878" s="110" t="str">
        <f>IF(ISBLANK($B878),"",IFERROR(VLOOKUP($B878,ESTOQUE!$B$2:$D$97168,3,FALSE),"Produto não cadastrado"))</f>
        <v>PROTETOR AURICULAR TIPO PLUG</v>
      </c>
      <c r="E878" s="99" t="str">
        <f>_xlfn.XLOOKUP(B878,ESTOQUE!B:B,ESTOQUE!G:G,"",0)</f>
        <v>UND</v>
      </c>
      <c r="F878" s="99">
        <v>5</v>
      </c>
      <c r="G878" s="146"/>
      <c r="H878" s="146"/>
      <c r="I878" s="147"/>
      <c r="J878" s="147"/>
      <c r="K878" s="63"/>
    </row>
    <row r="879" spans="1:11" x14ac:dyDescent="0.25">
      <c r="A879" s="108">
        <v>45977</v>
      </c>
      <c r="B879" s="109">
        <v>46</v>
      </c>
      <c r="C879" s="49" t="s">
        <v>19</v>
      </c>
      <c r="D879" s="110" t="str">
        <f>IF(ISBLANK($B879),"",IFERROR(VLOOKUP($B879,ESTOQUE!$B$2:$D$97168,3,FALSE),"Produto não cadastrado"))</f>
        <v>CALÇA CINZA OP. C/ FAIXA REFLETIVA TAM: G</v>
      </c>
      <c r="E879" s="99" t="str">
        <f>_xlfn.XLOOKUP(B879,ESTOQUE!B:B,ESTOQUE!G:G,"",0)</f>
        <v>UND</v>
      </c>
      <c r="F879" s="99">
        <v>1</v>
      </c>
      <c r="G879" s="146"/>
      <c r="H879" s="146"/>
      <c r="I879" s="147"/>
      <c r="J879" s="147"/>
      <c r="K879" s="63"/>
    </row>
    <row r="880" spans="1:11" x14ac:dyDescent="0.25">
      <c r="A880" s="108">
        <v>45977</v>
      </c>
      <c r="B880" s="109">
        <v>199</v>
      </c>
      <c r="C880" s="49" t="s">
        <v>19</v>
      </c>
      <c r="D880" s="110" t="str">
        <f>IF(ISBLANK($B880),"",IFERROR(VLOOKUP($B880,ESTOQUE!$B$2:$D$97168,3,FALSE),"Produto não cadastrado"))</f>
        <v>CAMISA LARANJA OP. C/ FAIXA REFLETIVA TAM: EXG</v>
      </c>
      <c r="E880" s="99" t="str">
        <f>_xlfn.XLOOKUP(B880,ESTOQUE!B:B,ESTOQUE!G:G,"",0)</f>
        <v>UND</v>
      </c>
      <c r="F880" s="99">
        <v>1</v>
      </c>
      <c r="G880" s="146"/>
      <c r="H880" s="146"/>
      <c r="I880" s="147"/>
      <c r="J880" s="147"/>
      <c r="K880" s="63"/>
    </row>
    <row r="881" spans="1:11" x14ac:dyDescent="0.25">
      <c r="A881" s="108">
        <v>45977</v>
      </c>
      <c r="B881" s="109">
        <v>144</v>
      </c>
      <c r="C881" s="49" t="s">
        <v>19</v>
      </c>
      <c r="D881" s="110" t="str">
        <f>IF(ISBLANK($B881),"",IFERROR(VLOOKUP($B881,ESTOQUE!$B$2:$D$97168,3,FALSE),"Produto não cadastrado"))</f>
        <v>MASCARA PFF2-S C/ FILTRO</v>
      </c>
      <c r="E881" s="99" t="str">
        <f>_xlfn.XLOOKUP(B881,ESTOQUE!B:B,ESTOQUE!G:G,"",0)</f>
        <v>UND</v>
      </c>
      <c r="F881" s="99">
        <v>12</v>
      </c>
      <c r="G881" s="146"/>
      <c r="H881" s="146"/>
      <c r="I881" s="147"/>
      <c r="J881" s="147"/>
      <c r="K881" s="63"/>
    </row>
    <row r="882" spans="1:11" x14ac:dyDescent="0.25">
      <c r="A882" s="108">
        <v>45977</v>
      </c>
      <c r="B882" s="109">
        <v>126</v>
      </c>
      <c r="C882" s="49" t="s">
        <v>19</v>
      </c>
      <c r="D882" s="110" t="str">
        <f>IF(ISBLANK($B882),"",IFERROR(VLOOKUP($B882,ESTOQUE!$B$2:$D$97168,3,FALSE),"Produto não cadastrado"))</f>
        <v>OCULOS DE PROTEÇÃO ESCURO</v>
      </c>
      <c r="E882" s="99" t="str">
        <f>_xlfn.XLOOKUP(B882,ESTOQUE!B:B,ESTOQUE!G:G,"",0)</f>
        <v>UND</v>
      </c>
      <c r="F882" s="99">
        <v>1</v>
      </c>
      <c r="G882" s="146"/>
      <c r="H882" s="146"/>
      <c r="I882" s="147"/>
      <c r="J882" s="147"/>
      <c r="K882" s="63"/>
    </row>
    <row r="883" spans="1:11" x14ac:dyDescent="0.25">
      <c r="A883" s="108">
        <v>45977</v>
      </c>
      <c r="B883" s="109">
        <v>124</v>
      </c>
      <c r="C883" s="49" t="s">
        <v>19</v>
      </c>
      <c r="D883" s="110" t="str">
        <f>IF(ISBLANK($B883),"",IFERROR(VLOOKUP($B883,ESTOQUE!$B$2:$D$97168,3,FALSE),"Produto não cadastrado"))</f>
        <v xml:space="preserve">OCULOS DE PROTEÇÃO INCOLOR </v>
      </c>
      <c r="E883" s="99" t="str">
        <f>_xlfn.XLOOKUP(B883,ESTOQUE!B:B,ESTOQUE!G:G,"",0)</f>
        <v>UND</v>
      </c>
      <c r="F883" s="99">
        <v>1</v>
      </c>
      <c r="G883" s="146"/>
      <c r="H883" s="146"/>
      <c r="I883" s="147"/>
      <c r="J883" s="147"/>
      <c r="K883" s="63"/>
    </row>
    <row r="884" spans="1:11" x14ac:dyDescent="0.25">
      <c r="A884" s="108">
        <v>45978</v>
      </c>
      <c r="B884" s="109">
        <v>228</v>
      </c>
      <c r="C884" s="49" t="s">
        <v>19</v>
      </c>
      <c r="D884" s="110" t="str">
        <f>IF(ISBLANK($B884),"",IFERROR(VLOOKUP($B884,ESTOQUE!$B$2:$D$97168,3,FALSE),"Produto não cadastrado"))</f>
        <v xml:space="preserve">BALACLAVA  </v>
      </c>
      <c r="E884" s="99" t="str">
        <f>_xlfn.XLOOKUP(B884,ESTOQUE!B:B,ESTOQUE!G:G,"",0)</f>
        <v>UND</v>
      </c>
      <c r="F884" s="99">
        <v>6</v>
      </c>
      <c r="G884" s="146"/>
      <c r="H884" s="146"/>
      <c r="I884" s="147"/>
      <c r="J884" s="147"/>
      <c r="K884" s="63"/>
    </row>
    <row r="885" spans="1:11" x14ac:dyDescent="0.25">
      <c r="A885" s="108">
        <v>45978</v>
      </c>
      <c r="B885" s="109">
        <v>46</v>
      </c>
      <c r="C885" s="49" t="s">
        <v>19</v>
      </c>
      <c r="D885" s="110" t="str">
        <f>IF(ISBLANK($B885),"",IFERROR(VLOOKUP($B885,ESTOQUE!$B$2:$D$97168,3,FALSE),"Produto não cadastrado"))</f>
        <v>CALÇA CINZA OP. C/ FAIXA REFLETIVA TAM: G</v>
      </c>
      <c r="E885" s="99" t="str">
        <f>_xlfn.XLOOKUP(B885,ESTOQUE!B:B,ESTOQUE!G:G,"",0)</f>
        <v>UND</v>
      </c>
      <c r="F885" s="99">
        <v>4</v>
      </c>
      <c r="G885" s="146"/>
      <c r="H885" s="146"/>
      <c r="I885" s="147"/>
      <c r="J885" s="147"/>
      <c r="K885" s="63"/>
    </row>
    <row r="886" spans="1:11" x14ac:dyDescent="0.25">
      <c r="A886" s="108">
        <v>45978</v>
      </c>
      <c r="B886" s="109">
        <v>67</v>
      </c>
      <c r="C886" s="49" t="s">
        <v>19</v>
      </c>
      <c r="D886" s="110" t="str">
        <f>IF(ISBLANK($B886),"",IFERROR(VLOOKUP($B886,ESTOQUE!$B$2:$D$97168,3,FALSE),"Produto não cadastrado"))</f>
        <v>CAMISA LARANJA OP. C/ FAIXA REFLETIVA TAM: G</v>
      </c>
      <c r="E886" s="99" t="str">
        <f>_xlfn.XLOOKUP(B886,ESTOQUE!B:B,ESTOQUE!G:G,"",0)</f>
        <v>UND</v>
      </c>
      <c r="F886" s="99">
        <v>4</v>
      </c>
      <c r="G886" s="146"/>
      <c r="H886" s="146"/>
      <c r="I886" s="147"/>
      <c r="J886" s="147"/>
      <c r="K886" s="63"/>
    </row>
    <row r="887" spans="1:11" x14ac:dyDescent="0.25">
      <c r="A887" s="108">
        <v>45978</v>
      </c>
      <c r="B887" s="109">
        <v>70</v>
      </c>
      <c r="C887" s="49" t="s">
        <v>19</v>
      </c>
      <c r="D887" s="110" t="str">
        <f>IF(ISBLANK($B887),"",IFERROR(VLOOKUP($B887,ESTOQUE!$B$2:$D$97168,3,FALSE),"Produto não cadastrado"))</f>
        <v>CAMISA LARANJA OP. C/ FAIXA REFLETIVA TAM: P</v>
      </c>
      <c r="E887" s="99" t="str">
        <f>_xlfn.XLOOKUP(B887,ESTOQUE!B:B,ESTOQUE!G:G,"",0)</f>
        <v>UND</v>
      </c>
      <c r="F887" s="99">
        <v>1</v>
      </c>
      <c r="G887" s="146"/>
      <c r="H887" s="146"/>
      <c r="I887" s="147"/>
      <c r="J887" s="147"/>
      <c r="K887" s="63"/>
    </row>
    <row r="888" spans="1:11" x14ac:dyDescent="0.25">
      <c r="A888" s="108">
        <v>45978</v>
      </c>
      <c r="B888" s="109">
        <v>73</v>
      </c>
      <c r="C888" s="49" t="s">
        <v>19</v>
      </c>
      <c r="D888" s="110" t="str">
        <f>IF(ISBLANK($B888),"",IFERROR(VLOOKUP($B888,ESTOQUE!$B$2:$D$97168,3,FALSE),"Produto não cadastrado"))</f>
        <v>CAPA DE CHUVA GG</v>
      </c>
      <c r="E888" s="99" t="str">
        <f>_xlfn.XLOOKUP(B888,ESTOQUE!B:B,ESTOQUE!G:G,"",0)</f>
        <v>UND</v>
      </c>
      <c r="F888" s="99">
        <v>8</v>
      </c>
      <c r="G888" s="146"/>
      <c r="H888" s="146"/>
      <c r="I888" s="147"/>
      <c r="J888" s="147"/>
      <c r="K888" s="63"/>
    </row>
    <row r="889" spans="1:11" x14ac:dyDescent="0.25">
      <c r="A889" s="108">
        <v>45978</v>
      </c>
      <c r="B889" s="109">
        <v>111</v>
      </c>
      <c r="C889" s="49" t="s">
        <v>19</v>
      </c>
      <c r="D889" s="110" t="str">
        <f>IF(ISBLANK($B889),"",IFERROR(VLOOKUP($B889,ESTOQUE!$B$2:$D$97168,3,FALSE),"Produto não cadastrado"))</f>
        <v>LUVA DE VAQUETA MARROM</v>
      </c>
      <c r="E889" s="99" t="str">
        <f>_xlfn.XLOOKUP(B889,ESTOQUE!B:B,ESTOQUE!G:G,"",0)</f>
        <v>PAR</v>
      </c>
      <c r="F889" s="99">
        <v>13</v>
      </c>
      <c r="G889" s="146"/>
      <c r="H889" s="146"/>
      <c r="I889" s="147"/>
      <c r="J889" s="147"/>
      <c r="K889" s="63"/>
    </row>
    <row r="890" spans="1:11" x14ac:dyDescent="0.25">
      <c r="A890" s="108">
        <v>45978</v>
      </c>
      <c r="B890" s="109">
        <v>114</v>
      </c>
      <c r="C890" s="49" t="s">
        <v>19</v>
      </c>
      <c r="D890" s="110" t="str">
        <f>IF(ISBLANK($B890),"",IFERROR(VLOOKUP($B890,ESTOQUE!$B$2:$D$97168,3,FALSE),"Produto não cadastrado"))</f>
        <v xml:space="preserve">LUVA LATEX NITRILICA </v>
      </c>
      <c r="E890" s="99" t="str">
        <f>_xlfn.XLOOKUP(B890,ESTOQUE!B:B,ESTOQUE!G:G,"",0)</f>
        <v>PAR</v>
      </c>
      <c r="F890" s="99">
        <v>4</v>
      </c>
      <c r="G890" s="146"/>
      <c r="H890" s="146"/>
      <c r="I890" s="147"/>
      <c r="J890" s="147"/>
      <c r="K890" s="63"/>
    </row>
    <row r="891" spans="1:11" x14ac:dyDescent="0.25">
      <c r="A891" s="108">
        <v>45978</v>
      </c>
      <c r="B891" s="109">
        <v>257</v>
      </c>
      <c r="C891" s="49" t="s">
        <v>19</v>
      </c>
      <c r="D891" s="110" t="str">
        <f>IF(ISBLANK($B891),"",IFERROR(VLOOKUP($B891,ESTOQUE!$B$2:$D$97168,3,FALSE),"Produto não cadastrado"))</f>
        <v xml:space="preserve">LUVA MULTITATO </v>
      </c>
      <c r="E891" s="99" t="str">
        <f>_xlfn.XLOOKUP(B891,ESTOQUE!B:B,ESTOQUE!G:G,"",0)</f>
        <v>UND</v>
      </c>
      <c r="F891" s="99">
        <v>6</v>
      </c>
      <c r="G891" s="146"/>
      <c r="H891" s="146"/>
      <c r="I891" s="147"/>
      <c r="J891" s="147"/>
      <c r="K891" s="63"/>
    </row>
    <row r="892" spans="1:11" x14ac:dyDescent="0.25">
      <c r="A892" s="108">
        <v>45978</v>
      </c>
      <c r="B892" s="109">
        <v>118</v>
      </c>
      <c r="C892" s="49" t="s">
        <v>19</v>
      </c>
      <c r="D892" s="110" t="str">
        <f>IF(ISBLANK($B892),"",IFERROR(VLOOKUP($B892,ESTOQUE!$B$2:$D$97168,3,FALSE),"Produto não cadastrado"))</f>
        <v>MACACÃO DE PROTEÇÃO TYVEK</v>
      </c>
      <c r="E892" s="99" t="str">
        <f>_xlfn.XLOOKUP(B892,ESTOQUE!B:B,ESTOQUE!G:G,"",0)</f>
        <v>UND</v>
      </c>
      <c r="F892" s="99">
        <v>3</v>
      </c>
      <c r="G892" s="146"/>
      <c r="H892" s="146"/>
      <c r="I892" s="147"/>
      <c r="J892" s="147"/>
      <c r="K892" s="63"/>
    </row>
    <row r="893" spans="1:11" x14ac:dyDescent="0.25">
      <c r="A893" s="108">
        <v>45978</v>
      </c>
      <c r="B893" s="109">
        <v>144</v>
      </c>
      <c r="C893" s="49" t="s">
        <v>19</v>
      </c>
      <c r="D893" s="110" t="str">
        <f>IF(ISBLANK($B893),"",IFERROR(VLOOKUP($B893,ESTOQUE!$B$2:$D$97168,3,FALSE),"Produto não cadastrado"))</f>
        <v>MASCARA PFF2-S C/ FILTRO</v>
      </c>
      <c r="E893" s="99" t="str">
        <f>_xlfn.XLOOKUP(B893,ESTOQUE!B:B,ESTOQUE!G:G,"",0)</f>
        <v>UND</v>
      </c>
      <c r="F893" s="99">
        <v>26</v>
      </c>
      <c r="G893" s="146"/>
      <c r="H893" s="146"/>
      <c r="I893" s="147"/>
      <c r="J893" s="147"/>
      <c r="K893" s="63"/>
    </row>
    <row r="894" spans="1:11" x14ac:dyDescent="0.25">
      <c r="A894" s="108">
        <v>45978</v>
      </c>
      <c r="B894" s="109">
        <v>126</v>
      </c>
      <c r="C894" s="49" t="s">
        <v>19</v>
      </c>
      <c r="D894" s="110" t="str">
        <f>IF(ISBLANK($B894),"",IFERROR(VLOOKUP($B894,ESTOQUE!$B$2:$D$97168,3,FALSE),"Produto não cadastrado"))</f>
        <v>OCULOS DE PROTEÇÃO ESCURO</v>
      </c>
      <c r="E894" s="99" t="str">
        <f>_xlfn.XLOOKUP(B894,ESTOQUE!B:B,ESTOQUE!G:G,"",0)</f>
        <v>UND</v>
      </c>
      <c r="F894" s="99">
        <v>8</v>
      </c>
      <c r="G894" s="146"/>
      <c r="H894" s="146"/>
      <c r="I894" s="147"/>
      <c r="J894" s="147"/>
      <c r="K894" s="63"/>
    </row>
    <row r="895" spans="1:11" x14ac:dyDescent="0.25">
      <c r="A895" s="108">
        <v>45978</v>
      </c>
      <c r="B895" s="109">
        <v>124</v>
      </c>
      <c r="C895" s="49" t="s">
        <v>19</v>
      </c>
      <c r="D895" s="110" t="str">
        <f>IF(ISBLANK($B895),"",IFERROR(VLOOKUP($B895,ESTOQUE!$B$2:$D$97168,3,FALSE),"Produto não cadastrado"))</f>
        <v xml:space="preserve">OCULOS DE PROTEÇÃO INCOLOR </v>
      </c>
      <c r="E895" s="99" t="str">
        <f>_xlfn.XLOOKUP(B895,ESTOQUE!B:B,ESTOQUE!G:G,"",0)</f>
        <v>UND</v>
      </c>
      <c r="F895" s="99">
        <v>7</v>
      </c>
      <c r="G895" s="146"/>
      <c r="H895" s="146"/>
      <c r="I895" s="147"/>
      <c r="J895" s="147"/>
      <c r="K895" s="63"/>
    </row>
    <row r="896" spans="1:11" x14ac:dyDescent="0.25">
      <c r="A896" s="108">
        <v>45978</v>
      </c>
      <c r="B896" s="109">
        <v>225</v>
      </c>
      <c r="C896" s="49" t="s">
        <v>19</v>
      </c>
      <c r="D896" s="110" t="str">
        <f>IF(ISBLANK($B896),"",IFERROR(VLOOKUP($B896,ESTOQUE!$B$2:$D$97168,3,FALSE),"Produto não cadastrado"))</f>
        <v>OCULOS OPERACIONAL SOBRE POR INCOLOR</v>
      </c>
      <c r="E896" s="99" t="str">
        <f>_xlfn.XLOOKUP(B896,ESTOQUE!B:B,ESTOQUE!G:G,"",0)</f>
        <v>UND</v>
      </c>
      <c r="F896" s="99">
        <v>1</v>
      </c>
      <c r="G896" s="146"/>
      <c r="H896" s="146"/>
      <c r="I896" s="147"/>
      <c r="J896" s="147"/>
      <c r="K896" s="63"/>
    </row>
    <row r="897" spans="1:11" x14ac:dyDescent="0.25">
      <c r="A897" s="108">
        <v>45978</v>
      </c>
      <c r="B897" s="109">
        <v>129</v>
      </c>
      <c r="C897" s="49" t="s">
        <v>19</v>
      </c>
      <c r="D897" s="110" t="str">
        <f>IF(ISBLANK($B897),"",IFERROR(VLOOKUP($B897,ESTOQUE!$B$2:$D$97168,3,FALSE),"Produto não cadastrado"))</f>
        <v>PERNEIRA DE RASPA</v>
      </c>
      <c r="E897" s="99" t="str">
        <f>_xlfn.XLOOKUP(B897,ESTOQUE!B:B,ESTOQUE!G:G,"",0)</f>
        <v>PAR</v>
      </c>
      <c r="F897" s="99">
        <v>1</v>
      </c>
      <c r="G897" s="146"/>
      <c r="H897" s="146"/>
      <c r="I897" s="147"/>
      <c r="J897" s="147"/>
      <c r="K897" s="63"/>
    </row>
    <row r="898" spans="1:11" x14ac:dyDescent="0.25">
      <c r="A898" s="108">
        <v>45978</v>
      </c>
      <c r="B898" s="109">
        <v>139</v>
      </c>
      <c r="C898" s="49" t="s">
        <v>19</v>
      </c>
      <c r="D898" s="110" t="str">
        <f>IF(ISBLANK($B898),"",IFERROR(VLOOKUP($B898,ESTOQUE!$B$2:$D$97168,3,FALSE),"Produto não cadastrado"))</f>
        <v>PROTETOR AURICULAR TIPO PLUG</v>
      </c>
      <c r="E898" s="99" t="str">
        <f>_xlfn.XLOOKUP(B898,ESTOQUE!B:B,ESTOQUE!G:G,"",0)</f>
        <v>UND</v>
      </c>
      <c r="F898" s="99">
        <v>1</v>
      </c>
      <c r="G898" s="146"/>
      <c r="H898" s="146"/>
      <c r="I898" s="147"/>
      <c r="J898" s="147"/>
      <c r="K898" s="63"/>
    </row>
    <row r="899" spans="1:11" x14ac:dyDescent="0.25">
      <c r="A899" s="108">
        <v>45979</v>
      </c>
      <c r="B899" s="109">
        <v>1</v>
      </c>
      <c r="C899" s="49" t="s">
        <v>19</v>
      </c>
      <c r="D899" s="110" t="str">
        <f>IF(ISBLANK($B899),"",IFERROR(VLOOKUP($B899,ESTOQUE!$B$2:$D$97168,3,FALSE),"Produto não cadastrado"))</f>
        <v>ABAFADOR DE RUIDOS TIPO CONCHA</v>
      </c>
      <c r="E899" s="99" t="s">
        <v>31</v>
      </c>
      <c r="F899" s="99">
        <v>1</v>
      </c>
      <c r="G899" s="146"/>
      <c r="H899" s="146"/>
      <c r="I899" s="147"/>
      <c r="J899" s="147"/>
      <c r="K899" s="63"/>
    </row>
    <row r="900" spans="1:11" x14ac:dyDescent="0.25">
      <c r="A900" s="108">
        <v>45979</v>
      </c>
      <c r="B900" s="109">
        <v>2</v>
      </c>
      <c r="C900" s="49" t="s">
        <v>19</v>
      </c>
      <c r="D900" s="110" t="str">
        <f>IF(ISBLANK($B900),"",IFERROR(VLOOKUP($B900,ESTOQUE!$B$2:$D$97168,3,FALSE),"Produto não cadastrado"))</f>
        <v>AVENTAL DE RASPA TAM 1X60MT</v>
      </c>
      <c r="E900" s="99" t="str">
        <f>_xlfn.XLOOKUP(B900,ESTOQUE!B:B,ESTOQUE!G:G,"",0)</f>
        <v>UND</v>
      </c>
      <c r="F900" s="99">
        <v>4</v>
      </c>
      <c r="G900" s="146"/>
      <c r="H900" s="146"/>
      <c r="I900" s="147"/>
      <c r="J900" s="147"/>
      <c r="K900" s="63"/>
    </row>
    <row r="901" spans="1:11" x14ac:dyDescent="0.25">
      <c r="A901" s="108">
        <v>45979</v>
      </c>
      <c r="B901" s="109">
        <v>228</v>
      </c>
      <c r="C901" s="49" t="s">
        <v>19</v>
      </c>
      <c r="D901" s="110" t="str">
        <f>IF(ISBLANK($B901),"",IFERROR(VLOOKUP($B901,ESTOQUE!$B$2:$D$97168,3,FALSE),"Produto não cadastrado"))</f>
        <v xml:space="preserve">BALACLAVA  </v>
      </c>
      <c r="E901" s="99" t="str">
        <f>_xlfn.XLOOKUP(B901,ESTOQUE!B:B,ESTOQUE!G:G,"",0)</f>
        <v>UND</v>
      </c>
      <c r="F901" s="99">
        <v>2</v>
      </c>
      <c r="G901" s="146"/>
      <c r="H901" s="146"/>
      <c r="I901" s="147"/>
      <c r="J901" s="147"/>
      <c r="K901" s="63"/>
    </row>
    <row r="902" spans="1:11" x14ac:dyDescent="0.25">
      <c r="A902" s="108">
        <v>45979</v>
      </c>
      <c r="B902" s="109">
        <v>46</v>
      </c>
      <c r="C902" s="49" t="s">
        <v>19</v>
      </c>
      <c r="D902" s="110" t="str">
        <f>IF(ISBLANK($B902),"",IFERROR(VLOOKUP($B902,ESTOQUE!$B$2:$D$97168,3,FALSE),"Produto não cadastrado"))</f>
        <v>CALÇA CINZA OP. C/ FAIXA REFLETIVA TAM: G</v>
      </c>
      <c r="E902" s="99" t="str">
        <f>_xlfn.XLOOKUP(B902,ESTOQUE!B:B,ESTOQUE!G:G,"",0)</f>
        <v>UND</v>
      </c>
      <c r="F902" s="99">
        <v>2</v>
      </c>
      <c r="G902" s="146"/>
      <c r="H902" s="146"/>
      <c r="I902" s="147"/>
      <c r="J902" s="147"/>
      <c r="K902" s="63"/>
    </row>
    <row r="903" spans="1:11" x14ac:dyDescent="0.25">
      <c r="A903" s="108">
        <v>45979</v>
      </c>
      <c r="B903" s="109">
        <v>50</v>
      </c>
      <c r="C903" s="49" t="s">
        <v>19</v>
      </c>
      <c r="D903" s="110" t="str">
        <f>IF(ISBLANK($B903),"",IFERROR(VLOOKUP($B903,ESTOQUE!$B$2:$D$97168,3,FALSE),"Produto não cadastrado"))</f>
        <v>CALÇA CINZA OP. C/ FAIXA REFLETIVA TAM: XG</v>
      </c>
      <c r="E903" s="99" t="str">
        <f>_xlfn.XLOOKUP(B903,ESTOQUE!B:B,ESTOQUE!G:G,"",0)</f>
        <v>UND</v>
      </c>
      <c r="F903" s="99">
        <v>1</v>
      </c>
      <c r="G903" s="146"/>
      <c r="H903" s="146"/>
      <c r="I903" s="147"/>
      <c r="J903" s="147"/>
      <c r="K903" s="63"/>
    </row>
    <row r="904" spans="1:11" x14ac:dyDescent="0.25">
      <c r="A904" s="108">
        <v>45979</v>
      </c>
      <c r="B904" s="109">
        <v>210</v>
      </c>
      <c r="C904" s="49" t="s">
        <v>19</v>
      </c>
      <c r="D904" s="110" t="str">
        <f>IF(ISBLANK($B904),"",IFERROR(VLOOKUP($B904,ESTOQUE!$B$2:$D$97168,3,FALSE),"Produto não cadastrado"))</f>
        <v>COLETE REFLETIVO LARANJA G</v>
      </c>
      <c r="E904" s="99" t="str">
        <f>_xlfn.XLOOKUP(B904,ESTOQUE!B:B,ESTOQUE!G:G,"",0)</f>
        <v>UND</v>
      </c>
      <c r="F904" s="99">
        <v>1</v>
      </c>
      <c r="G904" s="146"/>
      <c r="H904" s="146"/>
      <c r="I904" s="147"/>
      <c r="J904" s="147"/>
      <c r="K904" s="63"/>
    </row>
    <row r="905" spans="1:11" x14ac:dyDescent="0.25">
      <c r="A905" s="108">
        <v>45979</v>
      </c>
      <c r="B905" s="109">
        <v>97</v>
      </c>
      <c r="C905" s="49" t="s">
        <v>19</v>
      </c>
      <c r="D905" s="110" t="str">
        <f>IF(ISBLANK($B905),"",IFERROR(VLOOKUP($B905,ESTOQUE!$B$2:$D$97168,3,FALSE),"Produto não cadastrado"))</f>
        <v>COLETE REFLETIVO LARANJA M</v>
      </c>
      <c r="E905" s="99" t="str">
        <f>_xlfn.XLOOKUP(B905,ESTOQUE!B:B,ESTOQUE!G:G,"",0)</f>
        <v>UND</v>
      </c>
      <c r="F905" s="99">
        <v>1</v>
      </c>
      <c r="G905" s="146"/>
      <c r="H905" s="146"/>
      <c r="I905" s="147"/>
      <c r="J905" s="147"/>
      <c r="K905" s="63"/>
    </row>
    <row r="906" spans="1:11" x14ac:dyDescent="0.25">
      <c r="A906" s="108">
        <v>45979</v>
      </c>
      <c r="B906" s="109">
        <v>67</v>
      </c>
      <c r="C906" s="49" t="s">
        <v>19</v>
      </c>
      <c r="D906" s="110" t="str">
        <f>IF(ISBLANK($B906),"",IFERROR(VLOOKUP($B906,ESTOQUE!$B$2:$D$97168,3,FALSE),"Produto não cadastrado"))</f>
        <v>CAMISA LARANJA OP. C/ FAIXA REFLETIVA TAM: G</v>
      </c>
      <c r="E906" s="99" t="str">
        <f>_xlfn.XLOOKUP(B906,ESTOQUE!B:B,ESTOQUE!G:G,"",0)</f>
        <v>UND</v>
      </c>
      <c r="F906" s="99">
        <v>1</v>
      </c>
      <c r="G906" s="146"/>
      <c r="H906" s="146"/>
      <c r="I906" s="147"/>
      <c r="J906" s="147"/>
      <c r="K906" s="63"/>
    </row>
    <row r="907" spans="1:11" x14ac:dyDescent="0.25">
      <c r="A907" s="108">
        <v>45979</v>
      </c>
      <c r="B907" s="109">
        <v>68</v>
      </c>
      <c r="C907" s="49" t="s">
        <v>19</v>
      </c>
      <c r="D907" s="110" t="str">
        <f>IF(ISBLANK($B907),"",IFERROR(VLOOKUP($B907,ESTOQUE!$B$2:$D$97168,3,FALSE),"Produto não cadastrado"))</f>
        <v>CAMISA LARANJA OP. C/ FAIXA REFLETIVA TAM: GG</v>
      </c>
      <c r="E907" s="99" t="str">
        <f>_xlfn.XLOOKUP(B907,ESTOQUE!B:B,ESTOQUE!G:G,"",0)</f>
        <v>UND</v>
      </c>
      <c r="F907" s="99">
        <v>1</v>
      </c>
      <c r="G907" s="146"/>
      <c r="H907" s="146"/>
      <c r="I907" s="147"/>
      <c r="J907" s="147"/>
      <c r="K907" s="63"/>
    </row>
    <row r="908" spans="1:11" x14ac:dyDescent="0.25">
      <c r="A908" s="108">
        <v>45979</v>
      </c>
      <c r="B908" s="109">
        <v>69</v>
      </c>
      <c r="C908" s="49" t="s">
        <v>19</v>
      </c>
      <c r="D908" s="110" t="str">
        <f>IF(ISBLANK($B908),"",IFERROR(VLOOKUP($B908,ESTOQUE!$B$2:$D$97168,3,FALSE),"Produto não cadastrado"))</f>
        <v>CAMISA LARANJA OP. C/ FAIXA REFLETIVA TAM: M</v>
      </c>
      <c r="E908" s="99" t="str">
        <f>_xlfn.XLOOKUP(B908,ESTOQUE!B:B,ESTOQUE!G:G,"",0)</f>
        <v>UND</v>
      </c>
      <c r="F908" s="99">
        <v>1</v>
      </c>
      <c r="G908" s="146"/>
      <c r="H908" s="146"/>
      <c r="I908" s="147"/>
      <c r="J908" s="147"/>
      <c r="K908" s="63"/>
    </row>
    <row r="909" spans="1:11" x14ac:dyDescent="0.25">
      <c r="A909" s="108">
        <v>45979</v>
      </c>
      <c r="B909" s="109">
        <v>72</v>
      </c>
      <c r="C909" s="49" t="s">
        <v>19</v>
      </c>
      <c r="D909" s="110" t="str">
        <f>IF(ISBLANK($B909),"",IFERROR(VLOOKUP($B909,ESTOQUE!$B$2:$D$97168,3,FALSE),"Produto não cadastrado"))</f>
        <v>CAPA DE CHUVA G</v>
      </c>
      <c r="E909" s="99" t="str">
        <f>_xlfn.XLOOKUP(B909,ESTOQUE!B:B,ESTOQUE!G:G,"",0)</f>
        <v>UND</v>
      </c>
      <c r="F909" s="99">
        <v>4</v>
      </c>
      <c r="G909" s="146"/>
      <c r="H909" s="146"/>
      <c r="I909" s="147"/>
      <c r="J909" s="147"/>
      <c r="K909" s="63"/>
    </row>
    <row r="910" spans="1:11" x14ac:dyDescent="0.25">
      <c r="A910" s="108">
        <v>45979</v>
      </c>
      <c r="B910" s="109">
        <v>129</v>
      </c>
      <c r="C910" s="49" t="s">
        <v>19</v>
      </c>
      <c r="D910" s="110" t="str">
        <f>IF(ISBLANK($B910),"",IFERROR(VLOOKUP($B910,ESTOQUE!$B$2:$D$97168,3,FALSE),"Produto não cadastrado"))</f>
        <v>PERNEIRA DE RASPA</v>
      </c>
      <c r="E910" s="99" t="str">
        <f>_xlfn.XLOOKUP(B910,ESTOQUE!B:B,ESTOQUE!G:G,"",0)</f>
        <v>PAR</v>
      </c>
      <c r="F910" s="99">
        <v>4</v>
      </c>
      <c r="G910" s="146"/>
      <c r="H910" s="146"/>
      <c r="I910" s="147"/>
      <c r="J910" s="147"/>
      <c r="K910" s="63"/>
    </row>
    <row r="911" spans="1:11" x14ac:dyDescent="0.25">
      <c r="A911" s="108">
        <v>45979</v>
      </c>
      <c r="B911" s="109">
        <v>130</v>
      </c>
      <c r="C911" s="49" t="s">
        <v>19</v>
      </c>
      <c r="D911" s="110" t="str">
        <f>IF(ISBLANK($B911),"",IFERROR(VLOOKUP($B911,ESTOQUE!$B$2:$D$97168,3,FALSE),"Produto não cadastrado"))</f>
        <v>PROTETOR AUDITIVO TIPO CONCHA L-300</v>
      </c>
      <c r="E911" s="99" t="str">
        <f>_xlfn.XLOOKUP(B911,ESTOQUE!B:B,ESTOQUE!G:G,"",0)</f>
        <v>UND</v>
      </c>
      <c r="F911" s="99">
        <v>5</v>
      </c>
      <c r="G911" s="146"/>
      <c r="H911" s="146"/>
      <c r="I911" s="147"/>
      <c r="J911" s="147"/>
      <c r="K911" s="63"/>
    </row>
    <row r="912" spans="1:11" x14ac:dyDescent="0.25">
      <c r="A912" s="108">
        <v>45979</v>
      </c>
      <c r="B912" s="109">
        <v>139</v>
      </c>
      <c r="C912" s="49" t="s">
        <v>19</v>
      </c>
      <c r="D912" s="110" t="str">
        <f>IF(ISBLANK($B912),"",IFERROR(VLOOKUP($B912,ESTOQUE!$B$2:$D$97168,3,FALSE),"Produto não cadastrado"))</f>
        <v>PROTETOR AURICULAR TIPO PLUG</v>
      </c>
      <c r="E912" s="99" t="str">
        <f>_xlfn.XLOOKUP(B912,ESTOQUE!B:B,ESTOQUE!G:G,"",0)</f>
        <v>UND</v>
      </c>
      <c r="F912" s="99">
        <v>4</v>
      </c>
      <c r="G912" s="146"/>
      <c r="H912" s="146"/>
      <c r="I912" s="147"/>
      <c r="J912" s="147"/>
      <c r="K912" s="63"/>
    </row>
    <row r="913" spans="1:11" x14ac:dyDescent="0.25">
      <c r="A913" s="108">
        <v>45979</v>
      </c>
      <c r="B913" s="109">
        <v>110</v>
      </c>
      <c r="C913" s="49" t="s">
        <v>19</v>
      </c>
      <c r="D913" s="110" t="str">
        <f>IF(ISBLANK($B913),"",IFERROR(VLOOKUP($B913,ESTOQUE!$B$2:$D$97168,3,FALSE),"Produto não cadastrado"))</f>
        <v>LUVA DE RASPA CANO LONGO</v>
      </c>
      <c r="E913" s="99" t="str">
        <f>_xlfn.XLOOKUP(B913,ESTOQUE!B:B,ESTOQUE!G:G,"",0)</f>
        <v>PAR</v>
      </c>
      <c r="F913" s="99">
        <v>9</v>
      </c>
      <c r="G913" s="146"/>
      <c r="H913" s="146"/>
      <c r="I913" s="147"/>
      <c r="J913" s="147"/>
      <c r="K913" s="63"/>
    </row>
    <row r="914" spans="1:11" x14ac:dyDescent="0.25">
      <c r="A914" s="108">
        <v>45979</v>
      </c>
      <c r="B914" s="109">
        <v>111</v>
      </c>
      <c r="C914" s="49" t="s">
        <v>19</v>
      </c>
      <c r="D914" s="110" t="str">
        <f>IF(ISBLANK($B914),"",IFERROR(VLOOKUP($B914,ESTOQUE!$B$2:$D$97168,3,FALSE),"Produto não cadastrado"))</f>
        <v>LUVA DE VAQUETA MARROM</v>
      </c>
      <c r="E914" s="99" t="str">
        <f>_xlfn.XLOOKUP(B914,ESTOQUE!B:B,ESTOQUE!G:G,"",0)</f>
        <v>PAR</v>
      </c>
      <c r="F914" s="99">
        <v>40</v>
      </c>
      <c r="G914" s="146"/>
      <c r="H914" s="146"/>
      <c r="I914" s="147"/>
      <c r="J914" s="147"/>
      <c r="K914" s="63"/>
    </row>
    <row r="915" spans="1:11" x14ac:dyDescent="0.25">
      <c r="A915" s="108">
        <v>45979</v>
      </c>
      <c r="B915" s="109">
        <v>114</v>
      </c>
      <c r="C915" s="49" t="s">
        <v>19</v>
      </c>
      <c r="D915" s="110" t="str">
        <f>IF(ISBLANK($B915),"",IFERROR(VLOOKUP($B915,ESTOQUE!$B$2:$D$97168,3,FALSE),"Produto não cadastrado"))</f>
        <v xml:space="preserve">LUVA LATEX NITRILICA </v>
      </c>
      <c r="E915" s="99" t="str">
        <f>_xlfn.XLOOKUP(B915,ESTOQUE!B:B,ESTOQUE!G:G,"",0)</f>
        <v>PAR</v>
      </c>
      <c r="F915" s="99">
        <v>7</v>
      </c>
      <c r="G915" s="146"/>
      <c r="H915" s="146"/>
      <c r="I915" s="147"/>
      <c r="J915" s="147"/>
      <c r="K915" s="63"/>
    </row>
    <row r="916" spans="1:11" x14ac:dyDescent="0.25">
      <c r="A916" s="108">
        <v>45979</v>
      </c>
      <c r="B916" s="109">
        <v>257</v>
      </c>
      <c r="C916" s="49" t="s">
        <v>19</v>
      </c>
      <c r="D916" s="110" t="str">
        <f>IF(ISBLANK($B916),"",IFERROR(VLOOKUP($B916,ESTOQUE!$B$2:$D$97168,3,FALSE),"Produto não cadastrado"))</f>
        <v xml:space="preserve">LUVA MULTITATO </v>
      </c>
      <c r="E916" s="99" t="str">
        <f>_xlfn.XLOOKUP(B916,ESTOQUE!B:B,ESTOQUE!G:G,"",0)</f>
        <v>UND</v>
      </c>
      <c r="F916" s="99">
        <v>9</v>
      </c>
      <c r="G916" s="146"/>
      <c r="H916" s="146"/>
      <c r="I916" s="147"/>
      <c r="J916" s="147"/>
      <c r="K916" s="63"/>
    </row>
    <row r="917" spans="1:11" x14ac:dyDescent="0.25">
      <c r="A917" s="108">
        <v>45979</v>
      </c>
      <c r="B917" s="109">
        <v>118</v>
      </c>
      <c r="C917" s="49" t="s">
        <v>19</v>
      </c>
      <c r="D917" s="110" t="str">
        <f>IF(ISBLANK($B917),"",IFERROR(VLOOKUP($B917,ESTOQUE!$B$2:$D$97168,3,FALSE),"Produto não cadastrado"))</f>
        <v>MACACÃO DE PROTEÇÃO TYVEK</v>
      </c>
      <c r="E917" s="99" t="str">
        <f>_xlfn.XLOOKUP(B917,ESTOQUE!B:B,ESTOQUE!G:G,"",0)</f>
        <v>UND</v>
      </c>
      <c r="F917" s="99">
        <v>10</v>
      </c>
      <c r="G917" s="146"/>
      <c r="H917" s="146"/>
      <c r="I917" s="147"/>
      <c r="J917" s="147"/>
      <c r="K917" s="63"/>
    </row>
    <row r="918" spans="1:11" x14ac:dyDescent="0.25">
      <c r="A918" s="108">
        <v>45979</v>
      </c>
      <c r="B918" s="109">
        <v>144</v>
      </c>
      <c r="C918" s="49" t="s">
        <v>19</v>
      </c>
      <c r="D918" s="110" t="str">
        <f>IF(ISBLANK($B918),"",IFERROR(VLOOKUP($B918,ESTOQUE!$B$2:$D$97168,3,FALSE),"Produto não cadastrado"))</f>
        <v>MASCARA PFF2-S C/ FILTRO</v>
      </c>
      <c r="E918" s="99" t="str">
        <f>_xlfn.XLOOKUP(B918,ESTOQUE!B:B,ESTOQUE!G:G,"",0)</f>
        <v>UND</v>
      </c>
      <c r="F918" s="99">
        <v>35</v>
      </c>
      <c r="G918" s="146"/>
      <c r="H918" s="146"/>
      <c r="I918" s="147"/>
      <c r="J918" s="147"/>
      <c r="K918" s="63"/>
    </row>
    <row r="919" spans="1:11" x14ac:dyDescent="0.25">
      <c r="A919" s="108">
        <v>45979</v>
      </c>
      <c r="B919" s="109">
        <v>126</v>
      </c>
      <c r="C919" s="49" t="s">
        <v>19</v>
      </c>
      <c r="D919" s="110" t="str">
        <f>IF(ISBLANK($B919),"",IFERROR(VLOOKUP($B919,ESTOQUE!$B$2:$D$97168,3,FALSE),"Produto não cadastrado"))</f>
        <v>OCULOS DE PROTEÇÃO ESCURO</v>
      </c>
      <c r="E919" s="99" t="str">
        <f>_xlfn.XLOOKUP(B919,ESTOQUE!B:B,ESTOQUE!G:G,"",0)</f>
        <v>UND</v>
      </c>
      <c r="F919" s="99">
        <v>13</v>
      </c>
      <c r="G919" s="146"/>
      <c r="H919" s="146"/>
      <c r="I919" s="147"/>
      <c r="J919" s="147"/>
      <c r="K919" s="63"/>
    </row>
    <row r="920" spans="1:11" x14ac:dyDescent="0.25">
      <c r="A920" s="108">
        <v>45979</v>
      </c>
      <c r="B920" s="109">
        <v>224</v>
      </c>
      <c r="C920" s="49" t="s">
        <v>19</v>
      </c>
      <c r="D920" s="110" t="str">
        <f>IF(ISBLANK($B920),"",IFERROR(VLOOKUP($B920,ESTOQUE!$B$2:$D$97168,3,FALSE),"Produto não cadastrado"))</f>
        <v>OCULOS OPERACIONAL SOBRE POR ESCURO</v>
      </c>
      <c r="E920" s="99" t="s">
        <v>31</v>
      </c>
      <c r="F920" s="99">
        <v>2</v>
      </c>
      <c r="G920" s="146"/>
      <c r="H920" s="146"/>
      <c r="I920" s="147"/>
      <c r="J920" s="147"/>
      <c r="K920" s="63"/>
    </row>
    <row r="921" spans="1:11" x14ac:dyDescent="0.25">
      <c r="A921" s="108">
        <v>45979</v>
      </c>
      <c r="B921" s="109">
        <v>172</v>
      </c>
      <c r="C921" s="49" t="s">
        <v>19</v>
      </c>
      <c r="D921" s="110" t="str">
        <f>IF(ISBLANK($B921),"",IFERROR(VLOOKUP($B921,ESTOQUE!$B$2:$D$97168,3,FALSE),"Produto não cadastrado"))</f>
        <v>BOTA PVC CANO CURTO Nº 41</v>
      </c>
      <c r="E921" s="99" t="str">
        <f>_xlfn.XLOOKUP(B921,ESTOQUE!B:B,ESTOQUE!G:G,"",0)</f>
        <v>PAR</v>
      </c>
      <c r="F921" s="99">
        <v>1</v>
      </c>
      <c r="G921" s="146"/>
      <c r="H921" s="146"/>
      <c r="I921" s="147"/>
      <c r="J921" s="147"/>
      <c r="K921" s="63"/>
    </row>
    <row r="922" spans="1:11" x14ac:dyDescent="0.25">
      <c r="A922" s="108">
        <v>45979</v>
      </c>
      <c r="B922" s="109">
        <v>46</v>
      </c>
      <c r="C922" s="49" t="s">
        <v>19</v>
      </c>
      <c r="D922" s="110" t="str">
        <f>IF(ISBLANK($B922),"",IFERROR(VLOOKUP($B922,ESTOQUE!$B$2:$D$97168,3,FALSE),"Produto não cadastrado"))</f>
        <v>CALÇA CINZA OP. C/ FAIXA REFLETIVA TAM: G</v>
      </c>
      <c r="E922" s="99" t="str">
        <f>_xlfn.XLOOKUP(B922,ESTOQUE!B:B,ESTOQUE!G:G,"",0)</f>
        <v>UND</v>
      </c>
      <c r="F922" s="99">
        <v>4</v>
      </c>
      <c r="G922" s="146"/>
      <c r="H922" s="146"/>
      <c r="I922" s="147"/>
      <c r="J922" s="147"/>
      <c r="K922" s="63"/>
    </row>
    <row r="923" spans="1:11" x14ac:dyDescent="0.25">
      <c r="A923" s="108">
        <v>45979</v>
      </c>
      <c r="B923" s="109">
        <v>67</v>
      </c>
      <c r="C923" s="49" t="s">
        <v>19</v>
      </c>
      <c r="D923" s="110" t="str">
        <f>IF(ISBLANK($B923),"",IFERROR(VLOOKUP($B923,ESTOQUE!$B$2:$D$97168,3,FALSE),"Produto não cadastrado"))</f>
        <v>CAMISA LARANJA OP. C/ FAIXA REFLETIVA TAM: G</v>
      </c>
      <c r="E923" s="99" t="str">
        <f>_xlfn.XLOOKUP(B923,ESTOQUE!B:B,ESTOQUE!G:G,"",0)</f>
        <v>UND</v>
      </c>
      <c r="F923" s="99">
        <v>1</v>
      </c>
      <c r="G923" s="146"/>
      <c r="H923" s="146"/>
      <c r="I923" s="147"/>
      <c r="J923" s="147"/>
      <c r="K923" s="63"/>
    </row>
    <row r="924" spans="1:11" x14ac:dyDescent="0.25">
      <c r="A924" s="108">
        <v>45979</v>
      </c>
      <c r="B924" s="109">
        <v>69</v>
      </c>
      <c r="C924" s="49" t="s">
        <v>19</v>
      </c>
      <c r="D924" s="110" t="str">
        <f>IF(ISBLANK($B924),"",IFERROR(VLOOKUP($B924,ESTOQUE!$B$2:$D$97168,3,FALSE),"Produto não cadastrado"))</f>
        <v>CAMISA LARANJA OP. C/ FAIXA REFLETIVA TAM: M</v>
      </c>
      <c r="E924" s="99" t="str">
        <f>_xlfn.XLOOKUP(B924,ESTOQUE!B:B,ESTOQUE!G:G,"",0)</f>
        <v>UND</v>
      </c>
      <c r="F924" s="99">
        <v>2</v>
      </c>
      <c r="G924" s="146"/>
      <c r="H924" s="146"/>
      <c r="I924" s="147"/>
      <c r="J924" s="147"/>
      <c r="K924" s="63"/>
    </row>
    <row r="925" spans="1:11" x14ac:dyDescent="0.25">
      <c r="A925" s="108">
        <v>45979</v>
      </c>
      <c r="B925" s="109">
        <v>210</v>
      </c>
      <c r="C925" s="49" t="s">
        <v>19</v>
      </c>
      <c r="D925" s="110" t="str">
        <f>IF(ISBLANK($B925),"",IFERROR(VLOOKUP($B925,ESTOQUE!$B$2:$D$97168,3,FALSE),"Produto não cadastrado"))</f>
        <v>COLETE REFLETIVO LARANJA G</v>
      </c>
      <c r="E925" s="99" t="str">
        <f>_xlfn.XLOOKUP(B925,ESTOQUE!B:B,ESTOQUE!G:G,"",0)</f>
        <v>UND</v>
      </c>
      <c r="F925" s="99">
        <v>1</v>
      </c>
      <c r="G925" s="146"/>
      <c r="H925" s="146"/>
      <c r="I925" s="147"/>
      <c r="J925" s="147"/>
      <c r="K925" s="63"/>
    </row>
    <row r="926" spans="1:11" x14ac:dyDescent="0.25">
      <c r="A926" s="108">
        <v>45979</v>
      </c>
      <c r="B926" s="109">
        <v>97</v>
      </c>
      <c r="C926" s="49" t="s">
        <v>19</v>
      </c>
      <c r="D926" s="110" t="str">
        <f>IF(ISBLANK($B926),"",IFERROR(VLOOKUP($B926,ESTOQUE!$B$2:$D$97168,3,FALSE),"Produto não cadastrado"))</f>
        <v>COLETE REFLETIVO LARANJA M</v>
      </c>
      <c r="E926" s="99" t="str">
        <f>_xlfn.XLOOKUP(B926,ESTOQUE!B:B,ESTOQUE!G:G,"",0)</f>
        <v>UND</v>
      </c>
      <c r="F926" s="99">
        <v>1</v>
      </c>
      <c r="G926" s="146"/>
      <c r="H926" s="146"/>
      <c r="I926" s="147"/>
      <c r="J926" s="147"/>
      <c r="K926" s="63"/>
    </row>
    <row r="927" spans="1:11" x14ac:dyDescent="0.25">
      <c r="A927" s="108">
        <v>45979</v>
      </c>
      <c r="B927" s="109">
        <v>110</v>
      </c>
      <c r="C927" s="49" t="s">
        <v>19</v>
      </c>
      <c r="D927" s="110" t="str">
        <f>IF(ISBLANK($B927),"",IFERROR(VLOOKUP($B927,ESTOQUE!$B$2:$D$97168,3,FALSE),"Produto não cadastrado"))</f>
        <v>LUVA DE RASPA CANO LONGO</v>
      </c>
      <c r="E927" s="99" t="str">
        <f>_xlfn.XLOOKUP(B927,ESTOQUE!B:B,ESTOQUE!G:G,"",0)</f>
        <v>PAR</v>
      </c>
      <c r="F927" s="99">
        <v>10</v>
      </c>
      <c r="G927" s="146"/>
      <c r="H927" s="146"/>
      <c r="I927" s="147"/>
      <c r="J927" s="147"/>
      <c r="K927" s="63"/>
    </row>
    <row r="928" spans="1:11" x14ac:dyDescent="0.25">
      <c r="A928" s="108">
        <v>45979</v>
      </c>
      <c r="B928" s="109">
        <v>112</v>
      </c>
      <c r="C928" s="49" t="s">
        <v>19</v>
      </c>
      <c r="D928" s="110" t="str">
        <f>IF(ISBLANK($B928),"",IFERROR(VLOOKUP($B928,ESTOQUE!$B$2:$D$97168,3,FALSE),"Produto não cadastrado"))</f>
        <v>LUVA DE RASPA CANO MEDIO</v>
      </c>
      <c r="E928" s="99" t="str">
        <f>_xlfn.XLOOKUP(B928,ESTOQUE!B:B,ESTOQUE!G:G,"",0)</f>
        <v>PAR</v>
      </c>
      <c r="F928" s="99">
        <v>1</v>
      </c>
      <c r="G928" s="146"/>
      <c r="H928" s="146"/>
      <c r="I928" s="147"/>
      <c r="J928" s="147"/>
      <c r="K928" s="63"/>
    </row>
    <row r="929" spans="1:11" x14ac:dyDescent="0.25">
      <c r="A929" s="108">
        <v>45979</v>
      </c>
      <c r="B929" s="109">
        <v>111</v>
      </c>
      <c r="C929" s="49" t="s">
        <v>19</v>
      </c>
      <c r="D929" s="110" t="str">
        <f>IF(ISBLANK($B929),"",IFERROR(VLOOKUP($B929,ESTOQUE!$B$2:$D$97168,3,FALSE),"Produto não cadastrado"))</f>
        <v>LUVA DE VAQUETA MARROM</v>
      </c>
      <c r="E929" s="99" t="str">
        <f>_xlfn.XLOOKUP(B929,ESTOQUE!B:B,ESTOQUE!G:G,"",0)</f>
        <v>PAR</v>
      </c>
      <c r="F929" s="99">
        <v>11</v>
      </c>
      <c r="G929" s="146"/>
      <c r="H929" s="146"/>
      <c r="I929" s="147"/>
      <c r="J929" s="147"/>
      <c r="K929" s="63"/>
    </row>
    <row r="930" spans="1:11" x14ac:dyDescent="0.25">
      <c r="A930" s="108">
        <v>45979</v>
      </c>
      <c r="B930" s="109">
        <v>114</v>
      </c>
      <c r="C930" s="49" t="s">
        <v>19</v>
      </c>
      <c r="D930" s="110" t="str">
        <f>IF(ISBLANK($B930),"",IFERROR(VLOOKUP($B930,ESTOQUE!$B$2:$D$97168,3,FALSE),"Produto não cadastrado"))</f>
        <v xml:space="preserve">LUVA LATEX NITRILICA </v>
      </c>
      <c r="E930" s="99" t="str">
        <f>_xlfn.XLOOKUP(B930,ESTOQUE!B:B,ESTOQUE!G:G,"",0)</f>
        <v>PAR</v>
      </c>
      <c r="F930" s="99">
        <v>10</v>
      </c>
      <c r="G930" s="146"/>
      <c r="H930" s="146"/>
      <c r="I930" s="147"/>
      <c r="J930" s="147"/>
      <c r="K930" s="63"/>
    </row>
    <row r="931" spans="1:11" x14ac:dyDescent="0.25">
      <c r="A931" s="108">
        <v>45979</v>
      </c>
      <c r="B931" s="109">
        <v>118</v>
      </c>
      <c r="C931" s="49" t="s">
        <v>19</v>
      </c>
      <c r="D931" s="110" t="str">
        <f>IF(ISBLANK($B931),"",IFERROR(VLOOKUP($B931,ESTOQUE!$B$2:$D$97168,3,FALSE),"Produto não cadastrado"))</f>
        <v>MACACÃO DE PROTEÇÃO TYVEK</v>
      </c>
      <c r="E931" s="99" t="str">
        <f>_xlfn.XLOOKUP(B931,ESTOQUE!B:B,ESTOQUE!G:G,"",0)</f>
        <v>UND</v>
      </c>
      <c r="F931" s="99">
        <v>26</v>
      </c>
      <c r="G931" s="146"/>
      <c r="H931" s="146"/>
      <c r="I931" s="147"/>
      <c r="J931" s="147"/>
      <c r="K931" s="63"/>
    </row>
    <row r="932" spans="1:11" x14ac:dyDescent="0.25">
      <c r="A932" s="108">
        <v>45979</v>
      </c>
      <c r="B932" s="109">
        <v>144</v>
      </c>
      <c r="C932" s="49" t="s">
        <v>19</v>
      </c>
      <c r="D932" s="110" t="str">
        <f>IF(ISBLANK($B932),"",IFERROR(VLOOKUP($B932,ESTOQUE!$B$2:$D$97168,3,FALSE),"Produto não cadastrado"))</f>
        <v>MASCARA PFF2-S C/ FILTRO</v>
      </c>
      <c r="E932" s="99" t="str">
        <f>_xlfn.XLOOKUP(B932,ESTOQUE!B:B,ESTOQUE!G:G,"",0)</f>
        <v>UND</v>
      </c>
      <c r="F932" s="99">
        <v>25</v>
      </c>
      <c r="G932" s="146"/>
      <c r="H932" s="146"/>
      <c r="I932" s="147"/>
      <c r="J932" s="147"/>
      <c r="K932" s="63"/>
    </row>
    <row r="933" spans="1:11" x14ac:dyDescent="0.25">
      <c r="A933" s="108">
        <v>45979</v>
      </c>
      <c r="B933" s="109">
        <v>126</v>
      </c>
      <c r="C933" s="49" t="s">
        <v>19</v>
      </c>
      <c r="D933" s="110" t="str">
        <f>IF(ISBLANK($B933),"",IFERROR(VLOOKUP($B933,ESTOQUE!$B$2:$D$97168,3,FALSE),"Produto não cadastrado"))</f>
        <v>OCULOS DE PROTEÇÃO ESCURO</v>
      </c>
      <c r="E933" s="99" t="str">
        <f>_xlfn.XLOOKUP(B933,ESTOQUE!B:B,ESTOQUE!G:G,"",0)</f>
        <v>UND</v>
      </c>
      <c r="F933" s="99">
        <v>11</v>
      </c>
      <c r="G933" s="146"/>
      <c r="H933" s="146"/>
      <c r="I933" s="147"/>
      <c r="J933" s="147"/>
      <c r="K933" s="63"/>
    </row>
    <row r="934" spans="1:11" x14ac:dyDescent="0.25">
      <c r="A934" s="108">
        <v>45979</v>
      </c>
      <c r="B934" s="109">
        <v>124</v>
      </c>
      <c r="C934" s="49" t="s">
        <v>19</v>
      </c>
      <c r="D934" s="110" t="str">
        <f>IF(ISBLANK($B934),"",IFERROR(VLOOKUP($B934,ESTOQUE!$B$2:$D$97168,3,FALSE),"Produto não cadastrado"))</f>
        <v xml:space="preserve">OCULOS DE PROTEÇÃO INCOLOR </v>
      </c>
      <c r="E934" s="99" t="str">
        <f>_xlfn.XLOOKUP(B934,ESTOQUE!B:B,ESTOQUE!G:G,"",0)</f>
        <v>UND</v>
      </c>
      <c r="F934" s="99">
        <v>9</v>
      </c>
      <c r="G934" s="146"/>
      <c r="H934" s="146"/>
      <c r="I934" s="147"/>
      <c r="J934" s="147"/>
      <c r="K934" s="63"/>
    </row>
    <row r="935" spans="1:11" x14ac:dyDescent="0.25">
      <c r="A935" s="108">
        <v>45979</v>
      </c>
      <c r="B935" s="109">
        <v>224</v>
      </c>
      <c r="C935" s="49" t="s">
        <v>19</v>
      </c>
      <c r="D935" s="110" t="str">
        <f>IF(ISBLANK($B935),"",IFERROR(VLOOKUP($B935,ESTOQUE!$B$2:$D$97168,3,FALSE),"Produto não cadastrado"))</f>
        <v>OCULOS OPERACIONAL SOBRE POR ESCURO</v>
      </c>
      <c r="E935" s="99" t="str">
        <f>_xlfn.XLOOKUP(B935,ESTOQUE!B:B,ESTOQUE!G:G,"",0)</f>
        <v>UND</v>
      </c>
      <c r="F935" s="99">
        <v>1</v>
      </c>
      <c r="G935" s="146"/>
      <c r="H935" s="146"/>
      <c r="I935" s="147"/>
      <c r="J935" s="147"/>
      <c r="K935" s="63"/>
    </row>
    <row r="936" spans="1:11" x14ac:dyDescent="0.25">
      <c r="A936" s="108">
        <v>45979</v>
      </c>
      <c r="B936" s="109">
        <v>130</v>
      </c>
      <c r="C936" s="49" t="s">
        <v>19</v>
      </c>
      <c r="D936" s="110" t="str">
        <f>IF(ISBLANK($B936),"",IFERROR(VLOOKUP($B936,ESTOQUE!$B$2:$D$97168,3,FALSE),"Produto não cadastrado"))</f>
        <v>PROTETOR AUDITIVO TIPO CONCHA L-300</v>
      </c>
      <c r="E936" s="99" t="str">
        <f>_xlfn.XLOOKUP(B936,ESTOQUE!B:B,ESTOQUE!G:G,"",0)</f>
        <v>UND</v>
      </c>
      <c r="F936" s="99">
        <v>1</v>
      </c>
      <c r="G936" s="146"/>
      <c r="H936" s="146"/>
      <c r="I936" s="147"/>
      <c r="J936" s="147"/>
      <c r="K936" s="63"/>
    </row>
    <row r="937" spans="1:11" x14ac:dyDescent="0.25">
      <c r="A937" s="108">
        <v>45979</v>
      </c>
      <c r="B937" s="109">
        <v>139</v>
      </c>
      <c r="C937" s="49" t="s">
        <v>19</v>
      </c>
      <c r="D937" s="110" t="str">
        <f>IF(ISBLANK($B937),"",IFERROR(VLOOKUP($B937,ESTOQUE!$B$2:$D$97168,3,FALSE),"Produto não cadastrado"))</f>
        <v>PROTETOR AURICULAR TIPO PLUG</v>
      </c>
      <c r="E937" s="99" t="str">
        <f>_xlfn.XLOOKUP(B937,ESTOQUE!B:B,ESTOQUE!G:G,"",0)</f>
        <v>UND</v>
      </c>
      <c r="F937" s="99">
        <v>1</v>
      </c>
      <c r="G937" s="146"/>
      <c r="H937" s="146"/>
      <c r="I937" s="147"/>
      <c r="J937" s="147"/>
      <c r="K937" s="63"/>
    </row>
    <row r="938" spans="1:11" x14ac:dyDescent="0.25">
      <c r="A938" s="108">
        <v>45982</v>
      </c>
      <c r="B938" s="109">
        <v>8</v>
      </c>
      <c r="C938" s="49" t="s">
        <v>19</v>
      </c>
      <c r="D938" s="110" t="str">
        <f>IF(ISBLANK($B938),"",IFERROR(VLOOKUP($B938,ESTOQUE!$B$2:$D$97168,3,FALSE),"Produto não cadastrado"))</f>
        <v>BOTA PVC CANO LONGO Nº 40</v>
      </c>
      <c r="E938" s="99" t="str">
        <f>_xlfn.XLOOKUP(B938,ESTOQUE!B:B,ESTOQUE!G:G,"",0)</f>
        <v>PAR</v>
      </c>
      <c r="F938" s="99">
        <v>1</v>
      </c>
      <c r="G938" s="146"/>
      <c r="H938" s="146"/>
      <c r="I938" s="147"/>
      <c r="J938" s="147"/>
      <c r="K938" s="63"/>
    </row>
    <row r="939" spans="1:11" x14ac:dyDescent="0.25">
      <c r="A939" s="108">
        <v>45982</v>
      </c>
      <c r="B939" s="109">
        <v>10</v>
      </c>
      <c r="C939" s="49" t="s">
        <v>19</v>
      </c>
      <c r="D939" s="110" t="str">
        <f>IF(ISBLANK($B939),"",IFERROR(VLOOKUP($B939,ESTOQUE!$B$2:$D$97168,3,FALSE),"Produto não cadastrado"))</f>
        <v>BOTA PVC CANO LONGO Nº 42</v>
      </c>
      <c r="E939" s="99" t="str">
        <f>_xlfn.XLOOKUP(B939,ESTOQUE!B:B,ESTOQUE!G:G,"",0)</f>
        <v>PAR</v>
      </c>
      <c r="F939" s="99">
        <v>1</v>
      </c>
      <c r="G939" s="146"/>
      <c r="H939" s="146"/>
      <c r="I939" s="147"/>
      <c r="J939" s="147"/>
      <c r="K939" s="63"/>
    </row>
    <row r="940" spans="1:11" x14ac:dyDescent="0.25">
      <c r="A940" s="108">
        <v>45982</v>
      </c>
      <c r="B940" s="109">
        <v>13</v>
      </c>
      <c r="C940" s="49" t="s">
        <v>19</v>
      </c>
      <c r="D940" s="110" t="str">
        <f>IF(ISBLANK($B940),"",IFERROR(VLOOKUP($B940,ESTOQUE!$B$2:$D$97168,3,FALSE),"Produto não cadastrado"))</f>
        <v>BOTA PVC CANO LONGO Nº 45</v>
      </c>
      <c r="E940" s="99" t="str">
        <f>_xlfn.XLOOKUP(B940,ESTOQUE!B:B,ESTOQUE!G:G,"",0)</f>
        <v>PAR</v>
      </c>
      <c r="F940" s="99">
        <v>1</v>
      </c>
      <c r="G940" s="146"/>
      <c r="H940" s="146"/>
      <c r="I940" s="147"/>
      <c r="J940" s="147"/>
      <c r="K940" s="63"/>
    </row>
    <row r="941" spans="1:11" x14ac:dyDescent="0.25">
      <c r="A941" s="108">
        <v>45982</v>
      </c>
      <c r="B941" s="109">
        <v>41</v>
      </c>
      <c r="C941" s="49" t="s">
        <v>19</v>
      </c>
      <c r="D941" s="110" t="str">
        <f>IF(ISBLANK($B941),"",IFERROR(VLOOKUP($B941,ESTOQUE!$B$2:$D$97168,3,FALSE),"Produto não cadastrado"))</f>
        <v>BOTINA OP. BICO PVC Nº 43</v>
      </c>
      <c r="E941" s="99" t="str">
        <f>_xlfn.XLOOKUP(B941,ESTOQUE!B:B,ESTOQUE!G:G,"",0)</f>
        <v>PAR</v>
      </c>
      <c r="F941" s="99">
        <v>1</v>
      </c>
      <c r="G941" s="146"/>
      <c r="H941" s="146"/>
      <c r="I941" s="147"/>
      <c r="J941" s="147"/>
      <c r="K941" s="63"/>
    </row>
    <row r="942" spans="1:11" x14ac:dyDescent="0.25">
      <c r="A942" s="108">
        <v>45982</v>
      </c>
      <c r="B942" s="109">
        <v>46</v>
      </c>
      <c r="C942" s="49" t="s">
        <v>19</v>
      </c>
      <c r="D942" s="110" t="str">
        <f>IF(ISBLANK($B942),"",IFERROR(VLOOKUP($B942,ESTOQUE!$B$2:$D$97168,3,FALSE),"Produto não cadastrado"))</f>
        <v>CALÇA CINZA OP. C/ FAIXA REFLETIVA TAM: G</v>
      </c>
      <c r="E942" s="99" t="str">
        <f>_xlfn.XLOOKUP(B942,ESTOQUE!B:B,ESTOQUE!G:G,"",0)</f>
        <v>UND</v>
      </c>
      <c r="F942" s="99">
        <v>3</v>
      </c>
      <c r="G942" s="146"/>
      <c r="H942" s="146"/>
      <c r="I942" s="147"/>
      <c r="J942" s="147"/>
      <c r="K942" s="63"/>
    </row>
    <row r="943" spans="1:11" x14ac:dyDescent="0.25">
      <c r="A943" s="108">
        <v>45982</v>
      </c>
      <c r="B943" s="109">
        <v>50</v>
      </c>
      <c r="C943" s="49" t="s">
        <v>19</v>
      </c>
      <c r="D943" s="110" t="str">
        <f>IF(ISBLANK($B943),"",IFERROR(VLOOKUP($B943,ESTOQUE!$B$2:$D$97168,3,FALSE),"Produto não cadastrado"))</f>
        <v>CALÇA CINZA OP. C/ FAIXA REFLETIVA TAM: XG</v>
      </c>
      <c r="E943" s="99" t="str">
        <f>_xlfn.XLOOKUP(B943,ESTOQUE!B:B,ESTOQUE!G:G,"",0)</f>
        <v>UND</v>
      </c>
      <c r="F943" s="99">
        <v>2</v>
      </c>
      <c r="G943" s="146"/>
      <c r="H943" s="146"/>
      <c r="I943" s="147"/>
      <c r="J943" s="147"/>
      <c r="K943" s="63"/>
    </row>
    <row r="944" spans="1:11" x14ac:dyDescent="0.25">
      <c r="A944" s="108">
        <v>45982</v>
      </c>
      <c r="B944" s="109">
        <v>67</v>
      </c>
      <c r="C944" s="49" t="s">
        <v>19</v>
      </c>
      <c r="D944" s="110" t="str">
        <f>IF(ISBLANK($B944),"",IFERROR(VLOOKUP($B944,ESTOQUE!$B$2:$D$97168,3,FALSE),"Produto não cadastrado"))</f>
        <v>CAMISA LARANJA OP. C/ FAIXA REFLETIVA TAM: G</v>
      </c>
      <c r="E944" s="99" t="str">
        <f>_xlfn.XLOOKUP(B944,ESTOQUE!B:B,ESTOQUE!G:G,"",0)</f>
        <v>UND</v>
      </c>
      <c r="F944" s="99">
        <v>4</v>
      </c>
      <c r="G944" s="146"/>
      <c r="H944" s="146"/>
      <c r="I944" s="147"/>
      <c r="J944" s="147"/>
      <c r="K944" s="63"/>
    </row>
    <row r="945" spans="1:11" x14ac:dyDescent="0.25">
      <c r="A945" s="108">
        <v>45982</v>
      </c>
      <c r="B945" s="109">
        <v>71</v>
      </c>
      <c r="C945" s="49" t="s">
        <v>19</v>
      </c>
      <c r="D945" s="110" t="str">
        <f>IF(ISBLANK($B945),"",IFERROR(VLOOKUP($B945,ESTOQUE!$B$2:$D$97168,3,FALSE),"Produto não cadastrado"))</f>
        <v>CAMISA LARANJA OP. C/ FAIXA REFLETIVA TAM: XG</v>
      </c>
      <c r="E945" s="99" t="str">
        <f>_xlfn.XLOOKUP(B945,ESTOQUE!B:B,ESTOQUE!G:G,"",0)</f>
        <v>UND</v>
      </c>
      <c r="F945" s="99">
        <v>1</v>
      </c>
      <c r="G945" s="146"/>
      <c r="H945" s="146"/>
      <c r="I945" s="147"/>
      <c r="J945" s="147"/>
      <c r="K945" s="63"/>
    </row>
    <row r="946" spans="1:11" x14ac:dyDescent="0.25">
      <c r="A946" s="108">
        <v>45982</v>
      </c>
      <c r="B946" s="109">
        <v>96</v>
      </c>
      <c r="C946" s="49" t="s">
        <v>19</v>
      </c>
      <c r="D946" s="110" t="str">
        <f>IF(ISBLANK($B946),"",IFERROR(VLOOKUP($B946,ESTOQUE!$B$2:$D$97168,3,FALSE),"Produto não cadastrado"))</f>
        <v xml:space="preserve">CINTO DE SEGURANÇA MODELO:C70 </v>
      </c>
      <c r="E946" s="99" t="str">
        <f>_xlfn.XLOOKUP(B946,ESTOQUE!B:B,ESTOQUE!G:G,"",0)</f>
        <v>UND</v>
      </c>
      <c r="F946" s="99">
        <v>2</v>
      </c>
      <c r="G946" s="146"/>
      <c r="H946" s="146"/>
      <c r="I946" s="147"/>
      <c r="J946" s="147"/>
      <c r="K946" s="63"/>
    </row>
    <row r="947" spans="1:11" x14ac:dyDescent="0.25">
      <c r="A947" s="108">
        <v>45982</v>
      </c>
      <c r="B947" s="109">
        <v>112</v>
      </c>
      <c r="C947" s="49" t="s">
        <v>19</v>
      </c>
      <c r="D947" s="110" t="str">
        <f>IF(ISBLANK($B947),"",IFERROR(VLOOKUP($B947,ESTOQUE!$B$2:$D$97168,3,FALSE),"Produto não cadastrado"))</f>
        <v>LUVA DE RASPA CANO MEDIO</v>
      </c>
      <c r="E947" s="99" t="str">
        <f>_xlfn.XLOOKUP(B947,ESTOQUE!B:B,ESTOQUE!G:G,"",0)</f>
        <v>PAR</v>
      </c>
      <c r="F947" s="99">
        <v>3</v>
      </c>
      <c r="G947" s="146"/>
      <c r="H947" s="146"/>
      <c r="I947" s="147"/>
      <c r="J947" s="147"/>
      <c r="K947" s="63"/>
    </row>
    <row r="948" spans="1:11" x14ac:dyDescent="0.25">
      <c r="A948" s="108">
        <v>45982</v>
      </c>
      <c r="B948" s="109">
        <v>118</v>
      </c>
      <c r="C948" s="49" t="s">
        <v>19</v>
      </c>
      <c r="D948" s="110" t="str">
        <f>IF(ISBLANK($B948),"",IFERROR(VLOOKUP($B948,ESTOQUE!$B$2:$D$97168,3,FALSE),"Produto não cadastrado"))</f>
        <v>MACACÃO DE PROTEÇÃO TYVEK</v>
      </c>
      <c r="E948" s="99" t="str">
        <f>_xlfn.XLOOKUP(B948,ESTOQUE!B:B,ESTOQUE!G:G,"",0)</f>
        <v>UND</v>
      </c>
      <c r="F948" s="99">
        <v>26</v>
      </c>
      <c r="G948" s="146"/>
      <c r="H948" s="146"/>
      <c r="I948" s="147"/>
      <c r="J948" s="147"/>
      <c r="K948" s="63"/>
    </row>
    <row r="949" spans="1:11" x14ac:dyDescent="0.25">
      <c r="A949" s="108">
        <v>45982</v>
      </c>
      <c r="B949" s="109">
        <v>111</v>
      </c>
      <c r="C949" s="49" t="s">
        <v>19</v>
      </c>
      <c r="D949" s="110" t="str">
        <f>IF(ISBLANK($B949),"",IFERROR(VLOOKUP($B949,ESTOQUE!$B$2:$D$97168,3,FALSE),"Produto não cadastrado"))</f>
        <v>LUVA DE VAQUETA MARROM</v>
      </c>
      <c r="E949" s="99" t="str">
        <f>_xlfn.XLOOKUP(B949,ESTOQUE!B:B,ESTOQUE!G:G,"",0)</f>
        <v>PAR</v>
      </c>
      <c r="F949" s="99">
        <v>12</v>
      </c>
      <c r="G949" s="146"/>
      <c r="H949" s="146"/>
      <c r="I949" s="147"/>
      <c r="J949" s="147"/>
      <c r="K949" s="63"/>
    </row>
    <row r="950" spans="1:11" x14ac:dyDescent="0.25">
      <c r="A950" s="108">
        <v>45982</v>
      </c>
      <c r="B950" s="109">
        <v>114</v>
      </c>
      <c r="C950" s="49" t="s">
        <v>19</v>
      </c>
      <c r="D950" s="110" t="str">
        <f>IF(ISBLANK($B950),"",IFERROR(VLOOKUP($B950,ESTOQUE!$B$2:$D$97168,3,FALSE),"Produto não cadastrado"))</f>
        <v xml:space="preserve">LUVA LATEX NITRILICA </v>
      </c>
      <c r="E950" s="99" t="str">
        <f>_xlfn.XLOOKUP(B950,ESTOQUE!B:B,ESTOQUE!G:G,"",0)</f>
        <v>PAR</v>
      </c>
      <c r="F950" s="99">
        <v>2</v>
      </c>
      <c r="G950" s="146"/>
      <c r="H950" s="146"/>
      <c r="I950" s="147"/>
      <c r="J950" s="147"/>
      <c r="K950" s="63"/>
    </row>
    <row r="951" spans="1:11" x14ac:dyDescent="0.25">
      <c r="A951" s="108">
        <v>45982</v>
      </c>
      <c r="B951" s="109">
        <v>257</v>
      </c>
      <c r="C951" s="49" t="s">
        <v>19</v>
      </c>
      <c r="D951" s="110" t="str">
        <f>IF(ISBLANK($B951),"",IFERROR(VLOOKUP($B951,ESTOQUE!$B$2:$D$97168,3,FALSE),"Produto não cadastrado"))</f>
        <v xml:space="preserve">LUVA MULTITATO </v>
      </c>
      <c r="E951" s="99" t="str">
        <f>_xlfn.XLOOKUP(B951,ESTOQUE!B:B,ESTOQUE!G:G,"",0)</f>
        <v>UND</v>
      </c>
      <c r="F951" s="99">
        <v>1</v>
      </c>
      <c r="G951" s="146"/>
      <c r="H951" s="146"/>
      <c r="I951" s="147"/>
      <c r="J951" s="147"/>
      <c r="K951" s="63"/>
    </row>
    <row r="952" spans="1:11" x14ac:dyDescent="0.25">
      <c r="A952" s="108">
        <v>45982</v>
      </c>
      <c r="B952" s="109">
        <v>144</v>
      </c>
      <c r="C952" s="49" t="s">
        <v>19</v>
      </c>
      <c r="D952" s="110" t="str">
        <f>IF(ISBLANK($B952),"",IFERROR(VLOOKUP($B952,ESTOQUE!$B$2:$D$97168,3,FALSE),"Produto não cadastrado"))</f>
        <v>MASCARA PFF2-S C/ FILTRO</v>
      </c>
      <c r="E952" s="99" t="str">
        <f>_xlfn.XLOOKUP(B952,ESTOQUE!B:B,ESTOQUE!G:G,"",0)</f>
        <v>UND</v>
      </c>
      <c r="F952" s="99">
        <v>37</v>
      </c>
      <c r="G952" s="146"/>
      <c r="H952" s="146"/>
      <c r="I952" s="147"/>
      <c r="J952" s="147"/>
      <c r="K952" s="63"/>
    </row>
    <row r="953" spans="1:11" x14ac:dyDescent="0.25">
      <c r="A953" s="108">
        <v>45982</v>
      </c>
      <c r="B953" s="109">
        <v>126</v>
      </c>
      <c r="C953" s="49" t="s">
        <v>19</v>
      </c>
      <c r="D953" s="110" t="str">
        <f>IF(ISBLANK($B953),"",IFERROR(VLOOKUP($B953,ESTOQUE!$B$2:$D$97168,3,FALSE),"Produto não cadastrado"))</f>
        <v>OCULOS DE PROTEÇÃO ESCURO</v>
      </c>
      <c r="E953" s="99" t="str">
        <f>_xlfn.XLOOKUP(B953,ESTOQUE!B:B,ESTOQUE!G:G,"",0)</f>
        <v>UND</v>
      </c>
      <c r="F953" s="99">
        <v>4</v>
      </c>
      <c r="G953" s="146"/>
      <c r="H953" s="146"/>
      <c r="I953" s="147"/>
      <c r="J953" s="147"/>
      <c r="K953" s="63"/>
    </row>
    <row r="954" spans="1:11" x14ac:dyDescent="0.25">
      <c r="A954" s="108">
        <v>45982</v>
      </c>
      <c r="B954" s="109">
        <v>124</v>
      </c>
      <c r="C954" s="49" t="s">
        <v>19</v>
      </c>
      <c r="D954" s="110" t="str">
        <f>IF(ISBLANK($B954),"",IFERROR(VLOOKUP($B954,ESTOQUE!$B$2:$D$97168,3,FALSE),"Produto não cadastrado"))</f>
        <v xml:space="preserve">OCULOS DE PROTEÇÃO INCOLOR </v>
      </c>
      <c r="E954" s="99" t="str">
        <f>_xlfn.XLOOKUP(B954,ESTOQUE!B:B,ESTOQUE!G:G,"",0)</f>
        <v>UND</v>
      </c>
      <c r="F954" s="99">
        <v>9</v>
      </c>
      <c r="G954" s="146"/>
      <c r="H954" s="146"/>
      <c r="I954" s="147"/>
      <c r="J954" s="147"/>
      <c r="K954" s="63"/>
    </row>
    <row r="955" spans="1:11" x14ac:dyDescent="0.25">
      <c r="A955" s="108">
        <v>45982</v>
      </c>
      <c r="B955" s="109">
        <v>224</v>
      </c>
      <c r="C955" s="49" t="s">
        <v>19</v>
      </c>
      <c r="D955" s="110" t="str">
        <f>IF(ISBLANK($B955),"",IFERROR(VLOOKUP($B955,ESTOQUE!$B$2:$D$97168,3,FALSE),"Produto não cadastrado"))</f>
        <v>OCULOS OPERACIONAL SOBRE POR ESCURO</v>
      </c>
      <c r="E955" s="99" t="str">
        <f>_xlfn.XLOOKUP(B955,ESTOQUE!B:B,ESTOQUE!G:G,"",0)</f>
        <v>UND</v>
      </c>
      <c r="F955" s="99">
        <v>3</v>
      </c>
      <c r="G955" s="146"/>
      <c r="H955" s="146"/>
      <c r="I955" s="147"/>
      <c r="J955" s="147"/>
      <c r="K955" s="63"/>
    </row>
    <row r="956" spans="1:11" x14ac:dyDescent="0.25">
      <c r="A956" s="108">
        <v>45982</v>
      </c>
      <c r="B956" s="109">
        <v>225</v>
      </c>
      <c r="C956" s="49" t="s">
        <v>19</v>
      </c>
      <c r="D956" s="110" t="str">
        <f>IF(ISBLANK($B956),"",IFERROR(VLOOKUP($B956,ESTOQUE!$B$2:$D$97168,3,FALSE),"Produto não cadastrado"))</f>
        <v>OCULOS OPERACIONAL SOBRE POR INCOLOR</v>
      </c>
      <c r="E956" s="99" t="str">
        <f>_xlfn.XLOOKUP(B956,ESTOQUE!B:B,ESTOQUE!G:G,"",0)</f>
        <v>UND</v>
      </c>
      <c r="F956" s="99">
        <v>1</v>
      </c>
      <c r="G956" s="146"/>
      <c r="H956" s="146"/>
      <c r="I956" s="147"/>
      <c r="J956" s="147"/>
      <c r="K956" s="63"/>
    </row>
    <row r="957" spans="1:11" x14ac:dyDescent="0.25">
      <c r="A957" s="108">
        <v>45982</v>
      </c>
      <c r="B957" s="109">
        <v>130</v>
      </c>
      <c r="C957" s="49" t="s">
        <v>19</v>
      </c>
      <c r="D957" s="110" t="str">
        <f>IF(ISBLANK($B957),"",IFERROR(VLOOKUP($B957,ESTOQUE!$B$2:$D$97168,3,FALSE),"Produto não cadastrado"))</f>
        <v>PROTETOR AUDITIVO TIPO CONCHA L-300</v>
      </c>
      <c r="E957" s="99" t="str">
        <f>_xlfn.XLOOKUP(B957,ESTOQUE!B:B,ESTOQUE!G:G,"",0)</f>
        <v>UND</v>
      </c>
      <c r="F957" s="99">
        <v>2</v>
      </c>
      <c r="G957" s="146"/>
      <c r="H957" s="146"/>
      <c r="I957" s="147"/>
      <c r="J957" s="147"/>
      <c r="K957" s="63"/>
    </row>
    <row r="958" spans="1:11" x14ac:dyDescent="0.25">
      <c r="A958" s="108">
        <v>45982</v>
      </c>
      <c r="B958" s="109">
        <v>135</v>
      </c>
      <c r="C958" s="49" t="s">
        <v>19</v>
      </c>
      <c r="D958" s="110" t="str">
        <f>IF(ISBLANK($B958),"",IFERROR(VLOOKUP($B958,ESTOQUE!$B$2:$D$97168,3,FALSE),"Produto não cadastrado"))</f>
        <v>TALABARTE DUPLO TIPO Y</v>
      </c>
      <c r="E958" s="99" t="str">
        <f>_xlfn.XLOOKUP(B958,ESTOQUE!B:B,ESTOQUE!G:G,"",0)</f>
        <v>UND</v>
      </c>
      <c r="F958" s="99">
        <v>2</v>
      </c>
      <c r="G958" s="146"/>
      <c r="H958" s="146"/>
      <c r="I958" s="147"/>
      <c r="J958" s="147"/>
      <c r="K958" s="63"/>
    </row>
    <row r="959" spans="1:11" x14ac:dyDescent="0.25">
      <c r="A959" s="108">
        <v>45983</v>
      </c>
      <c r="B959" s="109">
        <v>228</v>
      </c>
      <c r="C959" s="49" t="s">
        <v>19</v>
      </c>
      <c r="D959" s="110" t="str">
        <f>IF(ISBLANK($B959),"",IFERROR(VLOOKUP($B959,ESTOQUE!$B$2:$D$97168,3,FALSE),"Produto não cadastrado"))</f>
        <v xml:space="preserve">BALACLAVA  </v>
      </c>
      <c r="E959" s="99" t="str">
        <f>_xlfn.XLOOKUP(B959,ESTOQUE!B:B,ESTOQUE!G:G,"",0)</f>
        <v>UND</v>
      </c>
      <c r="F959" s="99">
        <v>2</v>
      </c>
      <c r="G959" s="146"/>
      <c r="H959" s="146"/>
      <c r="I959" s="147"/>
      <c r="J959" s="147"/>
      <c r="K959" s="63"/>
    </row>
    <row r="960" spans="1:11" x14ac:dyDescent="0.25">
      <c r="A960" s="108">
        <v>45983</v>
      </c>
      <c r="B960" s="109">
        <v>46</v>
      </c>
      <c r="C960" s="49" t="s">
        <v>19</v>
      </c>
      <c r="D960" s="110" t="str">
        <f>IF(ISBLANK($B960),"",IFERROR(VLOOKUP($B960,ESTOQUE!$B$2:$D$97168,3,FALSE),"Produto não cadastrado"))</f>
        <v>CALÇA CINZA OP. C/ FAIXA REFLETIVA TAM: G</v>
      </c>
      <c r="E960" s="99" t="str">
        <f>_xlfn.XLOOKUP(B960,ESTOQUE!B:B,ESTOQUE!G:G,"",0)</f>
        <v>UND</v>
      </c>
      <c r="F960" s="99">
        <v>1</v>
      </c>
      <c r="G960" s="146"/>
      <c r="H960" s="146"/>
      <c r="I960" s="147"/>
      <c r="J960" s="147"/>
      <c r="K960" s="63"/>
    </row>
    <row r="961" spans="1:11" x14ac:dyDescent="0.25">
      <c r="A961" s="108">
        <v>45983</v>
      </c>
      <c r="B961" s="109">
        <v>70</v>
      </c>
      <c r="C961" s="49" t="s">
        <v>19</v>
      </c>
      <c r="D961" s="110" t="str">
        <f>IF(ISBLANK($B961),"",IFERROR(VLOOKUP($B961,ESTOQUE!$B$2:$D$97168,3,FALSE),"Produto não cadastrado"))</f>
        <v>CAMISA LARANJA OP. C/ FAIXA REFLETIVA TAM: P</v>
      </c>
      <c r="E961" s="99" t="str">
        <f>_xlfn.XLOOKUP(B961,ESTOQUE!B:B,ESTOQUE!G:G,"",0)</f>
        <v>UND</v>
      </c>
      <c r="F961" s="99">
        <v>1</v>
      </c>
      <c r="G961" s="146"/>
      <c r="H961" s="146"/>
      <c r="I961" s="147"/>
      <c r="J961" s="147"/>
      <c r="K961" s="63"/>
    </row>
    <row r="962" spans="1:11" x14ac:dyDescent="0.25">
      <c r="A962" s="108">
        <v>45983</v>
      </c>
      <c r="B962" s="109">
        <v>71</v>
      </c>
      <c r="C962" s="49" t="s">
        <v>19</v>
      </c>
      <c r="D962" s="110" t="str">
        <f>IF(ISBLANK($B962),"",IFERROR(VLOOKUP($B962,ESTOQUE!$B$2:$D$97168,3,FALSE),"Produto não cadastrado"))</f>
        <v>CAMISA LARANJA OP. C/ FAIXA REFLETIVA TAM: XG</v>
      </c>
      <c r="E962" s="99" t="str">
        <f>_xlfn.XLOOKUP(B962,ESTOQUE!B:B,ESTOQUE!G:G,"",0)</f>
        <v>UND</v>
      </c>
      <c r="F962" s="99">
        <v>1</v>
      </c>
      <c r="G962" s="146"/>
      <c r="H962" s="146"/>
      <c r="I962" s="147"/>
      <c r="J962" s="147"/>
      <c r="K962" s="63"/>
    </row>
    <row r="963" spans="1:11" x14ac:dyDescent="0.25">
      <c r="A963" s="108">
        <v>45983</v>
      </c>
      <c r="B963" s="109">
        <v>72</v>
      </c>
      <c r="C963" s="49" t="s">
        <v>19</v>
      </c>
      <c r="D963" s="110" t="str">
        <f>IF(ISBLANK($B963),"",IFERROR(VLOOKUP($B963,ESTOQUE!$B$2:$D$97168,3,FALSE),"Produto não cadastrado"))</f>
        <v>CAPA DE CHUVA G</v>
      </c>
      <c r="E963" s="99" t="str">
        <f>_xlfn.XLOOKUP(B963,ESTOQUE!B:B,ESTOQUE!G:G,"",0)</f>
        <v>UND</v>
      </c>
      <c r="F963" s="99">
        <v>1</v>
      </c>
      <c r="G963" s="146"/>
      <c r="H963" s="146"/>
      <c r="I963" s="147"/>
      <c r="J963" s="147"/>
      <c r="K963" s="63"/>
    </row>
    <row r="964" spans="1:11" x14ac:dyDescent="0.25">
      <c r="A964" s="108">
        <v>45983</v>
      </c>
      <c r="B964" s="109">
        <v>75</v>
      </c>
      <c r="C964" s="49" t="s">
        <v>19</v>
      </c>
      <c r="D964" s="110" t="str">
        <f>IF(ISBLANK($B964),"",IFERROR(VLOOKUP($B964,ESTOQUE!$B$2:$D$97168,3,FALSE),"Produto não cadastrado"))</f>
        <v>CAPACETE CAMPER AZUL ESCURO</v>
      </c>
      <c r="E964" s="99" t="str">
        <f>_xlfn.XLOOKUP(B964,ESTOQUE!B:B,ESTOQUE!G:G,"",0)</f>
        <v>UND</v>
      </c>
      <c r="F964" s="99">
        <v>1</v>
      </c>
      <c r="G964" s="146"/>
      <c r="H964" s="146"/>
      <c r="I964" s="147"/>
      <c r="J964" s="147"/>
      <c r="K964" s="63"/>
    </row>
    <row r="965" spans="1:11" x14ac:dyDescent="0.25">
      <c r="A965" s="108">
        <v>45983</v>
      </c>
      <c r="B965" s="109">
        <v>210</v>
      </c>
      <c r="C965" s="49" t="s">
        <v>19</v>
      </c>
      <c r="D965" s="110" t="str">
        <f>IF(ISBLANK($B965),"",IFERROR(VLOOKUP($B965,ESTOQUE!$B$2:$D$97168,3,FALSE),"Produto não cadastrado"))</f>
        <v>COLETE REFLETIVO LARANJA G</v>
      </c>
      <c r="E965" s="99" t="str">
        <f>_xlfn.XLOOKUP(B965,ESTOQUE!B:B,ESTOQUE!G:G,"",0)</f>
        <v>UND</v>
      </c>
      <c r="F965" s="99">
        <v>1</v>
      </c>
      <c r="G965" s="146"/>
      <c r="H965" s="146"/>
      <c r="I965" s="147"/>
      <c r="J965" s="147"/>
      <c r="K965" s="63"/>
    </row>
    <row r="966" spans="1:11" x14ac:dyDescent="0.25">
      <c r="A966" s="108">
        <v>45983</v>
      </c>
      <c r="B966" s="109">
        <v>161</v>
      </c>
      <c r="C966" s="49" t="s">
        <v>19</v>
      </c>
      <c r="D966" s="110" t="str">
        <f>IF(ISBLANK($B966),"",IFERROR(VLOOKUP($B966,ESTOQUE!$B$2:$D$97168,3,FALSE),"Produto não cadastrado"))</f>
        <v>JUGULAR</v>
      </c>
      <c r="E966" s="99" t="str">
        <f>_xlfn.XLOOKUP(B966,ESTOQUE!B:B,ESTOQUE!G:G,"",0)</f>
        <v>UND</v>
      </c>
      <c r="F966" s="99">
        <v>3</v>
      </c>
      <c r="G966" s="146"/>
      <c r="H966" s="146"/>
      <c r="I966" s="147"/>
      <c r="J966" s="147"/>
      <c r="K966" s="63"/>
    </row>
    <row r="967" spans="1:11" x14ac:dyDescent="0.25">
      <c r="A967" s="108">
        <v>45983</v>
      </c>
      <c r="B967" s="109">
        <v>110</v>
      </c>
      <c r="C967" s="49" t="s">
        <v>19</v>
      </c>
      <c r="D967" s="110" t="str">
        <f>IF(ISBLANK($B967),"",IFERROR(VLOOKUP($B967,ESTOQUE!$B$2:$D$97168,3,FALSE),"Produto não cadastrado"))</f>
        <v>LUVA DE RASPA CANO LONGO</v>
      </c>
      <c r="E967" s="99" t="str">
        <f>_xlfn.XLOOKUP(B967,ESTOQUE!B:B,ESTOQUE!G:G,"",0)</f>
        <v>PAR</v>
      </c>
      <c r="F967" s="99">
        <v>1</v>
      </c>
      <c r="G967" s="146"/>
      <c r="H967" s="146"/>
      <c r="I967" s="147"/>
      <c r="J967" s="147"/>
      <c r="K967" s="63"/>
    </row>
    <row r="968" spans="1:11" x14ac:dyDescent="0.25">
      <c r="A968" s="108">
        <v>45983</v>
      </c>
      <c r="B968" s="109">
        <v>111</v>
      </c>
      <c r="C968" s="49" t="s">
        <v>19</v>
      </c>
      <c r="D968" s="110" t="str">
        <f>IF(ISBLANK($B968),"",IFERROR(VLOOKUP($B968,ESTOQUE!$B$2:$D$97168,3,FALSE),"Produto não cadastrado"))</f>
        <v>LUVA DE VAQUETA MARROM</v>
      </c>
      <c r="E968" s="99" t="str">
        <f>_xlfn.XLOOKUP(B968,ESTOQUE!B:B,ESTOQUE!G:G,"",0)</f>
        <v>PAR</v>
      </c>
      <c r="F968" s="99">
        <v>2</v>
      </c>
      <c r="G968" s="146"/>
      <c r="H968" s="146"/>
      <c r="I968" s="147"/>
      <c r="J968" s="147"/>
      <c r="K968" s="63"/>
    </row>
    <row r="969" spans="1:11" x14ac:dyDescent="0.25">
      <c r="A969" s="108">
        <v>45983</v>
      </c>
      <c r="B969" s="109">
        <v>118</v>
      </c>
      <c r="C969" s="49" t="s">
        <v>19</v>
      </c>
      <c r="D969" s="110" t="str">
        <f>IF(ISBLANK($B969),"",IFERROR(VLOOKUP($B969,ESTOQUE!$B$2:$D$97168,3,FALSE),"Produto não cadastrado"))</f>
        <v>MACACÃO DE PROTEÇÃO TYVEK</v>
      </c>
      <c r="E969" s="99" t="str">
        <f>_xlfn.XLOOKUP(B969,ESTOQUE!B:B,ESTOQUE!G:G,"",0)</f>
        <v>UND</v>
      </c>
      <c r="F969" s="99">
        <v>1</v>
      </c>
      <c r="G969" s="146"/>
      <c r="H969" s="146"/>
      <c r="I969" s="147"/>
      <c r="J969" s="147"/>
      <c r="K969" s="63"/>
    </row>
    <row r="970" spans="1:11" x14ac:dyDescent="0.25">
      <c r="A970" s="108">
        <v>45983</v>
      </c>
      <c r="B970" s="109">
        <v>144</v>
      </c>
      <c r="C970" s="49" t="s">
        <v>19</v>
      </c>
      <c r="D970" s="110" t="str">
        <f>IF(ISBLANK($B970),"",IFERROR(VLOOKUP($B970,ESTOQUE!$B$2:$D$97168,3,FALSE),"Produto não cadastrado"))</f>
        <v>MASCARA PFF2-S C/ FILTRO</v>
      </c>
      <c r="E970" s="99" t="str">
        <f>_xlfn.XLOOKUP(B970,ESTOQUE!B:B,ESTOQUE!G:G,"",0)</f>
        <v>UND</v>
      </c>
      <c r="F970" s="99">
        <v>9</v>
      </c>
      <c r="G970" s="146"/>
      <c r="H970" s="146"/>
      <c r="I970" s="147"/>
      <c r="J970" s="147"/>
      <c r="K970" s="63"/>
    </row>
    <row r="971" spans="1:11" x14ac:dyDescent="0.25">
      <c r="A971" s="108">
        <v>45983</v>
      </c>
      <c r="B971" s="109">
        <v>126</v>
      </c>
      <c r="C971" s="49" t="s">
        <v>19</v>
      </c>
      <c r="D971" s="110" t="str">
        <f>IF(ISBLANK($B971),"",IFERROR(VLOOKUP($B971,ESTOQUE!$B$2:$D$97168,3,FALSE),"Produto não cadastrado"))</f>
        <v>OCULOS DE PROTEÇÃO ESCURO</v>
      </c>
      <c r="E971" s="99" t="str">
        <f>_xlfn.XLOOKUP(B971,ESTOQUE!B:B,ESTOQUE!G:G,"",0)</f>
        <v>UND</v>
      </c>
      <c r="F971" s="99">
        <v>9</v>
      </c>
      <c r="G971" s="146"/>
      <c r="H971" s="146"/>
      <c r="I971" s="147"/>
      <c r="J971" s="147"/>
      <c r="K971" s="63"/>
    </row>
    <row r="972" spans="1:11" x14ac:dyDescent="0.25">
      <c r="A972" s="108">
        <v>45983</v>
      </c>
      <c r="B972" s="109">
        <v>129</v>
      </c>
      <c r="C972" s="49" t="s">
        <v>19</v>
      </c>
      <c r="D972" s="110" t="str">
        <f>IF(ISBLANK($B972),"",IFERROR(VLOOKUP($B972,ESTOQUE!$B$2:$D$97168,3,FALSE),"Produto não cadastrado"))</f>
        <v>PERNEIRA DE RASPA</v>
      </c>
      <c r="E972" s="99" t="str">
        <f>_xlfn.XLOOKUP(B972,ESTOQUE!B:B,ESTOQUE!G:G,"",0)</f>
        <v>PAR</v>
      </c>
      <c r="F972" s="99">
        <v>2</v>
      </c>
      <c r="G972" s="146"/>
      <c r="H972" s="146"/>
      <c r="I972" s="147"/>
      <c r="J972" s="147"/>
      <c r="K972" s="63"/>
    </row>
    <row r="973" spans="1:11" x14ac:dyDescent="0.25">
      <c r="A973" s="108">
        <v>45983</v>
      </c>
      <c r="B973" s="109">
        <v>139</v>
      </c>
      <c r="C973" s="49" t="s">
        <v>19</v>
      </c>
      <c r="D973" s="110" t="str">
        <f>IF(ISBLANK($B973),"",IFERROR(VLOOKUP($B973,ESTOQUE!$B$2:$D$97168,3,FALSE),"Produto não cadastrado"))</f>
        <v>PROTETOR AURICULAR TIPO PLUG</v>
      </c>
      <c r="E973" s="99" t="str">
        <f>_xlfn.XLOOKUP(B973,ESTOQUE!B:B,ESTOQUE!G:G,"",0)</f>
        <v>UND</v>
      </c>
      <c r="F973" s="99">
        <v>1</v>
      </c>
      <c r="G973" s="146"/>
      <c r="H973" s="146"/>
      <c r="I973" s="147"/>
      <c r="J973" s="147"/>
      <c r="K973" s="63"/>
    </row>
    <row r="974" spans="1:11" x14ac:dyDescent="0.25">
      <c r="A974" s="108">
        <v>45984</v>
      </c>
      <c r="B974" s="109">
        <v>228</v>
      </c>
      <c r="C974" s="49" t="s">
        <v>19</v>
      </c>
      <c r="D974" s="110" t="str">
        <f>IF(ISBLANK($B974),"",IFERROR(VLOOKUP($B974,ESTOQUE!$B$2:$D$97168,3,FALSE),"Produto não cadastrado"))</f>
        <v xml:space="preserve">BALACLAVA  </v>
      </c>
      <c r="E974" s="99" t="str">
        <f>_xlfn.XLOOKUP(B974,ESTOQUE!B:B,ESTOQUE!G:G,"",0)</f>
        <v>UND</v>
      </c>
      <c r="F974" s="99">
        <v>4</v>
      </c>
      <c r="G974" s="146"/>
      <c r="H974" s="146"/>
      <c r="I974" s="147"/>
      <c r="J974" s="147"/>
      <c r="K974" s="63"/>
    </row>
    <row r="975" spans="1:11" x14ac:dyDescent="0.25">
      <c r="A975" s="108">
        <v>45984</v>
      </c>
      <c r="B975" s="109">
        <v>220</v>
      </c>
      <c r="C975" s="49" t="s">
        <v>19</v>
      </c>
      <c r="D975" s="110" t="str">
        <f>IF(ISBLANK($B975),"",IFERROR(VLOOKUP($B975,ESTOQUE!$B$2:$D$97168,3,FALSE),"Produto não cadastrado"))</f>
        <v>BOTINA SEGURANÇA METATARSO  43</v>
      </c>
      <c r="E975" s="99" t="str">
        <f>_xlfn.XLOOKUP(B975,ESTOQUE!B:B,ESTOQUE!G:G,"",0)</f>
        <v>PAR</v>
      </c>
      <c r="F975" s="99">
        <v>0</v>
      </c>
      <c r="G975" s="146"/>
      <c r="H975" s="146"/>
      <c r="I975" s="147"/>
      <c r="J975" s="147"/>
      <c r="K975" s="63"/>
    </row>
    <row r="976" spans="1:11" x14ac:dyDescent="0.25">
      <c r="A976" s="108">
        <v>45984</v>
      </c>
      <c r="B976" s="109">
        <v>46</v>
      </c>
      <c r="C976" s="49" t="s">
        <v>19</v>
      </c>
      <c r="D976" s="110" t="str">
        <f>IF(ISBLANK($B976),"",IFERROR(VLOOKUP($B976,ESTOQUE!$B$2:$D$97168,3,FALSE),"Produto não cadastrado"))</f>
        <v>CALÇA CINZA OP. C/ FAIXA REFLETIVA TAM: G</v>
      </c>
      <c r="E976" s="99" t="str">
        <f>_xlfn.XLOOKUP(B976,ESTOQUE!B:B,ESTOQUE!G:G,"",0)</f>
        <v>UND</v>
      </c>
      <c r="F976" s="99">
        <v>1</v>
      </c>
      <c r="G976" s="146"/>
      <c r="H976" s="146"/>
      <c r="I976" s="147"/>
      <c r="J976" s="147"/>
      <c r="K976" s="63"/>
    </row>
    <row r="977" spans="1:11" x14ac:dyDescent="0.25">
      <c r="A977" s="108">
        <v>45984</v>
      </c>
      <c r="B977" s="109">
        <v>47</v>
      </c>
      <c r="C977" s="49" t="s">
        <v>19</v>
      </c>
      <c r="D977" s="110" t="str">
        <f>IF(ISBLANK($B977),"",IFERROR(VLOOKUP($B977,ESTOQUE!$B$2:$D$97168,3,FALSE),"Produto não cadastrado"))</f>
        <v>CALÇA CINZA OP. C/ FAIXA REFLETIVA TAM: GG</v>
      </c>
      <c r="E977" s="99" t="str">
        <f>_xlfn.XLOOKUP(B977,ESTOQUE!B:B,ESTOQUE!G:G,"",0)</f>
        <v>UND</v>
      </c>
      <c r="F977" s="99">
        <v>2</v>
      </c>
      <c r="G977" s="146"/>
      <c r="H977" s="146"/>
      <c r="I977" s="147"/>
      <c r="J977" s="147"/>
      <c r="K977" s="63"/>
    </row>
    <row r="978" spans="1:11" x14ac:dyDescent="0.25">
      <c r="A978" s="108">
        <v>45984</v>
      </c>
      <c r="B978" s="109">
        <v>67</v>
      </c>
      <c r="C978" s="49" t="s">
        <v>19</v>
      </c>
      <c r="D978" s="110" t="str">
        <f>IF(ISBLANK($B978),"",IFERROR(VLOOKUP($B978,ESTOQUE!$B$2:$D$97168,3,FALSE),"Produto não cadastrado"))</f>
        <v>CAMISA LARANJA OP. C/ FAIXA REFLETIVA TAM: G</v>
      </c>
      <c r="E978" s="99" t="str">
        <f>_xlfn.XLOOKUP(B978,ESTOQUE!B:B,ESTOQUE!G:G,"",0)</f>
        <v>UND</v>
      </c>
      <c r="F978" s="99">
        <v>2</v>
      </c>
      <c r="G978" s="146"/>
      <c r="H978" s="146"/>
      <c r="I978" s="147"/>
      <c r="J978" s="147"/>
      <c r="K978" s="63"/>
    </row>
    <row r="979" spans="1:11" x14ac:dyDescent="0.25">
      <c r="A979" s="108">
        <v>45984</v>
      </c>
      <c r="B979" s="109">
        <v>68</v>
      </c>
      <c r="C979" s="49" t="s">
        <v>19</v>
      </c>
      <c r="D979" s="110" t="str">
        <f>IF(ISBLANK($B979),"",IFERROR(VLOOKUP($B979,ESTOQUE!$B$2:$D$97168,3,FALSE),"Produto não cadastrado"))</f>
        <v>CAMISA LARANJA OP. C/ FAIXA REFLETIVA TAM: GG</v>
      </c>
      <c r="E979" s="99" t="str">
        <f>_xlfn.XLOOKUP(B979,ESTOQUE!B:B,ESTOQUE!G:G,"",0)</f>
        <v>UND</v>
      </c>
      <c r="F979" s="99">
        <v>1</v>
      </c>
      <c r="G979" s="146"/>
      <c r="H979" s="146"/>
      <c r="I979" s="147"/>
      <c r="J979" s="147"/>
      <c r="K979" s="63"/>
    </row>
    <row r="980" spans="1:11" x14ac:dyDescent="0.25">
      <c r="A980" s="108">
        <v>45984</v>
      </c>
      <c r="B980" s="109">
        <v>69</v>
      </c>
      <c r="C980" s="49" t="s">
        <v>19</v>
      </c>
      <c r="D980" s="110" t="str">
        <f>IF(ISBLANK($B980),"",IFERROR(VLOOKUP($B980,ESTOQUE!$B$2:$D$97168,3,FALSE),"Produto não cadastrado"))</f>
        <v>CAMISA LARANJA OP. C/ FAIXA REFLETIVA TAM: M</v>
      </c>
      <c r="E980" s="99" t="str">
        <f>_xlfn.XLOOKUP(B980,ESTOQUE!B:B,ESTOQUE!G:G,"",0)</f>
        <v>UND</v>
      </c>
      <c r="F980" s="99">
        <v>11</v>
      </c>
      <c r="G980" s="146"/>
      <c r="H980" s="146"/>
      <c r="I980" s="147"/>
      <c r="J980" s="147"/>
      <c r="K980" s="63"/>
    </row>
    <row r="981" spans="1:11" x14ac:dyDescent="0.25">
      <c r="A981" s="108">
        <v>45984</v>
      </c>
      <c r="B981" s="109">
        <v>210</v>
      </c>
      <c r="C981" s="49" t="s">
        <v>19</v>
      </c>
      <c r="D981" s="110" t="str">
        <f>IF(ISBLANK($B981),"",IFERROR(VLOOKUP($B981,ESTOQUE!$B$2:$D$97168,3,FALSE),"Produto não cadastrado"))</f>
        <v>COLETE REFLETIVO LARANJA G</v>
      </c>
      <c r="E981" s="99" t="str">
        <f>_xlfn.XLOOKUP(B981,ESTOQUE!B:B,ESTOQUE!G:G,"",0)</f>
        <v>UND</v>
      </c>
      <c r="F981" s="99">
        <v>1</v>
      </c>
      <c r="G981" s="146"/>
      <c r="H981" s="146"/>
      <c r="I981" s="147"/>
      <c r="J981" s="147"/>
      <c r="K981" s="63"/>
    </row>
    <row r="982" spans="1:11" x14ac:dyDescent="0.25">
      <c r="A982" s="108">
        <v>45984</v>
      </c>
      <c r="B982" s="109">
        <v>110</v>
      </c>
      <c r="C982" s="49" t="s">
        <v>19</v>
      </c>
      <c r="D982" s="110" t="str">
        <f>IF(ISBLANK($B982),"",IFERROR(VLOOKUP($B982,ESTOQUE!$B$2:$D$97168,3,FALSE),"Produto não cadastrado"))</f>
        <v>LUVA DE RASPA CANO LONGO</v>
      </c>
      <c r="E982" s="99" t="str">
        <f>_xlfn.XLOOKUP(B982,ESTOQUE!B:B,ESTOQUE!G:G,"",0)</f>
        <v>PAR</v>
      </c>
      <c r="F982" s="99">
        <v>7</v>
      </c>
      <c r="G982" s="146"/>
      <c r="H982" s="146"/>
      <c r="I982" s="147"/>
      <c r="J982" s="147"/>
      <c r="K982" s="63"/>
    </row>
    <row r="983" spans="1:11" x14ac:dyDescent="0.25">
      <c r="A983" s="108">
        <v>45984</v>
      </c>
      <c r="B983" s="109">
        <v>114</v>
      </c>
      <c r="C983" s="49" t="s">
        <v>19</v>
      </c>
      <c r="D983" s="110" t="str">
        <f>IF(ISBLANK($B983),"",IFERROR(VLOOKUP($B983,ESTOQUE!$B$2:$D$97168,3,FALSE),"Produto não cadastrado"))</f>
        <v xml:space="preserve">LUVA LATEX NITRILICA </v>
      </c>
      <c r="E983" s="99" t="str">
        <f>_xlfn.XLOOKUP(B983,ESTOQUE!B:B,ESTOQUE!G:G,"",0)</f>
        <v>PAR</v>
      </c>
      <c r="F983" s="99">
        <v>5</v>
      </c>
      <c r="G983" s="146"/>
      <c r="H983" s="146"/>
      <c r="I983" s="147"/>
      <c r="J983" s="147"/>
      <c r="K983" s="63"/>
    </row>
    <row r="984" spans="1:11" x14ac:dyDescent="0.25">
      <c r="A984" s="108">
        <v>45984</v>
      </c>
      <c r="B984" s="109">
        <v>159</v>
      </c>
      <c r="C984" s="49" t="s">
        <v>19</v>
      </c>
      <c r="D984" s="110" t="str">
        <f>IF(ISBLANK($B984),"",IFERROR(VLOOKUP($B984,ESTOQUE!$B$2:$D$97168,3,FALSE),"Produto não cadastrado"))</f>
        <v>LUVA VOLK ANTIVIBRAÇÃO GORILA TAM 9</v>
      </c>
      <c r="E984" s="99" t="str">
        <f>_xlfn.XLOOKUP(B984,ESTOQUE!B:B,ESTOQUE!G:G,"",0)</f>
        <v>PAR</v>
      </c>
      <c r="F984" s="99">
        <v>1</v>
      </c>
      <c r="G984" s="146"/>
      <c r="H984" s="146"/>
      <c r="I984" s="147"/>
      <c r="J984" s="147"/>
      <c r="K984" s="63"/>
    </row>
    <row r="985" spans="1:11" x14ac:dyDescent="0.25">
      <c r="A985" s="108">
        <v>45984</v>
      </c>
      <c r="B985" s="109">
        <v>118</v>
      </c>
      <c r="C985" s="49" t="s">
        <v>19</v>
      </c>
      <c r="D985" s="110" t="str">
        <f>IF(ISBLANK($B985),"",IFERROR(VLOOKUP($B985,ESTOQUE!$B$2:$D$97168,3,FALSE),"Produto não cadastrado"))</f>
        <v>MACACÃO DE PROTEÇÃO TYVEK</v>
      </c>
      <c r="E985" s="99" t="str">
        <f>_xlfn.XLOOKUP(B985,ESTOQUE!B:B,ESTOQUE!G:G,"",0)</f>
        <v>UND</v>
      </c>
      <c r="F985" s="99">
        <v>91</v>
      </c>
      <c r="G985" s="146"/>
      <c r="H985" s="146"/>
      <c r="I985" s="147"/>
      <c r="J985" s="147"/>
      <c r="K985" s="63"/>
    </row>
    <row r="986" spans="1:11" x14ac:dyDescent="0.25">
      <c r="A986" s="108">
        <v>45984</v>
      </c>
      <c r="B986" s="109">
        <v>126</v>
      </c>
      <c r="C986" s="49" t="s">
        <v>19</v>
      </c>
      <c r="D986" s="110" t="str">
        <f>IF(ISBLANK($B986),"",IFERROR(VLOOKUP($B986,ESTOQUE!$B$2:$D$97168,3,FALSE),"Produto não cadastrado"))</f>
        <v>OCULOS DE PROTEÇÃO ESCURO</v>
      </c>
      <c r="E986" s="99" t="str">
        <f>_xlfn.XLOOKUP(B986,ESTOQUE!B:B,ESTOQUE!G:G,"",0)</f>
        <v>UND</v>
      </c>
      <c r="F986" s="99">
        <v>5</v>
      </c>
      <c r="G986" s="146"/>
      <c r="H986" s="146"/>
      <c r="I986" s="147"/>
      <c r="J986" s="147"/>
      <c r="K986" s="63"/>
    </row>
    <row r="987" spans="1:11" x14ac:dyDescent="0.25">
      <c r="A987" s="108">
        <v>45984</v>
      </c>
      <c r="B987" s="109">
        <v>129</v>
      </c>
      <c r="C987" s="49" t="s">
        <v>19</v>
      </c>
      <c r="D987" s="110" t="str">
        <f>IF(ISBLANK($B987),"",IFERROR(VLOOKUP($B987,ESTOQUE!$B$2:$D$97168,3,FALSE),"Produto não cadastrado"))</f>
        <v>PERNEIRA DE RASPA</v>
      </c>
      <c r="E987" s="99" t="str">
        <f>_xlfn.XLOOKUP(B987,ESTOQUE!B:B,ESTOQUE!G:G,"",0)</f>
        <v>PAR</v>
      </c>
      <c r="F987" s="99">
        <v>1</v>
      </c>
      <c r="G987" s="146"/>
      <c r="H987" s="146"/>
      <c r="I987" s="147"/>
      <c r="J987" s="147"/>
      <c r="K987" s="63"/>
    </row>
    <row r="988" spans="1:11" x14ac:dyDescent="0.25">
      <c r="A988" s="108">
        <v>45984</v>
      </c>
      <c r="B988" s="109">
        <v>139</v>
      </c>
      <c r="C988" s="49" t="s">
        <v>19</v>
      </c>
      <c r="D988" s="110" t="str">
        <f>IF(ISBLANK($B988),"",IFERROR(VLOOKUP($B988,ESTOQUE!$B$2:$D$97168,3,FALSE),"Produto não cadastrado"))</f>
        <v>PROTETOR AURICULAR TIPO PLUG</v>
      </c>
      <c r="E988" s="99" t="str">
        <f>_xlfn.XLOOKUP(B988,ESTOQUE!B:B,ESTOQUE!G:G,"",0)</f>
        <v>UND</v>
      </c>
      <c r="F988" s="99">
        <v>3</v>
      </c>
      <c r="G988" s="146"/>
      <c r="H988" s="146"/>
      <c r="I988" s="147"/>
      <c r="J988" s="147"/>
      <c r="K988" s="63"/>
    </row>
    <row r="989" spans="1:11" x14ac:dyDescent="0.25">
      <c r="A989" s="108">
        <v>45984</v>
      </c>
      <c r="B989" s="109">
        <v>194</v>
      </c>
      <c r="C989" s="49" t="s">
        <v>19</v>
      </c>
      <c r="D989" s="110" t="str">
        <f>IF(ISBLANK($B989),"",IFERROR(VLOOKUP($B989,ESTOQUE!$B$2:$D$97168,3,FALSE),"Produto não cadastrado"))</f>
        <v>VISEIRA ACOPLADA</v>
      </c>
      <c r="E989" s="99" t="str">
        <f>_xlfn.XLOOKUP(B989,ESTOQUE!B:B,ESTOQUE!G:G,"",0)</f>
        <v>UND</v>
      </c>
      <c r="F989" s="99">
        <v>1</v>
      </c>
      <c r="G989" s="146"/>
      <c r="H989" s="146"/>
      <c r="I989" s="147"/>
      <c r="J989" s="147"/>
      <c r="K989" s="63"/>
    </row>
    <row r="990" spans="1:11" x14ac:dyDescent="0.25">
      <c r="A990" s="108">
        <v>45985</v>
      </c>
      <c r="B990" s="109">
        <v>1</v>
      </c>
      <c r="C990" s="49" t="s">
        <v>19</v>
      </c>
      <c r="D990" s="110" t="str">
        <f>IF(ISBLANK($B990),"",IFERROR(VLOOKUP($B990,ESTOQUE!$B$2:$D$97168,3,FALSE),"Produto não cadastrado"))</f>
        <v>ABAFADOR DE RUIDOS TIPO CONCHA</v>
      </c>
      <c r="E990" s="99" t="str">
        <f>_xlfn.XLOOKUP(B990,ESTOQUE!B:B,ESTOQUE!G:G,"",0)</f>
        <v>UND</v>
      </c>
      <c r="F990" s="99">
        <v>1</v>
      </c>
      <c r="G990" s="146"/>
      <c r="H990" s="146"/>
      <c r="I990" s="147"/>
      <c r="J990" s="147"/>
      <c r="K990" s="63"/>
    </row>
    <row r="991" spans="1:11" x14ac:dyDescent="0.25">
      <c r="A991" s="108">
        <v>45985</v>
      </c>
      <c r="B991" s="109">
        <v>228</v>
      </c>
      <c r="C991" s="49" t="s">
        <v>19</v>
      </c>
      <c r="D991" s="110" t="str">
        <f>IF(ISBLANK($B991),"",IFERROR(VLOOKUP($B991,ESTOQUE!$B$2:$D$97168,3,FALSE),"Produto não cadastrado"))</f>
        <v xml:space="preserve">BALACLAVA  </v>
      </c>
      <c r="E991" s="99" t="str">
        <f>_xlfn.XLOOKUP(B991,ESTOQUE!B:B,ESTOQUE!G:G,"",0)</f>
        <v>UND</v>
      </c>
      <c r="F991" s="99">
        <v>2</v>
      </c>
      <c r="G991" s="146"/>
      <c r="H991" s="146"/>
      <c r="I991" s="147"/>
      <c r="J991" s="147"/>
      <c r="K991" s="63"/>
    </row>
    <row r="992" spans="1:11" x14ac:dyDescent="0.25">
      <c r="A992" s="108">
        <v>45985</v>
      </c>
      <c r="B992" s="109">
        <v>174</v>
      </c>
      <c r="C992" s="49" t="s">
        <v>19</v>
      </c>
      <c r="D992" s="110" t="str">
        <f>IF(ISBLANK($B992),"",IFERROR(VLOOKUP($B992,ESTOQUE!$B$2:$D$97168,3,FALSE),"Produto não cadastrado"))</f>
        <v>BOTA PVC CANO CURTO Nº 43</v>
      </c>
      <c r="E992" s="99" t="str">
        <f>_xlfn.XLOOKUP(B992,ESTOQUE!B:B,ESTOQUE!G:G,"",0)</f>
        <v>PAR</v>
      </c>
      <c r="F992" s="99">
        <v>1</v>
      </c>
      <c r="G992" s="146"/>
      <c r="H992" s="146"/>
      <c r="I992" s="147"/>
      <c r="J992" s="147"/>
      <c r="K992" s="63"/>
    </row>
    <row r="993" spans="1:11" x14ac:dyDescent="0.25">
      <c r="A993" s="108">
        <v>45985</v>
      </c>
      <c r="B993" s="109">
        <v>47</v>
      </c>
      <c r="C993" s="49" t="s">
        <v>19</v>
      </c>
      <c r="D993" s="110" t="str">
        <f>IF(ISBLANK($B993),"",IFERROR(VLOOKUP($B993,ESTOQUE!$B$2:$D$97168,3,FALSE),"Produto não cadastrado"))</f>
        <v>CALÇA CINZA OP. C/ FAIXA REFLETIVA TAM: GG</v>
      </c>
      <c r="E993" s="99" t="str">
        <f>_xlfn.XLOOKUP(B993,ESTOQUE!B:B,ESTOQUE!G:G,"",0)</f>
        <v>UND</v>
      </c>
      <c r="F993" s="99">
        <v>1</v>
      </c>
      <c r="G993" s="146"/>
      <c r="H993" s="146"/>
      <c r="I993" s="147"/>
      <c r="J993" s="147"/>
      <c r="K993" s="63"/>
    </row>
    <row r="994" spans="1:11" x14ac:dyDescent="0.25">
      <c r="A994" s="108">
        <v>45985</v>
      </c>
      <c r="B994" s="109">
        <v>47</v>
      </c>
      <c r="C994" s="49" t="s">
        <v>19</v>
      </c>
      <c r="D994" s="110" t="str">
        <f>IF(ISBLANK($B994),"",IFERROR(VLOOKUP($B994,ESTOQUE!$B$2:$D$97168,3,FALSE),"Produto não cadastrado"))</f>
        <v>CALÇA CINZA OP. C/ FAIXA REFLETIVA TAM: GG</v>
      </c>
      <c r="E994" s="99" t="str">
        <f>_xlfn.XLOOKUP(B994,ESTOQUE!B:B,ESTOQUE!G:G,"",0)</f>
        <v>UND</v>
      </c>
      <c r="F994" s="99">
        <v>1</v>
      </c>
      <c r="G994" s="146"/>
      <c r="H994" s="146"/>
      <c r="I994" s="147"/>
      <c r="J994" s="147"/>
      <c r="K994" s="63"/>
    </row>
    <row r="995" spans="1:11" x14ac:dyDescent="0.25">
      <c r="A995" s="108">
        <v>45985</v>
      </c>
      <c r="B995" s="109">
        <v>67</v>
      </c>
      <c r="C995" s="49" t="s">
        <v>19</v>
      </c>
      <c r="D995" s="110" t="str">
        <f>IF(ISBLANK($B995),"",IFERROR(VLOOKUP($B995,ESTOQUE!$B$2:$D$97168,3,FALSE),"Produto não cadastrado"))</f>
        <v>CAMISA LARANJA OP. C/ FAIXA REFLETIVA TAM: G</v>
      </c>
      <c r="E995" s="99" t="str">
        <f>_xlfn.XLOOKUP(B995,ESTOQUE!B:B,ESTOQUE!G:G,"",0)</f>
        <v>UND</v>
      </c>
      <c r="F995" s="99">
        <v>1</v>
      </c>
      <c r="G995" s="146"/>
      <c r="H995" s="146"/>
      <c r="I995" s="147"/>
      <c r="J995" s="147"/>
      <c r="K995" s="63"/>
    </row>
    <row r="996" spans="1:11" x14ac:dyDescent="0.25">
      <c r="A996" s="108">
        <v>45985</v>
      </c>
      <c r="B996" s="109">
        <v>73</v>
      </c>
      <c r="C996" s="49" t="s">
        <v>19</v>
      </c>
      <c r="D996" s="110" t="str">
        <f>IF(ISBLANK($B996),"",IFERROR(VLOOKUP($B996,ESTOQUE!$B$2:$D$97168,3,FALSE),"Produto não cadastrado"))</f>
        <v>CAPA DE CHUVA GG</v>
      </c>
      <c r="E996" s="99" t="str">
        <f>_xlfn.XLOOKUP(B996,ESTOQUE!B:B,ESTOQUE!G:G,"",0)</f>
        <v>UND</v>
      </c>
      <c r="F996" s="99">
        <v>32</v>
      </c>
      <c r="G996" s="146"/>
      <c r="H996" s="146"/>
      <c r="I996" s="147"/>
      <c r="J996" s="147"/>
      <c r="K996" s="63"/>
    </row>
    <row r="997" spans="1:11" x14ac:dyDescent="0.25">
      <c r="A997" s="108">
        <v>45985</v>
      </c>
      <c r="B997" s="109">
        <v>91</v>
      </c>
      <c r="C997" s="49" t="s">
        <v>19</v>
      </c>
      <c r="D997" s="110" t="str">
        <f>IF(ISBLANK($B997),"",IFERROR(VLOOKUP($B997,ESTOQUE!$B$2:$D$97168,3,FALSE),"Produto não cadastrado"))</f>
        <v>CAPACETE PLASTCOR ROXO</v>
      </c>
      <c r="E997" s="99" t="str">
        <f>_xlfn.XLOOKUP(B997,ESTOQUE!B:B,ESTOQUE!G:G,"",0)</f>
        <v>UND</v>
      </c>
      <c r="F997" s="99">
        <v>1</v>
      </c>
      <c r="G997" s="146"/>
      <c r="H997" s="146"/>
      <c r="I997" s="147"/>
      <c r="J997" s="147"/>
      <c r="K997" s="63"/>
    </row>
    <row r="998" spans="1:11" x14ac:dyDescent="0.25">
      <c r="A998" s="108">
        <v>45985</v>
      </c>
      <c r="B998" s="109">
        <v>201</v>
      </c>
      <c r="C998" s="49" t="s">
        <v>19</v>
      </c>
      <c r="D998" s="110" t="str">
        <f>IF(ISBLANK($B998),"",IFERROR(VLOOKUP($B998,ESTOQUE!$B$2:$D$97168,3,FALSE),"Produto não cadastrado"))</f>
        <v>CALÇA CINZA OP. C/ FAIXA REFLETIVA TAM: EXG</v>
      </c>
      <c r="E998" s="99" t="str">
        <f>_xlfn.XLOOKUP(B998,ESTOQUE!B:B,ESTOQUE!G:G,"",0)</f>
        <v>UND</v>
      </c>
      <c r="F998" s="99">
        <v>0</v>
      </c>
      <c r="G998" s="146"/>
      <c r="H998" s="146"/>
      <c r="I998" s="147"/>
      <c r="J998" s="147"/>
      <c r="K998" s="63"/>
    </row>
    <row r="999" spans="1:11" x14ac:dyDescent="0.25">
      <c r="A999" s="108">
        <v>45985</v>
      </c>
      <c r="B999" s="109">
        <v>110</v>
      </c>
      <c r="C999" s="49" t="s">
        <v>19</v>
      </c>
      <c r="D999" s="110" t="str">
        <f>IF(ISBLANK($B999),"",IFERROR(VLOOKUP($B999,ESTOQUE!$B$2:$D$97168,3,FALSE),"Produto não cadastrado"))</f>
        <v>LUVA DE RASPA CANO LONGO</v>
      </c>
      <c r="E999" s="99" t="str">
        <f>_xlfn.XLOOKUP(B999,ESTOQUE!B:B,ESTOQUE!G:G,"",0)</f>
        <v>PAR</v>
      </c>
      <c r="F999" s="99">
        <v>4</v>
      </c>
      <c r="G999" s="146"/>
      <c r="H999" s="146"/>
      <c r="I999" s="147"/>
      <c r="J999" s="147"/>
      <c r="K999" s="63"/>
    </row>
    <row r="1000" spans="1:11" x14ac:dyDescent="0.25">
      <c r="A1000" s="108">
        <v>45985</v>
      </c>
      <c r="B1000" s="109">
        <v>111</v>
      </c>
      <c r="C1000" s="49" t="s">
        <v>19</v>
      </c>
      <c r="D1000" s="110" t="str">
        <f>IF(ISBLANK($B1000),"",IFERROR(VLOOKUP($B1000,ESTOQUE!$B$2:$D$97168,3,FALSE),"Produto não cadastrado"))</f>
        <v>LUVA DE VAQUETA MARROM</v>
      </c>
      <c r="E1000" s="99" t="str">
        <f>_xlfn.XLOOKUP(B1000,ESTOQUE!B:B,ESTOQUE!G:G,"",0)</f>
        <v>PAR</v>
      </c>
      <c r="F1000" s="99">
        <v>8</v>
      </c>
      <c r="G1000" s="146"/>
      <c r="H1000" s="146"/>
      <c r="I1000" s="147"/>
      <c r="J1000" s="147"/>
      <c r="K1000" s="63"/>
    </row>
    <row r="1001" spans="1:11" x14ac:dyDescent="0.25">
      <c r="A1001" s="108">
        <v>45985</v>
      </c>
      <c r="B1001" s="109">
        <v>114</v>
      </c>
      <c r="C1001" s="49" t="s">
        <v>19</v>
      </c>
      <c r="D1001" s="110" t="str">
        <f>IF(ISBLANK($B1001),"",IFERROR(VLOOKUP($B1001,ESTOQUE!$B$2:$D$97168,3,FALSE),"Produto não cadastrado"))</f>
        <v xml:space="preserve">LUVA LATEX NITRILICA </v>
      </c>
      <c r="E1001" s="99" t="str">
        <f>_xlfn.XLOOKUP(B1001,ESTOQUE!B:B,ESTOQUE!G:G,"",0)</f>
        <v>PAR</v>
      </c>
      <c r="F1001" s="99">
        <v>8</v>
      </c>
      <c r="G1001" s="146"/>
      <c r="H1001" s="146"/>
      <c r="I1001" s="147"/>
      <c r="J1001" s="147"/>
      <c r="K1001" s="63"/>
    </row>
    <row r="1002" spans="1:11" x14ac:dyDescent="0.25">
      <c r="A1002" s="108">
        <v>45985</v>
      </c>
      <c r="B1002" s="109">
        <v>126</v>
      </c>
      <c r="C1002" s="49" t="s">
        <v>19</v>
      </c>
      <c r="D1002" s="110" t="str">
        <f>IF(ISBLANK($B1002),"",IFERROR(VLOOKUP($B1002,ESTOQUE!$B$2:$D$97168,3,FALSE),"Produto não cadastrado"))</f>
        <v>OCULOS DE PROTEÇÃO ESCURO</v>
      </c>
      <c r="E1002" s="99" t="str">
        <f>_xlfn.XLOOKUP(B1002,ESTOQUE!B:B,ESTOQUE!G:G,"",0)</f>
        <v>UND</v>
      </c>
      <c r="F1002" s="99">
        <v>4</v>
      </c>
      <c r="G1002" s="146"/>
      <c r="H1002" s="146"/>
      <c r="I1002" s="147"/>
      <c r="J1002" s="147"/>
      <c r="K1002" s="63"/>
    </row>
    <row r="1003" spans="1:11" x14ac:dyDescent="0.25">
      <c r="A1003" s="108">
        <v>45986</v>
      </c>
      <c r="B1003" s="109">
        <v>228</v>
      </c>
      <c r="C1003" s="49" t="s">
        <v>19</v>
      </c>
      <c r="D1003" s="110" t="str">
        <f>IF(ISBLANK($B1003),"",IFERROR(VLOOKUP($B1003,ESTOQUE!$B$2:$D$97168,3,FALSE),"Produto não cadastrado"))</f>
        <v xml:space="preserve">BALACLAVA  </v>
      </c>
      <c r="E1003" s="99" t="str">
        <f>_xlfn.XLOOKUP(B1003,ESTOQUE!B:B,ESTOQUE!G:G,"",0)</f>
        <v>UND</v>
      </c>
      <c r="F1003" s="99">
        <v>1</v>
      </c>
      <c r="G1003" s="146"/>
      <c r="H1003" s="146"/>
      <c r="I1003" s="147"/>
      <c r="J1003" s="147"/>
      <c r="K1003" s="63"/>
    </row>
    <row r="1004" spans="1:11" x14ac:dyDescent="0.25">
      <c r="A1004" s="108">
        <v>45986</v>
      </c>
      <c r="B1004" s="109">
        <v>46</v>
      </c>
      <c r="C1004" s="49" t="s">
        <v>19</v>
      </c>
      <c r="D1004" s="110" t="str">
        <f>IF(ISBLANK($B1004),"",IFERROR(VLOOKUP($B1004,ESTOQUE!$B$2:$D$97168,3,FALSE),"Produto não cadastrado"))</f>
        <v>CALÇA CINZA OP. C/ FAIXA REFLETIVA TAM: G</v>
      </c>
      <c r="E1004" s="99" t="str">
        <f>_xlfn.XLOOKUP(B1004,ESTOQUE!B:B,ESTOQUE!G:G,"",0)</f>
        <v>UND</v>
      </c>
      <c r="F1004" s="99">
        <v>2</v>
      </c>
      <c r="G1004" s="146"/>
      <c r="H1004" s="146"/>
      <c r="I1004" s="147"/>
      <c r="J1004" s="147"/>
      <c r="K1004" s="63"/>
    </row>
    <row r="1005" spans="1:11" x14ac:dyDescent="0.25">
      <c r="A1005" s="108">
        <v>45986</v>
      </c>
      <c r="B1005" s="109">
        <v>47</v>
      </c>
      <c r="C1005" s="49" t="s">
        <v>19</v>
      </c>
      <c r="D1005" s="110" t="str">
        <f>IF(ISBLANK($B1005),"",IFERROR(VLOOKUP($B1005,ESTOQUE!$B$2:$D$97168,3,FALSE),"Produto não cadastrado"))</f>
        <v>CALÇA CINZA OP. C/ FAIXA REFLETIVA TAM: GG</v>
      </c>
      <c r="E1005" s="99" t="str">
        <f>_xlfn.XLOOKUP(B1005,ESTOQUE!B:B,ESTOQUE!G:G,"",0)</f>
        <v>UND</v>
      </c>
      <c r="F1005" s="99">
        <v>2</v>
      </c>
      <c r="G1005" s="146"/>
      <c r="H1005" s="146"/>
      <c r="I1005" s="147"/>
      <c r="J1005" s="147"/>
      <c r="K1005" s="63"/>
    </row>
    <row r="1006" spans="1:11" x14ac:dyDescent="0.25">
      <c r="A1006" s="108">
        <v>45986</v>
      </c>
      <c r="B1006" s="109">
        <v>67</v>
      </c>
      <c r="C1006" s="49" t="s">
        <v>19</v>
      </c>
      <c r="D1006" s="110" t="str">
        <f>IF(ISBLANK($B1006),"",IFERROR(VLOOKUP($B1006,ESTOQUE!$B$2:$D$97168,3,FALSE),"Produto não cadastrado"))</f>
        <v>CAMISA LARANJA OP. C/ FAIXA REFLETIVA TAM: G</v>
      </c>
      <c r="E1006" s="99" t="str">
        <f>_xlfn.XLOOKUP(B1006,ESTOQUE!B:B,ESTOQUE!G:G,"",0)</f>
        <v>UND</v>
      </c>
      <c r="F1006" s="99">
        <v>1</v>
      </c>
      <c r="G1006" s="146"/>
      <c r="H1006" s="146"/>
      <c r="I1006" s="147"/>
      <c r="J1006" s="147"/>
      <c r="K1006" s="63"/>
    </row>
    <row r="1007" spans="1:11" x14ac:dyDescent="0.25">
      <c r="A1007" s="108">
        <v>45986</v>
      </c>
      <c r="B1007" s="109">
        <v>96</v>
      </c>
      <c r="C1007" s="49" t="s">
        <v>19</v>
      </c>
      <c r="D1007" s="110" t="str">
        <f>IF(ISBLANK($B1007),"",IFERROR(VLOOKUP($B1007,ESTOQUE!$B$2:$D$97168,3,FALSE),"Produto não cadastrado"))</f>
        <v xml:space="preserve">CINTO DE SEGURANÇA MODELO:C70 </v>
      </c>
      <c r="E1007" s="99" t="str">
        <f>_xlfn.XLOOKUP(B1007,ESTOQUE!B:B,ESTOQUE!G:G,"",0)</f>
        <v>UND</v>
      </c>
      <c r="F1007" s="99">
        <v>1</v>
      </c>
      <c r="G1007" s="146"/>
      <c r="H1007" s="146"/>
      <c r="I1007" s="147"/>
      <c r="J1007" s="147"/>
      <c r="K1007" s="63"/>
    </row>
    <row r="1008" spans="1:11" x14ac:dyDescent="0.25">
      <c r="A1008" s="108">
        <v>45986</v>
      </c>
      <c r="B1008" s="109">
        <v>97</v>
      </c>
      <c r="C1008" s="49" t="s">
        <v>19</v>
      </c>
      <c r="D1008" s="110" t="str">
        <f>IF(ISBLANK($B1008),"",IFERROR(VLOOKUP($B1008,ESTOQUE!$B$2:$D$97168,3,FALSE),"Produto não cadastrado"))</f>
        <v>COLETE REFLETIVO LARANJA M</v>
      </c>
      <c r="E1008" s="99" t="str">
        <f>_xlfn.XLOOKUP(B1008,ESTOQUE!B:B,ESTOQUE!G:G,"",0)</f>
        <v>UND</v>
      </c>
      <c r="F1008" s="99">
        <v>1</v>
      </c>
      <c r="G1008" s="146"/>
      <c r="H1008" s="146"/>
      <c r="I1008" s="147"/>
      <c r="J1008" s="147"/>
      <c r="K1008" s="63"/>
    </row>
    <row r="1009" spans="1:12" x14ac:dyDescent="0.25">
      <c r="A1009" s="108">
        <v>45986</v>
      </c>
      <c r="B1009" s="109">
        <v>111</v>
      </c>
      <c r="C1009" s="49" t="s">
        <v>19</v>
      </c>
      <c r="D1009" s="110" t="str">
        <f>IF(ISBLANK($B1009),"",IFERROR(VLOOKUP($B1009,ESTOQUE!$B$2:$D$97168,3,FALSE),"Produto não cadastrado"))</f>
        <v>LUVA DE VAQUETA MARROM</v>
      </c>
      <c r="E1009" s="99" t="str">
        <f>_xlfn.XLOOKUP(B1009,ESTOQUE!B:B,ESTOQUE!G:G,"",0)</f>
        <v>PAR</v>
      </c>
      <c r="F1009" s="99">
        <v>1</v>
      </c>
      <c r="G1009" s="146"/>
      <c r="H1009" s="146"/>
      <c r="I1009" s="147"/>
      <c r="J1009" s="147"/>
      <c r="K1009" s="63"/>
      <c r="L1009" s="63"/>
    </row>
    <row r="1010" spans="1:12" x14ac:dyDescent="0.25">
      <c r="A1010" s="108">
        <v>45986</v>
      </c>
      <c r="B1010" s="109">
        <v>189</v>
      </c>
      <c r="C1010" s="49" t="s">
        <v>19</v>
      </c>
      <c r="D1010" s="110" t="str">
        <f>IF(ISBLANK($B1010),"",IFERROR(VLOOKUP($B1010,ESTOQUE!$B$2:$D$97168,3,FALSE),"Produto não cadastrado"))</f>
        <v xml:space="preserve">LUVA DE VAQUETA MISTA </v>
      </c>
      <c r="E1010" s="99" t="str">
        <f>_xlfn.XLOOKUP(B1010,ESTOQUE!B:B,ESTOQUE!G:G,"",0)</f>
        <v>UND</v>
      </c>
      <c r="F1010" s="99">
        <v>8</v>
      </c>
      <c r="G1010" s="146"/>
      <c r="H1010" s="146"/>
      <c r="I1010" s="147"/>
      <c r="J1010" s="147"/>
      <c r="K1010" s="63"/>
      <c r="L1010" s="63"/>
    </row>
    <row r="1011" spans="1:12" x14ac:dyDescent="0.25">
      <c r="A1011" s="108">
        <v>45986</v>
      </c>
      <c r="B1011" s="109">
        <v>114</v>
      </c>
      <c r="C1011" s="49" t="s">
        <v>19</v>
      </c>
      <c r="D1011" s="110" t="str">
        <f>IF(ISBLANK($B1011),"",IFERROR(VLOOKUP($B1011,ESTOQUE!$B$2:$D$97168,3,FALSE),"Produto não cadastrado"))</f>
        <v xml:space="preserve">LUVA LATEX NITRILICA </v>
      </c>
      <c r="E1011" s="99" t="str">
        <f>_xlfn.XLOOKUP(B1011,ESTOQUE!B:B,ESTOQUE!G:G,"",0)</f>
        <v>PAR</v>
      </c>
      <c r="F1011" s="99">
        <v>11</v>
      </c>
      <c r="G1011" s="146"/>
      <c r="H1011" s="146"/>
      <c r="I1011" s="147"/>
      <c r="J1011" s="147"/>
      <c r="K1011" s="63"/>
      <c r="L1011" s="100"/>
    </row>
    <row r="1012" spans="1:12" x14ac:dyDescent="0.25">
      <c r="A1012" s="108">
        <v>45986</v>
      </c>
      <c r="B1012" s="109">
        <v>117</v>
      </c>
      <c r="C1012" s="49" t="s">
        <v>19</v>
      </c>
      <c r="D1012" s="110" t="str">
        <f>IF(ISBLANK($B1012),"",IFERROR(VLOOKUP($B1012,ESTOQUE!$B$2:$D$97168,3,FALSE),"Produto não cadastrado"))</f>
        <v>LUVA PIGMENTADA</v>
      </c>
      <c r="E1012" s="99" t="str">
        <f>_xlfn.XLOOKUP(B1012,ESTOQUE!B:B,ESTOQUE!G:G,"",0)</f>
        <v>PAR</v>
      </c>
      <c r="F1012" s="99">
        <v>5</v>
      </c>
      <c r="G1012" s="146"/>
      <c r="H1012" s="146"/>
      <c r="I1012" s="147"/>
      <c r="J1012" s="147"/>
      <c r="K1012" s="63"/>
      <c r="L1012" s="63"/>
    </row>
    <row r="1013" spans="1:12" x14ac:dyDescent="0.25">
      <c r="A1013" s="108">
        <v>45986</v>
      </c>
      <c r="B1013" s="109">
        <v>207</v>
      </c>
      <c r="C1013" s="49" t="s">
        <v>19</v>
      </c>
      <c r="D1013" s="110" t="str">
        <f>IF(ISBLANK($B1013),"",IFERROR(VLOOKUP($B1013,ESTOQUE!$B$2:$D$97168,3,FALSE),"Produto não cadastrado"))</f>
        <v>LUVA POLIESTER ANTICORTE BANHADA PU TAM 9</v>
      </c>
      <c r="E1013" s="99" t="str">
        <f>_xlfn.XLOOKUP(B1013,ESTOQUE!B:B,ESTOQUE!G:G,"",0)</f>
        <v>PAR</v>
      </c>
      <c r="F1013" s="99">
        <v>24</v>
      </c>
      <c r="G1013" s="146"/>
      <c r="H1013" s="146"/>
      <c r="I1013" s="147"/>
      <c r="J1013" s="147"/>
      <c r="K1013" s="63"/>
      <c r="L1013" s="63"/>
    </row>
    <row r="1014" spans="1:12" x14ac:dyDescent="0.25">
      <c r="A1014" s="108">
        <v>45986</v>
      </c>
      <c r="B1014" s="109">
        <v>126</v>
      </c>
      <c r="C1014" s="49" t="s">
        <v>19</v>
      </c>
      <c r="D1014" s="110" t="str">
        <f>IF(ISBLANK($B1014),"",IFERROR(VLOOKUP($B1014,ESTOQUE!$B$2:$D$97168,3,FALSE),"Produto não cadastrado"))</f>
        <v>OCULOS DE PROTEÇÃO ESCURO</v>
      </c>
      <c r="E1014" s="99" t="str">
        <f>_xlfn.XLOOKUP(B1014,ESTOQUE!B:B,ESTOQUE!G:G,"",0)</f>
        <v>UND</v>
      </c>
      <c r="F1014" s="99">
        <v>9</v>
      </c>
      <c r="G1014" s="146"/>
      <c r="H1014" s="146"/>
      <c r="I1014" s="147"/>
      <c r="J1014" s="147"/>
      <c r="K1014" s="63"/>
      <c r="L1014" s="63"/>
    </row>
    <row r="1015" spans="1:12" x14ac:dyDescent="0.25">
      <c r="A1015" s="108">
        <v>45986</v>
      </c>
      <c r="B1015" s="109">
        <v>124</v>
      </c>
      <c r="C1015" s="49" t="s">
        <v>19</v>
      </c>
      <c r="D1015" s="110" t="str">
        <f>IF(ISBLANK($B1015),"",IFERROR(VLOOKUP($B1015,ESTOQUE!$B$2:$D$97168,3,FALSE),"Produto não cadastrado"))</f>
        <v xml:space="preserve">OCULOS DE PROTEÇÃO INCOLOR </v>
      </c>
      <c r="E1015" s="99" t="str">
        <f>_xlfn.XLOOKUP(B1015,ESTOQUE!B:B,ESTOQUE!G:G,"",0)</f>
        <v>UND</v>
      </c>
      <c r="F1015" s="99">
        <v>11</v>
      </c>
      <c r="G1015" s="146"/>
      <c r="H1015" s="146"/>
      <c r="I1015" s="147"/>
      <c r="J1015" s="147"/>
      <c r="K1015" s="63"/>
      <c r="L1015" s="63"/>
    </row>
    <row r="1016" spans="1:12" x14ac:dyDescent="0.25">
      <c r="A1016" s="108">
        <v>45986</v>
      </c>
      <c r="B1016" s="109">
        <v>135</v>
      </c>
      <c r="C1016" s="49" t="s">
        <v>19</v>
      </c>
      <c r="D1016" s="110" t="str">
        <f>IF(ISBLANK($B1016),"",IFERROR(VLOOKUP($B1016,ESTOQUE!$B$2:$D$97168,3,FALSE),"Produto não cadastrado"))</f>
        <v>TALABARTE DUPLO TIPO Y</v>
      </c>
      <c r="E1016" s="99" t="str">
        <f>_xlfn.XLOOKUP(B1016,ESTOQUE!B:B,ESTOQUE!G:G,"",0)</f>
        <v>UND</v>
      </c>
      <c r="F1016" s="99">
        <v>1</v>
      </c>
      <c r="G1016" s="146"/>
      <c r="H1016" s="146"/>
      <c r="I1016" s="147"/>
      <c r="J1016" s="147"/>
      <c r="K1016" s="63"/>
      <c r="L1016" s="63"/>
    </row>
    <row r="1017" spans="1:12" x14ac:dyDescent="0.25">
      <c r="A1017" s="108">
        <v>45986</v>
      </c>
      <c r="B1017" s="109">
        <v>129</v>
      </c>
      <c r="C1017" s="49" t="s">
        <v>19</v>
      </c>
      <c r="D1017" s="110" t="str">
        <f>IF(ISBLANK($B1017),"",IFERROR(VLOOKUP($B1017,ESTOQUE!$B$2:$D$97168,3,FALSE),"Produto não cadastrado"))</f>
        <v>PERNEIRA DE RASPA</v>
      </c>
      <c r="E1017" s="99" t="str">
        <f>_xlfn.XLOOKUP(B1017,ESTOQUE!B:B,ESTOQUE!G:G,"",0)</f>
        <v>PAR</v>
      </c>
      <c r="F1017" s="99">
        <v>1</v>
      </c>
      <c r="G1017" s="146"/>
      <c r="H1017" s="146"/>
      <c r="I1017" s="147"/>
      <c r="J1017" s="147"/>
      <c r="K1017" s="63"/>
      <c r="L1017" s="63"/>
    </row>
    <row r="1018" spans="1:12" x14ac:dyDescent="0.25">
      <c r="A1018" s="108">
        <v>45987</v>
      </c>
      <c r="B1018" s="109">
        <v>228</v>
      </c>
      <c r="C1018" s="49" t="s">
        <v>19</v>
      </c>
      <c r="D1018" s="110" t="str">
        <f>IF(ISBLANK($B1018),"",IFERROR(VLOOKUP($B1018,ESTOQUE!$B$2:$D$97168,3,FALSE),"Produto não cadastrado"))</f>
        <v xml:space="preserve">BALACLAVA  </v>
      </c>
      <c r="E1018" s="99" t="str">
        <f>_xlfn.XLOOKUP(B1018,ESTOQUE!B:B,ESTOQUE!G:G,"",0)</f>
        <v>UND</v>
      </c>
      <c r="F1018" s="99">
        <v>5</v>
      </c>
      <c r="G1018" s="146"/>
      <c r="H1018" s="146"/>
      <c r="I1018" s="147"/>
      <c r="J1018" s="147"/>
      <c r="K1018" s="63"/>
      <c r="L1018" s="63"/>
    </row>
    <row r="1019" spans="1:12" x14ac:dyDescent="0.25">
      <c r="A1019" s="108">
        <v>45987</v>
      </c>
      <c r="B1019" s="109">
        <v>37</v>
      </c>
      <c r="C1019" s="49" t="s">
        <v>19</v>
      </c>
      <c r="D1019" s="110" t="str">
        <f>IF(ISBLANK($B1019),"",IFERROR(VLOOKUP($B1019,ESTOQUE!$B$2:$D$97168,3,FALSE),"Produto não cadastrado"))</f>
        <v>BOTINA OP. BICO PVC Nº 39</v>
      </c>
      <c r="E1019" s="99" t="str">
        <f>_xlfn.XLOOKUP(B1019,ESTOQUE!B:B,ESTOQUE!G:G,"",0)</f>
        <v>PAR</v>
      </c>
      <c r="F1019" s="99">
        <v>1</v>
      </c>
      <c r="G1019" s="146"/>
      <c r="H1019" s="146"/>
      <c r="I1019" s="147"/>
      <c r="J1019" s="147"/>
      <c r="K1019" s="63"/>
      <c r="L1019" s="63"/>
    </row>
    <row r="1020" spans="1:12" x14ac:dyDescent="0.25">
      <c r="A1020" s="108">
        <v>45987</v>
      </c>
      <c r="B1020" s="109">
        <v>46</v>
      </c>
      <c r="C1020" s="49" t="s">
        <v>19</v>
      </c>
      <c r="D1020" s="110" t="str">
        <f>IF(ISBLANK($B1020),"",IFERROR(VLOOKUP($B1020,ESTOQUE!$B$2:$D$97168,3,FALSE),"Produto não cadastrado"))</f>
        <v>CALÇA CINZA OP. C/ FAIXA REFLETIVA TAM: G</v>
      </c>
      <c r="E1020" s="99" t="str">
        <f>_xlfn.XLOOKUP(B1020,ESTOQUE!B:B,ESTOQUE!G:G,"",0)</f>
        <v>UND</v>
      </c>
      <c r="F1020" s="99">
        <v>14</v>
      </c>
      <c r="G1020" s="146"/>
      <c r="H1020" s="146"/>
      <c r="I1020" s="147"/>
      <c r="J1020" s="147"/>
      <c r="K1020" s="63"/>
      <c r="L1020" s="63"/>
    </row>
    <row r="1021" spans="1:12" x14ac:dyDescent="0.25">
      <c r="A1021" s="108">
        <v>45987</v>
      </c>
      <c r="B1021" s="109">
        <v>47</v>
      </c>
      <c r="C1021" s="49" t="s">
        <v>19</v>
      </c>
      <c r="D1021" s="110" t="str">
        <f>IF(ISBLANK($B1021),"",IFERROR(VLOOKUP($B1021,ESTOQUE!$B$2:$D$97168,3,FALSE),"Produto não cadastrado"))</f>
        <v>CALÇA CINZA OP. C/ FAIXA REFLETIVA TAM: GG</v>
      </c>
      <c r="E1021" s="99" t="str">
        <f>_xlfn.XLOOKUP(B1021,ESTOQUE!B:B,ESTOQUE!G:G,"",0)</f>
        <v>UND</v>
      </c>
      <c r="F1021" s="99">
        <v>2</v>
      </c>
      <c r="G1021" s="146"/>
      <c r="H1021" s="146"/>
      <c r="I1021" s="147"/>
      <c r="J1021" s="147"/>
      <c r="K1021" s="63"/>
      <c r="L1021" s="63"/>
    </row>
    <row r="1022" spans="1:12" x14ac:dyDescent="0.25">
      <c r="A1022" s="108">
        <v>45987</v>
      </c>
      <c r="B1022" s="109">
        <v>67</v>
      </c>
      <c r="C1022" s="49" t="s">
        <v>19</v>
      </c>
      <c r="D1022" s="110" t="str">
        <f>IF(ISBLANK($B1022),"",IFERROR(VLOOKUP($B1022,ESTOQUE!$B$2:$D$97168,3,FALSE),"Produto não cadastrado"))</f>
        <v>CAMISA LARANJA OP. C/ FAIXA REFLETIVA TAM: G</v>
      </c>
      <c r="E1022" s="99" t="str">
        <f>_xlfn.XLOOKUP(B1022,ESTOQUE!B:B,ESTOQUE!G:G,"",0)</f>
        <v>UND</v>
      </c>
      <c r="F1022" s="99">
        <v>8</v>
      </c>
      <c r="G1022" s="146"/>
      <c r="H1022" s="146"/>
      <c r="I1022" s="147"/>
      <c r="J1022" s="147"/>
      <c r="K1022" s="63"/>
      <c r="L1022" s="63"/>
    </row>
    <row r="1023" spans="1:12" x14ac:dyDescent="0.25">
      <c r="A1023" s="108">
        <v>45987</v>
      </c>
      <c r="B1023" s="109">
        <v>68</v>
      </c>
      <c r="C1023" s="49" t="s">
        <v>19</v>
      </c>
      <c r="D1023" s="110" t="str">
        <f>IF(ISBLANK($B1023),"",IFERROR(VLOOKUP($B1023,ESTOQUE!$B$2:$D$97168,3,FALSE),"Produto não cadastrado"))</f>
        <v>CAMISA LARANJA OP. C/ FAIXA REFLETIVA TAM: GG</v>
      </c>
      <c r="E1023" s="99" t="str">
        <f>_xlfn.XLOOKUP(B1023,ESTOQUE!B:B,ESTOQUE!G:G,"",0)</f>
        <v>UND</v>
      </c>
      <c r="F1023" s="99">
        <v>2</v>
      </c>
      <c r="G1023" s="146"/>
      <c r="H1023" s="146"/>
      <c r="I1023" s="147"/>
      <c r="J1023" s="147"/>
      <c r="K1023" s="63"/>
      <c r="L1023" s="63"/>
    </row>
    <row r="1024" spans="1:12" x14ac:dyDescent="0.25">
      <c r="A1024" s="108">
        <v>45987</v>
      </c>
      <c r="B1024" s="109">
        <v>69</v>
      </c>
      <c r="C1024" s="49" t="s">
        <v>19</v>
      </c>
      <c r="D1024" s="110" t="str">
        <f>IF(ISBLANK($B1024),"",IFERROR(VLOOKUP($B1024,ESTOQUE!$B$2:$D$97168,3,FALSE),"Produto não cadastrado"))</f>
        <v>CAMISA LARANJA OP. C/ FAIXA REFLETIVA TAM: M</v>
      </c>
      <c r="E1024" s="99" t="str">
        <f>_xlfn.XLOOKUP(B1024,ESTOQUE!B:B,ESTOQUE!G:G,"",0)</f>
        <v>UND</v>
      </c>
      <c r="F1024" s="99">
        <v>7</v>
      </c>
      <c r="G1024" s="146"/>
      <c r="H1024" s="146"/>
      <c r="I1024" s="147"/>
      <c r="J1024" s="147"/>
      <c r="K1024" s="63"/>
      <c r="L1024" s="63"/>
    </row>
    <row r="1025" spans="1:11" x14ac:dyDescent="0.25">
      <c r="A1025" s="108">
        <v>45987</v>
      </c>
      <c r="B1025" s="109">
        <v>72</v>
      </c>
      <c r="C1025" s="49" t="s">
        <v>19</v>
      </c>
      <c r="D1025" s="110" t="str">
        <f>IF(ISBLANK($B1025),"",IFERROR(VLOOKUP($B1025,ESTOQUE!$B$2:$D$97168,3,FALSE),"Produto não cadastrado"))</f>
        <v>CAPA DE CHUVA G</v>
      </c>
      <c r="E1025" s="99" t="str">
        <f>_xlfn.XLOOKUP(B1025,ESTOQUE!B:B,ESTOQUE!G:G,"",0)</f>
        <v>UND</v>
      </c>
      <c r="F1025" s="99">
        <v>2</v>
      </c>
      <c r="G1025" s="146"/>
      <c r="H1025" s="146"/>
      <c r="I1025" s="147"/>
      <c r="J1025" s="147"/>
      <c r="K1025" s="63"/>
    </row>
    <row r="1026" spans="1:11" x14ac:dyDescent="0.25">
      <c r="A1026" s="108">
        <v>45987</v>
      </c>
      <c r="B1026" s="109">
        <v>74</v>
      </c>
      <c r="C1026" s="49" t="s">
        <v>19</v>
      </c>
      <c r="D1026" s="110" t="str">
        <f>IF(ISBLANK($B1026),"",IFERROR(VLOOKUP($B1026,ESTOQUE!$B$2:$D$97168,3,FALSE),"Produto não cadastrado"))</f>
        <v>CAPACETE CAMPER AMARELO</v>
      </c>
      <c r="E1026" s="99" t="str">
        <f>_xlfn.XLOOKUP(B1026,ESTOQUE!B:B,ESTOQUE!G:G,"",0)</f>
        <v>UND</v>
      </c>
      <c r="F1026" s="99">
        <v>0</v>
      </c>
      <c r="G1026" s="146"/>
      <c r="H1026" s="146"/>
      <c r="I1026" s="147"/>
      <c r="J1026" s="147"/>
      <c r="K1026" s="63"/>
    </row>
    <row r="1027" spans="1:11" x14ac:dyDescent="0.25">
      <c r="A1027" s="108">
        <v>45987</v>
      </c>
      <c r="B1027" s="109">
        <v>210</v>
      </c>
      <c r="C1027" s="49" t="s">
        <v>19</v>
      </c>
      <c r="D1027" s="110" t="str">
        <f>IF(ISBLANK($B1027),"",IFERROR(VLOOKUP($B1027,ESTOQUE!$B$2:$D$97168,3,FALSE),"Produto não cadastrado"))</f>
        <v>COLETE REFLETIVO LARANJA G</v>
      </c>
      <c r="E1027" s="99" t="str">
        <f>_xlfn.XLOOKUP(B1027,ESTOQUE!B:B,ESTOQUE!G:G,"",0)</f>
        <v>UND</v>
      </c>
      <c r="F1027" s="99">
        <v>6</v>
      </c>
      <c r="G1027" s="146"/>
      <c r="H1027" s="146"/>
      <c r="I1027" s="147"/>
      <c r="J1027" s="147"/>
      <c r="K1027" s="63"/>
    </row>
    <row r="1028" spans="1:11" x14ac:dyDescent="0.25">
      <c r="A1028" s="108">
        <v>45987</v>
      </c>
      <c r="B1028" s="109">
        <v>161</v>
      </c>
      <c r="C1028" s="49" t="s">
        <v>19</v>
      </c>
      <c r="D1028" s="110" t="str">
        <f>IF(ISBLANK($B1028),"",IFERROR(VLOOKUP($B1028,ESTOQUE!$B$2:$D$97168,3,FALSE),"Produto não cadastrado"))</f>
        <v>JUGULAR</v>
      </c>
      <c r="E1028" s="99" t="str">
        <f>_xlfn.XLOOKUP(B1028,ESTOQUE!B:B,ESTOQUE!G:G,"",0)</f>
        <v>UND</v>
      </c>
      <c r="F1028" s="99">
        <v>1</v>
      </c>
      <c r="G1028" s="146"/>
      <c r="H1028" s="146"/>
      <c r="I1028" s="147"/>
      <c r="J1028" s="147"/>
      <c r="K1028" s="63"/>
    </row>
    <row r="1029" spans="1:11" x14ac:dyDescent="0.25">
      <c r="A1029" s="108">
        <v>45987</v>
      </c>
      <c r="B1029" s="109">
        <v>110</v>
      </c>
      <c r="C1029" s="49" t="s">
        <v>19</v>
      </c>
      <c r="D1029" s="110" t="str">
        <f>IF(ISBLANK($B1029),"",IFERROR(VLOOKUP($B1029,ESTOQUE!$B$2:$D$97168,3,FALSE),"Produto não cadastrado"))</f>
        <v>LUVA DE RASPA CANO LONGO</v>
      </c>
      <c r="E1029" s="99" t="str">
        <f>_xlfn.XLOOKUP(B1029,ESTOQUE!B:B,ESTOQUE!G:G,"",0)</f>
        <v>PAR</v>
      </c>
      <c r="F1029" s="99">
        <v>2</v>
      </c>
      <c r="G1029" s="146"/>
      <c r="H1029" s="146"/>
      <c r="I1029" s="147"/>
      <c r="J1029" s="147"/>
      <c r="K1029" s="63"/>
    </row>
    <row r="1030" spans="1:11" x14ac:dyDescent="0.25">
      <c r="A1030" s="108">
        <v>45987</v>
      </c>
      <c r="B1030" s="109">
        <v>141</v>
      </c>
      <c r="C1030" s="49" t="s">
        <v>19</v>
      </c>
      <c r="D1030" s="110" t="str">
        <f>IF(ISBLANK($B1030),"",IFERROR(VLOOKUP($B1030,ESTOQUE!$B$2:$D$97168,3,FALSE),"Produto não cadastrado"))</f>
        <v xml:space="preserve">LUVA DE VAQUETA </v>
      </c>
      <c r="E1030" s="99" t="str">
        <f>_xlfn.XLOOKUP(B1030,ESTOQUE!B:B,ESTOQUE!G:G,"",0)</f>
        <v>PAR</v>
      </c>
      <c r="F1030" s="99">
        <v>1</v>
      </c>
      <c r="G1030" s="146"/>
      <c r="H1030" s="146"/>
      <c r="I1030" s="147"/>
      <c r="J1030" s="147"/>
      <c r="K1030" s="63"/>
    </row>
    <row r="1031" spans="1:11" x14ac:dyDescent="0.25">
      <c r="A1031" s="108">
        <v>45987</v>
      </c>
      <c r="B1031" s="109">
        <v>111</v>
      </c>
      <c r="C1031" s="49" t="s">
        <v>19</v>
      </c>
      <c r="D1031" s="110" t="str">
        <f>IF(ISBLANK($B1031),"",IFERROR(VLOOKUP($B1031,ESTOQUE!$B$2:$D$97168,3,FALSE),"Produto não cadastrado"))</f>
        <v>LUVA DE VAQUETA MARROM</v>
      </c>
      <c r="E1031" s="99" t="str">
        <f>_xlfn.XLOOKUP(B1031,ESTOQUE!B:B,ESTOQUE!G:G,"",0)</f>
        <v>PAR</v>
      </c>
      <c r="F1031" s="99">
        <v>15</v>
      </c>
      <c r="G1031" s="146"/>
      <c r="H1031" s="146"/>
      <c r="I1031" s="147"/>
      <c r="J1031" s="147"/>
      <c r="K1031" s="63"/>
    </row>
    <row r="1032" spans="1:11" x14ac:dyDescent="0.25">
      <c r="A1032" s="108">
        <v>45987</v>
      </c>
      <c r="B1032" s="109">
        <v>114</v>
      </c>
      <c r="C1032" s="49" t="s">
        <v>19</v>
      </c>
      <c r="D1032" s="110" t="str">
        <f>IF(ISBLANK($B1032),"",IFERROR(VLOOKUP($B1032,ESTOQUE!$B$2:$D$97168,3,FALSE),"Produto não cadastrado"))</f>
        <v xml:space="preserve">LUVA LATEX NITRILICA </v>
      </c>
      <c r="E1032" s="99" t="str">
        <f>_xlfn.XLOOKUP(B1032,ESTOQUE!B:B,ESTOQUE!G:G,"",0)</f>
        <v>PAR</v>
      </c>
      <c r="F1032" s="99">
        <v>10</v>
      </c>
      <c r="G1032" s="146"/>
      <c r="H1032" s="146"/>
      <c r="I1032" s="147"/>
      <c r="J1032" s="147"/>
      <c r="K1032" s="63"/>
    </row>
    <row r="1033" spans="1:11" x14ac:dyDescent="0.25">
      <c r="A1033" s="108">
        <v>45987</v>
      </c>
      <c r="B1033" s="109">
        <v>117</v>
      </c>
      <c r="C1033" s="49" t="s">
        <v>19</v>
      </c>
      <c r="D1033" s="110" t="str">
        <f>IF(ISBLANK($B1033),"",IFERROR(VLOOKUP($B1033,ESTOQUE!$B$2:$D$97168,3,FALSE),"Produto não cadastrado"))</f>
        <v>LUVA PIGMENTADA</v>
      </c>
      <c r="E1033" s="99" t="str">
        <f>_xlfn.XLOOKUP(B1033,ESTOQUE!B:B,ESTOQUE!G:G,"",0)</f>
        <v>PAR</v>
      </c>
      <c r="F1033" s="99">
        <v>8</v>
      </c>
      <c r="G1033" s="146"/>
      <c r="H1033" s="146"/>
      <c r="I1033" s="147"/>
      <c r="J1033" s="147"/>
      <c r="K1033" s="63"/>
    </row>
    <row r="1034" spans="1:11" x14ac:dyDescent="0.25">
      <c r="A1034" s="108">
        <v>45987</v>
      </c>
      <c r="B1034" s="109">
        <v>207</v>
      </c>
      <c r="C1034" s="49" t="s">
        <v>19</v>
      </c>
      <c r="D1034" s="110" t="str">
        <f>IF(ISBLANK($B1034),"",IFERROR(VLOOKUP($B1034,ESTOQUE!$B$2:$D$97168,3,FALSE),"Produto não cadastrado"))</f>
        <v>LUVA POLIESTER ANTICORTE BANHADA PU TAM 9</v>
      </c>
      <c r="E1034" s="99" t="s">
        <v>31</v>
      </c>
      <c r="F1034" s="99">
        <v>25</v>
      </c>
      <c r="G1034" s="146"/>
      <c r="H1034" s="146"/>
      <c r="I1034" s="147"/>
      <c r="J1034" s="147"/>
      <c r="K1034" s="63"/>
    </row>
    <row r="1035" spans="1:11" x14ac:dyDescent="0.25">
      <c r="A1035" s="108">
        <v>45987</v>
      </c>
      <c r="B1035" s="109">
        <v>124</v>
      </c>
      <c r="C1035" s="49" t="s">
        <v>19</v>
      </c>
      <c r="D1035" s="110" t="str">
        <f>IF(ISBLANK($B1035),"",IFERROR(VLOOKUP($B1035,ESTOQUE!$B$2:$D$97168,3,FALSE),"Produto não cadastrado"))</f>
        <v xml:space="preserve">OCULOS DE PROTEÇÃO INCOLOR </v>
      </c>
      <c r="E1035" s="99" t="str">
        <f>_xlfn.XLOOKUP(B1035,ESTOQUE!B:B,ESTOQUE!G:G,"",0)</f>
        <v>UND</v>
      </c>
      <c r="F1035" s="99">
        <v>9</v>
      </c>
      <c r="G1035" s="146"/>
      <c r="H1035" s="146"/>
      <c r="I1035" s="147"/>
      <c r="J1035" s="147"/>
      <c r="K1035" s="63"/>
    </row>
    <row r="1036" spans="1:11" x14ac:dyDescent="0.25">
      <c r="A1036" s="108">
        <v>45987</v>
      </c>
      <c r="B1036" s="109">
        <v>129</v>
      </c>
      <c r="C1036" s="49" t="s">
        <v>19</v>
      </c>
      <c r="D1036" s="110" t="str">
        <f>IF(ISBLANK($B1036),"",IFERROR(VLOOKUP($B1036,ESTOQUE!$B$2:$D$97168,3,FALSE),"Produto não cadastrado"))</f>
        <v>PERNEIRA DE RASPA</v>
      </c>
      <c r="E1036" s="99" t="str">
        <f>_xlfn.XLOOKUP(B1036,ESTOQUE!B:B,ESTOQUE!G:G,"",0)</f>
        <v>PAR</v>
      </c>
      <c r="F1036" s="99">
        <v>1</v>
      </c>
      <c r="G1036" s="146"/>
      <c r="H1036" s="146"/>
      <c r="I1036" s="147"/>
      <c r="J1036" s="147"/>
      <c r="K1036" s="63"/>
    </row>
    <row r="1037" spans="1:11" x14ac:dyDescent="0.25">
      <c r="A1037" s="108">
        <v>45987</v>
      </c>
      <c r="B1037" s="109">
        <v>139</v>
      </c>
      <c r="C1037" s="49" t="s">
        <v>19</v>
      </c>
      <c r="D1037" s="110" t="str">
        <f>IF(ISBLANK($B1037),"",IFERROR(VLOOKUP($B1037,ESTOQUE!$B$2:$D$97168,3,FALSE),"Produto não cadastrado"))</f>
        <v>PROTETOR AURICULAR TIPO PLUG</v>
      </c>
      <c r="E1037" s="99" t="str">
        <f>_xlfn.XLOOKUP(B1037,ESTOQUE!B:B,ESTOQUE!G:G,"",0)</f>
        <v>UND</v>
      </c>
      <c r="F1037" s="99">
        <v>1</v>
      </c>
      <c r="G1037" s="146"/>
      <c r="H1037" s="146"/>
      <c r="I1037" s="147"/>
      <c r="J1037" s="147"/>
      <c r="K1037" s="63"/>
    </row>
    <row r="1038" spans="1:11" x14ac:dyDescent="0.25">
      <c r="A1038" s="108">
        <v>45987</v>
      </c>
      <c r="B1038" s="109">
        <v>135</v>
      </c>
      <c r="C1038" s="49" t="s">
        <v>19</v>
      </c>
      <c r="D1038" s="110" t="str">
        <f>IF(ISBLANK($B1038),"",IFERROR(VLOOKUP($B1038,ESTOQUE!$B$2:$D$97168,3,FALSE),"Produto não cadastrado"))</f>
        <v>TALABARTE DUPLO TIPO Y</v>
      </c>
      <c r="E1038" s="99" t="str">
        <f>_xlfn.XLOOKUP(B1038,ESTOQUE!B:B,ESTOQUE!G:G,"",0)</f>
        <v>UND</v>
      </c>
      <c r="F1038" s="99">
        <v>1</v>
      </c>
      <c r="G1038" s="146"/>
      <c r="H1038" s="146"/>
      <c r="I1038" s="147"/>
      <c r="J1038" s="147"/>
      <c r="K1038" s="63"/>
    </row>
    <row r="1039" spans="1:11" x14ac:dyDescent="0.25">
      <c r="A1039" s="108">
        <v>45987</v>
      </c>
      <c r="B1039" s="109">
        <v>10</v>
      </c>
      <c r="C1039" s="49" t="s">
        <v>19</v>
      </c>
      <c r="D1039" s="110" t="str">
        <f>IF(ISBLANK($B1039),"",IFERROR(VLOOKUP($B1039,ESTOQUE!$B$2:$D$97168,3,FALSE),"Produto não cadastrado"))</f>
        <v>BOTA PVC CANO LONGO Nº 42</v>
      </c>
      <c r="E1039" s="99" t="str">
        <f>_xlfn.XLOOKUP(B1039,ESTOQUE!B:B,ESTOQUE!G:G,"",0)</f>
        <v>PAR</v>
      </c>
      <c r="F1039" s="99">
        <v>2</v>
      </c>
      <c r="G1039" s="146"/>
      <c r="H1039" s="146"/>
      <c r="I1039" s="147"/>
      <c r="J1039" s="147"/>
      <c r="K1039" s="63"/>
    </row>
    <row r="1040" spans="1:11" x14ac:dyDescent="0.25">
      <c r="A1040" s="108">
        <v>45987</v>
      </c>
      <c r="B1040" s="109">
        <v>46</v>
      </c>
      <c r="C1040" s="49" t="s">
        <v>19</v>
      </c>
      <c r="D1040" s="110" t="str">
        <f>IF(ISBLANK($B1040),"",IFERROR(VLOOKUP($B1040,ESTOQUE!$B$2:$D$97168,3,FALSE),"Produto não cadastrado"))</f>
        <v>CALÇA CINZA OP. C/ FAIXA REFLETIVA TAM: G</v>
      </c>
      <c r="E1040" s="99" t="str">
        <f>_xlfn.XLOOKUP(B1040,ESTOQUE!B:B,ESTOQUE!G:G,"",0)</f>
        <v>UND</v>
      </c>
      <c r="F1040" s="99">
        <v>8</v>
      </c>
      <c r="G1040" s="146"/>
      <c r="H1040" s="146"/>
      <c r="I1040" s="147"/>
      <c r="J1040" s="147"/>
      <c r="K1040" s="63"/>
    </row>
    <row r="1041" spans="1:11" x14ac:dyDescent="0.25">
      <c r="A1041" s="108">
        <v>45987</v>
      </c>
      <c r="B1041" s="109">
        <v>67</v>
      </c>
      <c r="C1041" s="49" t="s">
        <v>19</v>
      </c>
      <c r="D1041" s="110" t="str">
        <f>IF(ISBLANK($B1041),"",IFERROR(VLOOKUP($B1041,ESTOQUE!$B$2:$D$97168,3,FALSE),"Produto não cadastrado"))</f>
        <v>CAMISA LARANJA OP. C/ FAIXA REFLETIVA TAM: G</v>
      </c>
      <c r="E1041" s="99" t="str">
        <f>_xlfn.XLOOKUP(B1041,ESTOQUE!B:B,ESTOQUE!G:G,"",0)</f>
        <v>UND</v>
      </c>
      <c r="F1041" s="99">
        <v>4</v>
      </c>
      <c r="G1041" s="146"/>
      <c r="H1041" s="146"/>
      <c r="I1041" s="147"/>
      <c r="J1041" s="147"/>
      <c r="K1041" s="63"/>
    </row>
    <row r="1042" spans="1:11" x14ac:dyDescent="0.25">
      <c r="A1042" s="108">
        <v>45987</v>
      </c>
      <c r="B1042" s="109">
        <v>111</v>
      </c>
      <c r="C1042" s="49" t="s">
        <v>19</v>
      </c>
      <c r="D1042" s="110" t="str">
        <f>IF(ISBLANK($B1042),"",IFERROR(VLOOKUP($B1042,ESTOQUE!$B$2:$D$97168,3,FALSE),"Produto não cadastrado"))</f>
        <v>LUVA DE VAQUETA MARROM</v>
      </c>
      <c r="E1042" s="99" t="str">
        <f>_xlfn.XLOOKUP(B1042,ESTOQUE!B:B,ESTOQUE!G:G,"",0)</f>
        <v>PAR</v>
      </c>
      <c r="F1042" s="99">
        <v>6</v>
      </c>
      <c r="G1042" s="146"/>
      <c r="H1042" s="146"/>
      <c r="I1042" s="147"/>
      <c r="J1042" s="147"/>
      <c r="K1042" s="63"/>
    </row>
    <row r="1043" spans="1:11" x14ac:dyDescent="0.25">
      <c r="A1043" s="108">
        <v>45987</v>
      </c>
      <c r="B1043" s="109">
        <v>261</v>
      </c>
      <c r="C1043" s="49" t="s">
        <v>19</v>
      </c>
      <c r="D1043" s="110" t="str">
        <f>IF(ISBLANK($B1043),"",IFERROR(VLOOKUP($B1043,ESTOQUE!$B$2:$D$97168,3,FALSE),"Produto não cadastrado"))</f>
        <v xml:space="preserve">LUVA DE VAQUETA VERDE </v>
      </c>
      <c r="E1043" s="99" t="str">
        <f>_xlfn.XLOOKUP(B1043,ESTOQUE!B:B,ESTOQUE!G:G,"",0)</f>
        <v>PAR</v>
      </c>
      <c r="F1043" s="99">
        <v>1</v>
      </c>
      <c r="G1043" s="146"/>
      <c r="H1043" s="146"/>
      <c r="I1043" s="147"/>
      <c r="J1043" s="147"/>
      <c r="K1043" s="63"/>
    </row>
    <row r="1044" spans="1:11" x14ac:dyDescent="0.25">
      <c r="A1044" s="108">
        <v>45987</v>
      </c>
      <c r="B1044" s="109">
        <v>114</v>
      </c>
      <c r="C1044" s="49" t="s">
        <v>19</v>
      </c>
      <c r="D1044" s="110" t="str">
        <f>IF(ISBLANK($B1044),"",IFERROR(VLOOKUP($B1044,ESTOQUE!$B$2:$D$97168,3,FALSE),"Produto não cadastrado"))</f>
        <v xml:space="preserve">LUVA LATEX NITRILICA </v>
      </c>
      <c r="E1044" s="99" t="str">
        <f>_xlfn.XLOOKUP(B1044,ESTOQUE!B:B,ESTOQUE!G:G,"",0)</f>
        <v>PAR</v>
      </c>
      <c r="F1044" s="99">
        <v>8</v>
      </c>
      <c r="G1044" s="146"/>
      <c r="H1044" s="146"/>
      <c r="I1044" s="147"/>
      <c r="J1044" s="147"/>
      <c r="K1044" s="63"/>
    </row>
    <row r="1045" spans="1:11" x14ac:dyDescent="0.25">
      <c r="A1045" s="108">
        <v>45987</v>
      </c>
      <c r="B1045" s="109">
        <v>139</v>
      </c>
      <c r="C1045" s="49" t="s">
        <v>19</v>
      </c>
      <c r="D1045" s="110" t="str">
        <f>IF(ISBLANK($B1045),"",IFERROR(VLOOKUP($B1045,ESTOQUE!$B$2:$D$97168,3,FALSE),"Produto não cadastrado"))</f>
        <v>PROTETOR AURICULAR TIPO PLUG</v>
      </c>
      <c r="E1045" s="99" t="str">
        <f>_xlfn.XLOOKUP(B1045,ESTOQUE!B:B,ESTOQUE!G:G,"",0)</f>
        <v>UND</v>
      </c>
      <c r="F1045" s="99">
        <v>1</v>
      </c>
      <c r="G1045" s="146"/>
      <c r="H1045" s="146"/>
      <c r="I1045" s="147"/>
      <c r="J1045" s="147"/>
      <c r="K1045" s="63"/>
    </row>
    <row r="1046" spans="1:11" x14ac:dyDescent="0.25">
      <c r="A1046" s="108">
        <v>45987</v>
      </c>
      <c r="B1046" s="109">
        <v>126</v>
      </c>
      <c r="C1046" s="49" t="s">
        <v>19</v>
      </c>
      <c r="D1046" s="110" t="str">
        <f>IF(ISBLANK($B1046),"",IFERROR(VLOOKUP($B1046,ESTOQUE!$B$2:$D$97168,3,FALSE),"Produto não cadastrado"))</f>
        <v>OCULOS DE PROTEÇÃO ESCURO</v>
      </c>
      <c r="E1046" s="99" t="str">
        <f>_xlfn.XLOOKUP(B1046,ESTOQUE!B:B,ESTOQUE!G:G,"",0)</f>
        <v>UND</v>
      </c>
      <c r="F1046" s="99">
        <v>34</v>
      </c>
      <c r="G1046" s="146"/>
      <c r="H1046" s="146"/>
      <c r="I1046" s="147"/>
      <c r="J1046" s="147"/>
      <c r="K1046" s="63"/>
    </row>
    <row r="1047" spans="1:11" x14ac:dyDescent="0.25">
      <c r="A1047" s="108">
        <v>45988</v>
      </c>
      <c r="B1047" s="109">
        <v>117</v>
      </c>
      <c r="C1047" s="49" t="s">
        <v>19</v>
      </c>
      <c r="D1047" s="110" t="str">
        <f>IF(ISBLANK($B1047),"",IFERROR(VLOOKUP($B1047,ESTOQUE!$B$2:$D$97168,3,FALSE),"Produto não cadastrado"))</f>
        <v>LUVA PIGMENTADA</v>
      </c>
      <c r="E1047" s="99" t="str">
        <f>_xlfn.XLOOKUP(B1047,ESTOQUE!B:B,ESTOQUE!G:G,"",0)</f>
        <v>PAR</v>
      </c>
      <c r="F1047" s="99">
        <v>60</v>
      </c>
      <c r="G1047" s="146"/>
      <c r="H1047" s="146"/>
      <c r="I1047" s="147"/>
      <c r="J1047" s="147"/>
      <c r="K1047" s="63"/>
    </row>
    <row r="1048" spans="1:11" x14ac:dyDescent="0.25">
      <c r="A1048" s="108">
        <v>45988</v>
      </c>
      <c r="B1048" s="109">
        <v>114</v>
      </c>
      <c r="C1048" s="49" t="s">
        <v>19</v>
      </c>
      <c r="D1048" s="110" t="str">
        <f>IF(ISBLANK($B1048),"",IFERROR(VLOOKUP($B1048,ESTOQUE!$B$2:$D$97168,3,FALSE),"Produto não cadastrado"))</f>
        <v xml:space="preserve">LUVA LATEX NITRILICA </v>
      </c>
      <c r="E1048" s="99" t="str">
        <f>_xlfn.XLOOKUP(B1048,ESTOQUE!B:B,ESTOQUE!G:G,"",0)</f>
        <v>PAR</v>
      </c>
      <c r="F1048" s="99">
        <v>36</v>
      </c>
      <c r="G1048" s="146"/>
      <c r="H1048" s="146"/>
      <c r="I1048" s="147"/>
      <c r="J1048" s="147"/>
      <c r="K1048" s="63"/>
    </row>
    <row r="1049" spans="1:11" x14ac:dyDescent="0.25">
      <c r="A1049" s="108">
        <v>45988</v>
      </c>
      <c r="B1049" s="109">
        <v>110</v>
      </c>
      <c r="C1049" s="49" t="s">
        <v>19</v>
      </c>
      <c r="D1049" s="110" t="str">
        <f>IF(ISBLANK($B1049),"",IFERROR(VLOOKUP($B1049,ESTOQUE!$B$2:$D$97168,3,FALSE),"Produto não cadastrado"))</f>
        <v>LUVA DE RASPA CANO LONGO</v>
      </c>
      <c r="E1049" s="99" t="str">
        <f>_xlfn.XLOOKUP(B1049,ESTOQUE!B:B,ESTOQUE!G:G,"",0)</f>
        <v>PAR</v>
      </c>
      <c r="F1049" s="99">
        <v>10</v>
      </c>
      <c r="G1049" s="146"/>
      <c r="H1049" s="146"/>
      <c r="I1049" s="147"/>
      <c r="J1049" s="147"/>
      <c r="K1049" s="63"/>
    </row>
    <row r="1050" spans="1:11" x14ac:dyDescent="0.25">
      <c r="A1050" s="108">
        <v>45988</v>
      </c>
      <c r="B1050" s="109">
        <v>96</v>
      </c>
      <c r="C1050" s="49" t="s">
        <v>19</v>
      </c>
      <c r="D1050" s="110" t="str">
        <f>IF(ISBLANK($B1050),"",IFERROR(VLOOKUP($B1050,ESTOQUE!$B$2:$D$97168,3,FALSE),"Produto não cadastrado"))</f>
        <v xml:space="preserve">CINTO DE SEGURANÇA MODELO:C70 </v>
      </c>
      <c r="E1050" s="99" t="str">
        <f>_xlfn.XLOOKUP(B1050,ESTOQUE!B:B,ESTOQUE!G:G,"",0)</f>
        <v>UND</v>
      </c>
      <c r="F1050" s="99">
        <v>10</v>
      </c>
      <c r="G1050" s="146"/>
      <c r="H1050" s="146"/>
      <c r="I1050" s="147"/>
      <c r="J1050" s="147"/>
      <c r="K1050" s="63"/>
    </row>
    <row r="1051" spans="1:11" x14ac:dyDescent="0.25">
      <c r="A1051" s="108">
        <v>45988</v>
      </c>
      <c r="B1051" s="109">
        <v>135</v>
      </c>
      <c r="C1051" s="49" t="s">
        <v>19</v>
      </c>
      <c r="D1051" s="110" t="str">
        <f>IF(ISBLANK($B1051),"",IFERROR(VLOOKUP($B1051,ESTOQUE!$B$2:$D$97168,3,FALSE),"Produto não cadastrado"))</f>
        <v>TALABARTE DUPLO TIPO Y</v>
      </c>
      <c r="E1051" s="99" t="str">
        <f>_xlfn.XLOOKUP(B1051,ESTOQUE!B:B,ESTOQUE!G:G,"",0)</f>
        <v>UND</v>
      </c>
      <c r="F1051" s="99">
        <v>10</v>
      </c>
      <c r="G1051" s="146"/>
      <c r="H1051" s="146"/>
      <c r="I1051" s="147"/>
      <c r="J1051" s="147"/>
      <c r="K1051" s="63"/>
    </row>
    <row r="1052" spans="1:11" x14ac:dyDescent="0.25">
      <c r="A1052" s="108">
        <v>45988</v>
      </c>
      <c r="B1052" s="109">
        <v>111</v>
      </c>
      <c r="C1052" s="49" t="s">
        <v>19</v>
      </c>
      <c r="D1052" s="110" t="str">
        <f>IF(ISBLANK($B1052),"",IFERROR(VLOOKUP($B1052,ESTOQUE!$B$2:$D$97168,3,FALSE),"Produto não cadastrado"))</f>
        <v>LUVA DE VAQUETA MARROM</v>
      </c>
      <c r="E1052" s="99" t="str">
        <f>_xlfn.XLOOKUP(B1052,ESTOQUE!B:B,ESTOQUE!G:G,"",0)</f>
        <v>PAR</v>
      </c>
      <c r="F1052" s="99">
        <v>50</v>
      </c>
      <c r="G1052" s="146"/>
      <c r="H1052" s="146"/>
      <c r="I1052" s="147"/>
      <c r="J1052" s="147"/>
      <c r="K1052" s="63"/>
    </row>
    <row r="1053" spans="1:11" x14ac:dyDescent="0.25">
      <c r="A1053" s="108">
        <v>45988</v>
      </c>
      <c r="B1053" s="109">
        <v>124</v>
      </c>
      <c r="C1053" s="49" t="s">
        <v>19</v>
      </c>
      <c r="D1053" s="110" t="str">
        <f>IF(ISBLANK($B1053),"",IFERROR(VLOOKUP($B1053,ESTOQUE!$B$2:$D$97168,3,FALSE),"Produto não cadastrado"))</f>
        <v xml:space="preserve">OCULOS DE PROTEÇÃO INCOLOR </v>
      </c>
      <c r="E1053" s="99" t="str">
        <f>_xlfn.XLOOKUP(B1053,ESTOQUE!B:B,ESTOQUE!G:G,"",0)</f>
        <v>UND</v>
      </c>
      <c r="F1053" s="99">
        <v>30</v>
      </c>
      <c r="G1053" s="146"/>
      <c r="H1053" s="146"/>
      <c r="I1053" s="147"/>
      <c r="J1053" s="147"/>
      <c r="K1053" s="63"/>
    </row>
    <row r="1054" spans="1:11" x14ac:dyDescent="0.25">
      <c r="A1054" s="108">
        <v>45988</v>
      </c>
      <c r="B1054" s="109">
        <v>139</v>
      </c>
      <c r="C1054" s="49" t="s">
        <v>19</v>
      </c>
      <c r="D1054" s="110" t="str">
        <f>IF(ISBLANK($B1054),"",IFERROR(VLOOKUP($B1054,ESTOQUE!$B$2:$D$97168,3,FALSE),"Produto não cadastrado"))</f>
        <v>PROTETOR AURICULAR TIPO PLUG</v>
      </c>
      <c r="E1054" s="99" t="str">
        <f>_xlfn.XLOOKUP(B1054,ESTOQUE!B:B,ESTOQUE!G:G,"",0)</f>
        <v>UND</v>
      </c>
      <c r="F1054" s="99">
        <v>30</v>
      </c>
      <c r="G1054" s="146"/>
      <c r="H1054" s="146"/>
      <c r="I1054" s="147"/>
      <c r="J1054" s="147"/>
      <c r="K1054" s="63"/>
    </row>
    <row r="1055" spans="1:11" x14ac:dyDescent="0.25">
      <c r="A1055" s="108">
        <v>45988</v>
      </c>
      <c r="B1055" s="109">
        <v>98</v>
      </c>
      <c r="C1055" s="49" t="s">
        <v>19</v>
      </c>
      <c r="D1055" s="110" t="str">
        <f>IF(ISBLANK($B1055),"",IFERROR(VLOOKUP($B1055,ESTOQUE!$B$2:$D$97168,3,FALSE),"Produto não cadastrado"))</f>
        <v>COLETE REFLETIVO LARANJA XGG</v>
      </c>
      <c r="E1055" s="99" t="str">
        <f>_xlfn.XLOOKUP(B1055,ESTOQUE!B:B,ESTOQUE!G:G,"",0)</f>
        <v>UND</v>
      </c>
      <c r="F1055" s="99">
        <v>1</v>
      </c>
      <c r="G1055" s="146"/>
      <c r="H1055" s="146"/>
      <c r="I1055" s="147"/>
      <c r="J1055" s="147"/>
      <c r="K1055" s="63"/>
    </row>
    <row r="1056" spans="1:11" x14ac:dyDescent="0.25">
      <c r="A1056" s="108">
        <v>45988</v>
      </c>
      <c r="B1056" s="109">
        <v>126</v>
      </c>
      <c r="C1056" s="49" t="s">
        <v>19</v>
      </c>
      <c r="D1056" s="110" t="str">
        <f>IF(ISBLANK($B1056),"",IFERROR(VLOOKUP($B1056,ESTOQUE!$B$2:$D$97168,3,FALSE),"Produto não cadastrado"))</f>
        <v>OCULOS DE PROTEÇÃO ESCURO</v>
      </c>
      <c r="E1056" s="99" t="str">
        <f>_xlfn.XLOOKUP(B1056,ESTOQUE!B:B,ESTOQUE!G:G,"",0)</f>
        <v>UND</v>
      </c>
      <c r="F1056" s="99">
        <v>4</v>
      </c>
      <c r="G1056" s="146"/>
      <c r="H1056" s="146"/>
      <c r="I1056" s="147"/>
      <c r="J1056" s="147"/>
      <c r="K1056" s="63"/>
    </row>
    <row r="1057" spans="1:11" x14ac:dyDescent="0.25">
      <c r="A1057" s="108">
        <v>45989</v>
      </c>
      <c r="B1057" s="109">
        <v>110</v>
      </c>
      <c r="C1057" s="49" t="s">
        <v>19</v>
      </c>
      <c r="D1057" s="110" t="str">
        <f>IF(ISBLANK($B1057),"",IFERROR(VLOOKUP($B1057,ESTOQUE!$B$2:$D$97168,3,FALSE),"Produto não cadastrado"))</f>
        <v>LUVA DE RASPA CANO LONGO</v>
      </c>
      <c r="E1057" s="99" t="str">
        <f>_xlfn.XLOOKUP(B1057,ESTOQUE!B:B,ESTOQUE!G:G,"",0)</f>
        <v>PAR</v>
      </c>
      <c r="F1057" s="99">
        <v>1</v>
      </c>
      <c r="G1057" s="146"/>
      <c r="H1057" s="146"/>
      <c r="I1057" s="147"/>
      <c r="J1057" s="147"/>
      <c r="K1057" s="63"/>
    </row>
    <row r="1058" spans="1:11" x14ac:dyDescent="0.25">
      <c r="A1058" s="108">
        <v>45989</v>
      </c>
      <c r="B1058" s="109">
        <v>111</v>
      </c>
      <c r="C1058" s="49" t="s">
        <v>19</v>
      </c>
      <c r="D1058" s="110" t="str">
        <f>IF(ISBLANK($B1058),"",IFERROR(VLOOKUP($B1058,ESTOQUE!$B$2:$D$97168,3,FALSE),"Produto não cadastrado"))</f>
        <v>LUVA DE VAQUETA MARROM</v>
      </c>
      <c r="E1058" s="99" t="str">
        <f>_xlfn.XLOOKUP(B1058,ESTOQUE!B:B,ESTOQUE!G:G,"",0)</f>
        <v>PAR</v>
      </c>
      <c r="F1058" s="99">
        <v>5</v>
      </c>
      <c r="G1058" s="146"/>
      <c r="H1058" s="146"/>
      <c r="I1058" s="147"/>
      <c r="J1058" s="147"/>
      <c r="K1058" s="63"/>
    </row>
    <row r="1059" spans="1:11" x14ac:dyDescent="0.25">
      <c r="A1059" s="108">
        <v>45989</v>
      </c>
      <c r="B1059" s="109">
        <v>117</v>
      </c>
      <c r="C1059" s="49" t="s">
        <v>19</v>
      </c>
      <c r="D1059" s="110" t="str">
        <f>IF(ISBLANK($B1059),"",IFERROR(VLOOKUP($B1059,ESTOQUE!$B$2:$D$97168,3,FALSE),"Produto não cadastrado"))</f>
        <v>LUVA PIGMENTADA</v>
      </c>
      <c r="E1059" s="99" t="str">
        <f>_xlfn.XLOOKUP(B1059,ESTOQUE!B:B,ESTOQUE!G:G,"",0)</f>
        <v>PAR</v>
      </c>
      <c r="F1059" s="99">
        <v>2</v>
      </c>
      <c r="G1059" s="146"/>
      <c r="H1059" s="146"/>
      <c r="I1059" s="147"/>
      <c r="J1059" s="147"/>
      <c r="K1059" s="63"/>
    </row>
    <row r="1060" spans="1:11" x14ac:dyDescent="0.25">
      <c r="A1060" s="108">
        <v>45989</v>
      </c>
      <c r="B1060" s="109">
        <v>126</v>
      </c>
      <c r="C1060" s="49" t="s">
        <v>19</v>
      </c>
      <c r="D1060" s="110" t="str">
        <f>IF(ISBLANK($B1060),"",IFERROR(VLOOKUP($B1060,ESTOQUE!$B$2:$D$97168,3,FALSE),"Produto não cadastrado"))</f>
        <v>OCULOS DE PROTEÇÃO ESCURO</v>
      </c>
      <c r="E1060" s="99" t="str">
        <f>_xlfn.XLOOKUP(B1060,ESTOQUE!B:B,ESTOQUE!G:G,"",0)</f>
        <v>UND</v>
      </c>
      <c r="F1060" s="99">
        <v>4</v>
      </c>
      <c r="G1060" s="146"/>
      <c r="H1060" s="146"/>
      <c r="I1060" s="147"/>
      <c r="J1060" s="147"/>
      <c r="K1060" s="63"/>
    </row>
    <row r="1061" spans="1:11" x14ac:dyDescent="0.25">
      <c r="A1061" s="108">
        <v>45989</v>
      </c>
      <c r="B1061" s="109">
        <v>228</v>
      </c>
      <c r="C1061" s="49" t="s">
        <v>19</v>
      </c>
      <c r="D1061" s="110" t="str">
        <f>IF(ISBLANK($B1061),"",IFERROR(VLOOKUP($B1061,ESTOQUE!$B$2:$D$97168,3,FALSE),"Produto não cadastrado"))</f>
        <v xml:space="preserve">BALACLAVA  </v>
      </c>
      <c r="E1061" s="99" t="str">
        <f>_xlfn.XLOOKUP(B1061,ESTOQUE!B:B,ESTOQUE!G:G,"",0)</f>
        <v>UND</v>
      </c>
      <c r="F1061" s="99">
        <v>4</v>
      </c>
      <c r="G1061" s="146"/>
      <c r="H1061" s="146"/>
      <c r="I1061" s="147"/>
      <c r="J1061" s="147"/>
      <c r="K1061" s="63"/>
    </row>
    <row r="1062" spans="1:11" x14ac:dyDescent="0.25">
      <c r="A1062" s="108">
        <v>45989</v>
      </c>
      <c r="B1062" s="109">
        <v>34</v>
      </c>
      <c r="C1062" s="49" t="s">
        <v>19</v>
      </c>
      <c r="D1062" s="110" t="str">
        <f>IF(ISBLANK($B1062),"",IFERROR(VLOOKUP($B1062,ESTOQUE!$B$2:$D$97168,3,FALSE),"Produto não cadastrado"))</f>
        <v>BOTINA OP. BICO PVC Nº 36</v>
      </c>
      <c r="E1062" s="99" t="str">
        <f>_xlfn.XLOOKUP(B1062,ESTOQUE!B:B,ESTOQUE!G:G,"",0)</f>
        <v>PAR</v>
      </c>
      <c r="F1062" s="99">
        <v>1</v>
      </c>
      <c r="G1062" s="146"/>
      <c r="H1062" s="146"/>
      <c r="I1062" s="147"/>
      <c r="J1062" s="147"/>
      <c r="K1062" s="63"/>
    </row>
    <row r="1063" spans="1:11" x14ac:dyDescent="0.25">
      <c r="A1063" s="108">
        <v>45989</v>
      </c>
      <c r="B1063" s="109">
        <v>46</v>
      </c>
      <c r="C1063" s="49" t="s">
        <v>19</v>
      </c>
      <c r="D1063" s="110" t="str">
        <f>IF(ISBLANK($B1063),"",IFERROR(VLOOKUP($B1063,ESTOQUE!$B$2:$D$97168,3,FALSE),"Produto não cadastrado"))</f>
        <v>CALÇA CINZA OP. C/ FAIXA REFLETIVA TAM: G</v>
      </c>
      <c r="E1063" s="99" t="str">
        <f>_xlfn.XLOOKUP(B1063,ESTOQUE!B:B,ESTOQUE!G:G,"",0)</f>
        <v>UND</v>
      </c>
      <c r="F1063" s="99">
        <v>1</v>
      </c>
      <c r="G1063" s="146"/>
      <c r="H1063" s="146"/>
      <c r="I1063" s="147"/>
      <c r="J1063" s="147"/>
      <c r="K1063" s="63"/>
    </row>
    <row r="1064" spans="1:11" x14ac:dyDescent="0.25">
      <c r="A1064" s="108">
        <v>45989</v>
      </c>
      <c r="B1064" s="109">
        <v>47</v>
      </c>
      <c r="C1064" s="49" t="s">
        <v>19</v>
      </c>
      <c r="D1064" s="110" t="str">
        <f>IF(ISBLANK($B1064),"",IFERROR(VLOOKUP($B1064,ESTOQUE!$B$2:$D$97168,3,FALSE),"Produto não cadastrado"))</f>
        <v>CALÇA CINZA OP. C/ FAIXA REFLETIVA TAM: GG</v>
      </c>
      <c r="E1064" s="99" t="str">
        <f>_xlfn.XLOOKUP(B1064,ESTOQUE!B:B,ESTOQUE!G:G,"",0)</f>
        <v>UND</v>
      </c>
      <c r="F1064" s="99">
        <v>1</v>
      </c>
      <c r="G1064" s="146"/>
      <c r="H1064" s="146"/>
      <c r="I1064" s="147"/>
      <c r="J1064" s="147"/>
      <c r="K1064" s="63"/>
    </row>
    <row r="1065" spans="1:11" x14ac:dyDescent="0.25">
      <c r="A1065" s="108">
        <v>45989</v>
      </c>
      <c r="B1065" s="109">
        <v>67</v>
      </c>
      <c r="C1065" s="49" t="s">
        <v>19</v>
      </c>
      <c r="D1065" s="110" t="str">
        <f>IF(ISBLANK($B1065),"",IFERROR(VLOOKUP($B1065,ESTOQUE!$B$2:$D$97168,3,FALSE),"Produto não cadastrado"))</f>
        <v>CAMISA LARANJA OP. C/ FAIXA REFLETIVA TAM: G</v>
      </c>
      <c r="E1065" s="99" t="str">
        <f>_xlfn.XLOOKUP(B1065,ESTOQUE!B:B,ESTOQUE!G:G,"",0)</f>
        <v>UND</v>
      </c>
      <c r="F1065" s="99">
        <v>3</v>
      </c>
      <c r="G1065" s="146"/>
      <c r="H1065" s="146"/>
      <c r="I1065" s="147"/>
      <c r="J1065" s="147"/>
      <c r="K1065" s="63"/>
    </row>
    <row r="1066" spans="1:11" x14ac:dyDescent="0.25">
      <c r="A1066" s="108">
        <v>45989</v>
      </c>
      <c r="B1066" s="109">
        <v>69</v>
      </c>
      <c r="C1066" s="49" t="s">
        <v>19</v>
      </c>
      <c r="D1066" s="110" t="str">
        <f>IF(ISBLANK($B1066),"",IFERROR(VLOOKUP($B1066,ESTOQUE!$B$2:$D$97168,3,FALSE),"Produto não cadastrado"))</f>
        <v>CAMISA LARANJA OP. C/ FAIXA REFLETIVA TAM: M</v>
      </c>
      <c r="E1066" s="99" t="str">
        <f>_xlfn.XLOOKUP(B1066,ESTOQUE!B:B,ESTOQUE!G:G,"",0)</f>
        <v>UND</v>
      </c>
      <c r="F1066" s="99">
        <v>3</v>
      </c>
      <c r="G1066" s="146"/>
      <c r="H1066" s="146"/>
      <c r="I1066" s="147"/>
      <c r="J1066" s="147"/>
      <c r="K1066" s="63"/>
    </row>
    <row r="1067" spans="1:11" x14ac:dyDescent="0.25">
      <c r="A1067" s="108">
        <v>45989</v>
      </c>
      <c r="B1067" s="109">
        <v>111</v>
      </c>
      <c r="C1067" s="49" t="s">
        <v>19</v>
      </c>
      <c r="D1067" s="110" t="str">
        <f>IF(ISBLANK($B1067),"",IFERROR(VLOOKUP($B1067,ESTOQUE!$B$2:$D$97168,3,FALSE),"Produto não cadastrado"))</f>
        <v>LUVA DE VAQUETA MARROM</v>
      </c>
      <c r="E1067" s="99" t="str">
        <f>_xlfn.XLOOKUP(B1067,ESTOQUE!B:B,ESTOQUE!G:G,"",0)</f>
        <v>PAR</v>
      </c>
      <c r="F1067" s="99">
        <v>4</v>
      </c>
      <c r="G1067" s="146"/>
      <c r="H1067" s="146"/>
      <c r="I1067" s="147"/>
      <c r="J1067" s="147"/>
      <c r="K1067" s="63"/>
    </row>
    <row r="1068" spans="1:11" x14ac:dyDescent="0.25">
      <c r="A1068" s="108">
        <v>45989</v>
      </c>
      <c r="B1068" s="109">
        <v>117</v>
      </c>
      <c r="C1068" s="49" t="s">
        <v>19</v>
      </c>
      <c r="D1068" s="110" t="str">
        <f>IF(ISBLANK($B1068),"",IFERROR(VLOOKUP($B1068,ESTOQUE!$B$2:$D$97168,3,FALSE),"Produto não cadastrado"))</f>
        <v>LUVA PIGMENTADA</v>
      </c>
      <c r="E1068" s="99" t="str">
        <f>_xlfn.XLOOKUP(B1068,ESTOQUE!B:B,ESTOQUE!G:G,"",0)</f>
        <v>PAR</v>
      </c>
      <c r="F1068" s="99">
        <v>2</v>
      </c>
      <c r="G1068" s="146"/>
      <c r="H1068" s="146"/>
      <c r="I1068" s="147"/>
      <c r="J1068" s="147"/>
      <c r="K1068" s="63"/>
    </row>
    <row r="1069" spans="1:11" x14ac:dyDescent="0.25">
      <c r="A1069" s="108">
        <v>45989</v>
      </c>
      <c r="B1069" s="109">
        <v>124</v>
      </c>
      <c r="C1069" s="49" t="s">
        <v>19</v>
      </c>
      <c r="D1069" s="110" t="str">
        <f>IF(ISBLANK($B1069),"",IFERROR(VLOOKUP($B1069,ESTOQUE!$B$2:$D$97168,3,FALSE),"Produto não cadastrado"))</f>
        <v xml:space="preserve">OCULOS DE PROTEÇÃO INCOLOR </v>
      </c>
      <c r="E1069" s="99" t="str">
        <f>_xlfn.XLOOKUP(B1069,ESTOQUE!B:B,ESTOQUE!G:G,"",0)</f>
        <v>UND</v>
      </c>
      <c r="F1069" s="99">
        <v>3</v>
      </c>
      <c r="G1069" s="146"/>
      <c r="H1069" s="146"/>
      <c r="I1069" s="147"/>
      <c r="J1069" s="147"/>
      <c r="K1069" s="63"/>
    </row>
    <row r="1070" spans="1:11" x14ac:dyDescent="0.25">
      <c r="A1070" s="108">
        <v>45989</v>
      </c>
      <c r="B1070" s="109">
        <v>129</v>
      </c>
      <c r="C1070" s="49" t="s">
        <v>19</v>
      </c>
      <c r="D1070" s="110" t="str">
        <f>IF(ISBLANK($B1070),"",IFERROR(VLOOKUP($B1070,ESTOQUE!$B$2:$D$97168,3,FALSE),"Produto não cadastrado"))</f>
        <v>PERNEIRA DE RASPA</v>
      </c>
      <c r="E1070" s="99" t="str">
        <f>_xlfn.XLOOKUP(B1070,ESTOQUE!B:B,ESTOQUE!G:G,"",0)</f>
        <v>PAR</v>
      </c>
      <c r="F1070" s="99">
        <v>1</v>
      </c>
      <c r="G1070" s="146"/>
      <c r="H1070" s="146"/>
      <c r="I1070" s="147"/>
      <c r="J1070" s="147"/>
      <c r="K1070" s="63"/>
    </row>
    <row r="1071" spans="1:11" x14ac:dyDescent="0.25">
      <c r="A1071" s="108">
        <v>45989</v>
      </c>
      <c r="B1071" s="109">
        <v>139</v>
      </c>
      <c r="C1071" s="49" t="s">
        <v>19</v>
      </c>
      <c r="D1071" s="110" t="str">
        <f>IF(ISBLANK($B1071),"",IFERROR(VLOOKUP($B1071,ESTOQUE!$B$2:$D$97168,3,FALSE),"Produto não cadastrado"))</f>
        <v>PROTETOR AURICULAR TIPO PLUG</v>
      </c>
      <c r="E1071" s="99" t="str">
        <f>_xlfn.XLOOKUP(B1071,ESTOQUE!B:B,ESTOQUE!G:G,"",0)</f>
        <v>UND</v>
      </c>
      <c r="F1071" s="99">
        <v>1</v>
      </c>
      <c r="G1071" s="146"/>
      <c r="H1071" s="146"/>
      <c r="I1071" s="147"/>
      <c r="J1071" s="147"/>
      <c r="K1071" s="63"/>
    </row>
    <row r="1072" spans="1:11" x14ac:dyDescent="0.25">
      <c r="A1072" s="108">
        <v>45990</v>
      </c>
      <c r="B1072" s="109">
        <v>39</v>
      </c>
      <c r="C1072" s="49" t="s">
        <v>19</v>
      </c>
      <c r="D1072" s="110" t="str">
        <f>IF(ISBLANK($B1072),"",IFERROR(VLOOKUP($B1072,ESTOQUE!$B$2:$D$97168,3,FALSE),"Produto não cadastrado"))</f>
        <v>BOTINA OP. BICO PVC Nº 41</v>
      </c>
      <c r="E1072" s="99" t="str">
        <f>_xlfn.XLOOKUP(B1072,ESTOQUE!B:B,ESTOQUE!G:G,"",0)</f>
        <v>PAR</v>
      </c>
      <c r="F1072" s="99">
        <v>1</v>
      </c>
      <c r="G1072" s="146"/>
      <c r="H1072" s="146"/>
      <c r="I1072" s="147"/>
      <c r="J1072" s="147"/>
      <c r="K1072" s="63"/>
    </row>
    <row r="1073" spans="1:11" x14ac:dyDescent="0.25">
      <c r="A1073" s="108">
        <v>45990</v>
      </c>
      <c r="B1073" s="109">
        <v>41</v>
      </c>
      <c r="C1073" s="49" t="s">
        <v>19</v>
      </c>
      <c r="D1073" s="110" t="str">
        <f>IF(ISBLANK($B1073),"",IFERROR(VLOOKUP($B1073,ESTOQUE!$B$2:$D$97168,3,FALSE),"Produto não cadastrado"))</f>
        <v>BOTINA OP. BICO PVC Nº 43</v>
      </c>
      <c r="E1073" s="99" t="str">
        <f>_xlfn.XLOOKUP(B1073,ESTOQUE!B:B,ESTOQUE!G:G,"",0)</f>
        <v>PAR</v>
      </c>
      <c r="F1073" s="99">
        <v>1</v>
      </c>
      <c r="G1073" s="146"/>
      <c r="H1073" s="146"/>
      <c r="I1073" s="147"/>
      <c r="J1073" s="147"/>
      <c r="K1073" s="63"/>
    </row>
    <row r="1074" spans="1:11" x14ac:dyDescent="0.25">
      <c r="A1074" s="108">
        <v>45990</v>
      </c>
      <c r="B1074" s="109">
        <v>46</v>
      </c>
      <c r="C1074" s="49" t="s">
        <v>19</v>
      </c>
      <c r="D1074" s="110" t="str">
        <f>IF(ISBLANK($B1074),"",IFERROR(VLOOKUP($B1074,ESTOQUE!$B$2:$D$97168,3,FALSE),"Produto não cadastrado"))</f>
        <v>CALÇA CINZA OP. C/ FAIXA REFLETIVA TAM: G</v>
      </c>
      <c r="E1074" s="99" t="str">
        <f>_xlfn.XLOOKUP(B1074,ESTOQUE!B:B,ESTOQUE!G:G,"",0)</f>
        <v>UND</v>
      </c>
      <c r="F1074" s="99">
        <v>7</v>
      </c>
      <c r="G1074" s="146"/>
      <c r="H1074" s="146"/>
      <c r="I1074" s="147"/>
      <c r="J1074" s="147"/>
      <c r="K1074" s="63"/>
    </row>
    <row r="1075" spans="1:11" x14ac:dyDescent="0.25">
      <c r="A1075" s="108">
        <v>45990</v>
      </c>
      <c r="B1075" s="109">
        <v>97</v>
      </c>
      <c r="C1075" s="49" t="s">
        <v>19</v>
      </c>
      <c r="D1075" s="110" t="str">
        <f>IF(ISBLANK($B1075),"",IFERROR(VLOOKUP($B1075,ESTOQUE!$B$2:$D$97168,3,FALSE),"Produto não cadastrado"))</f>
        <v>COLETE REFLETIVO LARANJA M</v>
      </c>
      <c r="E1075" s="99" t="str">
        <f>_xlfn.XLOOKUP(B1075,ESTOQUE!B:B,ESTOQUE!G:G,"",0)</f>
        <v>UND</v>
      </c>
      <c r="F1075" s="99">
        <v>1</v>
      </c>
      <c r="G1075" s="146"/>
      <c r="H1075" s="146"/>
      <c r="I1075" s="147"/>
      <c r="J1075" s="147"/>
      <c r="K1075" s="63"/>
    </row>
    <row r="1076" spans="1:11" x14ac:dyDescent="0.25">
      <c r="A1076" s="108">
        <v>45990</v>
      </c>
      <c r="B1076" s="109">
        <v>129</v>
      </c>
      <c r="C1076" s="49" t="s">
        <v>19</v>
      </c>
      <c r="D1076" s="110" t="str">
        <f>IF(ISBLANK($B1076),"",IFERROR(VLOOKUP($B1076,ESTOQUE!$B$2:$D$97168,3,FALSE),"Produto não cadastrado"))</f>
        <v>PERNEIRA DE RASPA</v>
      </c>
      <c r="E1076" s="99" t="str">
        <f>_xlfn.XLOOKUP(B1076,ESTOQUE!B:B,ESTOQUE!G:G,"",0)</f>
        <v>PAR</v>
      </c>
      <c r="F1076" s="99">
        <v>1</v>
      </c>
      <c r="G1076" s="146"/>
      <c r="H1076" s="146"/>
      <c r="I1076" s="147"/>
      <c r="J1076" s="147"/>
      <c r="K1076" s="63"/>
    </row>
    <row r="1077" spans="1:11" x14ac:dyDescent="0.25">
      <c r="A1077" s="108">
        <v>45990</v>
      </c>
      <c r="B1077" s="109">
        <v>110</v>
      </c>
      <c r="C1077" s="49" t="s">
        <v>19</v>
      </c>
      <c r="D1077" s="110" t="str">
        <f>IF(ISBLANK($B1077),"",IFERROR(VLOOKUP($B1077,ESTOQUE!$B$2:$D$97168,3,FALSE),"Produto não cadastrado"))</f>
        <v>LUVA DE RASPA CANO LONGO</v>
      </c>
      <c r="E1077" s="99" t="str">
        <f>_xlfn.XLOOKUP(B1077,ESTOQUE!B:B,ESTOQUE!G:G,"",0)</f>
        <v>PAR</v>
      </c>
      <c r="F1077" s="99">
        <v>1</v>
      </c>
      <c r="G1077" s="146"/>
      <c r="H1077" s="146"/>
      <c r="I1077" s="147"/>
      <c r="J1077" s="147"/>
      <c r="K1077" s="63"/>
    </row>
    <row r="1078" spans="1:11" x14ac:dyDescent="0.25">
      <c r="A1078" s="108">
        <v>45990</v>
      </c>
      <c r="B1078" s="109">
        <v>111</v>
      </c>
      <c r="C1078" s="49" t="s">
        <v>19</v>
      </c>
      <c r="D1078" s="110" t="str">
        <f>IF(ISBLANK($B1078),"",IFERROR(VLOOKUP($B1078,ESTOQUE!$B$2:$D$97168,3,FALSE),"Produto não cadastrado"))</f>
        <v>LUVA DE VAQUETA MARROM</v>
      </c>
      <c r="E1078" s="99" t="str">
        <f>_xlfn.XLOOKUP(B1078,ESTOQUE!B:B,ESTOQUE!G:G,"",0)</f>
        <v>PAR</v>
      </c>
      <c r="F1078" s="99">
        <v>2</v>
      </c>
      <c r="G1078" s="146"/>
      <c r="H1078" s="146"/>
      <c r="I1078" s="147"/>
      <c r="J1078" s="147"/>
      <c r="K1078" s="63"/>
    </row>
    <row r="1079" spans="1:11" x14ac:dyDescent="0.25">
      <c r="A1079" s="108">
        <v>45990</v>
      </c>
      <c r="B1079" s="109">
        <v>114</v>
      </c>
      <c r="C1079" s="49" t="s">
        <v>19</v>
      </c>
      <c r="D1079" s="110" t="str">
        <f>IF(ISBLANK($B1079),"",IFERROR(VLOOKUP($B1079,ESTOQUE!$B$2:$D$97168,3,FALSE),"Produto não cadastrado"))</f>
        <v xml:space="preserve">LUVA LATEX NITRILICA </v>
      </c>
      <c r="E1079" s="99" t="str">
        <f>_xlfn.XLOOKUP(B1079,ESTOQUE!B:B,ESTOQUE!G:G,"",0)</f>
        <v>PAR</v>
      </c>
      <c r="F1079" s="99">
        <v>3</v>
      </c>
      <c r="G1079" s="146"/>
      <c r="H1079" s="146"/>
      <c r="I1079" s="147"/>
      <c r="J1079" s="147"/>
      <c r="K1079" s="63"/>
    </row>
    <row r="1080" spans="1:11" x14ac:dyDescent="0.25">
      <c r="A1080" s="108">
        <v>45990</v>
      </c>
      <c r="B1080" s="109">
        <v>117</v>
      </c>
      <c r="C1080" s="49" t="s">
        <v>19</v>
      </c>
      <c r="D1080" s="110" t="str">
        <f>IF(ISBLANK($B1080),"",IFERROR(VLOOKUP($B1080,ESTOQUE!$B$2:$D$97168,3,FALSE),"Produto não cadastrado"))</f>
        <v>LUVA PIGMENTADA</v>
      </c>
      <c r="E1080" s="99" t="str">
        <f>_xlfn.XLOOKUP(B1080,ESTOQUE!B:B,ESTOQUE!G:G,"",0)</f>
        <v>PAR</v>
      </c>
      <c r="F1080" s="99">
        <v>1</v>
      </c>
      <c r="G1080" s="146"/>
      <c r="H1080" s="146"/>
      <c r="I1080" s="147"/>
      <c r="J1080" s="147"/>
      <c r="K1080" s="63"/>
    </row>
    <row r="1081" spans="1:11" x14ac:dyDescent="0.25">
      <c r="A1081" s="108">
        <v>45990</v>
      </c>
      <c r="B1081" s="109">
        <v>144</v>
      </c>
      <c r="C1081" s="49" t="s">
        <v>19</v>
      </c>
      <c r="D1081" s="110" t="str">
        <f>IF(ISBLANK($B1081),"",IFERROR(VLOOKUP($B1081,ESTOQUE!$B$2:$D$97168,3,FALSE),"Produto não cadastrado"))</f>
        <v>MASCARA PFF2-S C/ FILTRO</v>
      </c>
      <c r="E1081" s="99" t="str">
        <f>_xlfn.XLOOKUP(B1081,ESTOQUE!B:B,ESTOQUE!G:G,"",0)</f>
        <v>UND</v>
      </c>
      <c r="F1081" s="99">
        <v>17</v>
      </c>
      <c r="G1081" s="146"/>
      <c r="H1081" s="146"/>
      <c r="I1081" s="147"/>
      <c r="J1081" s="147"/>
      <c r="K1081" s="63"/>
    </row>
    <row r="1082" spans="1:11" x14ac:dyDescent="0.25">
      <c r="A1082" s="108">
        <v>45990</v>
      </c>
      <c r="B1082" s="109">
        <v>126</v>
      </c>
      <c r="C1082" s="49" t="s">
        <v>19</v>
      </c>
      <c r="D1082" s="110" t="str">
        <f>IF(ISBLANK($B1082),"",IFERROR(VLOOKUP($B1082,ESTOQUE!$B$2:$D$97168,3,FALSE),"Produto não cadastrado"))</f>
        <v>OCULOS DE PROTEÇÃO ESCURO</v>
      </c>
      <c r="E1082" s="99" t="str">
        <f>_xlfn.XLOOKUP(B1082,ESTOQUE!B:B,ESTOQUE!G:G,"",0)</f>
        <v>UND</v>
      </c>
      <c r="F1082" s="99">
        <v>8</v>
      </c>
      <c r="G1082" s="146"/>
      <c r="H1082" s="146"/>
      <c r="I1082" s="147"/>
      <c r="J1082" s="147"/>
      <c r="K1082" s="63"/>
    </row>
    <row r="1083" spans="1:11" x14ac:dyDescent="0.25">
      <c r="A1083" s="108">
        <v>45992</v>
      </c>
      <c r="B1083" s="109">
        <v>11</v>
      </c>
      <c r="C1083" s="49" t="s">
        <v>19</v>
      </c>
      <c r="D1083" s="110" t="str">
        <f>IF(ISBLANK($B1083),"",IFERROR(VLOOKUP($B1083,ESTOQUE!$B$2:$D$97168,3,FALSE),"Produto não cadastrado"))</f>
        <v>BOTA PVC CANO LONGO Nº 43</v>
      </c>
      <c r="E1083" s="99" t="str">
        <f>_xlfn.XLOOKUP(B1083,ESTOQUE!B:B,ESTOQUE!G:G,"",0)</f>
        <v>PAR</v>
      </c>
      <c r="F1083" s="99">
        <v>2</v>
      </c>
      <c r="G1083" s="146"/>
      <c r="H1083" s="146"/>
      <c r="I1083" s="147"/>
      <c r="J1083" s="147"/>
      <c r="K1083" s="63"/>
    </row>
    <row r="1084" spans="1:11" x14ac:dyDescent="0.25">
      <c r="A1084" s="108">
        <v>45992</v>
      </c>
      <c r="B1084" s="109">
        <v>225</v>
      </c>
      <c r="C1084" s="49" t="s">
        <v>19</v>
      </c>
      <c r="D1084" s="110" t="str">
        <f>IF(ISBLANK($B1084),"",IFERROR(VLOOKUP($B1084,ESTOQUE!$B$2:$D$97168,3,FALSE),"Produto não cadastrado"))</f>
        <v>OCULOS OPERACIONAL SOBRE POR INCOLOR</v>
      </c>
      <c r="E1084" s="99" t="str">
        <f>_xlfn.XLOOKUP(B1084,ESTOQUE!B:B,ESTOQUE!G:G,"",0)</f>
        <v>UND</v>
      </c>
      <c r="F1084" s="99">
        <v>1</v>
      </c>
      <c r="G1084" s="146"/>
      <c r="H1084" s="146"/>
      <c r="I1084" s="147"/>
      <c r="J1084" s="147"/>
      <c r="K1084" s="63"/>
    </row>
    <row r="1085" spans="1:11" x14ac:dyDescent="0.25">
      <c r="A1085" s="108">
        <v>45992</v>
      </c>
      <c r="B1085" s="109">
        <v>46</v>
      </c>
      <c r="C1085" s="49" t="s">
        <v>19</v>
      </c>
      <c r="D1085" s="110" t="str">
        <f>IF(ISBLANK($B1085),"",IFERROR(VLOOKUP($B1085,ESTOQUE!$B$2:$D$97168,3,FALSE),"Produto não cadastrado"))</f>
        <v>CALÇA CINZA OP. C/ FAIXA REFLETIVA TAM: G</v>
      </c>
      <c r="E1085" s="99" t="str">
        <f>_xlfn.XLOOKUP(B1085,ESTOQUE!B:B,ESTOQUE!G:G,"",0)</f>
        <v>UND</v>
      </c>
      <c r="F1085" s="99">
        <v>5</v>
      </c>
      <c r="G1085" s="146"/>
      <c r="H1085" s="146"/>
      <c r="I1085" s="147"/>
      <c r="J1085" s="147"/>
      <c r="K1085" s="63"/>
    </row>
    <row r="1086" spans="1:11" x14ac:dyDescent="0.25">
      <c r="A1086" s="108">
        <v>45992</v>
      </c>
      <c r="B1086" s="109">
        <v>68</v>
      </c>
      <c r="C1086" s="49" t="s">
        <v>19</v>
      </c>
      <c r="D1086" s="110" t="str">
        <f>IF(ISBLANK($B1086),"",IFERROR(VLOOKUP($B1086,ESTOQUE!$B$2:$D$97168,3,FALSE),"Produto não cadastrado"))</f>
        <v>CAMISA LARANJA OP. C/ FAIXA REFLETIVA TAM: GG</v>
      </c>
      <c r="E1086" s="99" t="str">
        <f>_xlfn.XLOOKUP(B1086,ESTOQUE!B:B,ESTOQUE!G:G,"",0)</f>
        <v>UND</v>
      </c>
      <c r="F1086" s="99">
        <v>1</v>
      </c>
      <c r="G1086" s="146"/>
      <c r="H1086" s="146"/>
      <c r="I1086" s="147"/>
      <c r="J1086" s="147"/>
      <c r="K1086" s="63"/>
    </row>
    <row r="1087" spans="1:11" x14ac:dyDescent="0.25">
      <c r="A1087" s="108">
        <v>45992</v>
      </c>
      <c r="B1087" s="109">
        <v>69</v>
      </c>
      <c r="C1087" s="49" t="s">
        <v>19</v>
      </c>
      <c r="D1087" s="110" t="str">
        <f>IF(ISBLANK($B1087),"",IFERROR(VLOOKUP($B1087,ESTOQUE!$B$2:$D$97168,3,FALSE),"Produto não cadastrado"))</f>
        <v>CAMISA LARANJA OP. C/ FAIXA REFLETIVA TAM: M</v>
      </c>
      <c r="E1087" s="99" t="str">
        <f>_xlfn.XLOOKUP(B1087,ESTOQUE!B:B,ESTOQUE!G:G,"",0)</f>
        <v>UND</v>
      </c>
      <c r="F1087" s="99">
        <v>8</v>
      </c>
      <c r="G1087" s="146"/>
      <c r="H1087" s="146"/>
      <c r="I1087" s="147"/>
      <c r="J1087" s="147"/>
      <c r="K1087" s="63"/>
    </row>
    <row r="1088" spans="1:11" x14ac:dyDescent="0.25">
      <c r="A1088" s="108">
        <v>45992</v>
      </c>
      <c r="B1088" s="109">
        <v>141</v>
      </c>
      <c r="C1088" s="49" t="s">
        <v>19</v>
      </c>
      <c r="D1088" s="110" t="str">
        <f>IF(ISBLANK($B1088),"",IFERROR(VLOOKUP($B1088,ESTOQUE!$B$2:$D$97168,3,FALSE),"Produto não cadastrado"))</f>
        <v xml:space="preserve">LUVA DE VAQUETA </v>
      </c>
      <c r="E1088" s="99" t="str">
        <f>_xlfn.XLOOKUP(B1088,ESTOQUE!B:B,ESTOQUE!G:G,"",0)</f>
        <v>PAR</v>
      </c>
      <c r="F1088" s="99">
        <v>2</v>
      </c>
      <c r="G1088" s="146"/>
      <c r="H1088" s="146"/>
      <c r="I1088" s="147"/>
      <c r="J1088" s="147"/>
      <c r="K1088" s="63"/>
    </row>
    <row r="1089" spans="1:11" x14ac:dyDescent="0.25">
      <c r="A1089" s="108">
        <v>45992</v>
      </c>
      <c r="B1089" s="109">
        <v>111</v>
      </c>
      <c r="C1089" s="49" t="s">
        <v>19</v>
      </c>
      <c r="D1089" s="110" t="str">
        <f>IF(ISBLANK($B1089),"",IFERROR(VLOOKUP($B1089,ESTOQUE!$B$2:$D$97168,3,FALSE),"Produto não cadastrado"))</f>
        <v>LUVA DE VAQUETA MARROM</v>
      </c>
      <c r="E1089" s="99" t="str">
        <f>_xlfn.XLOOKUP(B1089,ESTOQUE!B:B,ESTOQUE!G:G,"",0)</f>
        <v>PAR</v>
      </c>
      <c r="F1089" s="99">
        <v>1</v>
      </c>
      <c r="G1089" s="146"/>
      <c r="H1089" s="146"/>
      <c r="I1089" s="147"/>
      <c r="J1089" s="147"/>
      <c r="K1089" s="63"/>
    </row>
    <row r="1090" spans="1:11" x14ac:dyDescent="0.25">
      <c r="A1090" s="108">
        <v>45992</v>
      </c>
      <c r="B1090" s="109">
        <v>114</v>
      </c>
      <c r="C1090" s="49" t="s">
        <v>19</v>
      </c>
      <c r="D1090" s="110" t="str">
        <f>IF(ISBLANK($B1090),"",IFERROR(VLOOKUP($B1090,ESTOQUE!$B$2:$D$97168,3,FALSE),"Produto não cadastrado"))</f>
        <v xml:space="preserve">LUVA LATEX NITRILICA </v>
      </c>
      <c r="E1090" s="99" t="str">
        <f>_xlfn.XLOOKUP(B1090,ESTOQUE!B:B,ESTOQUE!G:G,"",0)</f>
        <v>PAR</v>
      </c>
      <c r="F1090" s="99">
        <v>2</v>
      </c>
      <c r="G1090" s="146"/>
      <c r="H1090" s="146"/>
      <c r="I1090" s="147"/>
      <c r="J1090" s="147"/>
      <c r="K1090" s="63"/>
    </row>
    <row r="1091" spans="1:11" x14ac:dyDescent="0.25">
      <c r="A1091" s="108">
        <v>45992</v>
      </c>
      <c r="B1091" s="109">
        <v>117</v>
      </c>
      <c r="C1091" s="49" t="s">
        <v>19</v>
      </c>
      <c r="D1091" s="110" t="str">
        <f>IF(ISBLANK($B1091),"",IFERROR(VLOOKUP($B1091,ESTOQUE!$B$2:$D$97168,3,FALSE),"Produto não cadastrado"))</f>
        <v>LUVA PIGMENTADA</v>
      </c>
      <c r="E1091" s="99" t="str">
        <f>_xlfn.XLOOKUP(B1091,ESTOQUE!B:B,ESTOQUE!G:G,"",0)</f>
        <v>PAR</v>
      </c>
      <c r="F1091" s="99">
        <v>2</v>
      </c>
      <c r="G1091" s="146"/>
      <c r="H1091" s="146"/>
      <c r="I1091" s="147"/>
      <c r="J1091" s="147"/>
      <c r="K1091" s="63"/>
    </row>
    <row r="1092" spans="1:11" x14ac:dyDescent="0.25">
      <c r="A1092" s="108">
        <v>45992</v>
      </c>
      <c r="B1092" s="109">
        <v>118</v>
      </c>
      <c r="C1092" s="49" t="s">
        <v>19</v>
      </c>
      <c r="D1092" s="110" t="str">
        <f>IF(ISBLANK($B1092),"",IFERROR(VLOOKUP($B1092,ESTOQUE!$B$2:$D$97168,3,FALSE),"Produto não cadastrado"))</f>
        <v>MACACÃO DE PROTEÇÃO TYVEK</v>
      </c>
      <c r="E1092" s="99" t="str">
        <f>_xlfn.XLOOKUP(B1092,ESTOQUE!B:B,ESTOQUE!G:G,"",0)</f>
        <v>UND</v>
      </c>
      <c r="F1092" s="99">
        <v>40</v>
      </c>
      <c r="G1092" s="146"/>
      <c r="H1092" s="146"/>
      <c r="I1092" s="147"/>
      <c r="J1092" s="147"/>
      <c r="K1092" s="63"/>
    </row>
    <row r="1093" spans="1:11" x14ac:dyDescent="0.25">
      <c r="A1093" s="108">
        <v>45992</v>
      </c>
      <c r="B1093" s="109">
        <v>125</v>
      </c>
      <c r="C1093" s="49" t="s">
        <v>19</v>
      </c>
      <c r="D1093" s="110" t="str">
        <f>IF(ISBLANK($B1093),"",IFERROR(VLOOKUP($B1093,ESTOQUE!$B$2:$D$97168,3,FALSE),"Produto não cadastrado"))</f>
        <v xml:space="preserve">MASCARA DE SOLDA AUTOMATICA </v>
      </c>
      <c r="E1093" s="99" t="str">
        <f>_xlfn.XLOOKUP(B1093,ESTOQUE!B:B,ESTOQUE!G:G,"",0)</f>
        <v>UND</v>
      </c>
      <c r="F1093" s="99">
        <v>6</v>
      </c>
      <c r="G1093" s="146"/>
      <c r="H1093" s="146"/>
      <c r="I1093" s="147"/>
      <c r="J1093" s="147"/>
      <c r="K1093" s="63"/>
    </row>
    <row r="1094" spans="1:11" x14ac:dyDescent="0.25">
      <c r="A1094" s="108">
        <v>45992</v>
      </c>
      <c r="B1094" s="109">
        <v>144</v>
      </c>
      <c r="C1094" s="49" t="s">
        <v>19</v>
      </c>
      <c r="D1094" s="110" t="str">
        <f>IF(ISBLANK($B1094),"",IFERROR(VLOOKUP($B1094,ESTOQUE!$B$2:$D$97168,3,FALSE),"Produto não cadastrado"))</f>
        <v>MASCARA PFF2-S C/ FILTRO</v>
      </c>
      <c r="E1094" s="99" t="str">
        <f>_xlfn.XLOOKUP(B1094,ESTOQUE!B:B,ESTOQUE!G:G,"",0)</f>
        <v>UND</v>
      </c>
      <c r="F1094" s="99">
        <v>46</v>
      </c>
      <c r="G1094" s="146"/>
      <c r="H1094" s="146"/>
      <c r="I1094" s="147"/>
      <c r="J1094" s="147"/>
      <c r="K1094" s="63"/>
    </row>
    <row r="1095" spans="1:11" x14ac:dyDescent="0.25">
      <c r="A1095" s="108">
        <v>45992</v>
      </c>
      <c r="B1095" s="109">
        <v>126</v>
      </c>
      <c r="C1095" s="49" t="s">
        <v>19</v>
      </c>
      <c r="D1095" s="110" t="str">
        <f>IF(ISBLANK($B1095),"",IFERROR(VLOOKUP($B1095,ESTOQUE!$B$2:$D$97168,3,FALSE),"Produto não cadastrado"))</f>
        <v>OCULOS DE PROTEÇÃO ESCURO</v>
      </c>
      <c r="E1095" s="99" t="str">
        <f>_xlfn.XLOOKUP(B1095,ESTOQUE!B:B,ESTOQUE!G:G,"",0)</f>
        <v>UND</v>
      </c>
      <c r="F1095" s="99">
        <v>2</v>
      </c>
      <c r="G1095" s="146"/>
      <c r="H1095" s="146"/>
      <c r="I1095" s="147"/>
      <c r="J1095" s="147"/>
      <c r="K1095" s="63"/>
    </row>
    <row r="1096" spans="1:11" x14ac:dyDescent="0.25">
      <c r="A1096" s="108">
        <v>45992</v>
      </c>
      <c r="B1096" s="109">
        <v>124</v>
      </c>
      <c r="C1096" s="49" t="s">
        <v>19</v>
      </c>
      <c r="D1096" s="110" t="str">
        <f>IF(ISBLANK($B1096),"",IFERROR(VLOOKUP($B1096,ESTOQUE!$B$2:$D$97168,3,FALSE),"Produto não cadastrado"))</f>
        <v xml:space="preserve">OCULOS DE PROTEÇÃO INCOLOR </v>
      </c>
      <c r="E1096" s="99" t="str">
        <f>_xlfn.XLOOKUP(B1096,ESTOQUE!B:B,ESTOQUE!G:G,"",0)</f>
        <v>UND</v>
      </c>
      <c r="F1096" s="99">
        <v>1</v>
      </c>
      <c r="G1096" s="146"/>
      <c r="H1096" s="146"/>
      <c r="I1096" s="147"/>
      <c r="J1096" s="147"/>
      <c r="K1096" s="63"/>
    </row>
    <row r="1097" spans="1:11" x14ac:dyDescent="0.25">
      <c r="A1097" s="108">
        <v>45993</v>
      </c>
      <c r="B1097" s="109">
        <v>2</v>
      </c>
      <c r="C1097" s="49" t="s">
        <v>19</v>
      </c>
      <c r="D1097" s="110" t="str">
        <f>IF(ISBLANK($B1097),"",IFERROR(VLOOKUP($B1097,ESTOQUE!$B$2:$D$97168,3,FALSE),"Produto não cadastrado"))</f>
        <v>AVENTAL DE RASPA TAM 1X60MT</v>
      </c>
      <c r="E1097" s="99" t="str">
        <f>_xlfn.XLOOKUP(B1097,ESTOQUE!B:B,ESTOQUE!G:G,"",0)</f>
        <v>UND</v>
      </c>
      <c r="F1097" s="99">
        <v>5</v>
      </c>
      <c r="G1097" s="146"/>
      <c r="H1097" s="146"/>
      <c r="I1097" s="147"/>
      <c r="J1097" s="147"/>
      <c r="K1097" s="63"/>
    </row>
    <row r="1098" spans="1:11" x14ac:dyDescent="0.25">
      <c r="A1098" s="108">
        <v>45993</v>
      </c>
      <c r="B1098" s="109">
        <v>46</v>
      </c>
      <c r="C1098" s="49" t="s">
        <v>19</v>
      </c>
      <c r="D1098" s="110" t="str">
        <f>IF(ISBLANK($B1098),"",IFERROR(VLOOKUP($B1098,ESTOQUE!$B$2:$D$97168,3,FALSE),"Produto não cadastrado"))</f>
        <v>CALÇA CINZA OP. C/ FAIXA REFLETIVA TAM: G</v>
      </c>
      <c r="E1098" s="99" t="str">
        <f>_xlfn.XLOOKUP(B1098,ESTOQUE!B:B,ESTOQUE!G:G,"",0)</f>
        <v>UND</v>
      </c>
      <c r="F1098" s="99">
        <v>7</v>
      </c>
      <c r="G1098" s="146"/>
      <c r="H1098" s="146"/>
      <c r="I1098" s="147"/>
      <c r="J1098" s="147"/>
      <c r="K1098" s="63"/>
    </row>
    <row r="1099" spans="1:11" x14ac:dyDescent="0.25">
      <c r="A1099" s="108">
        <v>45993</v>
      </c>
      <c r="B1099" s="109">
        <v>66</v>
      </c>
      <c r="C1099" s="49" t="s">
        <v>19</v>
      </c>
      <c r="D1099" s="110" t="str">
        <f>IF(ISBLANK($B1099),"",IFERROR(VLOOKUP($B1099,ESTOQUE!$B$2:$D$97168,3,FALSE),"Produto não cadastrado"))</f>
        <v>CAMISA DE ELETRICISTA NR.10 TAM: XG</v>
      </c>
      <c r="E1099" s="99" t="str">
        <f>_xlfn.XLOOKUP(B1099,ESTOQUE!B:B,ESTOQUE!G:G,"",0)</f>
        <v>UND</v>
      </c>
      <c r="F1099" s="99">
        <v>1</v>
      </c>
      <c r="G1099" s="146"/>
      <c r="H1099" s="146"/>
      <c r="I1099" s="147"/>
      <c r="J1099" s="147"/>
      <c r="K1099" s="63"/>
    </row>
    <row r="1100" spans="1:11" x14ac:dyDescent="0.25">
      <c r="A1100" s="108">
        <v>45993</v>
      </c>
      <c r="B1100" s="109">
        <v>73</v>
      </c>
      <c r="C1100" s="49" t="s">
        <v>19</v>
      </c>
      <c r="D1100" s="110" t="str">
        <f>IF(ISBLANK($B1100),"",IFERROR(VLOOKUP($B1100,ESTOQUE!$B$2:$D$97168,3,FALSE),"Produto não cadastrado"))</f>
        <v>CAPA DE CHUVA GG</v>
      </c>
      <c r="E1100" s="99" t="str">
        <f>_xlfn.XLOOKUP(B1100,ESTOQUE!B:B,ESTOQUE!G:G,"",0)</f>
        <v>UND</v>
      </c>
      <c r="F1100" s="99">
        <v>20</v>
      </c>
      <c r="G1100" s="146"/>
      <c r="H1100" s="146"/>
      <c r="I1100" s="147"/>
      <c r="J1100" s="147"/>
      <c r="K1100" s="63"/>
    </row>
    <row r="1101" spans="1:11" x14ac:dyDescent="0.25">
      <c r="A1101" s="108">
        <v>45993</v>
      </c>
      <c r="B1101" s="109">
        <v>67</v>
      </c>
      <c r="C1101" s="49" t="s">
        <v>19</v>
      </c>
      <c r="D1101" s="110" t="str">
        <f>IF(ISBLANK($B1101),"",IFERROR(VLOOKUP($B1101,ESTOQUE!$B$2:$D$97168,3,FALSE),"Produto não cadastrado"))</f>
        <v>CAMISA LARANJA OP. C/ FAIXA REFLETIVA TAM: G</v>
      </c>
      <c r="E1101" s="99" t="str">
        <f>_xlfn.XLOOKUP(B1101,ESTOQUE!B:B,ESTOQUE!G:G,"",0)</f>
        <v>UND</v>
      </c>
      <c r="F1101" s="99">
        <v>5</v>
      </c>
      <c r="G1101" s="146"/>
      <c r="H1101" s="146"/>
      <c r="I1101" s="147"/>
      <c r="J1101" s="147"/>
      <c r="K1101" s="63"/>
    </row>
    <row r="1102" spans="1:11" x14ac:dyDescent="0.25">
      <c r="A1102" s="108">
        <v>45993</v>
      </c>
      <c r="B1102" s="109">
        <v>97</v>
      </c>
      <c r="C1102" s="49" t="s">
        <v>19</v>
      </c>
      <c r="D1102" s="110" t="str">
        <f>IF(ISBLANK($B1102),"",IFERROR(VLOOKUP($B1102,ESTOQUE!$B$2:$D$97168,3,FALSE),"Produto não cadastrado"))</f>
        <v>COLETE REFLETIVO LARANJA M</v>
      </c>
      <c r="E1102" s="99" t="str">
        <f>_xlfn.XLOOKUP(B1102,ESTOQUE!B:B,ESTOQUE!G:G,"",0)</f>
        <v>UND</v>
      </c>
      <c r="F1102" s="99">
        <v>1</v>
      </c>
      <c r="G1102" s="146"/>
      <c r="H1102" s="146"/>
      <c r="I1102" s="147"/>
      <c r="J1102" s="147"/>
      <c r="K1102" s="63"/>
    </row>
    <row r="1103" spans="1:11" x14ac:dyDescent="0.25">
      <c r="A1103" s="108">
        <v>45993</v>
      </c>
      <c r="B1103" s="109">
        <v>141</v>
      </c>
      <c r="C1103" s="49" t="s">
        <v>19</v>
      </c>
      <c r="D1103" s="110" t="str">
        <f>IF(ISBLANK($B1103),"",IFERROR(VLOOKUP($B1103,ESTOQUE!$B$2:$D$97168,3,FALSE),"Produto não cadastrado"))</f>
        <v xml:space="preserve">LUVA DE VAQUETA </v>
      </c>
      <c r="E1103" s="99" t="str">
        <f>_xlfn.XLOOKUP(B1103,ESTOQUE!B:B,ESTOQUE!G:G,"",0)</f>
        <v>PAR</v>
      </c>
      <c r="F1103" s="99">
        <v>2</v>
      </c>
      <c r="G1103" s="146"/>
      <c r="H1103" s="146"/>
      <c r="I1103" s="147"/>
      <c r="J1103" s="147"/>
      <c r="K1103" s="63"/>
    </row>
    <row r="1104" spans="1:11" x14ac:dyDescent="0.25">
      <c r="A1104" s="108">
        <v>45993</v>
      </c>
      <c r="B1104" s="109">
        <v>114</v>
      </c>
      <c r="C1104" s="49" t="s">
        <v>19</v>
      </c>
      <c r="D1104" s="110" t="str">
        <f>IF(ISBLANK($B1104),"",IFERROR(VLOOKUP($B1104,ESTOQUE!$B$2:$D$97168,3,FALSE),"Produto não cadastrado"))</f>
        <v xml:space="preserve">LUVA LATEX NITRILICA </v>
      </c>
      <c r="E1104" s="99" t="str">
        <f>_xlfn.XLOOKUP(B1104,ESTOQUE!B:B,ESTOQUE!G:G,"",0)</f>
        <v>PAR</v>
      </c>
      <c r="F1104" s="99">
        <v>2</v>
      </c>
      <c r="G1104" s="146"/>
      <c r="H1104" s="146"/>
      <c r="I1104" s="147"/>
      <c r="J1104" s="147"/>
      <c r="K1104" s="63"/>
    </row>
    <row r="1105" spans="1:11" x14ac:dyDescent="0.25">
      <c r="A1105" s="108">
        <v>45993</v>
      </c>
      <c r="B1105" s="109">
        <v>117</v>
      </c>
      <c r="C1105" s="49" t="s">
        <v>19</v>
      </c>
      <c r="D1105" s="110" t="str">
        <f>IF(ISBLANK($B1105),"",IFERROR(VLOOKUP($B1105,ESTOQUE!$B$2:$D$97168,3,FALSE),"Produto não cadastrado"))</f>
        <v>LUVA PIGMENTADA</v>
      </c>
      <c r="E1105" s="99" t="str">
        <f>_xlfn.XLOOKUP(B1105,ESTOQUE!B:B,ESTOQUE!G:G,"",0)</f>
        <v>PAR</v>
      </c>
      <c r="F1105" s="99">
        <v>4</v>
      </c>
      <c r="G1105" s="146"/>
      <c r="H1105" s="146"/>
      <c r="I1105" s="147"/>
      <c r="J1105" s="147"/>
      <c r="K1105" s="63"/>
    </row>
    <row r="1106" spans="1:11" x14ac:dyDescent="0.25">
      <c r="A1106" s="108">
        <v>45993</v>
      </c>
      <c r="B1106" s="109">
        <v>207</v>
      </c>
      <c r="C1106" s="49" t="s">
        <v>19</v>
      </c>
      <c r="D1106" s="110" t="str">
        <f>IF(ISBLANK($B1106),"",IFERROR(VLOOKUP($B1106,ESTOQUE!$B$2:$D$97168,3,FALSE),"Produto não cadastrado"))</f>
        <v>LUVA POLIESTER ANTICORTE BANHADA PU TAM 9</v>
      </c>
      <c r="E1106" s="99" t="str">
        <f>_xlfn.XLOOKUP(B1106,ESTOQUE!B:B,ESTOQUE!G:G,"",0)</f>
        <v>PAR</v>
      </c>
      <c r="F1106" s="99">
        <v>2</v>
      </c>
      <c r="G1106" s="146"/>
      <c r="H1106" s="146"/>
      <c r="I1106" s="147"/>
      <c r="J1106" s="147"/>
      <c r="K1106" s="63"/>
    </row>
    <row r="1107" spans="1:11" x14ac:dyDescent="0.25">
      <c r="A1107" s="108">
        <v>45993</v>
      </c>
      <c r="B1107" s="109">
        <v>159</v>
      </c>
      <c r="C1107" s="49" t="s">
        <v>19</v>
      </c>
      <c r="D1107" s="110" t="str">
        <f>IF(ISBLANK($B1107),"",IFERROR(VLOOKUP($B1107,ESTOQUE!$B$2:$D$97168,3,FALSE),"Produto não cadastrado"))</f>
        <v>LUVA VOLK ANTIVIBRAÇÃO GORILA TAM 9</v>
      </c>
      <c r="E1107" s="99" t="str">
        <f>_xlfn.XLOOKUP(B1107,ESTOQUE!B:B,ESTOQUE!G:G,"",0)</f>
        <v>PAR</v>
      </c>
      <c r="F1107" s="99">
        <v>12</v>
      </c>
      <c r="G1107" s="146"/>
      <c r="H1107" s="146"/>
      <c r="I1107" s="147"/>
      <c r="J1107" s="147"/>
      <c r="K1107" s="63"/>
    </row>
    <row r="1108" spans="1:11" x14ac:dyDescent="0.25">
      <c r="A1108" s="108">
        <v>45993</v>
      </c>
      <c r="B1108" s="109">
        <v>118</v>
      </c>
      <c r="C1108" s="49" t="s">
        <v>19</v>
      </c>
      <c r="D1108" s="110" t="str">
        <f>IF(ISBLANK($B1108),"",IFERROR(VLOOKUP($B1108,ESTOQUE!$B$2:$D$97168,3,FALSE),"Produto não cadastrado"))</f>
        <v>MACACÃO DE PROTEÇÃO TYVEK</v>
      </c>
      <c r="E1108" s="99" t="str">
        <f>_xlfn.XLOOKUP(B1108,ESTOQUE!B:B,ESTOQUE!G:G,"",0)</f>
        <v>UND</v>
      </c>
      <c r="F1108" s="99">
        <v>4</v>
      </c>
      <c r="G1108" s="146"/>
      <c r="H1108" s="146"/>
      <c r="I1108" s="147"/>
      <c r="J1108" s="147"/>
      <c r="K1108" s="63"/>
    </row>
    <row r="1109" spans="1:11" x14ac:dyDescent="0.25">
      <c r="A1109" s="108">
        <v>45993</v>
      </c>
      <c r="B1109" s="109">
        <v>144</v>
      </c>
      <c r="C1109" s="49" t="s">
        <v>19</v>
      </c>
      <c r="D1109" s="110" t="str">
        <f>IF(ISBLANK($B1109),"",IFERROR(VLOOKUP($B1109,ESTOQUE!$B$2:$D$97168,3,FALSE),"Produto não cadastrado"))</f>
        <v>MASCARA PFF2-S C/ FILTRO</v>
      </c>
      <c r="E1109" s="99" t="str">
        <f>_xlfn.XLOOKUP(B1109,ESTOQUE!B:B,ESTOQUE!G:G,"",0)</f>
        <v>UND</v>
      </c>
      <c r="F1109" s="99">
        <v>10</v>
      </c>
      <c r="G1109" s="146"/>
      <c r="H1109" s="146"/>
      <c r="I1109" s="147"/>
      <c r="J1109" s="147"/>
      <c r="K1109" s="63"/>
    </row>
    <row r="1110" spans="1:11" x14ac:dyDescent="0.25">
      <c r="A1110" s="108">
        <v>45993</v>
      </c>
      <c r="B1110" s="109">
        <v>126</v>
      </c>
      <c r="C1110" s="49" t="s">
        <v>19</v>
      </c>
      <c r="D1110" s="110" t="str">
        <f>IF(ISBLANK($B1110),"",IFERROR(VLOOKUP($B1110,ESTOQUE!$B$2:$D$97168,3,FALSE),"Produto não cadastrado"))</f>
        <v>OCULOS DE PROTEÇÃO ESCURO</v>
      </c>
      <c r="E1110" s="99" t="str">
        <f>_xlfn.XLOOKUP(B1110,ESTOQUE!B:B,ESTOQUE!G:G,"",0)</f>
        <v>UND</v>
      </c>
      <c r="F1110" s="99">
        <v>1</v>
      </c>
      <c r="G1110" s="146"/>
      <c r="H1110" s="146"/>
      <c r="I1110" s="147"/>
      <c r="J1110" s="147"/>
      <c r="K1110" s="63"/>
    </row>
    <row r="1111" spans="1:11" x14ac:dyDescent="0.25">
      <c r="A1111" s="108">
        <v>45993</v>
      </c>
      <c r="B1111" s="109">
        <v>124</v>
      </c>
      <c r="C1111" s="49" t="s">
        <v>19</v>
      </c>
      <c r="D1111" s="110" t="str">
        <f>IF(ISBLANK($B1111),"",IFERROR(VLOOKUP($B1111,ESTOQUE!$B$2:$D$97168,3,FALSE),"Produto não cadastrado"))</f>
        <v xml:space="preserve">OCULOS DE PROTEÇÃO INCOLOR </v>
      </c>
      <c r="E1111" s="99" t="str">
        <f>_xlfn.XLOOKUP(B1111,ESTOQUE!B:B,ESTOQUE!G:G,"",0)</f>
        <v>UND</v>
      </c>
      <c r="F1111" s="99">
        <v>2</v>
      </c>
      <c r="G1111" s="146"/>
      <c r="H1111" s="146"/>
      <c r="I1111" s="147"/>
      <c r="J1111" s="147"/>
      <c r="K1111" s="63"/>
    </row>
    <row r="1112" spans="1:11" x14ac:dyDescent="0.25">
      <c r="A1112" s="108">
        <v>45993</v>
      </c>
      <c r="B1112" s="109">
        <v>129</v>
      </c>
      <c r="C1112" s="49" t="s">
        <v>19</v>
      </c>
      <c r="D1112" s="110" t="str">
        <f>IF(ISBLANK($B1112),"",IFERROR(VLOOKUP($B1112,ESTOQUE!$B$2:$D$97168,3,FALSE),"Produto não cadastrado"))</f>
        <v>PERNEIRA DE RASPA</v>
      </c>
      <c r="E1112" s="99" t="str">
        <f>_xlfn.XLOOKUP(B1112,ESTOQUE!B:B,ESTOQUE!G:G,"",0)</f>
        <v>PAR</v>
      </c>
      <c r="F1112" s="99">
        <v>1</v>
      </c>
      <c r="G1112" s="146"/>
      <c r="H1112" s="146"/>
      <c r="I1112" s="147"/>
      <c r="J1112" s="147"/>
      <c r="K1112" s="63"/>
    </row>
    <row r="1113" spans="1:11" x14ac:dyDescent="0.25">
      <c r="A1113" s="108">
        <v>45993</v>
      </c>
      <c r="B1113" s="109">
        <v>231</v>
      </c>
      <c r="C1113" s="49" t="s">
        <v>19</v>
      </c>
      <c r="D1113" s="110" t="str">
        <f>IF(ISBLANK($B1113),"",IFERROR(VLOOKUP($B1113,ESTOQUE!$B$2:$D$97168,3,FALSE),"Produto não cadastrado"))</f>
        <v xml:space="preserve">PROTETOR DE VERGALHÃO </v>
      </c>
      <c r="E1113" s="99" t="str">
        <f>_xlfn.XLOOKUP(B1113,ESTOQUE!B:B,ESTOQUE!G:G,"",0)</f>
        <v>UND</v>
      </c>
      <c r="F1113" s="99">
        <v>30</v>
      </c>
      <c r="G1113" s="146"/>
      <c r="H1113" s="146"/>
      <c r="I1113" s="147"/>
      <c r="J1113" s="147"/>
      <c r="K1113" s="63"/>
    </row>
    <row r="1114" spans="1:11" x14ac:dyDescent="0.25">
      <c r="A1114" s="108">
        <v>45993</v>
      </c>
      <c r="B1114" s="109">
        <v>1</v>
      </c>
      <c r="C1114" s="49" t="s">
        <v>19</v>
      </c>
      <c r="D1114" s="110" t="str">
        <f>IF(ISBLANK($B1114),"",IFERROR(VLOOKUP($B1114,ESTOQUE!$B$2:$D$97168,3,FALSE),"Produto não cadastrado"))</f>
        <v>ABAFADOR DE RUIDOS TIPO CONCHA</v>
      </c>
      <c r="E1114" s="99" t="str">
        <f>_xlfn.XLOOKUP(B1114,ESTOQUE!B:B,ESTOQUE!G:G,"",0)</f>
        <v>UND</v>
      </c>
      <c r="F1114" s="99">
        <v>1</v>
      </c>
      <c r="G1114" s="146"/>
      <c r="H1114" s="146"/>
      <c r="I1114" s="147"/>
      <c r="J1114" s="147"/>
      <c r="K1114" s="63"/>
    </row>
    <row r="1115" spans="1:11" x14ac:dyDescent="0.25">
      <c r="A1115" s="108">
        <v>45994</v>
      </c>
      <c r="B1115" s="109">
        <v>1</v>
      </c>
      <c r="C1115" s="49" t="s">
        <v>19</v>
      </c>
      <c r="D1115" s="110" t="str">
        <f>IF(ISBLANK($B1115),"",IFERROR(VLOOKUP($B1115,ESTOQUE!$B$2:$D$97168,3,FALSE),"Produto não cadastrado"))</f>
        <v>ABAFADOR DE RUIDOS TIPO CONCHA</v>
      </c>
      <c r="E1115" s="99" t="str">
        <f>_xlfn.XLOOKUP(B1115,ESTOQUE!B:B,ESTOQUE!G:G,"",0)</f>
        <v>UND</v>
      </c>
      <c r="F1115" s="99">
        <v>1</v>
      </c>
      <c r="G1115" s="146"/>
      <c r="H1115" s="146"/>
      <c r="I1115" s="147"/>
      <c r="J1115" s="147"/>
      <c r="K1115" s="63"/>
    </row>
    <row r="1116" spans="1:11" x14ac:dyDescent="0.25">
      <c r="A1116" s="108">
        <v>45994</v>
      </c>
      <c r="B1116" s="109">
        <v>8</v>
      </c>
      <c r="C1116" s="49" t="s">
        <v>19</v>
      </c>
      <c r="D1116" s="110" t="str">
        <f>IF(ISBLANK($B1116),"",IFERROR(VLOOKUP($B1116,ESTOQUE!$B$2:$D$97168,3,FALSE),"Produto não cadastrado"))</f>
        <v>BOTA PVC CANO LONGO Nº 40</v>
      </c>
      <c r="E1116" s="99" t="str">
        <f>_xlfn.XLOOKUP(B1116,ESTOQUE!B:B,ESTOQUE!G:G,"",0)</f>
        <v>PAR</v>
      </c>
      <c r="F1116" s="99">
        <v>2</v>
      </c>
      <c r="G1116" s="146"/>
      <c r="H1116" s="146"/>
      <c r="I1116" s="147"/>
      <c r="J1116" s="147"/>
      <c r="K1116" s="63"/>
    </row>
    <row r="1117" spans="1:11" x14ac:dyDescent="0.25">
      <c r="A1117" s="108">
        <v>45994</v>
      </c>
      <c r="B1117" s="109">
        <v>46</v>
      </c>
      <c r="C1117" s="49" t="s">
        <v>19</v>
      </c>
      <c r="D1117" s="110" t="str">
        <f>IF(ISBLANK($B1117),"",IFERROR(VLOOKUP($B1117,ESTOQUE!$B$2:$D$97168,3,FALSE),"Produto não cadastrado"))</f>
        <v>CALÇA CINZA OP. C/ FAIXA REFLETIVA TAM: G</v>
      </c>
      <c r="E1117" s="99" t="str">
        <f>_xlfn.XLOOKUP(B1117,ESTOQUE!B:B,ESTOQUE!G:G,"",0)</f>
        <v>UND</v>
      </c>
      <c r="F1117" s="99">
        <v>15</v>
      </c>
      <c r="G1117" s="146"/>
      <c r="H1117" s="146"/>
      <c r="I1117" s="147"/>
      <c r="J1117" s="147"/>
      <c r="K1117" s="63"/>
    </row>
    <row r="1118" spans="1:11" x14ac:dyDescent="0.25">
      <c r="A1118" s="108">
        <v>45994</v>
      </c>
      <c r="B1118" s="109">
        <v>67</v>
      </c>
      <c r="C1118" s="49" t="s">
        <v>19</v>
      </c>
      <c r="D1118" s="110" t="str">
        <f>IF(ISBLANK($B1118),"",IFERROR(VLOOKUP($B1118,ESTOQUE!$B$2:$D$97168,3,FALSE),"Produto não cadastrado"))</f>
        <v>CAMISA LARANJA OP. C/ FAIXA REFLETIVA TAM: G</v>
      </c>
      <c r="E1118" s="99" t="str">
        <f>_xlfn.XLOOKUP(B1118,ESTOQUE!B:B,ESTOQUE!G:G,"",0)</f>
        <v>UND</v>
      </c>
      <c r="F1118" s="99">
        <v>14</v>
      </c>
      <c r="G1118" s="146"/>
      <c r="H1118" s="146"/>
      <c r="I1118" s="147"/>
      <c r="J1118" s="147"/>
      <c r="K1118" s="63"/>
    </row>
    <row r="1119" spans="1:11" x14ac:dyDescent="0.25">
      <c r="A1119" s="108">
        <v>45994</v>
      </c>
      <c r="B1119" s="109">
        <v>68</v>
      </c>
      <c r="C1119" s="49" t="s">
        <v>19</v>
      </c>
      <c r="D1119" s="110" t="str">
        <f>IF(ISBLANK($B1119),"",IFERROR(VLOOKUP($B1119,ESTOQUE!$B$2:$D$97168,3,FALSE),"Produto não cadastrado"))</f>
        <v>CAMISA LARANJA OP. C/ FAIXA REFLETIVA TAM: GG</v>
      </c>
      <c r="E1119" s="99" t="str">
        <f>_xlfn.XLOOKUP(B1119,ESTOQUE!B:B,ESTOQUE!G:G,"",0)</f>
        <v>UND</v>
      </c>
      <c r="F1119" s="99">
        <v>3</v>
      </c>
      <c r="G1119" s="146"/>
      <c r="H1119" s="146"/>
      <c r="I1119" s="147"/>
      <c r="J1119" s="147"/>
      <c r="K1119" s="63"/>
    </row>
    <row r="1120" spans="1:11" x14ac:dyDescent="0.25">
      <c r="A1120" s="108">
        <v>45994</v>
      </c>
      <c r="B1120" s="109">
        <v>69</v>
      </c>
      <c r="C1120" s="49" t="s">
        <v>19</v>
      </c>
      <c r="D1120" s="110" t="str">
        <f>IF(ISBLANK($B1120),"",IFERROR(VLOOKUP($B1120,ESTOQUE!$B$2:$D$97168,3,FALSE),"Produto não cadastrado"))</f>
        <v>CAMISA LARANJA OP. C/ FAIXA REFLETIVA TAM: M</v>
      </c>
      <c r="E1120" s="99" t="str">
        <f>_xlfn.XLOOKUP(B1120,ESTOQUE!B:B,ESTOQUE!G:G,"",0)</f>
        <v>UND</v>
      </c>
      <c r="F1120" s="99">
        <v>11</v>
      </c>
      <c r="G1120" s="146"/>
      <c r="H1120" s="146"/>
      <c r="I1120" s="147"/>
      <c r="J1120" s="147"/>
      <c r="K1120" s="63"/>
    </row>
    <row r="1121" spans="1:11" x14ac:dyDescent="0.25">
      <c r="A1121" s="108">
        <v>45994</v>
      </c>
      <c r="B1121" s="109">
        <v>72</v>
      </c>
      <c r="C1121" s="49" t="s">
        <v>19</v>
      </c>
      <c r="D1121" s="110" t="str">
        <f>IF(ISBLANK($B1121),"",IFERROR(VLOOKUP($B1121,ESTOQUE!$B$2:$D$97168,3,FALSE),"Produto não cadastrado"))</f>
        <v>CAPA DE CHUVA G</v>
      </c>
      <c r="E1121" s="99" t="str">
        <f>_xlfn.XLOOKUP(B1121,ESTOQUE!B:B,ESTOQUE!G:G,"",0)</f>
        <v>UND</v>
      </c>
      <c r="F1121" s="99">
        <v>3</v>
      </c>
      <c r="G1121" s="146"/>
      <c r="H1121" s="146"/>
      <c r="I1121" s="147"/>
      <c r="J1121" s="147"/>
      <c r="K1121" s="63"/>
    </row>
    <row r="1122" spans="1:11" x14ac:dyDescent="0.25">
      <c r="A1122" s="108">
        <v>45994</v>
      </c>
      <c r="B1122" s="109">
        <v>161</v>
      </c>
      <c r="C1122" s="49" t="s">
        <v>19</v>
      </c>
      <c r="D1122" s="110" t="str">
        <f>IF(ISBLANK($B1122),"",IFERROR(VLOOKUP($B1122,ESTOQUE!$B$2:$D$97168,3,FALSE),"Produto não cadastrado"))</f>
        <v>JUGULAR</v>
      </c>
      <c r="E1122" s="99" t="str">
        <f>_xlfn.XLOOKUP(B1122,ESTOQUE!B:B,ESTOQUE!G:G,"",0)</f>
        <v>UND</v>
      </c>
      <c r="F1122" s="99">
        <v>4</v>
      </c>
      <c r="G1122" s="146"/>
      <c r="H1122" s="146"/>
      <c r="I1122" s="147"/>
      <c r="J1122" s="147"/>
      <c r="K1122" s="63"/>
    </row>
    <row r="1123" spans="1:11" x14ac:dyDescent="0.25">
      <c r="A1123" s="108">
        <v>45994</v>
      </c>
      <c r="B1123" s="109">
        <v>110</v>
      </c>
      <c r="C1123" s="49" t="s">
        <v>19</v>
      </c>
      <c r="D1123" s="110" t="str">
        <f>IF(ISBLANK($B1123),"",IFERROR(VLOOKUP($B1123,ESTOQUE!$B$2:$D$97168,3,FALSE),"Produto não cadastrado"))</f>
        <v>LUVA DE RASPA CANO LONGO</v>
      </c>
      <c r="E1123" s="99" t="str">
        <f>_xlfn.XLOOKUP(B1123,ESTOQUE!B:B,ESTOQUE!G:G,"",0)</f>
        <v>PAR</v>
      </c>
      <c r="F1123" s="99">
        <v>2</v>
      </c>
      <c r="G1123" s="146"/>
      <c r="H1123" s="146"/>
      <c r="I1123" s="147"/>
      <c r="J1123" s="147"/>
      <c r="K1123" s="63"/>
    </row>
    <row r="1124" spans="1:11" x14ac:dyDescent="0.25">
      <c r="A1124" s="108">
        <v>45994</v>
      </c>
      <c r="B1124" s="109">
        <v>141</v>
      </c>
      <c r="C1124" s="49" t="s">
        <v>19</v>
      </c>
      <c r="D1124" s="110" t="str">
        <f>IF(ISBLANK($B1124),"",IFERROR(VLOOKUP($B1124,ESTOQUE!$B$2:$D$97168,3,FALSE),"Produto não cadastrado"))</f>
        <v xml:space="preserve">LUVA DE VAQUETA </v>
      </c>
      <c r="E1124" s="99" t="str">
        <f>_xlfn.XLOOKUP(B1124,ESTOQUE!B:B,ESTOQUE!G:G,"",0)</f>
        <v>PAR</v>
      </c>
      <c r="F1124" s="99">
        <v>2</v>
      </c>
      <c r="G1124" s="146"/>
      <c r="H1124" s="146"/>
      <c r="I1124" s="147"/>
      <c r="J1124" s="147"/>
      <c r="K1124" s="63"/>
    </row>
    <row r="1125" spans="1:11" x14ac:dyDescent="0.25">
      <c r="A1125" s="108">
        <v>45994</v>
      </c>
      <c r="B1125" s="109">
        <v>111</v>
      </c>
      <c r="C1125" s="49" t="s">
        <v>19</v>
      </c>
      <c r="D1125" s="110" t="str">
        <f>IF(ISBLANK($B1125),"",IFERROR(VLOOKUP($B1125,ESTOQUE!$B$2:$D$97168,3,FALSE),"Produto não cadastrado"))</f>
        <v>LUVA DE VAQUETA MARROM</v>
      </c>
      <c r="E1125" s="99" t="str">
        <f>_xlfn.XLOOKUP(B1125,ESTOQUE!B:B,ESTOQUE!G:G,"",0)</f>
        <v>PAR</v>
      </c>
      <c r="F1125" s="99">
        <v>20</v>
      </c>
      <c r="G1125" s="146"/>
      <c r="H1125" s="146"/>
      <c r="I1125" s="147"/>
      <c r="J1125" s="147"/>
      <c r="K1125" s="63"/>
    </row>
    <row r="1126" spans="1:11" x14ac:dyDescent="0.25">
      <c r="A1126" s="108">
        <v>45994</v>
      </c>
      <c r="B1126" s="109">
        <v>114</v>
      </c>
      <c r="C1126" s="49" t="s">
        <v>19</v>
      </c>
      <c r="D1126" s="110" t="str">
        <f>IF(ISBLANK($B1126),"",IFERROR(VLOOKUP($B1126,ESTOQUE!$B$2:$D$97168,3,FALSE),"Produto não cadastrado"))</f>
        <v xml:space="preserve">LUVA LATEX NITRILICA </v>
      </c>
      <c r="E1126" s="99" t="str">
        <f>_xlfn.XLOOKUP(B1126,ESTOQUE!B:B,ESTOQUE!G:G,"",0)</f>
        <v>PAR</v>
      </c>
      <c r="F1126" s="99">
        <v>2</v>
      </c>
      <c r="G1126" s="146"/>
      <c r="H1126" s="146"/>
      <c r="I1126" s="147"/>
      <c r="J1126" s="147"/>
      <c r="K1126" s="63"/>
    </row>
    <row r="1127" spans="1:11" x14ac:dyDescent="0.25">
      <c r="A1127" s="108">
        <v>45994</v>
      </c>
      <c r="B1127" s="109">
        <v>257</v>
      </c>
      <c r="C1127" s="49" t="s">
        <v>19</v>
      </c>
      <c r="D1127" s="110" t="str">
        <f>IF(ISBLANK($B1127),"",IFERROR(VLOOKUP($B1127,ESTOQUE!$B$2:$D$97168,3,FALSE),"Produto não cadastrado"))</f>
        <v xml:space="preserve">LUVA MULTITATO </v>
      </c>
      <c r="E1127" s="99" t="str">
        <f>_xlfn.XLOOKUP(B1127,ESTOQUE!B:B,ESTOQUE!G:G,"",0)</f>
        <v>UND</v>
      </c>
      <c r="F1127" s="99">
        <v>1</v>
      </c>
      <c r="G1127" s="146"/>
      <c r="H1127" s="146"/>
      <c r="I1127" s="147"/>
      <c r="J1127" s="147"/>
      <c r="K1127" s="63"/>
    </row>
    <row r="1128" spans="1:11" x14ac:dyDescent="0.25">
      <c r="A1128" s="108">
        <v>45994</v>
      </c>
      <c r="B1128" s="109">
        <v>117</v>
      </c>
      <c r="C1128" s="49" t="s">
        <v>19</v>
      </c>
      <c r="D1128" s="110" t="str">
        <f>IF(ISBLANK($B1128),"",IFERROR(VLOOKUP($B1128,ESTOQUE!$B$2:$D$97168,3,FALSE),"Produto não cadastrado"))</f>
        <v>LUVA PIGMENTADA</v>
      </c>
      <c r="E1128" s="99" t="str">
        <f>_xlfn.XLOOKUP(B1128,ESTOQUE!B:B,ESTOQUE!G:G,"",0)</f>
        <v>PAR</v>
      </c>
      <c r="F1128" s="99">
        <v>2</v>
      </c>
      <c r="G1128" s="146"/>
      <c r="H1128" s="146"/>
      <c r="I1128" s="147"/>
      <c r="J1128" s="147"/>
      <c r="K1128" s="63"/>
    </row>
    <row r="1129" spans="1:11" x14ac:dyDescent="0.25">
      <c r="A1129" s="108">
        <v>45994</v>
      </c>
      <c r="B1129" s="109">
        <v>118</v>
      </c>
      <c r="C1129" s="49" t="s">
        <v>19</v>
      </c>
      <c r="D1129" s="110" t="str">
        <f>IF(ISBLANK($B1129),"",IFERROR(VLOOKUP($B1129,ESTOQUE!$B$2:$D$97168,3,FALSE),"Produto não cadastrado"))</f>
        <v>MACACÃO DE PROTEÇÃO TYVEK</v>
      </c>
      <c r="E1129" s="99" t="str">
        <f>_xlfn.XLOOKUP(B1129,ESTOQUE!B:B,ESTOQUE!G:G,"",0)</f>
        <v>UND</v>
      </c>
      <c r="F1129" s="99">
        <v>30</v>
      </c>
      <c r="G1129" s="146"/>
      <c r="H1129" s="146"/>
      <c r="I1129" s="147"/>
      <c r="J1129" s="147"/>
      <c r="K1129" s="63"/>
    </row>
    <row r="1130" spans="1:11" x14ac:dyDescent="0.25">
      <c r="A1130" s="108">
        <v>45994</v>
      </c>
      <c r="B1130" s="109">
        <v>131</v>
      </c>
      <c r="C1130" s="49" t="s">
        <v>19</v>
      </c>
      <c r="D1130" s="110" t="str">
        <f>IF(ISBLANK($B1130),"",IFERROR(VLOOKUP($B1130,ESTOQUE!$B$2:$D$97168,3,FALSE),"Produto não cadastrado"))</f>
        <v>MACACÃO DE RASPA MANGA LONGA</v>
      </c>
      <c r="E1130" s="99" t="str">
        <f>_xlfn.XLOOKUP(B1130,ESTOQUE!B:B,ESTOQUE!G:G,"",0)</f>
        <v>UND</v>
      </c>
      <c r="F1130" s="99">
        <v>1</v>
      </c>
      <c r="G1130" s="146"/>
      <c r="H1130" s="146"/>
      <c r="I1130" s="147"/>
      <c r="J1130" s="147"/>
      <c r="K1130" s="63"/>
    </row>
    <row r="1131" spans="1:11" x14ac:dyDescent="0.25">
      <c r="A1131" s="108">
        <v>45994</v>
      </c>
      <c r="B1131" s="109">
        <v>125</v>
      </c>
      <c r="C1131" s="49" t="s">
        <v>19</v>
      </c>
      <c r="D1131" s="110" t="str">
        <f>IF(ISBLANK($B1131),"",IFERROR(VLOOKUP($B1131,ESTOQUE!$B$2:$D$97168,3,FALSE),"Produto não cadastrado"))</f>
        <v xml:space="preserve">MASCARA DE SOLDA AUTOMATICA </v>
      </c>
      <c r="E1131" s="99" t="str">
        <f>_xlfn.XLOOKUP(B1131,ESTOQUE!B:B,ESTOQUE!G:G,"",0)</f>
        <v>UND</v>
      </c>
      <c r="F1131" s="99">
        <v>1</v>
      </c>
      <c r="G1131" s="146"/>
      <c r="H1131" s="146"/>
      <c r="I1131" s="147"/>
      <c r="J1131" s="147"/>
      <c r="K1131" s="63"/>
    </row>
    <row r="1132" spans="1:11" x14ac:dyDescent="0.25">
      <c r="A1132" s="108">
        <v>45994</v>
      </c>
      <c r="B1132" s="109">
        <v>144</v>
      </c>
      <c r="C1132" s="49" t="s">
        <v>19</v>
      </c>
      <c r="D1132" s="110" t="str">
        <f>IF(ISBLANK($B1132),"",IFERROR(VLOOKUP($B1132,ESTOQUE!$B$2:$D$97168,3,FALSE),"Produto não cadastrado"))</f>
        <v>MASCARA PFF2-S C/ FILTRO</v>
      </c>
      <c r="E1132" s="99" t="str">
        <f>_xlfn.XLOOKUP(B1132,ESTOQUE!B:B,ESTOQUE!G:G,"",0)</f>
        <v>UND</v>
      </c>
      <c r="F1132" s="99">
        <v>49</v>
      </c>
      <c r="G1132" s="146"/>
      <c r="H1132" s="146"/>
      <c r="I1132" s="147"/>
      <c r="J1132" s="147"/>
      <c r="K1132" s="63"/>
    </row>
    <row r="1133" spans="1:11" x14ac:dyDescent="0.25">
      <c r="A1133" s="108">
        <v>45994</v>
      </c>
      <c r="B1133" s="109">
        <v>126</v>
      </c>
      <c r="C1133" s="49" t="s">
        <v>19</v>
      </c>
      <c r="D1133" s="110" t="str">
        <f>IF(ISBLANK($B1133),"",IFERROR(VLOOKUP($B1133,ESTOQUE!$B$2:$D$97168,3,FALSE),"Produto não cadastrado"))</f>
        <v>OCULOS DE PROTEÇÃO ESCURO</v>
      </c>
      <c r="E1133" s="99" t="str">
        <f>_xlfn.XLOOKUP(B1133,ESTOQUE!B:B,ESTOQUE!G:G,"",0)</f>
        <v>UND</v>
      </c>
      <c r="F1133" s="99">
        <v>5</v>
      </c>
      <c r="G1133" s="146"/>
      <c r="H1133" s="146"/>
      <c r="I1133" s="147"/>
      <c r="J1133" s="147"/>
      <c r="K1133" s="63"/>
    </row>
    <row r="1134" spans="1:11" x14ac:dyDescent="0.25">
      <c r="A1134" s="108">
        <v>45994</v>
      </c>
      <c r="B1134" s="109">
        <v>124</v>
      </c>
      <c r="C1134" s="49" t="s">
        <v>19</v>
      </c>
      <c r="D1134" s="110" t="str">
        <f>IF(ISBLANK($B1134),"",IFERROR(VLOOKUP($B1134,ESTOQUE!$B$2:$D$97168,3,FALSE),"Produto não cadastrado"))</f>
        <v xml:space="preserve">OCULOS DE PROTEÇÃO INCOLOR </v>
      </c>
      <c r="E1134" s="99" t="str">
        <f>_xlfn.XLOOKUP(B1134,ESTOQUE!B:B,ESTOQUE!G:G,"",0)</f>
        <v>UND</v>
      </c>
      <c r="F1134" s="99">
        <v>16</v>
      </c>
      <c r="G1134" s="146"/>
      <c r="H1134" s="146"/>
      <c r="I1134" s="147"/>
      <c r="J1134" s="147"/>
      <c r="K1134" s="63"/>
    </row>
    <row r="1135" spans="1:11" x14ac:dyDescent="0.25">
      <c r="A1135" s="108">
        <v>45995</v>
      </c>
      <c r="B1135" s="109">
        <v>10</v>
      </c>
      <c r="C1135" s="49" t="s">
        <v>19</v>
      </c>
      <c r="D1135" s="110" t="str">
        <f>IF(ISBLANK($B1135),"",IFERROR(VLOOKUP($B1135,ESTOQUE!$B$2:$D$97168,3,FALSE),"Produto não cadastrado"))</f>
        <v>BOTA PVC CANO LONGO Nº 42</v>
      </c>
      <c r="E1135" s="99" t="str">
        <f>_xlfn.XLOOKUP(B1135,ESTOQUE!B:B,ESTOQUE!G:G,"",0)</f>
        <v>PAR</v>
      </c>
      <c r="F1135" s="99">
        <v>2</v>
      </c>
      <c r="G1135" s="146"/>
      <c r="H1135" s="146"/>
      <c r="I1135" s="147"/>
      <c r="J1135" s="147"/>
      <c r="K1135" s="63"/>
    </row>
    <row r="1136" spans="1:11" x14ac:dyDescent="0.25">
      <c r="A1136" s="108">
        <v>45995</v>
      </c>
      <c r="B1136" s="109">
        <v>38</v>
      </c>
      <c r="C1136" s="49" t="s">
        <v>19</v>
      </c>
      <c r="D1136" s="110" t="str">
        <f>IF(ISBLANK($B1136),"",IFERROR(VLOOKUP($B1136,ESTOQUE!$B$2:$D$97168,3,FALSE),"Produto não cadastrado"))</f>
        <v>BOTINA OP. BICO PVC Nº 40</v>
      </c>
      <c r="E1136" s="99" t="str">
        <f>_xlfn.XLOOKUP(B1136,ESTOQUE!B:B,ESTOQUE!G:G,"",0)</f>
        <v>PAR</v>
      </c>
      <c r="F1136" s="99">
        <v>1</v>
      </c>
      <c r="G1136" s="146"/>
      <c r="H1136" s="146"/>
      <c r="I1136" s="147"/>
      <c r="J1136" s="147"/>
      <c r="K1136" s="63"/>
    </row>
    <row r="1137" spans="1:11" x14ac:dyDescent="0.25">
      <c r="A1137" s="108">
        <v>45995</v>
      </c>
      <c r="B1137" s="109">
        <v>40</v>
      </c>
      <c r="C1137" s="49" t="s">
        <v>19</v>
      </c>
      <c r="D1137" s="110" t="str">
        <f>IF(ISBLANK($B1137),"",IFERROR(VLOOKUP($B1137,ESTOQUE!$B$2:$D$97168,3,FALSE),"Produto não cadastrado"))</f>
        <v>BOTINA OP. BICO PVC Nº 42</v>
      </c>
      <c r="E1137" s="99" t="str">
        <f>_xlfn.XLOOKUP(B1137,ESTOQUE!B:B,ESTOQUE!G:G,"",0)</f>
        <v>PAR</v>
      </c>
      <c r="F1137" s="99">
        <v>1</v>
      </c>
      <c r="G1137" s="146"/>
      <c r="H1137" s="146"/>
      <c r="I1137" s="147"/>
      <c r="J1137" s="147"/>
      <c r="K1137" s="63"/>
    </row>
    <row r="1138" spans="1:11" x14ac:dyDescent="0.25">
      <c r="A1138" s="108">
        <v>45995</v>
      </c>
      <c r="B1138" s="109">
        <v>214</v>
      </c>
      <c r="C1138" s="49" t="s">
        <v>19</v>
      </c>
      <c r="D1138" s="110" t="str">
        <f>IF(ISBLANK($B1138),"",IFERROR(VLOOKUP($B1138,ESTOQUE!$B$2:$D$97168,3,FALSE),"Produto não cadastrado"))</f>
        <v>BOTINA SEGURANÇA METATARSO  37</v>
      </c>
      <c r="E1138" s="99" t="str">
        <f>_xlfn.XLOOKUP(B1138,ESTOQUE!B:B,ESTOQUE!G:G,"",0)</f>
        <v>PAR</v>
      </c>
      <c r="F1138" s="99">
        <v>1</v>
      </c>
      <c r="G1138" s="146"/>
      <c r="H1138" s="146"/>
      <c r="I1138" s="147"/>
      <c r="J1138" s="147"/>
      <c r="K1138" s="63"/>
    </row>
    <row r="1139" spans="1:11" x14ac:dyDescent="0.25">
      <c r="A1139" s="108">
        <v>45995</v>
      </c>
      <c r="B1139" s="109">
        <v>46</v>
      </c>
      <c r="C1139" s="49" t="s">
        <v>19</v>
      </c>
      <c r="D1139" s="110" t="str">
        <f>IF(ISBLANK($B1139),"",IFERROR(VLOOKUP($B1139,ESTOQUE!$B$2:$D$97168,3,FALSE),"Produto não cadastrado"))</f>
        <v>CALÇA CINZA OP. C/ FAIXA REFLETIVA TAM: G</v>
      </c>
      <c r="E1139" s="99" t="str">
        <f>_xlfn.XLOOKUP(B1139,ESTOQUE!B:B,ESTOQUE!G:G,"",0)</f>
        <v>UND</v>
      </c>
      <c r="F1139" s="99">
        <v>5</v>
      </c>
      <c r="G1139" s="146"/>
      <c r="H1139" s="146"/>
      <c r="I1139" s="147"/>
      <c r="J1139" s="147"/>
      <c r="K1139" s="63"/>
    </row>
    <row r="1140" spans="1:11" x14ac:dyDescent="0.25">
      <c r="A1140" s="108">
        <v>45995</v>
      </c>
      <c r="B1140" s="109">
        <v>54</v>
      </c>
      <c r="C1140" s="49" t="s">
        <v>19</v>
      </c>
      <c r="D1140" s="110" t="str">
        <f>IF(ISBLANK($B1140),"",IFERROR(VLOOKUP($B1140,ESTOQUE!$B$2:$D$97168,3,FALSE),"Produto não cadastrado"))</f>
        <v>CALÇA DE ELETRICISTA NR.10 TAM: G</v>
      </c>
      <c r="E1140" s="99" t="str">
        <f>_xlfn.XLOOKUP(B1140,ESTOQUE!B:B,ESTOQUE!G:G,"",0)</f>
        <v>UND</v>
      </c>
      <c r="F1140" s="99">
        <v>1</v>
      </c>
      <c r="G1140" s="146"/>
      <c r="H1140" s="146"/>
      <c r="I1140" s="147"/>
      <c r="J1140" s="147"/>
      <c r="K1140" s="63"/>
    </row>
    <row r="1141" spans="1:11" x14ac:dyDescent="0.25">
      <c r="A1141" s="108">
        <v>45995</v>
      </c>
      <c r="B1141" s="109">
        <v>47</v>
      </c>
      <c r="C1141" s="49" t="s">
        <v>19</v>
      </c>
      <c r="D1141" s="110" t="str">
        <f>IF(ISBLANK($B1141),"",IFERROR(VLOOKUP($B1141,ESTOQUE!$B$2:$D$97168,3,FALSE),"Produto não cadastrado"))</f>
        <v>CALÇA CINZA OP. C/ FAIXA REFLETIVA TAM: GG</v>
      </c>
      <c r="E1141" s="99" t="str">
        <f>_xlfn.XLOOKUP(B1141,ESTOQUE!B:B,ESTOQUE!G:G,"",0)</f>
        <v>UND</v>
      </c>
      <c r="F1141" s="99">
        <v>2</v>
      </c>
      <c r="G1141" s="146"/>
      <c r="H1141" s="146"/>
      <c r="I1141" s="147"/>
      <c r="J1141" s="147"/>
      <c r="K1141" s="63"/>
    </row>
    <row r="1142" spans="1:11" x14ac:dyDescent="0.25">
      <c r="A1142" s="108">
        <v>45995</v>
      </c>
      <c r="B1142" s="109">
        <v>185</v>
      </c>
      <c r="C1142" s="49" t="s">
        <v>19</v>
      </c>
      <c r="D1142" s="110" t="str">
        <f>IF(ISBLANK($B1142),"",IFERROR(VLOOKUP($B1142,ESTOQUE!$B$2:$D$97168,3,FALSE),"Produto não cadastrado"))</f>
        <v>CAMISA DE ELETRICISTA NR.10 TAM: G</v>
      </c>
      <c r="E1142" s="99" t="str">
        <f>_xlfn.XLOOKUP(B1142,ESTOQUE!B:B,ESTOQUE!G:G,"",0)</f>
        <v>UND</v>
      </c>
      <c r="F1142" s="99">
        <v>1</v>
      </c>
      <c r="G1142" s="146"/>
      <c r="H1142" s="146"/>
      <c r="I1142" s="147"/>
      <c r="J1142" s="147"/>
      <c r="K1142" s="63"/>
    </row>
    <row r="1143" spans="1:11" x14ac:dyDescent="0.25">
      <c r="A1143" s="108">
        <v>45995</v>
      </c>
      <c r="B1143" s="109">
        <v>67</v>
      </c>
      <c r="C1143" s="49" t="s">
        <v>19</v>
      </c>
      <c r="D1143" s="110" t="str">
        <f>IF(ISBLANK($B1143),"",IFERROR(VLOOKUP($B1143,ESTOQUE!$B$2:$D$97168,3,FALSE),"Produto não cadastrado"))</f>
        <v>CAMISA LARANJA OP. C/ FAIXA REFLETIVA TAM: G</v>
      </c>
      <c r="E1143" s="99" t="str">
        <f>_xlfn.XLOOKUP(B1143,ESTOQUE!B:B,ESTOQUE!G:G,"",0)</f>
        <v>UND</v>
      </c>
      <c r="F1143" s="99">
        <v>6</v>
      </c>
      <c r="G1143" s="146"/>
      <c r="H1143" s="146"/>
      <c r="I1143" s="147"/>
      <c r="J1143" s="147"/>
      <c r="K1143" s="63"/>
    </row>
    <row r="1144" spans="1:11" x14ac:dyDescent="0.25">
      <c r="A1144" s="108">
        <v>45995</v>
      </c>
      <c r="B1144" s="109">
        <v>68</v>
      </c>
      <c r="C1144" s="49" t="s">
        <v>19</v>
      </c>
      <c r="D1144" s="110" t="str">
        <f>IF(ISBLANK($B1144),"",IFERROR(VLOOKUP($B1144,ESTOQUE!$B$2:$D$97168,3,FALSE),"Produto não cadastrado"))</f>
        <v>CAMISA LARANJA OP. C/ FAIXA REFLETIVA TAM: GG</v>
      </c>
      <c r="E1144" s="99" t="str">
        <f>_xlfn.XLOOKUP(B1144,ESTOQUE!B:B,ESTOQUE!G:G,"",0)</f>
        <v>UND</v>
      </c>
      <c r="F1144" s="99">
        <v>2</v>
      </c>
      <c r="G1144" s="146"/>
      <c r="H1144" s="146"/>
      <c r="I1144" s="147"/>
      <c r="J1144" s="147"/>
      <c r="K1144" s="63"/>
    </row>
    <row r="1145" spans="1:11" x14ac:dyDescent="0.25">
      <c r="A1145" s="108">
        <v>45995</v>
      </c>
      <c r="B1145" s="109">
        <v>69</v>
      </c>
      <c r="C1145" s="49" t="s">
        <v>19</v>
      </c>
      <c r="D1145" s="110" t="str">
        <f>IF(ISBLANK($B1145),"",IFERROR(VLOOKUP($B1145,ESTOQUE!$B$2:$D$97168,3,FALSE),"Produto não cadastrado"))</f>
        <v>CAMISA LARANJA OP. C/ FAIXA REFLETIVA TAM: M</v>
      </c>
      <c r="E1145" s="99" t="str">
        <f>_xlfn.XLOOKUP(B1145,ESTOQUE!B:B,ESTOQUE!G:G,"",0)</f>
        <v>UND</v>
      </c>
      <c r="F1145" s="99">
        <v>2</v>
      </c>
      <c r="G1145" s="146"/>
      <c r="H1145" s="146"/>
      <c r="I1145" s="147"/>
      <c r="J1145" s="147"/>
      <c r="K1145" s="63"/>
    </row>
    <row r="1146" spans="1:11" x14ac:dyDescent="0.25">
      <c r="A1146" s="108">
        <v>45995</v>
      </c>
      <c r="B1146" s="109">
        <v>73</v>
      </c>
      <c r="C1146" s="49" t="s">
        <v>19</v>
      </c>
      <c r="D1146" s="110" t="str">
        <f>IF(ISBLANK($B1146),"",IFERROR(VLOOKUP($B1146,ESTOQUE!$B$2:$D$97168,3,FALSE),"Produto não cadastrado"))</f>
        <v>CAPA DE CHUVA GG</v>
      </c>
      <c r="E1146" s="99" t="str">
        <f>_xlfn.XLOOKUP(B1146,ESTOQUE!B:B,ESTOQUE!G:G,"",0)</f>
        <v>UND</v>
      </c>
      <c r="F1146" s="99">
        <v>16</v>
      </c>
      <c r="G1146" s="146"/>
      <c r="H1146" s="146"/>
      <c r="I1146" s="147"/>
      <c r="J1146" s="147"/>
      <c r="K1146" s="63"/>
    </row>
    <row r="1147" spans="1:11" x14ac:dyDescent="0.25">
      <c r="A1147" s="108">
        <v>45995</v>
      </c>
      <c r="B1147" s="109">
        <v>78</v>
      </c>
      <c r="C1147" s="49" t="s">
        <v>19</v>
      </c>
      <c r="D1147" s="110" t="str">
        <f>IF(ISBLANK($B1147),"",IFERROR(VLOOKUP($B1147,ESTOQUE!$B$2:$D$97168,3,FALSE),"Produto não cadastrado"))</f>
        <v>CAPACETE CAMPER MARROM</v>
      </c>
      <c r="E1147" s="99" t="str">
        <f>_xlfn.XLOOKUP(B1147,ESTOQUE!B:B,ESTOQUE!G:G,"",0)</f>
        <v>UND</v>
      </c>
      <c r="F1147" s="99">
        <v>1</v>
      </c>
      <c r="G1147" s="146"/>
      <c r="H1147" s="146"/>
      <c r="I1147" s="147"/>
      <c r="J1147" s="147"/>
      <c r="K1147" s="63"/>
    </row>
    <row r="1148" spans="1:11" x14ac:dyDescent="0.25">
      <c r="A1148" s="108">
        <v>45995</v>
      </c>
      <c r="B1148" s="109">
        <v>114</v>
      </c>
      <c r="C1148" s="49" t="s">
        <v>19</v>
      </c>
      <c r="D1148" s="110" t="str">
        <f>IF(ISBLANK($B1148),"",IFERROR(VLOOKUP($B1148,ESTOQUE!$B$2:$D$97168,3,FALSE),"Produto não cadastrado"))</f>
        <v xml:space="preserve">LUVA LATEX NITRILICA </v>
      </c>
      <c r="E1148" s="99" t="str">
        <f>_xlfn.XLOOKUP(B1148,ESTOQUE!B:B,ESTOQUE!G:G,"",0)</f>
        <v>PAR</v>
      </c>
      <c r="F1148" s="99">
        <v>24</v>
      </c>
      <c r="G1148" s="146"/>
      <c r="H1148" s="146"/>
      <c r="I1148" s="147"/>
      <c r="J1148" s="147"/>
      <c r="K1148" s="63"/>
    </row>
    <row r="1149" spans="1:11" x14ac:dyDescent="0.25">
      <c r="A1149" s="108">
        <v>45995</v>
      </c>
      <c r="B1149" s="109">
        <v>117</v>
      </c>
      <c r="C1149" s="49" t="s">
        <v>19</v>
      </c>
      <c r="D1149" s="110" t="str">
        <f>IF(ISBLANK($B1149),"",IFERROR(VLOOKUP($B1149,ESTOQUE!$B$2:$D$97168,3,FALSE),"Produto não cadastrado"))</f>
        <v>LUVA PIGMENTADA</v>
      </c>
      <c r="E1149" s="99" t="str">
        <f>_xlfn.XLOOKUP(B1149,ESTOQUE!B:B,ESTOQUE!G:G,"",0)</f>
        <v>PAR</v>
      </c>
      <c r="F1149" s="99">
        <v>3</v>
      </c>
      <c r="G1149" s="146"/>
      <c r="H1149" s="146"/>
      <c r="I1149" s="147"/>
      <c r="J1149" s="147"/>
      <c r="K1149" s="63"/>
    </row>
    <row r="1150" spans="1:11" x14ac:dyDescent="0.25">
      <c r="A1150" s="108">
        <v>45995</v>
      </c>
      <c r="B1150" s="109">
        <v>207</v>
      </c>
      <c r="C1150" s="49" t="s">
        <v>19</v>
      </c>
      <c r="D1150" s="110" t="str">
        <f>IF(ISBLANK($B1150),"",IFERROR(VLOOKUP($B1150,ESTOQUE!$B$2:$D$97168,3,FALSE),"Produto não cadastrado"))</f>
        <v>LUVA POLIESTER ANTICORTE BANHADA PU TAM 9</v>
      </c>
      <c r="E1150" s="99" t="str">
        <f>_xlfn.XLOOKUP(B1150,ESTOQUE!B:B,ESTOQUE!G:G,"",0)</f>
        <v>PAR</v>
      </c>
      <c r="F1150" s="99">
        <v>6</v>
      </c>
      <c r="G1150" s="146"/>
      <c r="H1150" s="146"/>
      <c r="I1150" s="147"/>
      <c r="J1150" s="147"/>
      <c r="K1150" s="63"/>
    </row>
    <row r="1151" spans="1:11" x14ac:dyDescent="0.25">
      <c r="A1151" s="108">
        <v>45995</v>
      </c>
      <c r="B1151" s="109">
        <v>144</v>
      </c>
      <c r="C1151" s="49" t="s">
        <v>19</v>
      </c>
      <c r="D1151" s="110" t="str">
        <f>IF(ISBLANK($B1151),"",IFERROR(VLOOKUP($B1151,ESTOQUE!$B$2:$D$97168,3,FALSE),"Produto não cadastrado"))</f>
        <v>MASCARA PFF2-S C/ FILTRO</v>
      </c>
      <c r="E1151" s="99" t="str">
        <f>_xlfn.XLOOKUP(B1151,ESTOQUE!B:B,ESTOQUE!G:G,"",0)</f>
        <v>UND</v>
      </c>
      <c r="F1151" s="99">
        <v>22</v>
      </c>
      <c r="G1151" s="146"/>
      <c r="H1151" s="146"/>
      <c r="I1151" s="147"/>
      <c r="J1151" s="147"/>
      <c r="K1151" s="63"/>
    </row>
    <row r="1152" spans="1:11" x14ac:dyDescent="0.25">
      <c r="A1152" s="108">
        <v>45995</v>
      </c>
      <c r="B1152" s="109">
        <v>126</v>
      </c>
      <c r="C1152" s="49" t="s">
        <v>19</v>
      </c>
      <c r="D1152" s="110" t="str">
        <f>IF(ISBLANK($B1152),"",IFERROR(VLOOKUP($B1152,ESTOQUE!$B$2:$D$97168,3,FALSE),"Produto não cadastrado"))</f>
        <v>OCULOS DE PROTEÇÃO ESCURO</v>
      </c>
      <c r="E1152" s="99" t="str">
        <f>_xlfn.XLOOKUP(B1152,ESTOQUE!B:B,ESTOQUE!G:G,"",0)</f>
        <v>UND</v>
      </c>
      <c r="F1152" s="99">
        <v>8</v>
      </c>
      <c r="G1152" s="146"/>
      <c r="H1152" s="146"/>
      <c r="I1152" s="147"/>
      <c r="J1152" s="147"/>
      <c r="K1152" s="63"/>
    </row>
    <row r="1153" spans="1:11" x14ac:dyDescent="0.25">
      <c r="A1153" s="108">
        <v>45995</v>
      </c>
      <c r="B1153" s="109">
        <v>124</v>
      </c>
      <c r="C1153" s="49" t="s">
        <v>19</v>
      </c>
      <c r="D1153" s="110" t="str">
        <f>IF(ISBLANK($B1153),"",IFERROR(VLOOKUP($B1153,ESTOQUE!$B$2:$D$97168,3,FALSE),"Produto não cadastrado"))</f>
        <v xml:space="preserve">OCULOS DE PROTEÇÃO INCOLOR </v>
      </c>
      <c r="E1153" s="99" t="str">
        <f>_xlfn.XLOOKUP(B1153,ESTOQUE!B:B,ESTOQUE!G:G,"",0)</f>
        <v>UND</v>
      </c>
      <c r="F1153" s="99">
        <v>11</v>
      </c>
      <c r="G1153" s="146"/>
      <c r="H1153" s="146"/>
      <c r="I1153" s="147"/>
      <c r="J1153" s="147"/>
      <c r="K1153" s="63"/>
    </row>
    <row r="1154" spans="1:11" x14ac:dyDescent="0.25">
      <c r="A1154" s="108">
        <v>45995</v>
      </c>
      <c r="B1154" s="109">
        <v>137</v>
      </c>
      <c r="C1154" s="49" t="s">
        <v>19</v>
      </c>
      <c r="D1154" s="110" t="str">
        <f>IF(ISBLANK($B1154),"",IFERROR(VLOOKUP($B1154,ESTOQUE!$B$2:$D$97168,3,FALSE),"Produto não cadastrado"))</f>
        <v xml:space="preserve">TOUCA ARABE </v>
      </c>
      <c r="E1154" s="99" t="str">
        <f>_xlfn.XLOOKUP(B1154,ESTOQUE!B:B,ESTOQUE!G:G,"",0)</f>
        <v>UND</v>
      </c>
      <c r="F1154" s="99">
        <v>2</v>
      </c>
      <c r="G1154" s="146"/>
      <c r="H1154" s="146"/>
      <c r="I1154" s="147"/>
      <c r="J1154" s="147"/>
      <c r="K1154" s="63"/>
    </row>
    <row r="1155" spans="1:11" x14ac:dyDescent="0.25">
      <c r="A1155" s="108">
        <v>45996</v>
      </c>
      <c r="B1155" s="109">
        <v>10</v>
      </c>
      <c r="C1155" s="49" t="s">
        <v>19</v>
      </c>
      <c r="D1155" s="110" t="str">
        <f>IF(ISBLANK($B1155),"",IFERROR(VLOOKUP($B1155,ESTOQUE!$B$2:$D$97168,3,FALSE),"Produto não cadastrado"))</f>
        <v>BOTA PVC CANO LONGO Nº 42</v>
      </c>
      <c r="E1155" s="99" t="str">
        <f>_xlfn.XLOOKUP(B1155,ESTOQUE!B:B,ESTOQUE!G:G,"",0)</f>
        <v>PAR</v>
      </c>
      <c r="F1155" s="99">
        <v>1</v>
      </c>
      <c r="G1155" s="146"/>
      <c r="H1155" s="146"/>
      <c r="I1155" s="147"/>
      <c r="J1155" s="147"/>
      <c r="K1155" s="63"/>
    </row>
    <row r="1156" spans="1:11" x14ac:dyDescent="0.25">
      <c r="A1156" s="108">
        <v>45996</v>
      </c>
      <c r="B1156" s="109">
        <v>20</v>
      </c>
      <c r="C1156" s="49" t="s">
        <v>19</v>
      </c>
      <c r="D1156" s="110" t="str">
        <f>IF(ISBLANK($B1156),"",IFERROR(VLOOKUP($B1156,ESTOQUE!$B$2:$D$97168,3,FALSE),"Produto não cadastrado"))</f>
        <v>BOTA PVC CANO MEDIO Nº 41</v>
      </c>
      <c r="E1156" s="99" t="str">
        <f>_xlfn.XLOOKUP(B1156,ESTOQUE!B:B,ESTOQUE!G:G,"",0)</f>
        <v>PAR</v>
      </c>
      <c r="F1156" s="99">
        <v>1</v>
      </c>
      <c r="G1156" s="146"/>
      <c r="H1156" s="146"/>
      <c r="I1156" s="147"/>
      <c r="J1156" s="147"/>
      <c r="K1156" s="63"/>
    </row>
    <row r="1157" spans="1:11" x14ac:dyDescent="0.25">
      <c r="A1157" s="108">
        <v>45996</v>
      </c>
      <c r="B1157" s="109">
        <v>46</v>
      </c>
      <c r="C1157" s="49" t="s">
        <v>19</v>
      </c>
      <c r="D1157" s="110" t="str">
        <f>IF(ISBLANK($B1157),"",IFERROR(VLOOKUP($B1157,ESTOQUE!$B$2:$D$97168,3,FALSE),"Produto não cadastrado"))</f>
        <v>CALÇA CINZA OP. C/ FAIXA REFLETIVA TAM: G</v>
      </c>
      <c r="E1157" s="99" t="str">
        <f>_xlfn.XLOOKUP(B1157,ESTOQUE!B:B,ESTOQUE!G:G,"",0)</f>
        <v>UND</v>
      </c>
      <c r="F1157" s="99">
        <v>1</v>
      </c>
      <c r="G1157" s="146"/>
      <c r="H1157" s="146"/>
      <c r="I1157" s="147"/>
      <c r="J1157" s="147"/>
      <c r="K1157" s="63"/>
    </row>
    <row r="1158" spans="1:11" x14ac:dyDescent="0.25">
      <c r="A1158" s="108">
        <v>45996</v>
      </c>
      <c r="B1158" s="109">
        <v>67</v>
      </c>
      <c r="C1158" s="49" t="s">
        <v>19</v>
      </c>
      <c r="D1158" s="110" t="str">
        <f>IF(ISBLANK($B1158),"",IFERROR(VLOOKUP($B1158,ESTOQUE!$B$2:$D$97168,3,FALSE),"Produto não cadastrado"))</f>
        <v>CAMISA LARANJA OP. C/ FAIXA REFLETIVA TAM: G</v>
      </c>
      <c r="E1158" s="99" t="str">
        <f>_xlfn.XLOOKUP(B1158,ESTOQUE!B:B,ESTOQUE!G:G,"",0)</f>
        <v>UND</v>
      </c>
      <c r="F1158" s="99">
        <v>1</v>
      </c>
      <c r="G1158" s="146"/>
      <c r="H1158" s="146"/>
      <c r="I1158" s="147"/>
      <c r="J1158" s="147"/>
      <c r="K1158" s="63"/>
    </row>
    <row r="1159" spans="1:11" x14ac:dyDescent="0.25">
      <c r="A1159" s="108">
        <v>45996</v>
      </c>
      <c r="B1159" s="109">
        <v>68</v>
      </c>
      <c r="C1159" s="49" t="s">
        <v>19</v>
      </c>
      <c r="D1159" s="110" t="str">
        <f>IF(ISBLANK($B1159),"",IFERROR(VLOOKUP($B1159,ESTOQUE!$B$2:$D$97168,3,FALSE),"Produto não cadastrado"))</f>
        <v>CAMISA LARANJA OP. C/ FAIXA REFLETIVA TAM: GG</v>
      </c>
      <c r="E1159" s="99" t="str">
        <f>_xlfn.XLOOKUP(B1159,ESTOQUE!B:B,ESTOQUE!G:G,"",0)</f>
        <v>UND</v>
      </c>
      <c r="F1159" s="99">
        <v>2</v>
      </c>
      <c r="G1159" s="146"/>
      <c r="H1159" s="146"/>
      <c r="I1159" s="147"/>
      <c r="J1159" s="147"/>
      <c r="K1159" s="63"/>
    </row>
    <row r="1160" spans="1:11" x14ac:dyDescent="0.25">
      <c r="A1160" s="108">
        <v>45996</v>
      </c>
      <c r="B1160" s="109">
        <v>69</v>
      </c>
      <c r="C1160" s="49" t="s">
        <v>19</v>
      </c>
      <c r="D1160" s="110" t="str">
        <f>IF(ISBLANK($B1160),"",IFERROR(VLOOKUP($B1160,ESTOQUE!$B$2:$D$97168,3,FALSE),"Produto não cadastrado"))</f>
        <v>CAMISA LARANJA OP. C/ FAIXA REFLETIVA TAM: M</v>
      </c>
      <c r="E1160" s="99" t="str">
        <f>_xlfn.XLOOKUP(B1160,ESTOQUE!B:B,ESTOQUE!G:G,"",0)</f>
        <v>UND</v>
      </c>
      <c r="F1160" s="99">
        <v>1</v>
      </c>
      <c r="G1160" s="146"/>
      <c r="H1160" s="146"/>
      <c r="I1160" s="147"/>
      <c r="J1160" s="147"/>
      <c r="K1160" s="63"/>
    </row>
    <row r="1161" spans="1:11" x14ac:dyDescent="0.25">
      <c r="A1161" s="108">
        <v>45996</v>
      </c>
      <c r="B1161" s="109">
        <v>78</v>
      </c>
      <c r="C1161" s="49" t="s">
        <v>19</v>
      </c>
      <c r="D1161" s="110" t="str">
        <f>IF(ISBLANK($B1161),"",IFERROR(VLOOKUP($B1161,ESTOQUE!$B$2:$D$97168,3,FALSE),"Produto não cadastrado"))</f>
        <v>CAPACETE CAMPER MARROM</v>
      </c>
      <c r="E1161" s="99" t="str">
        <f>_xlfn.XLOOKUP(B1161,ESTOQUE!B:B,ESTOQUE!G:G,"",0)</f>
        <v>UND</v>
      </c>
      <c r="F1161" s="99">
        <v>1</v>
      </c>
      <c r="G1161" s="146"/>
      <c r="H1161" s="146"/>
      <c r="I1161" s="147"/>
      <c r="J1161" s="147"/>
      <c r="K1161" s="63"/>
    </row>
    <row r="1162" spans="1:11" x14ac:dyDescent="0.25">
      <c r="A1162" s="108">
        <v>45996</v>
      </c>
      <c r="B1162" s="109">
        <v>95</v>
      </c>
      <c r="C1162" s="49" t="s">
        <v>19</v>
      </c>
      <c r="D1162" s="110" t="str">
        <f>IF(ISBLANK($B1162),"",IFERROR(VLOOKUP($B1162,ESTOQUE!$B$2:$D$97168,3,FALSE),"Produto não cadastrado"))</f>
        <v>CARNEIRA P/ CAPACETE LIBUS</v>
      </c>
      <c r="E1162" s="99" t="str">
        <f>_xlfn.XLOOKUP(B1162,ESTOQUE!B:B,ESTOQUE!G:G,"",0)</f>
        <v>UND</v>
      </c>
      <c r="F1162" s="99">
        <v>4</v>
      </c>
      <c r="G1162" s="146"/>
      <c r="H1162" s="146"/>
      <c r="I1162" s="147"/>
      <c r="J1162" s="147"/>
      <c r="K1162" s="63"/>
    </row>
    <row r="1163" spans="1:11" x14ac:dyDescent="0.25">
      <c r="A1163" s="108">
        <v>45996</v>
      </c>
      <c r="B1163" s="109">
        <v>97</v>
      </c>
      <c r="C1163" s="49" t="s">
        <v>19</v>
      </c>
      <c r="D1163" s="110" t="str">
        <f>IF(ISBLANK($B1163),"",IFERROR(VLOOKUP($B1163,ESTOQUE!$B$2:$D$97168,3,FALSE),"Produto não cadastrado"))</f>
        <v>COLETE REFLETIVO LARANJA M</v>
      </c>
      <c r="E1163" s="99" t="str">
        <f>_xlfn.XLOOKUP(B1163,ESTOQUE!B:B,ESTOQUE!G:G,"",0)</f>
        <v>UND</v>
      </c>
      <c r="F1163" s="99">
        <v>1</v>
      </c>
      <c r="G1163" s="146"/>
      <c r="H1163" s="146"/>
      <c r="I1163" s="147"/>
      <c r="J1163" s="147"/>
      <c r="K1163" s="63"/>
    </row>
    <row r="1164" spans="1:11" x14ac:dyDescent="0.25">
      <c r="A1164" s="108">
        <v>45996</v>
      </c>
      <c r="B1164" s="109">
        <v>161</v>
      </c>
      <c r="C1164" s="49" t="s">
        <v>19</v>
      </c>
      <c r="D1164" s="110" t="str">
        <f>IF(ISBLANK($B1164),"",IFERROR(VLOOKUP($B1164,ESTOQUE!$B$2:$D$97168,3,FALSE),"Produto não cadastrado"))</f>
        <v>JUGULAR</v>
      </c>
      <c r="E1164" s="99" t="str">
        <f>_xlfn.XLOOKUP(B1164,ESTOQUE!B:B,ESTOQUE!G:G,"",0)</f>
        <v>UND</v>
      </c>
      <c r="F1164" s="99">
        <v>10</v>
      </c>
      <c r="G1164" s="146"/>
      <c r="H1164" s="146"/>
      <c r="I1164" s="147"/>
      <c r="J1164" s="147"/>
      <c r="K1164" s="63"/>
    </row>
    <row r="1165" spans="1:11" x14ac:dyDescent="0.25">
      <c r="A1165" s="108">
        <v>45996</v>
      </c>
      <c r="B1165" s="109">
        <v>141</v>
      </c>
      <c r="C1165" s="49" t="s">
        <v>19</v>
      </c>
      <c r="D1165" s="110" t="str">
        <f>IF(ISBLANK($B1165),"",IFERROR(VLOOKUP($B1165,ESTOQUE!$B$2:$D$97168,3,FALSE),"Produto não cadastrado"))</f>
        <v xml:space="preserve">LUVA DE VAQUETA </v>
      </c>
      <c r="E1165" s="99" t="str">
        <f>_xlfn.XLOOKUP(B1165,ESTOQUE!B:B,ESTOQUE!G:G,"",0)</f>
        <v>PAR</v>
      </c>
      <c r="F1165" s="99">
        <v>32</v>
      </c>
      <c r="G1165" s="146"/>
      <c r="H1165" s="146"/>
      <c r="I1165" s="147"/>
      <c r="J1165" s="147"/>
      <c r="K1165" s="63"/>
    </row>
    <row r="1166" spans="1:11" x14ac:dyDescent="0.25">
      <c r="A1166" s="108">
        <v>45996</v>
      </c>
      <c r="B1166" s="109">
        <v>114</v>
      </c>
      <c r="C1166" s="49" t="s">
        <v>19</v>
      </c>
      <c r="D1166" s="110" t="str">
        <f>IF(ISBLANK($B1166),"",IFERROR(VLOOKUP($B1166,ESTOQUE!$B$2:$D$97168,3,FALSE),"Produto não cadastrado"))</f>
        <v xml:space="preserve">LUVA LATEX NITRILICA </v>
      </c>
      <c r="E1166" s="99" t="str">
        <f>_xlfn.XLOOKUP(B1166,ESTOQUE!B:B,ESTOQUE!G:G,"",0)</f>
        <v>PAR</v>
      </c>
      <c r="F1166" s="99">
        <v>2</v>
      </c>
      <c r="G1166" s="146"/>
      <c r="H1166" s="146"/>
      <c r="I1166" s="147"/>
      <c r="J1166" s="147"/>
      <c r="K1166" s="63"/>
    </row>
    <row r="1167" spans="1:11" x14ac:dyDescent="0.25">
      <c r="A1167" s="108">
        <v>45996</v>
      </c>
      <c r="B1167" s="109">
        <v>257</v>
      </c>
      <c r="C1167" s="49" t="s">
        <v>19</v>
      </c>
      <c r="D1167" s="110" t="str">
        <f>IF(ISBLANK($B1167),"",IFERROR(VLOOKUP($B1167,ESTOQUE!$B$2:$D$97168,3,FALSE),"Produto não cadastrado"))</f>
        <v xml:space="preserve">LUVA MULTITATO </v>
      </c>
      <c r="E1167" s="99" t="str">
        <f>_xlfn.XLOOKUP(B1167,ESTOQUE!B:B,ESTOQUE!G:G,"",0)</f>
        <v>UND</v>
      </c>
      <c r="F1167" s="99">
        <v>2</v>
      </c>
      <c r="G1167" s="146"/>
      <c r="H1167" s="146"/>
      <c r="I1167" s="147"/>
      <c r="J1167" s="147"/>
      <c r="K1167" s="63"/>
    </row>
    <row r="1168" spans="1:11" x14ac:dyDescent="0.25">
      <c r="A1168" s="108">
        <v>45996</v>
      </c>
      <c r="B1168" s="109">
        <v>117</v>
      </c>
      <c r="C1168" s="49" t="s">
        <v>19</v>
      </c>
      <c r="D1168" s="110" t="str">
        <f>IF(ISBLANK($B1168),"",IFERROR(VLOOKUP($B1168,ESTOQUE!$B$2:$D$97168,3,FALSE),"Produto não cadastrado"))</f>
        <v>LUVA PIGMENTADA</v>
      </c>
      <c r="E1168" s="99" t="str">
        <f>_xlfn.XLOOKUP(B1168,ESTOQUE!B:B,ESTOQUE!G:G,"",0)</f>
        <v>PAR</v>
      </c>
      <c r="F1168" s="99">
        <v>1</v>
      </c>
      <c r="G1168" s="146"/>
      <c r="H1168" s="146"/>
      <c r="I1168" s="147"/>
      <c r="J1168" s="147"/>
      <c r="K1168" s="63"/>
    </row>
    <row r="1169" spans="1:11" x14ac:dyDescent="0.25">
      <c r="A1169" s="108">
        <v>45996</v>
      </c>
      <c r="B1169" s="109">
        <v>207</v>
      </c>
      <c r="C1169" s="49" t="s">
        <v>19</v>
      </c>
      <c r="D1169" s="110" t="str">
        <f>IF(ISBLANK($B1169),"",IFERROR(VLOOKUP($B1169,ESTOQUE!$B$2:$D$97168,3,FALSE),"Produto não cadastrado"))</f>
        <v>LUVA POLIESTER ANTICORTE BANHADA PU TAM 9</v>
      </c>
      <c r="E1169" s="99" t="str">
        <f>_xlfn.XLOOKUP(B1169,ESTOQUE!B:B,ESTOQUE!G:G,"",0)</f>
        <v>PAR</v>
      </c>
      <c r="F1169" s="99">
        <v>15</v>
      </c>
      <c r="G1169" s="146"/>
      <c r="H1169" s="146"/>
      <c r="I1169" s="147"/>
      <c r="J1169" s="147"/>
      <c r="K1169" s="63"/>
    </row>
    <row r="1170" spans="1:11" x14ac:dyDescent="0.25">
      <c r="A1170" s="108">
        <v>45996</v>
      </c>
      <c r="B1170" s="109">
        <v>118</v>
      </c>
      <c r="C1170" s="49" t="s">
        <v>19</v>
      </c>
      <c r="D1170" s="110" t="str">
        <f>IF(ISBLANK($B1170),"",IFERROR(VLOOKUP($B1170,ESTOQUE!$B$2:$D$97168,3,FALSE),"Produto não cadastrado"))</f>
        <v>MACACÃO DE PROTEÇÃO TYVEK</v>
      </c>
      <c r="E1170" s="99" t="str">
        <f>_xlfn.XLOOKUP(B1170,ESTOQUE!B:B,ESTOQUE!G:G,"",0)</f>
        <v>UND</v>
      </c>
      <c r="F1170" s="99">
        <v>5</v>
      </c>
      <c r="G1170" s="146"/>
      <c r="H1170" s="146"/>
      <c r="I1170" s="147"/>
      <c r="J1170" s="147"/>
      <c r="K1170" s="63"/>
    </row>
    <row r="1171" spans="1:11" x14ac:dyDescent="0.25">
      <c r="A1171" s="108">
        <v>45996</v>
      </c>
      <c r="B1171" s="109">
        <v>144</v>
      </c>
      <c r="C1171" s="49" t="s">
        <v>19</v>
      </c>
      <c r="D1171" s="110" t="str">
        <f>IF(ISBLANK($B1171),"",IFERROR(VLOOKUP($B1171,ESTOQUE!$B$2:$D$97168,3,FALSE),"Produto não cadastrado"))</f>
        <v>MASCARA PFF2-S C/ FILTRO</v>
      </c>
      <c r="E1171" s="99" t="str">
        <f>_xlfn.XLOOKUP(B1171,ESTOQUE!B:B,ESTOQUE!G:G,"",0)</f>
        <v>UND</v>
      </c>
      <c r="F1171" s="99">
        <v>13</v>
      </c>
      <c r="G1171" s="146"/>
      <c r="H1171" s="146"/>
      <c r="I1171" s="147"/>
      <c r="J1171" s="147"/>
      <c r="K1171" s="63"/>
    </row>
    <row r="1172" spans="1:11" x14ac:dyDescent="0.25">
      <c r="A1172" s="108">
        <v>45996</v>
      </c>
      <c r="B1172" s="109">
        <v>126</v>
      </c>
      <c r="C1172" s="49" t="s">
        <v>19</v>
      </c>
      <c r="D1172" s="110" t="str">
        <f>IF(ISBLANK($B1172),"",IFERROR(VLOOKUP($B1172,ESTOQUE!$B$2:$D$97168,3,FALSE),"Produto não cadastrado"))</f>
        <v>OCULOS DE PROTEÇÃO ESCURO</v>
      </c>
      <c r="E1172" s="99" t="str">
        <f>_xlfn.XLOOKUP(B1172,ESTOQUE!B:B,ESTOQUE!G:G,"",0)</f>
        <v>UND</v>
      </c>
      <c r="F1172" s="99">
        <v>31</v>
      </c>
      <c r="G1172" s="146"/>
      <c r="H1172" s="146"/>
      <c r="I1172" s="147"/>
      <c r="J1172" s="147"/>
      <c r="K1172" s="63"/>
    </row>
    <row r="1173" spans="1:11" x14ac:dyDescent="0.25">
      <c r="A1173" s="108">
        <v>45996</v>
      </c>
      <c r="B1173" s="109">
        <v>124</v>
      </c>
      <c r="C1173" s="49" t="s">
        <v>19</v>
      </c>
      <c r="D1173" s="110" t="str">
        <f>IF(ISBLANK($B1173),"",IFERROR(VLOOKUP($B1173,ESTOQUE!$B$2:$D$97168,3,FALSE),"Produto não cadastrado"))</f>
        <v xml:space="preserve">OCULOS DE PROTEÇÃO INCOLOR </v>
      </c>
      <c r="E1173" s="99" t="str">
        <f>_xlfn.XLOOKUP(B1173,ESTOQUE!B:B,ESTOQUE!G:G,"",0)</f>
        <v>UND</v>
      </c>
      <c r="F1173" s="99">
        <v>9</v>
      </c>
      <c r="G1173" s="146"/>
      <c r="H1173" s="146"/>
      <c r="I1173" s="147"/>
      <c r="J1173" s="147"/>
      <c r="K1173" s="63"/>
    </row>
    <row r="1174" spans="1:11" x14ac:dyDescent="0.25">
      <c r="A1174" s="108">
        <v>45997</v>
      </c>
      <c r="B1174" s="109">
        <v>46</v>
      </c>
      <c r="C1174" s="49" t="s">
        <v>19</v>
      </c>
      <c r="D1174" s="110" t="str">
        <f>IF(ISBLANK($B1174),"",IFERROR(VLOOKUP($B1174,ESTOQUE!$B$2:$D$97168,3,FALSE),"Produto não cadastrado"))</f>
        <v>CALÇA CINZA OP. C/ FAIXA REFLETIVA TAM: G</v>
      </c>
      <c r="E1174" s="99" t="str">
        <f>_xlfn.XLOOKUP(B1174,ESTOQUE!B:B,ESTOQUE!G:G,"",0)</f>
        <v>UND</v>
      </c>
      <c r="F1174" s="99">
        <v>2</v>
      </c>
      <c r="G1174" s="146"/>
      <c r="H1174" s="146"/>
      <c r="I1174" s="147"/>
      <c r="J1174" s="147"/>
      <c r="K1174" s="63"/>
    </row>
    <row r="1175" spans="1:11" x14ac:dyDescent="0.25">
      <c r="A1175" s="108">
        <v>45997</v>
      </c>
      <c r="B1175" s="109">
        <v>48</v>
      </c>
      <c r="C1175" s="49" t="s">
        <v>19</v>
      </c>
      <c r="D1175" s="110" t="str">
        <f>IF(ISBLANK($B1175),"",IFERROR(VLOOKUP($B1175,ESTOQUE!$B$2:$D$97168,3,FALSE),"Produto não cadastrado"))</f>
        <v>CALÇA CINZA OP. C/ FAIXA REFLETIVA TAM: M</v>
      </c>
      <c r="E1175" s="99" t="str">
        <f>_xlfn.XLOOKUP(B1175,ESTOQUE!B:B,ESTOQUE!G:G,"",0)</f>
        <v>UND</v>
      </c>
      <c r="F1175" s="99">
        <v>1</v>
      </c>
      <c r="G1175" s="146"/>
      <c r="H1175" s="146"/>
      <c r="I1175" s="147"/>
      <c r="J1175" s="147"/>
      <c r="K1175" s="63"/>
    </row>
    <row r="1176" spans="1:11" x14ac:dyDescent="0.25">
      <c r="A1176" s="108">
        <v>45997</v>
      </c>
      <c r="B1176" s="109">
        <v>69</v>
      </c>
      <c r="C1176" s="49" t="s">
        <v>19</v>
      </c>
      <c r="D1176" s="110" t="str">
        <f>IF(ISBLANK($B1176),"",IFERROR(VLOOKUP($B1176,ESTOQUE!$B$2:$D$97168,3,FALSE),"Produto não cadastrado"))</f>
        <v>CAMISA LARANJA OP. C/ FAIXA REFLETIVA TAM: M</v>
      </c>
      <c r="E1176" s="99" t="str">
        <f>_xlfn.XLOOKUP(B1176,ESTOQUE!B:B,ESTOQUE!G:G,"",0)</f>
        <v>UND</v>
      </c>
      <c r="F1176" s="99">
        <v>1</v>
      </c>
      <c r="G1176" s="146"/>
      <c r="H1176" s="146"/>
      <c r="I1176" s="147"/>
      <c r="J1176" s="147"/>
      <c r="K1176" s="63"/>
    </row>
    <row r="1177" spans="1:11" x14ac:dyDescent="0.25">
      <c r="A1177" s="108">
        <v>45997</v>
      </c>
      <c r="B1177" s="109">
        <v>78</v>
      </c>
      <c r="C1177" s="49" t="s">
        <v>19</v>
      </c>
      <c r="D1177" s="110" t="str">
        <f>IF(ISBLANK($B1177),"",IFERROR(VLOOKUP($B1177,ESTOQUE!$B$2:$D$97168,3,FALSE),"Produto não cadastrado"))</f>
        <v>CAPACETE CAMPER MARROM</v>
      </c>
      <c r="E1177" s="99" t="str">
        <f>_xlfn.XLOOKUP(B1177,ESTOQUE!B:B,ESTOQUE!G:G,"",0)</f>
        <v>UND</v>
      </c>
      <c r="F1177" s="99">
        <v>1</v>
      </c>
      <c r="G1177" s="146"/>
      <c r="H1177" s="146"/>
      <c r="I1177" s="147"/>
      <c r="J1177" s="147"/>
      <c r="K1177" s="63"/>
    </row>
    <row r="1178" spans="1:11" x14ac:dyDescent="0.25">
      <c r="A1178" s="108">
        <v>45997</v>
      </c>
      <c r="B1178" s="109">
        <v>97</v>
      </c>
      <c r="C1178" s="49" t="s">
        <v>19</v>
      </c>
      <c r="D1178" s="110" t="str">
        <f>IF(ISBLANK($B1178),"",IFERROR(VLOOKUP($B1178,ESTOQUE!$B$2:$D$97168,3,FALSE),"Produto não cadastrado"))</f>
        <v>COLETE REFLETIVO LARANJA M</v>
      </c>
      <c r="E1178" s="99" t="str">
        <f>_xlfn.XLOOKUP(B1178,ESTOQUE!B:B,ESTOQUE!G:G,"",0)</f>
        <v>UND</v>
      </c>
      <c r="F1178" s="99">
        <v>1</v>
      </c>
      <c r="G1178" s="146"/>
      <c r="H1178" s="146"/>
      <c r="I1178" s="147"/>
      <c r="J1178" s="147"/>
      <c r="K1178" s="63"/>
    </row>
    <row r="1179" spans="1:11" x14ac:dyDescent="0.25">
      <c r="A1179" s="108">
        <v>45997</v>
      </c>
      <c r="B1179" s="109">
        <v>161</v>
      </c>
      <c r="C1179" s="49" t="s">
        <v>19</v>
      </c>
      <c r="D1179" s="110" t="str">
        <f>IF(ISBLANK($B1179),"",IFERROR(VLOOKUP($B1179,ESTOQUE!$B$2:$D$97168,3,FALSE),"Produto não cadastrado"))</f>
        <v>JUGULAR</v>
      </c>
      <c r="E1179" s="99" t="str">
        <f>_xlfn.XLOOKUP(B1179,ESTOQUE!B:B,ESTOQUE!G:G,"",0)</f>
        <v>UND</v>
      </c>
      <c r="F1179" s="99">
        <v>2</v>
      </c>
      <c r="G1179" s="146"/>
      <c r="H1179" s="146"/>
      <c r="I1179" s="147"/>
      <c r="J1179" s="147"/>
      <c r="K1179" s="63"/>
    </row>
    <row r="1180" spans="1:11" x14ac:dyDescent="0.25">
      <c r="A1180" s="108">
        <v>45997</v>
      </c>
      <c r="B1180" s="109">
        <v>110</v>
      </c>
      <c r="C1180" s="49" t="s">
        <v>19</v>
      </c>
      <c r="D1180" s="110" t="str">
        <f>IF(ISBLANK($B1180),"",IFERROR(VLOOKUP($B1180,ESTOQUE!$B$2:$D$97168,3,FALSE),"Produto não cadastrado"))</f>
        <v>LUVA DE RASPA CANO LONGO</v>
      </c>
      <c r="E1180" s="99" t="str">
        <f>_xlfn.XLOOKUP(B1180,ESTOQUE!B:B,ESTOQUE!G:G,"",0)</f>
        <v>PAR</v>
      </c>
      <c r="F1180" s="99">
        <v>4</v>
      </c>
      <c r="G1180" s="146"/>
      <c r="H1180" s="146"/>
      <c r="I1180" s="147"/>
      <c r="J1180" s="147"/>
      <c r="K1180" s="63"/>
    </row>
    <row r="1181" spans="1:11" x14ac:dyDescent="0.25">
      <c r="A1181" s="108">
        <v>45997</v>
      </c>
      <c r="B1181" s="109">
        <v>207</v>
      </c>
      <c r="C1181" s="49" t="s">
        <v>19</v>
      </c>
      <c r="D1181" s="110" t="str">
        <f>IF(ISBLANK($B1181),"",IFERROR(VLOOKUP($B1181,ESTOQUE!$B$2:$D$97168,3,FALSE),"Produto não cadastrado"))</f>
        <v>LUVA POLIESTER ANTICORTE BANHADA PU TAM 9</v>
      </c>
      <c r="E1181" s="99" t="str">
        <f>_xlfn.XLOOKUP(B1181,ESTOQUE!B:B,ESTOQUE!G:G,"",0)</f>
        <v>PAR</v>
      </c>
      <c r="F1181" s="99">
        <v>4</v>
      </c>
      <c r="G1181" s="146"/>
      <c r="H1181" s="146"/>
      <c r="I1181" s="147"/>
      <c r="J1181" s="147"/>
      <c r="K1181" s="63"/>
    </row>
    <row r="1182" spans="1:11" x14ac:dyDescent="0.25">
      <c r="A1182" s="108">
        <v>45997</v>
      </c>
      <c r="B1182" s="109">
        <v>192</v>
      </c>
      <c r="C1182" s="49" t="s">
        <v>19</v>
      </c>
      <c r="D1182" s="110" t="str">
        <f>IF(ISBLANK($B1182),"",IFERROR(VLOOKUP($B1182,ESTOQUE!$B$2:$D$97168,3,FALSE),"Produto não cadastrado"))</f>
        <v>LUVA QUIMICA ( 2 OU 3)</v>
      </c>
      <c r="E1182" s="99" t="str">
        <f>_xlfn.XLOOKUP(B1182,ESTOQUE!B:B,ESTOQUE!G:G,"",0)</f>
        <v>UND</v>
      </c>
      <c r="F1182" s="99">
        <v>1</v>
      </c>
      <c r="G1182" s="146"/>
      <c r="H1182" s="146"/>
      <c r="I1182" s="147"/>
      <c r="J1182" s="147"/>
      <c r="K1182" s="63"/>
    </row>
    <row r="1183" spans="1:11" x14ac:dyDescent="0.25">
      <c r="A1183" s="108">
        <v>45997</v>
      </c>
      <c r="B1183" s="109">
        <v>144</v>
      </c>
      <c r="C1183" s="49" t="s">
        <v>19</v>
      </c>
      <c r="D1183" s="110" t="str">
        <f>IF(ISBLANK($B1183),"",IFERROR(VLOOKUP($B1183,ESTOQUE!$B$2:$D$97168,3,FALSE),"Produto não cadastrado"))</f>
        <v>MASCARA PFF2-S C/ FILTRO</v>
      </c>
      <c r="E1183" s="99" t="str">
        <f>_xlfn.XLOOKUP(B1183,ESTOQUE!B:B,ESTOQUE!G:G,"",0)</f>
        <v>UND</v>
      </c>
      <c r="F1183" s="99">
        <v>8</v>
      </c>
      <c r="G1183" s="146"/>
      <c r="H1183" s="146"/>
      <c r="I1183" s="147"/>
      <c r="J1183" s="147"/>
      <c r="K1183" s="63"/>
    </row>
    <row r="1184" spans="1:11" x14ac:dyDescent="0.25">
      <c r="A1184" s="108">
        <v>45997</v>
      </c>
      <c r="B1184" s="109">
        <v>126</v>
      </c>
      <c r="C1184" s="49" t="s">
        <v>19</v>
      </c>
      <c r="D1184" s="110" t="str">
        <f>IF(ISBLANK($B1184),"",IFERROR(VLOOKUP($B1184,ESTOQUE!$B$2:$D$97168,3,FALSE),"Produto não cadastrado"))</f>
        <v>OCULOS DE PROTEÇÃO ESCURO</v>
      </c>
      <c r="E1184" s="99" t="str">
        <f>_xlfn.XLOOKUP(B1184,ESTOQUE!B:B,ESTOQUE!G:G,"",0)</f>
        <v>UND</v>
      </c>
      <c r="F1184" s="99">
        <v>4</v>
      </c>
      <c r="G1184" s="146"/>
      <c r="H1184" s="146"/>
      <c r="I1184" s="147"/>
      <c r="J1184" s="147"/>
      <c r="K1184" s="63"/>
    </row>
    <row r="1185" spans="1:11" x14ac:dyDescent="0.25">
      <c r="A1185" s="108">
        <v>45999</v>
      </c>
      <c r="B1185" s="109">
        <v>38</v>
      </c>
      <c r="C1185" s="49" t="s">
        <v>19</v>
      </c>
      <c r="D1185" s="110" t="str">
        <f>IF(ISBLANK($B1185),"",IFERROR(VLOOKUP($B1185,ESTOQUE!$B$2:$D$97168,3,FALSE),"Produto não cadastrado"))</f>
        <v>BOTINA OP. BICO PVC Nº 40</v>
      </c>
      <c r="E1185" s="99" t="str">
        <f>_xlfn.XLOOKUP(B1185,ESTOQUE!B:B,ESTOQUE!G:G,"",0)</f>
        <v>PAR</v>
      </c>
      <c r="F1185" s="99">
        <v>1</v>
      </c>
      <c r="G1185" s="146"/>
      <c r="H1185" s="146"/>
      <c r="I1185" s="147"/>
      <c r="J1185" s="147"/>
      <c r="K1185" s="63"/>
    </row>
    <row r="1186" spans="1:11" x14ac:dyDescent="0.25">
      <c r="A1186" s="108">
        <v>45999</v>
      </c>
      <c r="B1186" s="109">
        <v>46</v>
      </c>
      <c r="C1186" s="49" t="s">
        <v>19</v>
      </c>
      <c r="D1186" s="110" t="str">
        <f>IF(ISBLANK($B1186),"",IFERROR(VLOOKUP($B1186,ESTOQUE!$B$2:$D$97168,3,FALSE),"Produto não cadastrado"))</f>
        <v>CALÇA CINZA OP. C/ FAIXA REFLETIVA TAM: G</v>
      </c>
      <c r="E1186" s="99" t="str">
        <f>_xlfn.XLOOKUP(B1186,ESTOQUE!B:B,ESTOQUE!G:G,"",0)</f>
        <v>UND</v>
      </c>
      <c r="F1186" s="99">
        <v>2</v>
      </c>
      <c r="G1186" s="146"/>
      <c r="H1186" s="146"/>
      <c r="I1186" s="147"/>
      <c r="J1186" s="147"/>
      <c r="K1186" s="63"/>
    </row>
    <row r="1187" spans="1:11" x14ac:dyDescent="0.25">
      <c r="A1187" s="108">
        <v>45999</v>
      </c>
      <c r="B1187" s="109">
        <v>48</v>
      </c>
      <c r="C1187" s="49" t="s">
        <v>19</v>
      </c>
      <c r="D1187" s="110" t="str">
        <f>IF(ISBLANK($B1187),"",IFERROR(VLOOKUP($B1187,ESTOQUE!$B$2:$D$97168,3,FALSE),"Produto não cadastrado"))</f>
        <v>CALÇA CINZA OP. C/ FAIXA REFLETIVA TAM: M</v>
      </c>
      <c r="E1187" s="99" t="str">
        <f>_xlfn.XLOOKUP(B1187,ESTOQUE!B:B,ESTOQUE!G:G,"",0)</f>
        <v>UND</v>
      </c>
      <c r="F1187" s="99">
        <v>3</v>
      </c>
      <c r="G1187" s="146"/>
      <c r="H1187" s="146"/>
      <c r="I1187" s="147"/>
      <c r="J1187" s="147"/>
      <c r="K1187" s="63"/>
    </row>
    <row r="1188" spans="1:11" x14ac:dyDescent="0.25">
      <c r="A1188" s="108">
        <v>45999</v>
      </c>
      <c r="B1188" s="109">
        <v>67</v>
      </c>
      <c r="C1188" s="49" t="s">
        <v>19</v>
      </c>
      <c r="D1188" s="110" t="str">
        <f>IF(ISBLANK($B1188),"",IFERROR(VLOOKUP($B1188,ESTOQUE!$B$2:$D$97168,3,FALSE),"Produto não cadastrado"))</f>
        <v>CAMISA LARANJA OP. C/ FAIXA REFLETIVA TAM: G</v>
      </c>
      <c r="E1188" s="99" t="str">
        <f>_xlfn.XLOOKUP(B1188,ESTOQUE!B:B,ESTOQUE!G:G,"",0)</f>
        <v>UND</v>
      </c>
      <c r="F1188" s="99">
        <v>1</v>
      </c>
      <c r="G1188" s="146"/>
      <c r="H1188" s="146"/>
      <c r="I1188" s="147"/>
      <c r="J1188" s="147"/>
      <c r="K1188" s="63"/>
    </row>
    <row r="1189" spans="1:11" x14ac:dyDescent="0.25">
      <c r="A1189" s="108">
        <v>45999</v>
      </c>
      <c r="B1189" s="109">
        <v>69</v>
      </c>
      <c r="C1189" s="49" t="s">
        <v>19</v>
      </c>
      <c r="D1189" s="110" t="str">
        <f>IF(ISBLANK($B1189),"",IFERROR(VLOOKUP($B1189,ESTOQUE!$B$2:$D$97168,3,FALSE),"Produto não cadastrado"))</f>
        <v>CAMISA LARANJA OP. C/ FAIXA REFLETIVA TAM: M</v>
      </c>
      <c r="E1189" s="99" t="str">
        <f>_xlfn.XLOOKUP(B1189,ESTOQUE!B:B,ESTOQUE!G:G,"",0)</f>
        <v>UND</v>
      </c>
      <c r="F1189" s="99">
        <v>2</v>
      </c>
      <c r="G1189" s="146"/>
      <c r="H1189" s="146"/>
      <c r="I1189" s="147"/>
      <c r="J1189" s="147"/>
      <c r="K1189" s="63"/>
    </row>
    <row r="1190" spans="1:11" x14ac:dyDescent="0.25">
      <c r="A1190" s="108">
        <v>45999</v>
      </c>
      <c r="B1190" s="109">
        <v>111</v>
      </c>
      <c r="C1190" s="49" t="s">
        <v>19</v>
      </c>
      <c r="D1190" s="110" t="str">
        <f>IF(ISBLANK($B1190),"",IFERROR(VLOOKUP($B1190,ESTOQUE!$B$2:$D$97168,3,FALSE),"Produto não cadastrado"))</f>
        <v>LUVA DE VAQUETA MARROM</v>
      </c>
      <c r="E1190" s="99" t="str">
        <f>_xlfn.XLOOKUP(B1190,ESTOQUE!B:B,ESTOQUE!G:G,"",0)</f>
        <v>PAR</v>
      </c>
      <c r="F1190" s="99">
        <v>3</v>
      </c>
      <c r="G1190" s="146"/>
      <c r="H1190" s="146"/>
      <c r="I1190" s="147"/>
      <c r="J1190" s="147"/>
      <c r="K1190" s="63"/>
    </row>
    <row r="1191" spans="1:11" x14ac:dyDescent="0.25">
      <c r="A1191" s="108">
        <v>45999</v>
      </c>
      <c r="B1191" s="109">
        <v>189</v>
      </c>
      <c r="C1191" s="49" t="s">
        <v>19</v>
      </c>
      <c r="D1191" s="110" t="str">
        <f>IF(ISBLANK($B1191),"",IFERROR(VLOOKUP($B1191,ESTOQUE!$B$2:$D$97168,3,FALSE),"Produto não cadastrado"))</f>
        <v xml:space="preserve">LUVA DE VAQUETA MISTA </v>
      </c>
      <c r="E1191" s="99" t="str">
        <f>_xlfn.XLOOKUP(B1191,ESTOQUE!B:B,ESTOQUE!G:G,"",0)</f>
        <v>UND</v>
      </c>
      <c r="F1191" s="99">
        <v>30</v>
      </c>
      <c r="G1191" s="146"/>
      <c r="H1191" s="146"/>
      <c r="I1191" s="147"/>
      <c r="J1191" s="147"/>
      <c r="K1191" s="63"/>
    </row>
    <row r="1192" spans="1:11" x14ac:dyDescent="0.25">
      <c r="A1192" s="108">
        <v>45999</v>
      </c>
      <c r="B1192" s="109">
        <v>114</v>
      </c>
      <c r="C1192" s="49" t="s">
        <v>19</v>
      </c>
      <c r="D1192" s="110" t="str">
        <f>IF(ISBLANK($B1192),"",IFERROR(VLOOKUP($B1192,ESTOQUE!$B$2:$D$97168,3,FALSE),"Produto não cadastrado"))</f>
        <v xml:space="preserve">LUVA LATEX NITRILICA </v>
      </c>
      <c r="E1192" s="99" t="str">
        <f>_xlfn.XLOOKUP(B1192,ESTOQUE!B:B,ESTOQUE!G:G,"",0)</f>
        <v>PAR</v>
      </c>
      <c r="F1192" s="99">
        <v>12</v>
      </c>
      <c r="G1192" s="146"/>
      <c r="H1192" s="146"/>
      <c r="I1192" s="147"/>
      <c r="J1192" s="147"/>
      <c r="K1192" s="63"/>
    </row>
    <row r="1193" spans="1:11" x14ac:dyDescent="0.25">
      <c r="A1193" s="108">
        <v>45999</v>
      </c>
      <c r="B1193" s="109">
        <v>207</v>
      </c>
      <c r="C1193" s="49" t="s">
        <v>19</v>
      </c>
      <c r="D1193" s="110" t="str">
        <f>IF(ISBLANK($B1193),"",IFERROR(VLOOKUP($B1193,ESTOQUE!$B$2:$D$97168,3,FALSE),"Produto não cadastrado"))</f>
        <v>LUVA POLIESTER ANTICORTE BANHADA PU TAM 9</v>
      </c>
      <c r="E1193" s="99" t="str">
        <f>_xlfn.XLOOKUP(B1193,ESTOQUE!B:B,ESTOQUE!G:G,"",0)</f>
        <v>PAR</v>
      </c>
      <c r="F1193" s="99">
        <v>7</v>
      </c>
      <c r="G1193" s="146"/>
      <c r="H1193" s="146"/>
      <c r="I1193" s="147"/>
      <c r="J1193" s="147"/>
      <c r="K1193" s="63"/>
    </row>
    <row r="1194" spans="1:11" x14ac:dyDescent="0.25">
      <c r="A1194" s="108">
        <v>45999</v>
      </c>
      <c r="B1194" s="109">
        <v>118</v>
      </c>
      <c r="C1194" s="49" t="s">
        <v>19</v>
      </c>
      <c r="D1194" s="110" t="str">
        <f>IF(ISBLANK($B1194),"",IFERROR(VLOOKUP($B1194,ESTOQUE!$B$2:$D$97168,3,FALSE),"Produto não cadastrado"))</f>
        <v>MACACÃO DE PROTEÇÃO TYVEK</v>
      </c>
      <c r="E1194" s="99" t="str">
        <f>_xlfn.XLOOKUP(B1194,ESTOQUE!B:B,ESTOQUE!G:G,"",0)</f>
        <v>UND</v>
      </c>
      <c r="F1194" s="99">
        <v>3</v>
      </c>
      <c r="G1194" s="146"/>
      <c r="H1194" s="146"/>
      <c r="I1194" s="147"/>
      <c r="J1194" s="147"/>
      <c r="K1194" s="63"/>
    </row>
    <row r="1195" spans="1:11" x14ac:dyDescent="0.25">
      <c r="A1195" s="108">
        <v>45999</v>
      </c>
      <c r="B1195" s="109">
        <v>144</v>
      </c>
      <c r="C1195" s="49" t="s">
        <v>19</v>
      </c>
      <c r="D1195" s="110" t="str">
        <f>IF(ISBLANK($B1195),"",IFERROR(VLOOKUP($B1195,ESTOQUE!$B$2:$D$97168,3,FALSE),"Produto não cadastrado"))</f>
        <v>MASCARA PFF2-S C/ FILTRO</v>
      </c>
      <c r="E1195" s="99" t="str">
        <f>_xlfn.XLOOKUP(B1195,ESTOQUE!B:B,ESTOQUE!G:G,"",0)</f>
        <v>UND</v>
      </c>
      <c r="F1195" s="99">
        <v>7</v>
      </c>
      <c r="G1195" s="146"/>
      <c r="H1195" s="146"/>
      <c r="I1195" s="147"/>
      <c r="J1195" s="147"/>
      <c r="K1195" s="63"/>
    </row>
    <row r="1196" spans="1:11" x14ac:dyDescent="0.25">
      <c r="A1196" s="108">
        <v>45999</v>
      </c>
      <c r="B1196" s="109">
        <v>126</v>
      </c>
      <c r="C1196" s="49" t="s">
        <v>19</v>
      </c>
      <c r="D1196" s="110" t="str">
        <f>IF(ISBLANK($B1196),"",IFERROR(VLOOKUP($B1196,ESTOQUE!$B$2:$D$97168,3,FALSE),"Produto não cadastrado"))</f>
        <v>OCULOS DE PROTEÇÃO ESCURO</v>
      </c>
      <c r="E1196" s="99" t="str">
        <f>_xlfn.XLOOKUP(B1196,ESTOQUE!B:B,ESTOQUE!G:G,"",0)</f>
        <v>UND</v>
      </c>
      <c r="F1196" s="99">
        <v>23</v>
      </c>
      <c r="G1196" s="146"/>
      <c r="H1196" s="146"/>
      <c r="I1196" s="147"/>
      <c r="J1196" s="147"/>
      <c r="K1196" s="63"/>
    </row>
    <row r="1197" spans="1:11" x14ac:dyDescent="0.25">
      <c r="A1197" s="108">
        <v>45999</v>
      </c>
      <c r="B1197" s="109">
        <v>124</v>
      </c>
      <c r="C1197" s="49" t="s">
        <v>19</v>
      </c>
      <c r="D1197" s="110" t="str">
        <f>IF(ISBLANK($B1197),"",IFERROR(VLOOKUP($B1197,ESTOQUE!$B$2:$D$97168,3,FALSE),"Produto não cadastrado"))</f>
        <v xml:space="preserve">OCULOS DE PROTEÇÃO INCOLOR </v>
      </c>
      <c r="E1197" s="99" t="str">
        <f>_xlfn.XLOOKUP(B1197,ESTOQUE!B:B,ESTOQUE!G:G,"",0)</f>
        <v>UND</v>
      </c>
      <c r="F1197" s="99">
        <v>20</v>
      </c>
      <c r="G1197" s="146"/>
      <c r="H1197" s="146"/>
      <c r="I1197" s="147"/>
      <c r="J1197" s="147"/>
      <c r="K1197" s="63"/>
    </row>
    <row r="1198" spans="1:11" x14ac:dyDescent="0.25">
      <c r="A1198" s="108">
        <v>45999</v>
      </c>
      <c r="B1198" s="109">
        <v>224</v>
      </c>
      <c r="C1198" s="49" t="s">
        <v>19</v>
      </c>
      <c r="D1198" s="110" t="str">
        <f>IF(ISBLANK($B1198),"",IFERROR(VLOOKUP($B1198,ESTOQUE!$B$2:$D$97168,3,FALSE),"Produto não cadastrado"))</f>
        <v>OCULOS OPERACIONAL SOBRE POR ESCURO</v>
      </c>
      <c r="E1198" s="99" t="str">
        <f>_xlfn.XLOOKUP(B1198,ESTOQUE!B:B,ESTOQUE!G:G,"",0)</f>
        <v>UND</v>
      </c>
      <c r="F1198" s="99">
        <v>1</v>
      </c>
      <c r="G1198" s="146"/>
      <c r="H1198" s="146"/>
      <c r="I1198" s="147"/>
      <c r="J1198" s="147"/>
      <c r="K1198" s="63"/>
    </row>
    <row r="1199" spans="1:11" x14ac:dyDescent="0.25">
      <c r="A1199" s="108">
        <v>45999</v>
      </c>
      <c r="B1199" s="109">
        <v>139</v>
      </c>
      <c r="C1199" s="49" t="s">
        <v>19</v>
      </c>
      <c r="D1199" s="110" t="str">
        <f>IF(ISBLANK($B1199),"",IFERROR(VLOOKUP($B1199,ESTOQUE!$B$2:$D$97168,3,FALSE),"Produto não cadastrado"))</f>
        <v>PROTETOR AURICULAR TIPO PLUG</v>
      </c>
      <c r="E1199" s="99" t="str">
        <f>_xlfn.XLOOKUP(B1199,ESTOQUE!B:B,ESTOQUE!G:G,"",0)</f>
        <v>UND</v>
      </c>
      <c r="F1199" s="99">
        <v>20</v>
      </c>
      <c r="G1199" s="146"/>
      <c r="H1199" s="146"/>
      <c r="I1199" s="147"/>
      <c r="J1199" s="147"/>
      <c r="K1199" s="63"/>
    </row>
    <row r="1200" spans="1:11" x14ac:dyDescent="0.25">
      <c r="A1200" s="108">
        <v>45999</v>
      </c>
      <c r="B1200" s="109">
        <v>137</v>
      </c>
      <c r="C1200" s="49" t="s">
        <v>19</v>
      </c>
      <c r="D1200" s="110" t="str">
        <f>IF(ISBLANK($B1200),"",IFERROR(VLOOKUP($B1200,ESTOQUE!$B$2:$D$97168,3,FALSE),"Produto não cadastrado"))</f>
        <v xml:space="preserve">TOUCA ARABE </v>
      </c>
      <c r="E1200" s="99" t="str">
        <f>_xlfn.XLOOKUP(B1200,ESTOQUE!B:B,ESTOQUE!G:G,"",0)</f>
        <v>UND</v>
      </c>
      <c r="F1200" s="99">
        <v>1</v>
      </c>
      <c r="G1200" s="146"/>
      <c r="H1200" s="146"/>
      <c r="I1200" s="147"/>
      <c r="J1200" s="147"/>
      <c r="K1200" s="63"/>
    </row>
    <row r="1201" spans="1:11" x14ac:dyDescent="0.25">
      <c r="A1201" s="108">
        <v>46000</v>
      </c>
      <c r="B1201" s="109">
        <v>190</v>
      </c>
      <c r="C1201" s="49" t="s">
        <v>19</v>
      </c>
      <c r="D1201" s="110" t="str">
        <f>IF(ISBLANK($B1201),"",IFERROR(VLOOKUP($B1201,ESTOQUE!$B$2:$D$97168,3,FALSE),"Produto não cadastrado"))</f>
        <v>AVENTAL DE RASPA TAM 120X60</v>
      </c>
      <c r="E1201" s="99" t="str">
        <f>_xlfn.XLOOKUP(B1201,ESTOQUE!B:B,ESTOQUE!G:G,"",0)</f>
        <v>UND</v>
      </c>
      <c r="F1201" s="99">
        <v>10</v>
      </c>
      <c r="G1201" s="146"/>
      <c r="H1201" s="146"/>
      <c r="I1201" s="147"/>
      <c r="J1201" s="147"/>
      <c r="K1201" s="63"/>
    </row>
    <row r="1202" spans="1:11" x14ac:dyDescent="0.25">
      <c r="A1202" s="108">
        <v>46000</v>
      </c>
      <c r="B1202" s="109">
        <v>8</v>
      </c>
      <c r="C1202" s="49" t="s">
        <v>19</v>
      </c>
      <c r="D1202" s="110" t="str">
        <f>IF(ISBLANK($B1202),"",IFERROR(VLOOKUP($B1202,ESTOQUE!$B$2:$D$97168,3,FALSE),"Produto não cadastrado"))</f>
        <v>BOTA PVC CANO LONGO Nº 40</v>
      </c>
      <c r="E1202" s="99" t="str">
        <f>_xlfn.XLOOKUP(B1202,ESTOQUE!B:B,ESTOQUE!G:G,"",0)</f>
        <v>PAR</v>
      </c>
      <c r="F1202" s="99">
        <v>1</v>
      </c>
      <c r="G1202" s="146"/>
      <c r="H1202" s="146"/>
      <c r="I1202" s="147"/>
      <c r="J1202" s="147"/>
      <c r="K1202" s="63"/>
    </row>
    <row r="1203" spans="1:11" x14ac:dyDescent="0.25">
      <c r="A1203" s="108">
        <v>46000</v>
      </c>
      <c r="B1203" s="109">
        <v>151</v>
      </c>
      <c r="C1203" s="49" t="s">
        <v>19</v>
      </c>
      <c r="D1203" s="110" t="str">
        <f>IF(ISBLANK($B1203),"",IFERROR(VLOOKUP($B1203,ESTOQUE!$B$2:$D$97168,3,FALSE),"Produto não cadastrado"))</f>
        <v>BOTINA BICO PVC Nº 39 NOBUCK</v>
      </c>
      <c r="E1203" s="99" t="str">
        <f>_xlfn.XLOOKUP(B1203,ESTOQUE!B:B,ESTOQUE!G:G,"",0)</f>
        <v>PAR</v>
      </c>
      <c r="F1203" s="99">
        <v>1</v>
      </c>
      <c r="G1203" s="146"/>
      <c r="H1203" s="146"/>
      <c r="I1203" s="147"/>
      <c r="J1203" s="147"/>
      <c r="K1203" s="63"/>
    </row>
    <row r="1204" spans="1:11" x14ac:dyDescent="0.25">
      <c r="A1204" s="108">
        <v>46000</v>
      </c>
      <c r="B1204" s="109">
        <v>10</v>
      </c>
      <c r="C1204" s="49" t="s">
        <v>19</v>
      </c>
      <c r="D1204" s="110" t="str">
        <f>IF(ISBLANK($B1204),"",IFERROR(VLOOKUP($B1204,ESTOQUE!$B$2:$D$97168,3,FALSE),"Produto não cadastrado"))</f>
        <v>BOTA PVC CANO LONGO Nº 42</v>
      </c>
      <c r="E1204" s="99" t="str">
        <f>_xlfn.XLOOKUP(B1204,ESTOQUE!B:B,ESTOQUE!G:G,"",0)</f>
        <v>PAR</v>
      </c>
      <c r="F1204" s="99">
        <v>2</v>
      </c>
      <c r="G1204" s="146"/>
      <c r="H1204" s="146"/>
      <c r="I1204" s="147"/>
      <c r="J1204" s="147"/>
      <c r="K1204" s="63"/>
    </row>
    <row r="1205" spans="1:11" x14ac:dyDescent="0.25">
      <c r="A1205" s="108">
        <v>46000</v>
      </c>
      <c r="B1205" s="109">
        <v>37</v>
      </c>
      <c r="C1205" s="49" t="s">
        <v>19</v>
      </c>
      <c r="D1205" s="110" t="str">
        <f>IF(ISBLANK($B1205),"",IFERROR(VLOOKUP($B1205,ESTOQUE!$B$2:$D$97168,3,FALSE),"Produto não cadastrado"))</f>
        <v>BOTINA OP. BICO PVC Nº 39</v>
      </c>
      <c r="E1205" s="99" t="str">
        <f>_xlfn.XLOOKUP(B1205,ESTOQUE!B:B,ESTOQUE!G:G,"",0)</f>
        <v>PAR</v>
      </c>
      <c r="F1205" s="99">
        <v>1</v>
      </c>
      <c r="G1205" s="146"/>
      <c r="H1205" s="146"/>
      <c r="I1205" s="147"/>
      <c r="J1205" s="147"/>
      <c r="K1205" s="63"/>
    </row>
    <row r="1206" spans="1:11" x14ac:dyDescent="0.25">
      <c r="A1206" s="108">
        <v>46000</v>
      </c>
      <c r="B1206" s="109">
        <v>216</v>
      </c>
      <c r="C1206" s="49" t="s">
        <v>19</v>
      </c>
      <c r="D1206" s="110" t="str">
        <f>IF(ISBLANK($B1206),"",IFERROR(VLOOKUP($B1206,ESTOQUE!$B$2:$D$97168,3,FALSE),"Produto não cadastrado"))</f>
        <v>BOTINA SEGURANÇA METATARSO  39</v>
      </c>
      <c r="E1206" s="99" t="str">
        <f>_xlfn.XLOOKUP(B1206,ESTOQUE!B:B,ESTOQUE!G:G,"",0)</f>
        <v>PAR</v>
      </c>
      <c r="F1206" s="99">
        <v>1</v>
      </c>
      <c r="G1206" s="146"/>
      <c r="H1206" s="146"/>
      <c r="I1206" s="147"/>
      <c r="J1206" s="147"/>
      <c r="K1206" s="63"/>
    </row>
    <row r="1207" spans="1:11" x14ac:dyDescent="0.25">
      <c r="A1207" s="108">
        <v>46000</v>
      </c>
      <c r="B1207" s="109">
        <v>46</v>
      </c>
      <c r="C1207" s="49" t="s">
        <v>19</v>
      </c>
      <c r="D1207" s="110" t="str">
        <f>IF(ISBLANK($B1207),"",IFERROR(VLOOKUP($B1207,ESTOQUE!$B$2:$D$97168,3,FALSE),"Produto não cadastrado"))</f>
        <v>CALÇA CINZA OP. C/ FAIXA REFLETIVA TAM: G</v>
      </c>
      <c r="E1207" s="99" t="str">
        <f>_xlfn.XLOOKUP(B1207,ESTOQUE!B:B,ESTOQUE!G:G,"",0)</f>
        <v>UND</v>
      </c>
      <c r="F1207" s="99">
        <v>5</v>
      </c>
      <c r="G1207" s="146"/>
      <c r="H1207" s="146"/>
      <c r="I1207" s="147"/>
      <c r="J1207" s="147"/>
      <c r="K1207" s="63"/>
    </row>
    <row r="1208" spans="1:11" x14ac:dyDescent="0.25">
      <c r="A1208" s="108">
        <v>46000</v>
      </c>
      <c r="B1208" s="109">
        <v>48</v>
      </c>
      <c r="C1208" s="49" t="s">
        <v>19</v>
      </c>
      <c r="D1208" s="110" t="str">
        <f>IF(ISBLANK($B1208),"",IFERROR(VLOOKUP($B1208,ESTOQUE!$B$2:$D$97168,3,FALSE),"Produto não cadastrado"))</f>
        <v>CALÇA CINZA OP. C/ FAIXA REFLETIVA TAM: M</v>
      </c>
      <c r="E1208" s="99" t="str">
        <f>_xlfn.XLOOKUP(B1208,ESTOQUE!B:B,ESTOQUE!G:G,"",0)</f>
        <v>UND</v>
      </c>
      <c r="F1208" s="99">
        <v>3</v>
      </c>
      <c r="G1208" s="146"/>
      <c r="H1208" s="146"/>
      <c r="I1208" s="147"/>
      <c r="J1208" s="147"/>
      <c r="K1208" s="63"/>
    </row>
    <row r="1209" spans="1:11" x14ac:dyDescent="0.25">
      <c r="A1209" s="108">
        <v>46000</v>
      </c>
      <c r="B1209" s="109">
        <v>49</v>
      </c>
      <c r="C1209" s="49" t="s">
        <v>19</v>
      </c>
      <c r="D1209" s="110" t="str">
        <f>IF(ISBLANK($B1209),"",IFERROR(VLOOKUP($B1209,ESTOQUE!$B$2:$D$97168,3,FALSE),"Produto não cadastrado"))</f>
        <v>CALÇA CINZA OP. C/ FAIXA REFLETIVA TAM: P</v>
      </c>
      <c r="E1209" s="99" t="str">
        <f>_xlfn.XLOOKUP(B1209,ESTOQUE!B:B,ESTOQUE!G:G,"",0)</f>
        <v>UND</v>
      </c>
      <c r="F1209" s="99">
        <v>2</v>
      </c>
      <c r="G1209" s="146"/>
      <c r="H1209" s="146"/>
      <c r="I1209" s="147"/>
      <c r="J1209" s="147"/>
      <c r="K1209" s="63"/>
    </row>
    <row r="1210" spans="1:11" x14ac:dyDescent="0.25">
      <c r="A1210" s="108">
        <v>46000</v>
      </c>
      <c r="B1210" s="109">
        <v>52</v>
      </c>
      <c r="C1210" s="49" t="s">
        <v>19</v>
      </c>
      <c r="D1210" s="110" t="str">
        <f>IF(ISBLANK($B1210),"",IFERROR(VLOOKUP($B1210,ESTOQUE!$B$2:$D$97168,3,FALSE),"Produto não cadastrado"))</f>
        <v>CALÇA DE ELETRICISTA NR.10 TAM: GG</v>
      </c>
      <c r="E1210" s="99" t="str">
        <f>_xlfn.XLOOKUP(B1210,ESTOQUE!B:B,ESTOQUE!G:G,"",0)</f>
        <v>UND</v>
      </c>
      <c r="F1210" s="99">
        <v>1</v>
      </c>
      <c r="G1210" s="146"/>
      <c r="H1210" s="146"/>
      <c r="I1210" s="147"/>
      <c r="J1210" s="147"/>
      <c r="K1210" s="63"/>
    </row>
    <row r="1211" spans="1:11" x14ac:dyDescent="0.25">
      <c r="A1211" s="108">
        <v>46000</v>
      </c>
      <c r="B1211" s="109">
        <v>53</v>
      </c>
      <c r="C1211" s="49" t="s">
        <v>19</v>
      </c>
      <c r="D1211" s="110" t="str">
        <f>IF(ISBLANK($B1211),"",IFERROR(VLOOKUP($B1211,ESTOQUE!$B$2:$D$97168,3,FALSE),"Produto não cadastrado"))</f>
        <v>CALÇA DE ELETRICISTA NR.10 TAM: P</v>
      </c>
      <c r="E1211" s="99" t="str">
        <f>_xlfn.XLOOKUP(B1211,ESTOQUE!B:B,ESTOQUE!G:G,"",0)</f>
        <v>UND</v>
      </c>
      <c r="F1211" s="99">
        <v>1</v>
      </c>
      <c r="G1211" s="146"/>
      <c r="H1211" s="146"/>
      <c r="I1211" s="147"/>
      <c r="J1211" s="147"/>
      <c r="K1211" s="63"/>
    </row>
    <row r="1212" spans="1:11" x14ac:dyDescent="0.25">
      <c r="A1212" s="108">
        <v>46000</v>
      </c>
      <c r="B1212" s="109">
        <v>66</v>
      </c>
      <c r="C1212" s="49" t="s">
        <v>19</v>
      </c>
      <c r="D1212" s="110" t="str">
        <f>IF(ISBLANK($B1212),"",IFERROR(VLOOKUP($B1212,ESTOQUE!$B$2:$D$97168,3,FALSE),"Produto não cadastrado"))</f>
        <v>CAMISA DE ELETRICISTA NR.10 TAM: XG</v>
      </c>
      <c r="E1212" s="99" t="str">
        <f>_xlfn.XLOOKUP(B1212,ESTOQUE!B:B,ESTOQUE!G:G,"",0)</f>
        <v>UND</v>
      </c>
      <c r="F1212" s="99">
        <v>1</v>
      </c>
      <c r="G1212" s="146"/>
      <c r="H1212" s="146"/>
      <c r="I1212" s="147"/>
      <c r="J1212" s="147"/>
      <c r="K1212" s="63"/>
    </row>
    <row r="1213" spans="1:11" x14ac:dyDescent="0.25">
      <c r="A1213" s="108">
        <v>46000</v>
      </c>
      <c r="B1213" s="109">
        <v>67</v>
      </c>
      <c r="C1213" s="49" t="s">
        <v>19</v>
      </c>
      <c r="D1213" s="110" t="str">
        <f>IF(ISBLANK($B1213),"",IFERROR(VLOOKUP($B1213,ESTOQUE!$B$2:$D$97168,3,FALSE),"Produto não cadastrado"))</f>
        <v>CAMISA LARANJA OP. C/ FAIXA REFLETIVA TAM: G</v>
      </c>
      <c r="E1213" s="99" t="str">
        <f>_xlfn.XLOOKUP(B1213,ESTOQUE!B:B,ESTOQUE!G:G,"",0)</f>
        <v>UND</v>
      </c>
      <c r="F1213" s="99">
        <v>3</v>
      </c>
      <c r="G1213" s="146"/>
      <c r="H1213" s="146"/>
      <c r="I1213" s="147"/>
      <c r="J1213" s="147"/>
      <c r="K1213" s="63"/>
    </row>
    <row r="1214" spans="1:11" x14ac:dyDescent="0.25">
      <c r="A1214" s="108">
        <v>46000</v>
      </c>
      <c r="B1214" s="109">
        <v>69</v>
      </c>
      <c r="C1214" s="49" t="s">
        <v>19</v>
      </c>
      <c r="D1214" s="110" t="str">
        <f>IF(ISBLANK($B1214),"",IFERROR(VLOOKUP($B1214,ESTOQUE!$B$2:$D$97168,3,FALSE),"Produto não cadastrado"))</f>
        <v>CAMISA LARANJA OP. C/ FAIXA REFLETIVA TAM: M</v>
      </c>
      <c r="E1214" s="99" t="str">
        <f>_xlfn.XLOOKUP(B1214,ESTOQUE!B:B,ESTOQUE!G:G,"",0)</f>
        <v>UND</v>
      </c>
      <c r="F1214" s="99">
        <v>1</v>
      </c>
      <c r="G1214" s="146"/>
      <c r="H1214" s="146"/>
      <c r="I1214" s="147"/>
      <c r="J1214" s="147"/>
      <c r="K1214" s="63"/>
    </row>
    <row r="1215" spans="1:11" x14ac:dyDescent="0.25">
      <c r="A1215" s="108">
        <v>46000</v>
      </c>
      <c r="B1215" s="109">
        <v>70</v>
      </c>
      <c r="C1215" s="49" t="s">
        <v>19</v>
      </c>
      <c r="D1215" s="110" t="str">
        <f>IF(ISBLANK($B1215),"",IFERROR(VLOOKUP($B1215,ESTOQUE!$B$2:$D$97168,3,FALSE),"Produto não cadastrado"))</f>
        <v>CAMISA LARANJA OP. C/ FAIXA REFLETIVA TAM: P</v>
      </c>
      <c r="E1215" s="99" t="str">
        <f>_xlfn.XLOOKUP(B1215,ESTOQUE!B:B,ESTOQUE!G:G,"",0)</f>
        <v>UND</v>
      </c>
      <c r="F1215" s="99">
        <v>1</v>
      </c>
      <c r="G1215" s="146"/>
      <c r="H1215" s="146"/>
      <c r="I1215" s="147"/>
      <c r="J1215" s="147"/>
      <c r="K1215" s="63"/>
    </row>
    <row r="1216" spans="1:11" x14ac:dyDescent="0.25">
      <c r="A1216" s="108">
        <v>46000</v>
      </c>
      <c r="B1216" s="109">
        <v>73</v>
      </c>
      <c r="C1216" s="49" t="s">
        <v>19</v>
      </c>
      <c r="D1216" s="110" t="str">
        <f>IF(ISBLANK($B1216),"",IFERROR(VLOOKUP($B1216,ESTOQUE!$B$2:$D$97168,3,FALSE),"Produto não cadastrado"))</f>
        <v>CAPA DE CHUVA GG</v>
      </c>
      <c r="E1216" s="99" t="str">
        <f>_xlfn.XLOOKUP(B1216,ESTOQUE!B:B,ESTOQUE!G:G,"",0)</f>
        <v>UND</v>
      </c>
      <c r="F1216" s="99">
        <v>84</v>
      </c>
      <c r="G1216" s="146"/>
      <c r="H1216" s="146"/>
      <c r="I1216" s="147"/>
      <c r="J1216" s="147"/>
      <c r="K1216" s="63"/>
    </row>
    <row r="1217" spans="1:11" x14ac:dyDescent="0.25">
      <c r="A1217" s="108">
        <v>46000</v>
      </c>
      <c r="B1217" s="109">
        <v>141</v>
      </c>
      <c r="C1217" s="49" t="s">
        <v>19</v>
      </c>
      <c r="D1217" s="110" t="str">
        <f>IF(ISBLANK($B1217),"",IFERROR(VLOOKUP($B1217,ESTOQUE!$B$2:$D$97168,3,FALSE),"Produto não cadastrado"))</f>
        <v xml:space="preserve">LUVA DE VAQUETA </v>
      </c>
      <c r="E1217" s="99" t="str">
        <f>_xlfn.XLOOKUP(B1217,ESTOQUE!B:B,ESTOQUE!G:G,"",0)</f>
        <v>PAR</v>
      </c>
      <c r="F1217" s="99">
        <v>2</v>
      </c>
      <c r="G1217" s="146"/>
      <c r="H1217" s="146"/>
      <c r="I1217" s="147"/>
      <c r="J1217" s="147"/>
      <c r="K1217" s="63"/>
    </row>
    <row r="1218" spans="1:11" x14ac:dyDescent="0.25">
      <c r="A1218" s="108">
        <v>46000</v>
      </c>
      <c r="B1218" s="109">
        <v>189</v>
      </c>
      <c r="C1218" s="49" t="s">
        <v>19</v>
      </c>
      <c r="D1218" s="110" t="str">
        <f>IF(ISBLANK($B1218),"",IFERROR(VLOOKUP($B1218,ESTOQUE!$B$2:$D$97168,3,FALSE),"Produto não cadastrado"))</f>
        <v xml:space="preserve">LUVA DE VAQUETA MISTA </v>
      </c>
      <c r="E1218" s="99" t="str">
        <f>_xlfn.XLOOKUP(B1218,ESTOQUE!B:B,ESTOQUE!G:G,"",0)</f>
        <v>UND</v>
      </c>
      <c r="F1218" s="99">
        <v>1</v>
      </c>
      <c r="G1218" s="146"/>
      <c r="H1218" s="146"/>
      <c r="I1218" s="147"/>
      <c r="J1218" s="147"/>
      <c r="K1218" s="63"/>
    </row>
    <row r="1219" spans="1:11" x14ac:dyDescent="0.25">
      <c r="A1219" s="108">
        <v>46000</v>
      </c>
      <c r="B1219" s="109">
        <v>114</v>
      </c>
      <c r="C1219" s="49" t="s">
        <v>19</v>
      </c>
      <c r="D1219" s="110" t="str">
        <f>IF(ISBLANK($B1219),"",IFERROR(VLOOKUP($B1219,ESTOQUE!$B$2:$D$97168,3,FALSE),"Produto não cadastrado"))</f>
        <v xml:space="preserve">LUVA LATEX NITRILICA </v>
      </c>
      <c r="E1219" s="99" t="str">
        <f>_xlfn.XLOOKUP(B1219,ESTOQUE!B:B,ESTOQUE!G:G,"",0)</f>
        <v>PAR</v>
      </c>
      <c r="F1219" s="99">
        <v>28</v>
      </c>
      <c r="G1219" s="146"/>
      <c r="H1219" s="146"/>
      <c r="I1219" s="147"/>
      <c r="J1219" s="147"/>
      <c r="K1219" s="63"/>
    </row>
    <row r="1220" spans="1:11" x14ac:dyDescent="0.25">
      <c r="A1220" s="108">
        <v>46000</v>
      </c>
      <c r="B1220" s="109">
        <v>117</v>
      </c>
      <c r="C1220" s="49" t="s">
        <v>19</v>
      </c>
      <c r="D1220" s="110" t="str">
        <f>IF(ISBLANK($B1220),"",IFERROR(VLOOKUP($B1220,ESTOQUE!$B$2:$D$97168,3,FALSE),"Produto não cadastrado"))</f>
        <v>LUVA PIGMENTADA</v>
      </c>
      <c r="E1220" s="99" t="str">
        <f>_xlfn.XLOOKUP(B1220,ESTOQUE!B:B,ESTOQUE!G:G,"",0)</f>
        <v>PAR</v>
      </c>
      <c r="F1220" s="99">
        <v>33</v>
      </c>
      <c r="G1220" s="146"/>
      <c r="H1220" s="146"/>
      <c r="I1220" s="147"/>
      <c r="J1220" s="147"/>
      <c r="K1220" s="63"/>
    </row>
    <row r="1221" spans="1:11" x14ac:dyDescent="0.25">
      <c r="A1221" s="108">
        <v>46000</v>
      </c>
      <c r="B1221" s="109">
        <v>207</v>
      </c>
      <c r="C1221" s="49" t="s">
        <v>19</v>
      </c>
      <c r="D1221" s="110" t="str">
        <f>IF(ISBLANK($B1221),"",IFERROR(VLOOKUP($B1221,ESTOQUE!$B$2:$D$97168,3,FALSE),"Produto não cadastrado"))</f>
        <v>LUVA POLIESTER ANTICORTE BANHADA PU TAM 9</v>
      </c>
      <c r="E1221" s="99" t="str">
        <f>_xlfn.XLOOKUP(B1221,ESTOQUE!B:B,ESTOQUE!G:G,"",0)</f>
        <v>PAR</v>
      </c>
      <c r="F1221" s="99">
        <v>8</v>
      </c>
      <c r="G1221" s="146"/>
      <c r="H1221" s="146"/>
      <c r="I1221" s="147"/>
      <c r="J1221" s="147"/>
      <c r="K1221" s="63"/>
    </row>
    <row r="1222" spans="1:11" x14ac:dyDescent="0.25">
      <c r="A1222" s="108">
        <v>46000</v>
      </c>
      <c r="B1222" s="109">
        <v>125</v>
      </c>
      <c r="C1222" s="49" t="s">
        <v>19</v>
      </c>
      <c r="D1222" s="110" t="str">
        <f>IF(ISBLANK($B1222),"",IFERROR(VLOOKUP($B1222,ESTOQUE!$B$2:$D$97168,3,FALSE),"Produto não cadastrado"))</f>
        <v xml:space="preserve">MASCARA DE SOLDA AUTOMATICA </v>
      </c>
      <c r="E1222" s="99" t="str">
        <f>_xlfn.XLOOKUP(B1222,ESTOQUE!B:B,ESTOQUE!G:G,"",0)</f>
        <v>UND</v>
      </c>
      <c r="F1222" s="99">
        <v>1</v>
      </c>
      <c r="G1222" s="146"/>
      <c r="H1222" s="146"/>
      <c r="I1222" s="147"/>
      <c r="J1222" s="147"/>
      <c r="K1222" s="63"/>
    </row>
    <row r="1223" spans="1:11" x14ac:dyDescent="0.25">
      <c r="A1223" s="108">
        <v>46000</v>
      </c>
      <c r="B1223" s="109">
        <v>144</v>
      </c>
      <c r="C1223" s="49" t="s">
        <v>19</v>
      </c>
      <c r="D1223" s="110" t="str">
        <f>IF(ISBLANK($B1223),"",IFERROR(VLOOKUP($B1223,ESTOQUE!$B$2:$D$97168,3,FALSE),"Produto não cadastrado"))</f>
        <v>MASCARA PFF2-S C/ FILTRO</v>
      </c>
      <c r="E1223" s="99" t="str">
        <f>_xlfn.XLOOKUP(B1223,ESTOQUE!B:B,ESTOQUE!G:G,"",0)</f>
        <v>UND</v>
      </c>
      <c r="F1223" s="99">
        <v>9</v>
      </c>
      <c r="G1223" s="146"/>
      <c r="H1223" s="146"/>
      <c r="I1223" s="147"/>
      <c r="J1223" s="147"/>
      <c r="K1223" s="63"/>
    </row>
    <row r="1224" spans="1:11" x14ac:dyDescent="0.25">
      <c r="A1224" s="108">
        <v>46000</v>
      </c>
      <c r="B1224" s="109">
        <v>126</v>
      </c>
      <c r="C1224" s="49" t="s">
        <v>19</v>
      </c>
      <c r="D1224" s="110" t="str">
        <f>IF(ISBLANK($B1224),"",IFERROR(VLOOKUP($B1224,ESTOQUE!$B$2:$D$97168,3,FALSE),"Produto não cadastrado"))</f>
        <v>OCULOS DE PROTEÇÃO ESCURO</v>
      </c>
      <c r="E1224" s="99" t="str">
        <f>_xlfn.XLOOKUP(B1224,ESTOQUE!B:B,ESTOQUE!G:G,"",0)</f>
        <v>UND</v>
      </c>
      <c r="F1224" s="99">
        <v>2</v>
      </c>
      <c r="G1224" s="146"/>
      <c r="H1224" s="146"/>
      <c r="I1224" s="147"/>
      <c r="J1224" s="147"/>
      <c r="K1224" s="63"/>
    </row>
    <row r="1225" spans="1:11" x14ac:dyDescent="0.25">
      <c r="A1225" s="108">
        <v>46000</v>
      </c>
      <c r="B1225" s="109">
        <v>139</v>
      </c>
      <c r="C1225" s="49" t="s">
        <v>19</v>
      </c>
      <c r="D1225" s="110" t="str">
        <f>IF(ISBLANK($B1225),"",IFERROR(VLOOKUP($B1225,ESTOQUE!$B$2:$D$97168,3,FALSE),"Produto não cadastrado"))</f>
        <v>PROTETOR AURICULAR TIPO PLUG</v>
      </c>
      <c r="E1225" s="99" t="str">
        <f>_xlfn.XLOOKUP(B1225,ESTOQUE!B:B,ESTOQUE!G:G,"",0)</f>
        <v>UND</v>
      </c>
      <c r="F1225" s="99">
        <v>8</v>
      </c>
      <c r="G1225" s="146"/>
      <c r="H1225" s="146"/>
      <c r="I1225" s="147"/>
      <c r="J1225" s="147"/>
      <c r="K1225" s="63"/>
    </row>
    <row r="1226" spans="1:11" x14ac:dyDescent="0.25">
      <c r="A1226" s="108">
        <v>46001</v>
      </c>
      <c r="B1226" s="109">
        <v>17</v>
      </c>
      <c r="C1226" s="49" t="s">
        <v>19</v>
      </c>
      <c r="D1226" s="110" t="str">
        <f>IF(ISBLANK($B1226),"",IFERROR(VLOOKUP($B1226,ESTOQUE!$B$2:$D$97168,3,FALSE),"Produto não cadastrado"))</f>
        <v>BOTA PVC CANO MEDIO Nº 38</v>
      </c>
      <c r="E1226" s="99" t="str">
        <f>_xlfn.XLOOKUP(B1226,ESTOQUE!B:B,ESTOQUE!G:G,"",0)</f>
        <v>PAR</v>
      </c>
      <c r="F1226" s="99">
        <v>1</v>
      </c>
      <c r="G1226" s="146"/>
      <c r="H1226" s="146"/>
      <c r="I1226" s="147"/>
      <c r="J1226" s="147"/>
      <c r="K1226" s="63"/>
    </row>
    <row r="1227" spans="1:11" x14ac:dyDescent="0.25">
      <c r="A1227" s="108">
        <v>46001</v>
      </c>
      <c r="B1227" s="109">
        <v>46</v>
      </c>
      <c r="C1227" s="49" t="s">
        <v>19</v>
      </c>
      <c r="D1227" s="110" t="str">
        <f>IF(ISBLANK($B1227),"",IFERROR(VLOOKUP($B1227,ESTOQUE!$B$2:$D$97168,3,FALSE),"Produto não cadastrado"))</f>
        <v>CALÇA CINZA OP. C/ FAIXA REFLETIVA TAM: G</v>
      </c>
      <c r="E1227" s="99" t="str">
        <f>_xlfn.XLOOKUP(B1227,ESTOQUE!B:B,ESTOQUE!G:G,"",0)</f>
        <v>UND</v>
      </c>
      <c r="F1227" s="99">
        <v>3</v>
      </c>
      <c r="G1227" s="146"/>
      <c r="H1227" s="146"/>
      <c r="I1227" s="147"/>
      <c r="J1227" s="147"/>
      <c r="K1227" s="63"/>
    </row>
    <row r="1228" spans="1:11" x14ac:dyDescent="0.25">
      <c r="A1228" s="108">
        <v>46001</v>
      </c>
      <c r="B1228" s="109">
        <v>47</v>
      </c>
      <c r="C1228" s="49" t="s">
        <v>19</v>
      </c>
      <c r="D1228" s="110" t="str">
        <f>IF(ISBLANK($B1228),"",IFERROR(VLOOKUP($B1228,ESTOQUE!$B$2:$D$97168,3,FALSE),"Produto não cadastrado"))</f>
        <v>CALÇA CINZA OP. C/ FAIXA REFLETIVA TAM: GG</v>
      </c>
      <c r="E1228" s="99" t="str">
        <f>_xlfn.XLOOKUP(B1228,ESTOQUE!B:B,ESTOQUE!G:G,"",0)</f>
        <v>UND</v>
      </c>
      <c r="F1228" s="99">
        <v>2</v>
      </c>
      <c r="G1228" s="146"/>
      <c r="H1228" s="146"/>
      <c r="I1228" s="147"/>
      <c r="J1228" s="147"/>
      <c r="K1228" s="63"/>
    </row>
    <row r="1229" spans="1:11" x14ac:dyDescent="0.25">
      <c r="A1229" s="108">
        <v>46001</v>
      </c>
      <c r="B1229" s="109">
        <v>48</v>
      </c>
      <c r="C1229" s="49" t="s">
        <v>19</v>
      </c>
      <c r="D1229" s="110" t="str">
        <f>IF(ISBLANK($B1229),"",IFERROR(VLOOKUP($B1229,ESTOQUE!$B$2:$D$97168,3,FALSE),"Produto não cadastrado"))</f>
        <v>CALÇA CINZA OP. C/ FAIXA REFLETIVA TAM: M</v>
      </c>
      <c r="E1229" s="99" t="str">
        <f>_xlfn.XLOOKUP(B1229,ESTOQUE!B:B,ESTOQUE!G:G,"",0)</f>
        <v>UND</v>
      </c>
      <c r="F1229" s="99">
        <v>2</v>
      </c>
      <c r="G1229" s="146"/>
      <c r="H1229" s="146"/>
      <c r="I1229" s="147"/>
      <c r="J1229" s="147"/>
      <c r="K1229" s="63"/>
    </row>
    <row r="1230" spans="1:11" x14ac:dyDescent="0.25">
      <c r="A1230" s="108">
        <v>46001</v>
      </c>
      <c r="B1230" s="109">
        <v>49</v>
      </c>
      <c r="C1230" s="49" t="s">
        <v>19</v>
      </c>
      <c r="D1230" s="110" t="str">
        <f>IF(ISBLANK($B1230),"",IFERROR(VLOOKUP($B1230,ESTOQUE!$B$2:$D$97168,3,FALSE),"Produto não cadastrado"))</f>
        <v>CALÇA CINZA OP. C/ FAIXA REFLETIVA TAM: P</v>
      </c>
      <c r="E1230" s="99" t="str">
        <f>_xlfn.XLOOKUP(B1230,ESTOQUE!B:B,ESTOQUE!G:G,"",0)</f>
        <v>UND</v>
      </c>
      <c r="F1230" s="99">
        <v>2</v>
      </c>
      <c r="G1230" s="146"/>
      <c r="H1230" s="146"/>
      <c r="I1230" s="147"/>
      <c r="J1230" s="147"/>
      <c r="K1230" s="63"/>
    </row>
    <row r="1231" spans="1:11" x14ac:dyDescent="0.25">
      <c r="A1231" s="108">
        <v>46001</v>
      </c>
      <c r="B1231" s="109">
        <v>68</v>
      </c>
      <c r="C1231" s="49" t="s">
        <v>19</v>
      </c>
      <c r="D1231" s="110" t="str">
        <f>IF(ISBLANK($B1231),"",IFERROR(VLOOKUP($B1231,ESTOQUE!$B$2:$D$97168,3,FALSE),"Produto não cadastrado"))</f>
        <v>CAMISA LARANJA OP. C/ FAIXA REFLETIVA TAM: GG</v>
      </c>
      <c r="E1231" s="99" t="str">
        <f>_xlfn.XLOOKUP(B1231,ESTOQUE!B:B,ESTOQUE!G:G,"",0)</f>
        <v>UND</v>
      </c>
      <c r="F1231" s="99">
        <v>2</v>
      </c>
      <c r="G1231" s="146"/>
      <c r="H1231" s="146"/>
      <c r="I1231" s="147"/>
      <c r="J1231" s="147"/>
      <c r="K1231" s="63"/>
    </row>
    <row r="1232" spans="1:11" x14ac:dyDescent="0.25">
      <c r="A1232" s="108">
        <v>46001</v>
      </c>
      <c r="B1232" s="109">
        <v>69</v>
      </c>
      <c r="C1232" s="49" t="s">
        <v>19</v>
      </c>
      <c r="D1232" s="110" t="str">
        <f>IF(ISBLANK($B1232),"",IFERROR(VLOOKUP($B1232,ESTOQUE!$B$2:$D$97168,3,FALSE),"Produto não cadastrado"))</f>
        <v>CAMISA LARANJA OP. C/ FAIXA REFLETIVA TAM: M</v>
      </c>
      <c r="E1232" s="99" t="str">
        <f>_xlfn.XLOOKUP(B1232,ESTOQUE!B:B,ESTOQUE!G:G,"",0)</f>
        <v>UND</v>
      </c>
      <c r="F1232" s="99">
        <v>3</v>
      </c>
      <c r="G1232" s="146"/>
      <c r="H1232" s="146"/>
      <c r="I1232" s="147"/>
      <c r="J1232" s="147"/>
      <c r="K1232" s="63"/>
    </row>
    <row r="1233" spans="1:11" x14ac:dyDescent="0.25">
      <c r="A1233" s="108">
        <v>46001</v>
      </c>
      <c r="B1233" s="109">
        <v>114</v>
      </c>
      <c r="C1233" s="49" t="s">
        <v>19</v>
      </c>
      <c r="D1233" s="110" t="str">
        <f>IF(ISBLANK($B1233),"",IFERROR(VLOOKUP($B1233,ESTOQUE!$B$2:$D$97168,3,FALSE),"Produto não cadastrado"))</f>
        <v xml:space="preserve">LUVA LATEX NITRILICA </v>
      </c>
      <c r="E1233" s="99" t="str">
        <f>_xlfn.XLOOKUP(B1233,ESTOQUE!B:B,ESTOQUE!G:G,"",0)</f>
        <v>PAR</v>
      </c>
      <c r="F1233" s="99">
        <v>12</v>
      </c>
      <c r="G1233" s="146"/>
      <c r="H1233" s="146"/>
      <c r="I1233" s="147"/>
      <c r="J1233" s="147"/>
      <c r="K1233" s="63"/>
    </row>
    <row r="1234" spans="1:11" x14ac:dyDescent="0.25">
      <c r="A1234" s="108">
        <v>46001</v>
      </c>
      <c r="B1234" s="109">
        <v>117</v>
      </c>
      <c r="C1234" s="49" t="s">
        <v>19</v>
      </c>
      <c r="D1234" s="110" t="str">
        <f>IF(ISBLANK($B1234),"",IFERROR(VLOOKUP($B1234,ESTOQUE!$B$2:$D$97168,3,FALSE),"Produto não cadastrado"))</f>
        <v>LUVA PIGMENTADA</v>
      </c>
      <c r="E1234" s="99" t="str">
        <f>_xlfn.XLOOKUP(B1234,ESTOQUE!B:B,ESTOQUE!G:G,"",0)</f>
        <v>PAR</v>
      </c>
      <c r="F1234" s="99">
        <v>2</v>
      </c>
      <c r="G1234" s="146"/>
      <c r="H1234" s="146"/>
      <c r="I1234" s="147"/>
      <c r="J1234" s="147"/>
      <c r="K1234" s="63"/>
    </row>
    <row r="1235" spans="1:11" x14ac:dyDescent="0.25">
      <c r="A1235" s="108">
        <v>46001</v>
      </c>
      <c r="B1235" s="109">
        <v>207</v>
      </c>
      <c r="C1235" s="49" t="s">
        <v>19</v>
      </c>
      <c r="D1235" s="110" t="str">
        <f>IF(ISBLANK($B1235),"",IFERROR(VLOOKUP($B1235,ESTOQUE!$B$2:$D$97168,3,FALSE),"Produto não cadastrado"))</f>
        <v>LUVA POLIESTER ANTICORTE BANHADA PU TAM 9</v>
      </c>
      <c r="E1235" s="99" t="str">
        <f>_xlfn.XLOOKUP(B1235,ESTOQUE!B:B,ESTOQUE!G:G,"",0)</f>
        <v>PAR</v>
      </c>
      <c r="F1235" s="99">
        <v>10</v>
      </c>
      <c r="G1235" s="146"/>
      <c r="H1235" s="146"/>
      <c r="I1235" s="147"/>
      <c r="J1235" s="147"/>
      <c r="K1235" s="63"/>
    </row>
    <row r="1236" spans="1:11" x14ac:dyDescent="0.25">
      <c r="A1236" s="108">
        <v>46001</v>
      </c>
      <c r="B1236" s="109">
        <v>118</v>
      </c>
      <c r="C1236" s="49" t="s">
        <v>19</v>
      </c>
      <c r="D1236" s="110" t="str">
        <f>IF(ISBLANK($B1236),"",IFERROR(VLOOKUP($B1236,ESTOQUE!$B$2:$D$97168,3,FALSE),"Produto não cadastrado"))</f>
        <v>MACACÃO DE PROTEÇÃO TYVEK</v>
      </c>
      <c r="E1236" s="99" t="str">
        <f>_xlfn.XLOOKUP(B1236,ESTOQUE!B:B,ESTOQUE!G:G,"",0)</f>
        <v>UND</v>
      </c>
      <c r="F1236" s="99">
        <v>26</v>
      </c>
      <c r="G1236" s="146"/>
      <c r="H1236" s="146"/>
      <c r="I1236" s="147"/>
      <c r="J1236" s="147"/>
      <c r="K1236" s="63"/>
    </row>
    <row r="1237" spans="1:11" x14ac:dyDescent="0.25">
      <c r="A1237" s="108">
        <v>46001</v>
      </c>
      <c r="B1237" s="109">
        <v>144</v>
      </c>
      <c r="C1237" s="49" t="s">
        <v>19</v>
      </c>
      <c r="D1237" s="110" t="str">
        <f>IF(ISBLANK($B1237),"",IFERROR(VLOOKUP($B1237,ESTOQUE!$B$2:$D$97168,3,FALSE),"Produto não cadastrado"))</f>
        <v>MASCARA PFF2-S C/ FILTRO</v>
      </c>
      <c r="E1237" s="99" t="str">
        <f>_xlfn.XLOOKUP(B1237,ESTOQUE!B:B,ESTOQUE!G:G,"",0)</f>
        <v>UND</v>
      </c>
      <c r="F1237" s="99">
        <v>3</v>
      </c>
      <c r="G1237" s="146"/>
      <c r="H1237" s="146"/>
      <c r="I1237" s="147"/>
      <c r="J1237" s="147"/>
      <c r="K1237" s="63"/>
    </row>
    <row r="1238" spans="1:11" x14ac:dyDescent="0.25">
      <c r="A1238" s="108">
        <v>46001</v>
      </c>
      <c r="B1238" s="109">
        <v>126</v>
      </c>
      <c r="C1238" s="49" t="s">
        <v>19</v>
      </c>
      <c r="D1238" s="110" t="str">
        <f>IF(ISBLANK($B1238),"",IFERROR(VLOOKUP($B1238,ESTOQUE!$B$2:$D$97168,3,FALSE),"Produto não cadastrado"))</f>
        <v>OCULOS DE PROTEÇÃO ESCURO</v>
      </c>
      <c r="E1238" s="99" t="str">
        <f>_xlfn.XLOOKUP(B1238,ESTOQUE!B:B,ESTOQUE!G:G,"",0)</f>
        <v>UND</v>
      </c>
      <c r="F1238" s="99">
        <v>1</v>
      </c>
      <c r="G1238" s="146"/>
      <c r="H1238" s="146"/>
      <c r="I1238" s="147"/>
      <c r="J1238" s="147"/>
      <c r="K1238" s="63"/>
    </row>
    <row r="1239" spans="1:11" x14ac:dyDescent="0.25">
      <c r="A1239" s="108">
        <v>46001</v>
      </c>
      <c r="B1239" s="109">
        <v>2</v>
      </c>
      <c r="C1239" s="49" t="s">
        <v>19</v>
      </c>
      <c r="D1239" s="110" t="str">
        <f>IF(ISBLANK($B1239),"",IFERROR(VLOOKUP($B1239,ESTOQUE!$B$2:$D$97168,3,FALSE),"Produto não cadastrado"))</f>
        <v>AVENTAL DE RASPA TAM 1X60MT</v>
      </c>
      <c r="E1239" s="99" t="str">
        <f>_xlfn.XLOOKUP(B1239,ESTOQUE!B:B,ESTOQUE!G:G,"",0)</f>
        <v>UND</v>
      </c>
      <c r="F1239" s="99">
        <v>16</v>
      </c>
      <c r="G1239" s="146"/>
      <c r="H1239" s="146"/>
      <c r="I1239" s="147"/>
      <c r="J1239" s="147"/>
      <c r="K1239" s="63"/>
    </row>
    <row r="1240" spans="1:11" x14ac:dyDescent="0.25">
      <c r="A1240" s="108">
        <v>46001</v>
      </c>
      <c r="B1240" s="109">
        <v>190</v>
      </c>
      <c r="C1240" s="49" t="s">
        <v>19</v>
      </c>
      <c r="D1240" s="110" t="str">
        <f>IF(ISBLANK($B1240),"",IFERROR(VLOOKUP($B1240,ESTOQUE!$B$2:$D$97168,3,FALSE),"Produto não cadastrado"))</f>
        <v>AVENTAL DE RASPA TAM 120X60</v>
      </c>
      <c r="E1240" s="99" t="str">
        <f>_xlfn.XLOOKUP(B1240,ESTOQUE!B:B,ESTOQUE!G:G,"",0)</f>
        <v>UND</v>
      </c>
      <c r="F1240" s="99">
        <v>5</v>
      </c>
      <c r="G1240" s="146"/>
      <c r="H1240" s="146"/>
      <c r="I1240" s="147"/>
      <c r="J1240" s="147"/>
      <c r="K1240" s="63"/>
    </row>
    <row r="1241" spans="1:11" x14ac:dyDescent="0.25">
      <c r="A1241" s="108">
        <v>46001</v>
      </c>
      <c r="B1241" s="109">
        <v>228</v>
      </c>
      <c r="C1241" s="49" t="s">
        <v>19</v>
      </c>
      <c r="D1241" s="110" t="str">
        <f>IF(ISBLANK($B1241),"",IFERROR(VLOOKUP($B1241,ESTOQUE!$B$2:$D$97168,3,FALSE),"Produto não cadastrado"))</f>
        <v xml:space="preserve">BALACLAVA  </v>
      </c>
      <c r="E1241" s="99" t="str">
        <f>_xlfn.XLOOKUP(B1241,ESTOQUE!B:B,ESTOQUE!G:G,"",0)</f>
        <v>UND</v>
      </c>
      <c r="F1241" s="99">
        <v>50</v>
      </c>
      <c r="G1241" s="146"/>
      <c r="H1241" s="146"/>
      <c r="I1241" s="147"/>
      <c r="J1241" s="147"/>
      <c r="K1241" s="63"/>
    </row>
    <row r="1242" spans="1:11" x14ac:dyDescent="0.25">
      <c r="A1242" s="108">
        <v>46001</v>
      </c>
      <c r="B1242" s="109">
        <v>48</v>
      </c>
      <c r="C1242" s="49" t="s">
        <v>19</v>
      </c>
      <c r="D1242" s="110" t="str">
        <f>IF(ISBLANK($B1242),"",IFERROR(VLOOKUP($B1242,ESTOQUE!$B$2:$D$97168,3,FALSE),"Produto não cadastrado"))</f>
        <v>CALÇA CINZA OP. C/ FAIXA REFLETIVA TAM: M</v>
      </c>
      <c r="E1242" s="99" t="str">
        <f>_xlfn.XLOOKUP(B1242,ESTOQUE!B:B,ESTOQUE!G:G,"",0)</f>
        <v>UND</v>
      </c>
      <c r="F1242" s="99">
        <v>1</v>
      </c>
      <c r="G1242" s="146"/>
      <c r="H1242" s="146"/>
      <c r="I1242" s="147"/>
      <c r="J1242" s="147"/>
      <c r="K1242" s="63"/>
    </row>
    <row r="1243" spans="1:11" x14ac:dyDescent="0.25">
      <c r="A1243" s="108">
        <v>46001</v>
      </c>
      <c r="B1243" s="109">
        <v>50</v>
      </c>
      <c r="C1243" s="49" t="s">
        <v>19</v>
      </c>
      <c r="D1243" s="110" t="str">
        <f>IF(ISBLANK($B1243),"",IFERROR(VLOOKUP($B1243,ESTOQUE!$B$2:$D$97168,3,FALSE),"Produto não cadastrado"))</f>
        <v>CALÇA CINZA OP. C/ FAIXA REFLETIVA TAM: XG</v>
      </c>
      <c r="E1243" s="99" t="str">
        <f>_xlfn.XLOOKUP(B1243,ESTOQUE!B:B,ESTOQUE!G:G,"",0)</f>
        <v>UND</v>
      </c>
      <c r="F1243" s="99">
        <v>2</v>
      </c>
      <c r="G1243" s="146"/>
      <c r="H1243" s="146"/>
      <c r="I1243" s="147"/>
      <c r="J1243" s="147"/>
      <c r="K1243" s="63"/>
    </row>
    <row r="1244" spans="1:11" x14ac:dyDescent="0.25">
      <c r="A1244" s="108">
        <v>46001</v>
      </c>
      <c r="B1244" s="109">
        <v>184</v>
      </c>
      <c r="C1244" s="49" t="s">
        <v>19</v>
      </c>
      <c r="D1244" s="110" t="str">
        <f>IF(ISBLANK($B1244),"",IFERROR(VLOOKUP($B1244,ESTOQUE!$B$2:$D$97168,3,FALSE),"Produto não cadastrado"))</f>
        <v>CAMISA DE ELETRICISTA NR.10 TAM: M</v>
      </c>
      <c r="E1244" s="99" t="str">
        <f>_xlfn.XLOOKUP(B1244,ESTOQUE!B:B,ESTOQUE!G:G,"",0)</f>
        <v>UND</v>
      </c>
      <c r="F1244" s="99">
        <v>12</v>
      </c>
      <c r="G1244" s="146"/>
      <c r="H1244" s="146"/>
      <c r="I1244" s="147"/>
      <c r="J1244" s="147"/>
      <c r="K1244" s="63"/>
    </row>
    <row r="1245" spans="1:11" x14ac:dyDescent="0.25">
      <c r="A1245" s="108">
        <v>46001</v>
      </c>
      <c r="B1245" s="109">
        <v>65</v>
      </c>
      <c r="C1245" s="49" t="s">
        <v>19</v>
      </c>
      <c r="D1245" s="110" t="str">
        <f>IF(ISBLANK($B1245),"",IFERROR(VLOOKUP($B1245,ESTOQUE!$B$2:$D$97168,3,FALSE),"Produto não cadastrado"))</f>
        <v>CAMISA DE ELETRICISTA NR.10 TAM: P</v>
      </c>
      <c r="E1245" s="99" t="str">
        <f>_xlfn.XLOOKUP(B1245,ESTOQUE!B:B,ESTOQUE!G:G,"",0)</f>
        <v>UND</v>
      </c>
      <c r="F1245" s="99">
        <v>7</v>
      </c>
      <c r="G1245" s="146"/>
      <c r="H1245" s="146"/>
      <c r="I1245" s="147"/>
      <c r="J1245" s="147"/>
      <c r="K1245" s="63"/>
    </row>
    <row r="1246" spans="1:11" x14ac:dyDescent="0.25">
      <c r="A1246" s="108">
        <v>46001</v>
      </c>
      <c r="B1246" s="109">
        <v>67</v>
      </c>
      <c r="C1246" s="49" t="s">
        <v>19</v>
      </c>
      <c r="D1246" s="110" t="str">
        <f>IF(ISBLANK($B1246),"",IFERROR(VLOOKUP($B1246,ESTOQUE!$B$2:$D$97168,3,FALSE),"Produto não cadastrado"))</f>
        <v>CAMISA LARANJA OP. C/ FAIXA REFLETIVA TAM: G</v>
      </c>
      <c r="E1246" s="99" t="str">
        <f>_xlfn.XLOOKUP(B1246,ESTOQUE!B:B,ESTOQUE!G:G,"",0)</f>
        <v>UND</v>
      </c>
      <c r="F1246" s="99">
        <v>6</v>
      </c>
      <c r="G1246" s="146"/>
      <c r="H1246" s="146"/>
      <c r="I1246" s="147"/>
      <c r="J1246" s="147"/>
      <c r="K1246" s="63"/>
    </row>
    <row r="1247" spans="1:11" x14ac:dyDescent="0.25">
      <c r="A1247" s="108">
        <v>46001</v>
      </c>
      <c r="B1247" s="109">
        <v>68</v>
      </c>
      <c r="C1247" s="49" t="s">
        <v>19</v>
      </c>
      <c r="D1247" s="110" t="str">
        <f>IF(ISBLANK($B1247),"",IFERROR(VLOOKUP($B1247,ESTOQUE!$B$2:$D$97168,3,FALSE),"Produto não cadastrado"))</f>
        <v>CAMISA LARANJA OP. C/ FAIXA REFLETIVA TAM: GG</v>
      </c>
      <c r="E1247" s="99" t="str">
        <f>_xlfn.XLOOKUP(B1247,ESTOQUE!B:B,ESTOQUE!G:G,"",0)</f>
        <v>UND</v>
      </c>
      <c r="F1247" s="99">
        <v>2</v>
      </c>
      <c r="G1247" s="146"/>
      <c r="H1247" s="146"/>
      <c r="I1247" s="147"/>
      <c r="J1247" s="147"/>
      <c r="K1247" s="63"/>
    </row>
    <row r="1248" spans="1:11" x14ac:dyDescent="0.25">
      <c r="A1248" s="108">
        <v>46001</v>
      </c>
      <c r="B1248" s="109">
        <v>70</v>
      </c>
      <c r="C1248" s="49" t="s">
        <v>19</v>
      </c>
      <c r="D1248" s="110" t="str">
        <f>IF(ISBLANK($B1248),"",IFERROR(VLOOKUP($B1248,ESTOQUE!$B$2:$D$97168,3,FALSE),"Produto não cadastrado"))</f>
        <v>CAMISA LARANJA OP. C/ FAIXA REFLETIVA TAM: P</v>
      </c>
      <c r="E1248" s="99" t="str">
        <f>_xlfn.XLOOKUP(B1248,ESTOQUE!B:B,ESTOQUE!G:G,"",0)</f>
        <v>UND</v>
      </c>
      <c r="F1248" s="99">
        <v>5</v>
      </c>
      <c r="G1248" s="146"/>
      <c r="H1248" s="146"/>
      <c r="I1248" s="147"/>
      <c r="J1248" s="147"/>
      <c r="K1248" s="63"/>
    </row>
    <row r="1249" spans="1:11" x14ac:dyDescent="0.25">
      <c r="A1249" s="108">
        <v>46001</v>
      </c>
      <c r="B1249" s="109">
        <v>71</v>
      </c>
      <c r="C1249" s="49" t="s">
        <v>19</v>
      </c>
      <c r="D1249" s="110" t="str">
        <f>IF(ISBLANK($B1249),"",IFERROR(VLOOKUP($B1249,ESTOQUE!$B$2:$D$97168,3,FALSE),"Produto não cadastrado"))</f>
        <v>CAMISA LARANJA OP. C/ FAIXA REFLETIVA TAM: XG</v>
      </c>
      <c r="E1249" s="99" t="str">
        <f>_xlfn.XLOOKUP(B1249,ESTOQUE!B:B,ESTOQUE!G:G,"",0)</f>
        <v>UND</v>
      </c>
      <c r="F1249" s="99">
        <v>2</v>
      </c>
      <c r="G1249" s="146"/>
      <c r="H1249" s="146"/>
      <c r="I1249" s="147"/>
      <c r="J1249" s="147"/>
      <c r="K1249" s="63"/>
    </row>
    <row r="1250" spans="1:11" x14ac:dyDescent="0.25">
      <c r="A1250" s="108">
        <v>46001</v>
      </c>
      <c r="B1250" s="109">
        <v>178</v>
      </c>
      <c r="C1250" s="49" t="s">
        <v>19</v>
      </c>
      <c r="D1250" s="110" t="str">
        <f>IF(ISBLANK($B1250),"",IFERROR(VLOOKUP($B1250,ESTOQUE!$B$2:$D$97168,3,FALSE),"Produto não cadastrado"))</f>
        <v>CAPACETE GENISIS VERMELHO</v>
      </c>
      <c r="E1250" s="99" t="str">
        <f>_xlfn.XLOOKUP(B1250,ESTOQUE!B:B,ESTOQUE!G:G,"",0)</f>
        <v>UND</v>
      </c>
      <c r="F1250" s="99">
        <v>20</v>
      </c>
      <c r="G1250" s="146"/>
      <c r="H1250" s="146"/>
      <c r="I1250" s="147"/>
      <c r="J1250" s="147"/>
      <c r="K1250" s="63"/>
    </row>
    <row r="1251" spans="1:11" x14ac:dyDescent="0.25">
      <c r="A1251" s="108">
        <v>46001</v>
      </c>
      <c r="B1251" s="109">
        <v>97</v>
      </c>
      <c r="C1251" s="49" t="s">
        <v>19</v>
      </c>
      <c r="D1251" s="110" t="str">
        <f>IF(ISBLANK($B1251),"",IFERROR(VLOOKUP($B1251,ESTOQUE!$B$2:$D$97168,3,FALSE),"Produto não cadastrado"))</f>
        <v>COLETE REFLETIVO LARANJA M</v>
      </c>
      <c r="E1251" s="99" t="str">
        <f>_xlfn.XLOOKUP(B1251,ESTOQUE!B:B,ESTOQUE!G:G,"",0)</f>
        <v>UND</v>
      </c>
      <c r="F1251" s="99">
        <v>3</v>
      </c>
      <c r="G1251" s="146"/>
      <c r="H1251" s="146"/>
      <c r="I1251" s="147"/>
      <c r="J1251" s="147"/>
      <c r="K1251" s="63"/>
    </row>
    <row r="1252" spans="1:11" x14ac:dyDescent="0.25">
      <c r="A1252" s="108">
        <v>46001</v>
      </c>
      <c r="B1252" s="109">
        <v>188</v>
      </c>
      <c r="C1252" s="49" t="s">
        <v>19</v>
      </c>
      <c r="D1252" s="110" t="str">
        <f>IF(ISBLANK($B1252),"",IFERROR(VLOOKUP($B1252,ESTOQUE!$B$2:$D$97168,3,FALSE),"Produto não cadastrado"))</f>
        <v>COLETE REFLETIVO LARANJA XG</v>
      </c>
      <c r="E1252" s="99" t="str">
        <f>_xlfn.XLOOKUP(B1252,ESTOQUE!B:B,ESTOQUE!G:G,"",0)</f>
        <v>UND</v>
      </c>
      <c r="F1252" s="99">
        <v>4</v>
      </c>
      <c r="G1252" s="146"/>
      <c r="H1252" s="146"/>
      <c r="I1252" s="147"/>
      <c r="J1252" s="147"/>
      <c r="K1252" s="63"/>
    </row>
    <row r="1253" spans="1:11" x14ac:dyDescent="0.25">
      <c r="A1253" s="108">
        <v>46001</v>
      </c>
      <c r="B1253" s="109">
        <v>98</v>
      </c>
      <c r="C1253" s="49" t="s">
        <v>19</v>
      </c>
      <c r="D1253" s="110" t="str">
        <f>IF(ISBLANK($B1253),"",IFERROR(VLOOKUP($B1253,ESTOQUE!$B$2:$D$97168,3,FALSE),"Produto não cadastrado"))</f>
        <v>COLETE REFLETIVO LARANJA XGG</v>
      </c>
      <c r="E1253" s="99" t="str">
        <f>_xlfn.XLOOKUP(B1253,ESTOQUE!B:B,ESTOQUE!G:G,"",0)</f>
        <v>UND</v>
      </c>
      <c r="F1253" s="99">
        <v>1</v>
      </c>
      <c r="G1253" s="146"/>
      <c r="H1253" s="146"/>
      <c r="I1253" s="147"/>
      <c r="J1253" s="147"/>
      <c r="K1253" s="63"/>
    </row>
    <row r="1254" spans="1:11" x14ac:dyDescent="0.25">
      <c r="A1254" s="108">
        <v>46001</v>
      </c>
      <c r="B1254" s="109">
        <v>100</v>
      </c>
      <c r="C1254" s="49" t="s">
        <v>19</v>
      </c>
      <c r="D1254" s="110" t="str">
        <f>IF(ISBLANK($B1254),"",IFERROR(VLOOKUP($B1254,ESTOQUE!$B$2:$D$97168,3,FALSE),"Produto não cadastrado"))</f>
        <v xml:space="preserve">CREME PROTETOR P/ MÃOS NUTRIEX </v>
      </c>
      <c r="E1254" s="99" t="str">
        <f>_xlfn.XLOOKUP(B1254,ESTOQUE!B:B,ESTOQUE!G:G,"",0)</f>
        <v>UND</v>
      </c>
      <c r="F1254" s="99">
        <v>1</v>
      </c>
      <c r="G1254" s="146"/>
      <c r="H1254" s="146"/>
      <c r="I1254" s="147"/>
      <c r="J1254" s="147"/>
      <c r="K1254" s="63"/>
    </row>
    <row r="1255" spans="1:11" x14ac:dyDescent="0.25">
      <c r="A1255" s="108">
        <v>46001</v>
      </c>
      <c r="B1255" s="109">
        <v>110</v>
      </c>
      <c r="C1255" s="49" t="s">
        <v>19</v>
      </c>
      <c r="D1255" s="110" t="str">
        <f>IF(ISBLANK($B1255),"",IFERROR(VLOOKUP($B1255,ESTOQUE!$B$2:$D$97168,3,FALSE),"Produto não cadastrado"))</f>
        <v>LUVA DE RASPA CANO LONGO</v>
      </c>
      <c r="E1255" s="99" t="str">
        <f>_xlfn.XLOOKUP(B1255,ESTOQUE!B:B,ESTOQUE!G:G,"",0)</f>
        <v>PAR</v>
      </c>
      <c r="F1255" s="99">
        <v>77</v>
      </c>
      <c r="G1255" s="146"/>
      <c r="H1255" s="146"/>
      <c r="I1255" s="147"/>
      <c r="J1255" s="147"/>
      <c r="K1255" s="63"/>
    </row>
    <row r="1256" spans="1:11" x14ac:dyDescent="0.25">
      <c r="A1256" s="108">
        <v>46001</v>
      </c>
      <c r="B1256" s="109">
        <v>159</v>
      </c>
      <c r="C1256" s="49" t="s">
        <v>19</v>
      </c>
      <c r="D1256" s="110" t="str">
        <f>IF(ISBLANK($B1256),"",IFERROR(VLOOKUP($B1256,ESTOQUE!$B$2:$D$97168,3,FALSE),"Produto não cadastrado"))</f>
        <v>LUVA VOLK ANTIVIBRAÇÃO GORILA TAM 9</v>
      </c>
      <c r="E1256" s="99" t="str">
        <f>_xlfn.XLOOKUP(B1256,ESTOQUE!B:B,ESTOQUE!G:G,"",0)</f>
        <v>PAR</v>
      </c>
      <c r="F1256" s="99">
        <v>164</v>
      </c>
      <c r="G1256" s="146"/>
      <c r="H1256" s="146"/>
      <c r="I1256" s="147"/>
      <c r="J1256" s="147"/>
      <c r="K1256" s="63"/>
    </row>
    <row r="1257" spans="1:11" x14ac:dyDescent="0.25">
      <c r="A1257" s="108">
        <v>46001</v>
      </c>
      <c r="B1257" s="109">
        <v>118</v>
      </c>
      <c r="C1257" s="49" t="s">
        <v>19</v>
      </c>
      <c r="D1257" s="110" t="str">
        <f>IF(ISBLANK($B1257),"",IFERROR(VLOOKUP($B1257,ESTOQUE!$B$2:$D$97168,3,FALSE),"Produto não cadastrado"))</f>
        <v>MACACÃO DE PROTEÇÃO TYVEK</v>
      </c>
      <c r="E1257" s="99" t="str">
        <f>_xlfn.XLOOKUP(B1257,ESTOQUE!B:B,ESTOQUE!G:G,"",0)</f>
        <v>UND</v>
      </c>
      <c r="F1257" s="99">
        <v>522</v>
      </c>
      <c r="G1257" s="146"/>
      <c r="H1257" s="146"/>
      <c r="I1257" s="147"/>
      <c r="J1257" s="147"/>
      <c r="K1257" s="63"/>
    </row>
    <row r="1258" spans="1:11" x14ac:dyDescent="0.25">
      <c r="A1258" s="108">
        <v>46001</v>
      </c>
      <c r="B1258" s="109">
        <v>125</v>
      </c>
      <c r="C1258" s="49" t="s">
        <v>19</v>
      </c>
      <c r="D1258" s="110" t="str">
        <f>IF(ISBLANK($B1258),"",IFERROR(VLOOKUP($B1258,ESTOQUE!$B$2:$D$97168,3,FALSE),"Produto não cadastrado"))</f>
        <v xml:space="preserve">MASCARA DE SOLDA AUTOMATICA </v>
      </c>
      <c r="E1258" s="99" t="str">
        <f>_xlfn.XLOOKUP(B1258,ESTOQUE!B:B,ESTOQUE!G:G,"",0)</f>
        <v>UND</v>
      </c>
      <c r="F1258" s="99">
        <v>1</v>
      </c>
      <c r="G1258" s="146"/>
      <c r="H1258" s="146"/>
      <c r="I1258" s="147"/>
      <c r="J1258" s="147"/>
      <c r="K1258" s="63"/>
    </row>
    <row r="1259" spans="1:11" x14ac:dyDescent="0.25">
      <c r="A1259" s="108">
        <v>46001</v>
      </c>
      <c r="B1259" s="109">
        <v>144</v>
      </c>
      <c r="C1259" s="49" t="s">
        <v>19</v>
      </c>
      <c r="D1259" s="110" t="str">
        <f>IF(ISBLANK($B1259),"",IFERROR(VLOOKUP($B1259,ESTOQUE!$B$2:$D$97168,3,FALSE),"Produto não cadastrado"))</f>
        <v>MASCARA PFF2-S C/ FILTRO</v>
      </c>
      <c r="E1259" s="99" t="str">
        <f>_xlfn.XLOOKUP(B1259,ESTOQUE!B:B,ESTOQUE!G:G,"",0)</f>
        <v>UND</v>
      </c>
      <c r="F1259" s="99">
        <v>416</v>
      </c>
      <c r="G1259" s="146"/>
      <c r="H1259" s="146"/>
      <c r="I1259" s="147"/>
      <c r="J1259" s="147"/>
      <c r="K1259" s="63"/>
    </row>
    <row r="1260" spans="1:11" x14ac:dyDescent="0.25">
      <c r="A1260" s="108">
        <v>46001</v>
      </c>
      <c r="B1260" s="109">
        <v>225</v>
      </c>
      <c r="C1260" s="49" t="s">
        <v>19</v>
      </c>
      <c r="D1260" s="110" t="str">
        <f>IF(ISBLANK($B1260),"",IFERROR(VLOOKUP($B1260,ESTOQUE!$B$2:$D$97168,3,FALSE),"Produto não cadastrado"))</f>
        <v>OCULOS OPERACIONAL SOBRE POR INCOLOR</v>
      </c>
      <c r="E1260" s="99" t="str">
        <f>_xlfn.XLOOKUP(B1260,ESTOQUE!B:B,ESTOQUE!G:G,"",0)</f>
        <v>UND</v>
      </c>
      <c r="F1260" s="99">
        <v>22</v>
      </c>
      <c r="G1260" s="146"/>
      <c r="H1260" s="146"/>
      <c r="I1260" s="147"/>
      <c r="J1260" s="147"/>
      <c r="K1260" s="63"/>
    </row>
    <row r="1261" spans="1:11" x14ac:dyDescent="0.25">
      <c r="A1261" s="108">
        <v>46001</v>
      </c>
      <c r="B1261" s="109">
        <v>127</v>
      </c>
      <c r="C1261" s="49" t="s">
        <v>19</v>
      </c>
      <c r="D1261" s="110" t="str">
        <f>IF(ISBLANK($B1261),"",IFERROR(VLOOKUP($B1261,ESTOQUE!$B$2:$D$97168,3,FALSE),"Produto não cadastrado"))</f>
        <v>OMBREIRA COM ENCHIMENTO DE RASPA</v>
      </c>
      <c r="E1261" s="99" t="str">
        <f>_xlfn.XLOOKUP(B1261,ESTOQUE!B:B,ESTOQUE!G:G,"",0)</f>
        <v>UND</v>
      </c>
      <c r="F1261" s="99">
        <v>2</v>
      </c>
      <c r="G1261" s="146"/>
      <c r="H1261" s="146"/>
      <c r="I1261" s="147"/>
      <c r="J1261" s="147"/>
      <c r="K1261" s="63"/>
    </row>
    <row r="1262" spans="1:11" x14ac:dyDescent="0.25">
      <c r="A1262" s="108">
        <v>46001</v>
      </c>
      <c r="B1262" s="109">
        <v>130</v>
      </c>
      <c r="C1262" s="49" t="s">
        <v>19</v>
      </c>
      <c r="D1262" s="110" t="str">
        <f>IF(ISBLANK($B1262),"",IFERROR(VLOOKUP($B1262,ESTOQUE!$B$2:$D$97168,3,FALSE),"Produto não cadastrado"))</f>
        <v>PROTETOR AUDITIVO TIPO CONCHA L-300</v>
      </c>
      <c r="E1262" s="99" t="str">
        <f>_xlfn.XLOOKUP(B1262,ESTOQUE!B:B,ESTOQUE!G:G,"",0)</f>
        <v>UND</v>
      </c>
      <c r="F1262" s="99">
        <v>11</v>
      </c>
      <c r="G1262" s="146"/>
      <c r="H1262" s="146"/>
      <c r="I1262" s="147"/>
      <c r="J1262" s="147"/>
      <c r="K1262" s="63"/>
    </row>
    <row r="1263" spans="1:11" x14ac:dyDescent="0.25">
      <c r="A1263" s="108">
        <v>46001</v>
      </c>
      <c r="B1263" s="109">
        <v>139</v>
      </c>
      <c r="C1263" s="49" t="s">
        <v>19</v>
      </c>
      <c r="D1263" s="110" t="str">
        <f>IF(ISBLANK($B1263),"",IFERROR(VLOOKUP($B1263,ESTOQUE!$B$2:$D$97168,3,FALSE),"Produto não cadastrado"))</f>
        <v>PROTETOR AURICULAR TIPO PLUG</v>
      </c>
      <c r="E1263" s="99" t="str">
        <f>_xlfn.XLOOKUP(B1263,ESTOQUE!B:B,ESTOQUE!G:G,"",0)</f>
        <v>UND</v>
      </c>
      <c r="F1263" s="99">
        <v>32</v>
      </c>
      <c r="G1263" s="146"/>
      <c r="H1263" s="146"/>
      <c r="I1263" s="147"/>
      <c r="J1263" s="147"/>
      <c r="K1263" s="63"/>
    </row>
    <row r="1264" spans="1:11" x14ac:dyDescent="0.25">
      <c r="A1264" s="108">
        <v>46001</v>
      </c>
      <c r="B1264" s="109">
        <v>231</v>
      </c>
      <c r="C1264" s="49" t="s">
        <v>19</v>
      </c>
      <c r="D1264" s="110" t="str">
        <f>IF(ISBLANK($B1264),"",IFERROR(VLOOKUP($B1264,ESTOQUE!$B$2:$D$97168,3,FALSE),"Produto não cadastrado"))</f>
        <v xml:space="preserve">PROTETOR DE VERGALHÃO </v>
      </c>
      <c r="E1264" s="99" t="str">
        <f>_xlfn.XLOOKUP(B1264,ESTOQUE!B:B,ESTOQUE!G:G,"",0)</f>
        <v>UND</v>
      </c>
      <c r="F1264" s="99">
        <v>1113</v>
      </c>
      <c r="G1264" s="146"/>
      <c r="H1264" s="146"/>
      <c r="I1264" s="147"/>
      <c r="J1264" s="147"/>
      <c r="K1264" s="63"/>
    </row>
    <row r="1265" spans="1:11" x14ac:dyDescent="0.25">
      <c r="A1265" s="108">
        <v>46001</v>
      </c>
      <c r="B1265" s="109">
        <v>132</v>
      </c>
      <c r="C1265" s="49" t="s">
        <v>19</v>
      </c>
      <c r="D1265" s="110" t="str">
        <f>IF(ISBLANK($B1265),"",IFERROR(VLOOKUP($B1265,ESTOQUE!$B$2:$D$97168,3,FALSE),"Produto não cadastrado"))</f>
        <v>PROTETOR FACIAL COM LENTE FOSCA</v>
      </c>
      <c r="E1265" s="99" t="str">
        <f>_xlfn.XLOOKUP(B1265,ESTOQUE!B:B,ESTOQUE!G:G,"",0)</f>
        <v>UND</v>
      </c>
      <c r="F1265" s="99">
        <v>6</v>
      </c>
      <c r="G1265" s="146"/>
      <c r="H1265" s="146"/>
      <c r="I1265" s="147"/>
      <c r="J1265" s="147"/>
      <c r="K1265" s="63"/>
    </row>
    <row r="1266" spans="1:11" x14ac:dyDescent="0.25">
      <c r="A1266" s="108">
        <v>46001</v>
      </c>
      <c r="B1266" s="109">
        <v>194</v>
      </c>
      <c r="C1266" s="49" t="s">
        <v>19</v>
      </c>
      <c r="D1266" s="110" t="str">
        <f>IF(ISBLANK($B1266),"",IFERROR(VLOOKUP($B1266,ESTOQUE!$B$2:$D$97168,3,FALSE),"Produto não cadastrado"))</f>
        <v>VISEIRA ACOPLADA</v>
      </c>
      <c r="E1266" s="99" t="str">
        <f>_xlfn.XLOOKUP(B1266,ESTOQUE!B:B,ESTOQUE!G:G,"",0)</f>
        <v>UND</v>
      </c>
      <c r="F1266" s="99">
        <v>6</v>
      </c>
      <c r="G1266" s="146"/>
      <c r="H1266" s="146"/>
      <c r="I1266" s="147"/>
      <c r="J1266" s="147"/>
      <c r="K1266" s="63"/>
    </row>
    <row r="1267" spans="1:11" x14ac:dyDescent="0.25">
      <c r="A1267" s="108">
        <v>46001</v>
      </c>
      <c r="B1267" s="109">
        <v>111</v>
      </c>
      <c r="C1267" s="49" t="s">
        <v>19</v>
      </c>
      <c r="D1267" s="110" t="str">
        <f>IF(ISBLANK($B1267),"",IFERROR(VLOOKUP($B1267,ESTOQUE!$B$2:$D$97168,3,FALSE),"Produto não cadastrado"))</f>
        <v>LUVA DE VAQUETA MARROM</v>
      </c>
      <c r="E1267" s="99" t="str">
        <f>_xlfn.XLOOKUP(B1267,ESTOQUE!B:B,ESTOQUE!G:G,"",0)</f>
        <v>PAR</v>
      </c>
      <c r="F1267" s="99">
        <v>148</v>
      </c>
      <c r="G1267" s="146"/>
      <c r="H1267" s="146"/>
      <c r="I1267" s="147"/>
      <c r="J1267" s="147"/>
      <c r="K1267" s="63"/>
    </row>
    <row r="1268" spans="1:11" x14ac:dyDescent="0.25">
      <c r="A1268" s="108">
        <v>46001</v>
      </c>
      <c r="B1268" s="109">
        <v>117</v>
      </c>
      <c r="C1268" s="49" t="s">
        <v>19</v>
      </c>
      <c r="D1268" s="110" t="str">
        <f>IF(ISBLANK($B1268),"",IFERROR(VLOOKUP($B1268,ESTOQUE!$B$2:$D$97168,3,FALSE),"Produto não cadastrado"))</f>
        <v>LUVA PIGMENTADA</v>
      </c>
      <c r="E1268" s="99" t="str">
        <f>_xlfn.XLOOKUP(B1268,ESTOQUE!B:B,ESTOQUE!G:G,"",0)</f>
        <v>PAR</v>
      </c>
      <c r="F1268" s="99">
        <v>238</v>
      </c>
      <c r="G1268" s="146"/>
      <c r="H1268" s="146"/>
      <c r="I1268" s="147"/>
      <c r="J1268" s="147"/>
      <c r="K1268" s="63"/>
    </row>
    <row r="1269" spans="1:11" x14ac:dyDescent="0.25">
      <c r="A1269" s="108">
        <v>46001</v>
      </c>
      <c r="B1269" s="109">
        <v>56</v>
      </c>
      <c r="C1269" s="49" t="s">
        <v>19</v>
      </c>
      <c r="D1269" s="110" t="str">
        <f>IF(ISBLANK($B1269),"",IFERROR(VLOOKUP($B1269,ESTOQUE!$B$2:$D$97168,3,FALSE),"Produto não cadastrado"))</f>
        <v>CAMISA ADM FEMININA TAM: G</v>
      </c>
      <c r="E1269" s="99" t="str">
        <f>_xlfn.XLOOKUP(B1269,ESTOQUE!B:B,ESTOQUE!G:G,"",0)</f>
        <v>UND</v>
      </c>
      <c r="F1269" s="99">
        <v>2</v>
      </c>
      <c r="G1269" s="146"/>
      <c r="H1269" s="146"/>
      <c r="I1269" s="147"/>
      <c r="J1269" s="147"/>
      <c r="K1269" s="63"/>
    </row>
    <row r="1270" spans="1:11" x14ac:dyDescent="0.25">
      <c r="A1270" s="108">
        <v>46001</v>
      </c>
      <c r="B1270" s="109">
        <v>58</v>
      </c>
      <c r="C1270" s="49" t="s">
        <v>19</v>
      </c>
      <c r="D1270" s="110" t="str">
        <f>IF(ISBLANK($B1270),"",IFERROR(VLOOKUP($B1270,ESTOQUE!$B$2:$D$97168,3,FALSE),"Produto não cadastrado"))</f>
        <v>CAMISA ADM FEMININA TAM: M</v>
      </c>
      <c r="E1270" s="99" t="str">
        <f>_xlfn.XLOOKUP(B1270,ESTOQUE!B:B,ESTOQUE!G:G,"",0)</f>
        <v>UND</v>
      </c>
      <c r="F1270" s="99">
        <v>18</v>
      </c>
      <c r="G1270" s="146"/>
      <c r="H1270" s="146"/>
      <c r="I1270" s="147"/>
      <c r="J1270" s="147"/>
      <c r="K1270" s="63"/>
    </row>
    <row r="1271" spans="1:11" x14ac:dyDescent="0.25">
      <c r="A1271" s="108">
        <v>46001</v>
      </c>
      <c r="B1271" s="109">
        <v>59</v>
      </c>
      <c r="C1271" s="49" t="s">
        <v>19</v>
      </c>
      <c r="D1271" s="110" t="str">
        <f>IF(ISBLANK($B1271),"",IFERROR(VLOOKUP($B1271,ESTOQUE!$B$2:$D$97168,3,FALSE),"Produto não cadastrado"))</f>
        <v>CAMISA ADM FEMININA TAM: P</v>
      </c>
      <c r="E1271" s="99" t="str">
        <f>_xlfn.XLOOKUP(B1271,ESTOQUE!B:B,ESTOQUE!G:G,"",0)</f>
        <v>UND</v>
      </c>
      <c r="F1271" s="99">
        <v>10</v>
      </c>
      <c r="G1271" s="146"/>
      <c r="H1271" s="146"/>
      <c r="I1271" s="147"/>
      <c r="J1271" s="147"/>
      <c r="K1271" s="63"/>
    </row>
    <row r="1272" spans="1:11" x14ac:dyDescent="0.25">
      <c r="A1272" s="108">
        <v>46001</v>
      </c>
      <c r="B1272" s="109">
        <v>244</v>
      </c>
      <c r="C1272" s="49" t="s">
        <v>19</v>
      </c>
      <c r="D1272" s="110" t="str">
        <f>IF(ISBLANK($B1272),"",IFERROR(VLOOKUP($B1272,ESTOQUE!$B$2:$D$97168,3,FALSE),"Produto não cadastrado"))</f>
        <v xml:space="preserve">BOTINA SEGURANÇA MATATARSO 43 ADM </v>
      </c>
      <c r="E1272" s="99" t="str">
        <f>_xlfn.XLOOKUP(B1272,ESTOQUE!B:B,ESTOQUE!G:G,"",0)</f>
        <v>PAR</v>
      </c>
      <c r="F1272" s="99">
        <v>6</v>
      </c>
      <c r="G1272" s="146"/>
      <c r="H1272" s="146"/>
      <c r="I1272" s="147"/>
      <c r="J1272" s="147"/>
      <c r="K1272" s="63"/>
    </row>
    <row r="1273" spans="1:11" x14ac:dyDescent="0.25">
      <c r="A1273" s="108">
        <v>46001</v>
      </c>
      <c r="B1273" s="109">
        <v>242</v>
      </c>
      <c r="C1273" s="49" t="s">
        <v>19</v>
      </c>
      <c r="D1273" s="110" t="str">
        <f>IF(ISBLANK($B1273),"",IFERROR(VLOOKUP($B1273,ESTOQUE!$B$2:$D$97168,3,FALSE),"Produto não cadastrado"))</f>
        <v>BOTINA SEGURANÇA MATATARSO 41 ADM</v>
      </c>
      <c r="E1273" s="99" t="str">
        <f>_xlfn.XLOOKUP(B1273,ESTOQUE!B:B,ESTOQUE!G:G,"",0)</f>
        <v>PAR</v>
      </c>
      <c r="F1273" s="99">
        <v>6</v>
      </c>
      <c r="G1273" s="146"/>
      <c r="H1273" s="146"/>
      <c r="I1273" s="147"/>
      <c r="J1273" s="147"/>
      <c r="K1273" s="63"/>
    </row>
    <row r="1274" spans="1:11" x14ac:dyDescent="0.25">
      <c r="A1274" s="108">
        <v>46001</v>
      </c>
      <c r="B1274" s="109">
        <v>241</v>
      </c>
      <c r="C1274" s="49" t="s">
        <v>19</v>
      </c>
      <c r="D1274" s="110" t="str">
        <f>IF(ISBLANK($B1274),"",IFERROR(VLOOKUP($B1274,ESTOQUE!$B$2:$D$97168,3,FALSE),"Produto não cadastrado"))</f>
        <v>BOTINA SEGURANÇA MATATARSO 40 ADM</v>
      </c>
      <c r="E1274" s="99" t="str">
        <f>_xlfn.XLOOKUP(B1274,ESTOQUE!B:B,ESTOQUE!G:G,"",0)</f>
        <v>PAR</v>
      </c>
      <c r="F1274" s="99">
        <v>5</v>
      </c>
      <c r="G1274" s="146"/>
      <c r="H1274" s="146"/>
      <c r="I1274" s="147"/>
      <c r="J1274" s="147"/>
      <c r="K1274" s="63"/>
    </row>
    <row r="1275" spans="1:11" x14ac:dyDescent="0.25">
      <c r="A1275" s="108">
        <v>46001</v>
      </c>
      <c r="B1275" s="109">
        <v>238</v>
      </c>
      <c r="C1275" s="49" t="s">
        <v>19</v>
      </c>
      <c r="D1275" s="110" t="str">
        <f>IF(ISBLANK($B1275),"",IFERROR(VLOOKUP($B1275,ESTOQUE!$B$2:$D$97168,3,FALSE),"Produto não cadastrado"))</f>
        <v>BOTINA SEGURANÇA MATATARSO 37 ADM</v>
      </c>
      <c r="E1275" s="99" t="str">
        <f>_xlfn.XLOOKUP(B1275,ESTOQUE!B:B,ESTOQUE!G:G,"",0)</f>
        <v>PAR</v>
      </c>
      <c r="F1275" s="99">
        <v>1</v>
      </c>
      <c r="G1275" s="146"/>
      <c r="H1275" s="146"/>
      <c r="I1275" s="147"/>
      <c r="J1275" s="147"/>
      <c r="K1275" s="63"/>
    </row>
    <row r="1276" spans="1:11" x14ac:dyDescent="0.25">
      <c r="A1276" s="108">
        <v>46001</v>
      </c>
      <c r="B1276" s="109">
        <v>237</v>
      </c>
      <c r="C1276" s="49" t="s">
        <v>19</v>
      </c>
      <c r="D1276" s="110" t="str">
        <f>IF(ISBLANK($B1276),"",IFERROR(VLOOKUP($B1276,ESTOQUE!$B$2:$D$97168,3,FALSE),"Produto não cadastrado"))</f>
        <v>BOTINA SEGURANÇA MATATARSO 36 ADM</v>
      </c>
      <c r="E1276" s="99" t="str">
        <f>_xlfn.XLOOKUP(B1276,ESTOQUE!B:B,ESTOQUE!G:G,"",0)</f>
        <v>PAR</v>
      </c>
      <c r="F1276" s="99">
        <v>3</v>
      </c>
      <c r="G1276" s="146"/>
      <c r="H1276" s="146"/>
      <c r="I1276" s="147"/>
      <c r="J1276" s="147"/>
      <c r="K1276" s="63"/>
    </row>
    <row r="1277" spans="1:11" x14ac:dyDescent="0.25">
      <c r="A1277" s="108">
        <v>46001</v>
      </c>
      <c r="B1277" s="109">
        <v>259</v>
      </c>
      <c r="C1277" s="49" t="s">
        <v>19</v>
      </c>
      <c r="D1277" s="110" t="str">
        <f>IF(ISBLANK($B1277),"",IFERROR(VLOOKUP($B1277,ESTOQUE!$B$2:$D$97168,3,FALSE),"Produto não cadastrado"))</f>
        <v>CORDA TORCIDA DE RÁFIA PP 12mm</v>
      </c>
      <c r="E1277" s="99" t="str">
        <f>_xlfn.XLOOKUP(B1277,ESTOQUE!B:B,ESTOQUE!G:G,"",0)</f>
        <v>M</v>
      </c>
      <c r="F1277" s="99">
        <v>40</v>
      </c>
      <c r="G1277" s="146"/>
      <c r="H1277" s="146"/>
      <c r="I1277" s="147"/>
      <c r="J1277" s="147"/>
      <c r="K1277" s="63"/>
    </row>
    <row r="1278" spans="1:11" x14ac:dyDescent="0.25">
      <c r="A1278" s="108">
        <v>46002</v>
      </c>
      <c r="B1278" s="109">
        <v>46</v>
      </c>
      <c r="C1278" s="49" t="s">
        <v>19</v>
      </c>
      <c r="D1278" s="110" t="str">
        <f>IF(ISBLANK($B1278),"",IFERROR(VLOOKUP($B1278,ESTOQUE!$B$2:$D$97168,3,FALSE),"Produto não cadastrado"))</f>
        <v>CALÇA CINZA OP. C/ FAIXA REFLETIVA TAM: G</v>
      </c>
      <c r="E1278" s="99" t="str">
        <f>_xlfn.XLOOKUP(B1278,ESTOQUE!B:B,ESTOQUE!G:G,"",0)</f>
        <v>UND</v>
      </c>
      <c r="F1278" s="99">
        <v>1</v>
      </c>
      <c r="G1278" s="146"/>
      <c r="H1278" s="146"/>
      <c r="I1278" s="147"/>
      <c r="J1278" s="147"/>
      <c r="K1278" s="63"/>
    </row>
    <row r="1279" spans="1:11" x14ac:dyDescent="0.25">
      <c r="A1279" s="108">
        <v>46002</v>
      </c>
      <c r="B1279" s="109">
        <v>47</v>
      </c>
      <c r="C1279" s="49" t="s">
        <v>19</v>
      </c>
      <c r="D1279" s="110" t="str">
        <f>IF(ISBLANK($B1279),"",IFERROR(VLOOKUP($B1279,ESTOQUE!$B$2:$D$97168,3,FALSE),"Produto não cadastrado"))</f>
        <v>CALÇA CINZA OP. C/ FAIXA REFLETIVA TAM: GG</v>
      </c>
      <c r="E1279" s="99" t="str">
        <f>_xlfn.XLOOKUP(B1279,ESTOQUE!B:B,ESTOQUE!G:G,"",0)</f>
        <v>UND</v>
      </c>
      <c r="F1279" s="99">
        <v>1</v>
      </c>
      <c r="G1279" s="146"/>
      <c r="H1279" s="146"/>
      <c r="I1279" s="147"/>
      <c r="J1279" s="147"/>
      <c r="K1279" s="63"/>
    </row>
    <row r="1280" spans="1:11" x14ac:dyDescent="0.25">
      <c r="A1280" s="108">
        <v>46002</v>
      </c>
      <c r="B1280" s="109">
        <v>48</v>
      </c>
      <c r="C1280" s="49" t="s">
        <v>19</v>
      </c>
      <c r="D1280" s="110" t="str">
        <f>IF(ISBLANK($B1280),"",IFERROR(VLOOKUP($B1280,ESTOQUE!$B$2:$D$97168,3,FALSE),"Produto não cadastrado"))</f>
        <v>CALÇA CINZA OP. C/ FAIXA REFLETIVA TAM: M</v>
      </c>
      <c r="E1280" s="99" t="str">
        <f>_xlfn.XLOOKUP(B1280,ESTOQUE!B:B,ESTOQUE!G:G,"",0)</f>
        <v>UND</v>
      </c>
      <c r="F1280" s="99">
        <v>2</v>
      </c>
      <c r="G1280" s="146"/>
      <c r="H1280" s="146"/>
      <c r="I1280" s="147"/>
      <c r="J1280" s="147"/>
      <c r="K1280" s="63"/>
    </row>
    <row r="1281" spans="1:11" x14ac:dyDescent="0.25">
      <c r="A1281" s="108">
        <v>46002</v>
      </c>
      <c r="B1281" s="109">
        <v>67</v>
      </c>
      <c r="C1281" s="49" t="s">
        <v>19</v>
      </c>
      <c r="D1281" s="110" t="str">
        <f>IF(ISBLANK($B1281),"",IFERROR(VLOOKUP($B1281,ESTOQUE!$B$2:$D$97168,3,FALSE),"Produto não cadastrado"))</f>
        <v>CAMISA LARANJA OP. C/ FAIXA REFLETIVA TAM: G</v>
      </c>
      <c r="E1281" s="99" t="str">
        <f>_xlfn.XLOOKUP(B1281,ESTOQUE!B:B,ESTOQUE!G:G,"",0)</f>
        <v>UND</v>
      </c>
      <c r="F1281" s="99">
        <v>1</v>
      </c>
      <c r="G1281" s="146"/>
      <c r="H1281" s="146"/>
      <c r="I1281" s="147"/>
      <c r="J1281" s="147"/>
      <c r="K1281" s="63"/>
    </row>
    <row r="1282" spans="1:11" x14ac:dyDescent="0.25">
      <c r="A1282" s="108">
        <v>46002</v>
      </c>
      <c r="B1282" s="109">
        <v>68</v>
      </c>
      <c r="C1282" s="49" t="s">
        <v>19</v>
      </c>
      <c r="D1282" s="110" t="str">
        <f>IF(ISBLANK($B1282),"",IFERROR(VLOOKUP($B1282,ESTOQUE!$B$2:$D$97168,3,FALSE),"Produto não cadastrado"))</f>
        <v>CAMISA LARANJA OP. C/ FAIXA REFLETIVA TAM: GG</v>
      </c>
      <c r="E1282" s="99" t="str">
        <f>_xlfn.XLOOKUP(B1282,ESTOQUE!B:B,ESTOQUE!G:G,"",0)</f>
        <v>UND</v>
      </c>
      <c r="F1282" s="99">
        <v>1</v>
      </c>
      <c r="G1282" s="146"/>
      <c r="H1282" s="146"/>
      <c r="I1282" s="147"/>
      <c r="J1282" s="147"/>
      <c r="K1282" s="63"/>
    </row>
    <row r="1283" spans="1:11" x14ac:dyDescent="0.25">
      <c r="A1283" s="108">
        <v>46002</v>
      </c>
      <c r="B1283" s="109">
        <v>69</v>
      </c>
      <c r="C1283" s="49" t="s">
        <v>19</v>
      </c>
      <c r="D1283" s="110" t="str">
        <f>IF(ISBLANK($B1283),"",IFERROR(VLOOKUP($B1283,ESTOQUE!$B$2:$D$97168,3,FALSE),"Produto não cadastrado"))</f>
        <v>CAMISA LARANJA OP. C/ FAIXA REFLETIVA TAM: M</v>
      </c>
      <c r="E1283" s="99" t="str">
        <f>_xlfn.XLOOKUP(B1283,ESTOQUE!B:B,ESTOQUE!G:G,"",0)</f>
        <v>UND</v>
      </c>
      <c r="F1283" s="99">
        <v>1</v>
      </c>
      <c r="G1283" s="146"/>
      <c r="H1283" s="146"/>
      <c r="I1283" s="147"/>
      <c r="J1283" s="147"/>
      <c r="K1283" s="63"/>
    </row>
    <row r="1284" spans="1:11" x14ac:dyDescent="0.25">
      <c r="A1284" s="108">
        <v>46002</v>
      </c>
      <c r="B1284" s="109">
        <v>70</v>
      </c>
      <c r="C1284" s="49" t="s">
        <v>19</v>
      </c>
      <c r="D1284" s="110" t="str">
        <f>IF(ISBLANK($B1284),"",IFERROR(VLOOKUP($B1284,ESTOQUE!$B$2:$D$97168,3,FALSE),"Produto não cadastrado"))</f>
        <v>CAMISA LARANJA OP. C/ FAIXA REFLETIVA TAM: P</v>
      </c>
      <c r="E1284" s="99" t="str">
        <f>_xlfn.XLOOKUP(B1284,ESTOQUE!B:B,ESTOQUE!G:G,"",0)</f>
        <v>UND</v>
      </c>
      <c r="F1284" s="99">
        <v>1</v>
      </c>
      <c r="G1284" s="146"/>
      <c r="H1284" s="146"/>
      <c r="I1284" s="147"/>
      <c r="J1284" s="147"/>
      <c r="K1284" s="63"/>
    </row>
    <row r="1285" spans="1:11" x14ac:dyDescent="0.25">
      <c r="A1285" s="108">
        <v>46002</v>
      </c>
      <c r="B1285" s="109">
        <v>78</v>
      </c>
      <c r="C1285" s="49" t="s">
        <v>19</v>
      </c>
      <c r="D1285" s="110" t="str">
        <f>IF(ISBLANK($B1285),"",IFERROR(VLOOKUP($B1285,ESTOQUE!$B$2:$D$97168,3,FALSE),"Produto não cadastrado"))</f>
        <v>CAPACETE CAMPER MARROM</v>
      </c>
      <c r="E1285" s="99" t="str">
        <f>_xlfn.XLOOKUP(B1285,ESTOQUE!B:B,ESTOQUE!G:G,"",0)</f>
        <v>UND</v>
      </c>
      <c r="F1285" s="99">
        <v>0</v>
      </c>
      <c r="G1285" s="146"/>
      <c r="H1285" s="146"/>
      <c r="I1285" s="147"/>
      <c r="J1285" s="147"/>
      <c r="K1285" s="63"/>
    </row>
    <row r="1286" spans="1:11" x14ac:dyDescent="0.25">
      <c r="A1286" s="108">
        <v>46002</v>
      </c>
      <c r="B1286" s="109">
        <v>80</v>
      </c>
      <c r="C1286" s="49" t="s">
        <v>19</v>
      </c>
      <c r="D1286" s="110" t="str">
        <f>IF(ISBLANK($B1286),"",IFERROR(VLOOKUP($B1286,ESTOQUE!$B$2:$D$97168,3,FALSE),"Produto não cadastrado"))</f>
        <v>CAPACETE LIBUS AZUL CLARO</v>
      </c>
      <c r="E1286" s="99" t="str">
        <f>_xlfn.XLOOKUP(B1286,ESTOQUE!B:B,ESTOQUE!G:G,"",0)</f>
        <v>UND</v>
      </c>
      <c r="F1286" s="99">
        <v>1</v>
      </c>
      <c r="G1286" s="146"/>
      <c r="H1286" s="146"/>
      <c r="I1286" s="147"/>
      <c r="J1286" s="147"/>
      <c r="K1286" s="63"/>
    </row>
    <row r="1287" spans="1:11" x14ac:dyDescent="0.25">
      <c r="A1287" s="108">
        <v>46002</v>
      </c>
      <c r="B1287" s="109">
        <v>94</v>
      </c>
      <c r="C1287" s="49" t="s">
        <v>19</v>
      </c>
      <c r="D1287" s="110" t="str">
        <f>IF(ISBLANK($B1287),"",IFERROR(VLOOKUP($B1287,ESTOQUE!$B$2:$D$97168,3,FALSE),"Produto não cadastrado"))</f>
        <v>CARNEIRA P/ CAPACETE CAMPER</v>
      </c>
      <c r="E1287" s="99" t="str">
        <f>_xlfn.XLOOKUP(B1287,ESTOQUE!B:B,ESTOQUE!G:G,"",0)</f>
        <v>UND</v>
      </c>
      <c r="F1287" s="99">
        <v>1</v>
      </c>
      <c r="G1287" s="146"/>
      <c r="H1287" s="146"/>
      <c r="I1287" s="147"/>
      <c r="J1287" s="147"/>
      <c r="K1287" s="63"/>
    </row>
    <row r="1288" spans="1:11" x14ac:dyDescent="0.25">
      <c r="A1288" s="108">
        <v>46002</v>
      </c>
      <c r="B1288" s="109">
        <v>161</v>
      </c>
      <c r="C1288" s="49" t="s">
        <v>19</v>
      </c>
      <c r="D1288" s="110" t="str">
        <f>IF(ISBLANK($B1288),"",IFERROR(VLOOKUP($B1288,ESTOQUE!$B$2:$D$97168,3,FALSE),"Produto não cadastrado"))</f>
        <v>JUGULAR</v>
      </c>
      <c r="E1288" s="99" t="str">
        <f>_xlfn.XLOOKUP(B1288,ESTOQUE!B:B,ESTOQUE!G:G,"",0)</f>
        <v>UND</v>
      </c>
      <c r="F1288" s="99">
        <v>1</v>
      </c>
      <c r="G1288" s="146"/>
      <c r="H1288" s="146"/>
      <c r="I1288" s="147"/>
      <c r="J1288" s="147"/>
      <c r="K1288" s="63"/>
    </row>
    <row r="1289" spans="1:11" x14ac:dyDescent="0.25">
      <c r="A1289" s="108">
        <v>46002</v>
      </c>
      <c r="B1289" s="109">
        <v>114</v>
      </c>
      <c r="C1289" s="49" t="s">
        <v>19</v>
      </c>
      <c r="D1289" s="110" t="str">
        <f>IF(ISBLANK($B1289),"",IFERROR(VLOOKUP($B1289,ESTOQUE!$B$2:$D$97168,3,FALSE),"Produto não cadastrado"))</f>
        <v xml:space="preserve">LUVA LATEX NITRILICA </v>
      </c>
      <c r="E1289" s="99" t="str">
        <f>_xlfn.XLOOKUP(B1289,ESTOQUE!B:B,ESTOQUE!G:G,"",0)</f>
        <v>PAR</v>
      </c>
      <c r="F1289" s="99">
        <v>5</v>
      </c>
      <c r="G1289" s="146"/>
      <c r="H1289" s="146"/>
      <c r="I1289" s="147"/>
      <c r="J1289" s="147"/>
      <c r="K1289" s="63"/>
    </row>
    <row r="1290" spans="1:11" x14ac:dyDescent="0.25">
      <c r="A1290" s="108">
        <v>46002</v>
      </c>
      <c r="B1290" s="109">
        <v>207</v>
      </c>
      <c r="C1290" s="49" t="s">
        <v>19</v>
      </c>
      <c r="D1290" s="110" t="str">
        <f>IF(ISBLANK($B1290),"",IFERROR(VLOOKUP($B1290,ESTOQUE!$B$2:$D$97168,3,FALSE),"Produto não cadastrado"))</f>
        <v>LUVA POLIESTER ANTICORTE BANHADA PU TAM 9</v>
      </c>
      <c r="E1290" s="99" t="str">
        <f>_xlfn.XLOOKUP(B1290,ESTOQUE!B:B,ESTOQUE!G:G,"",0)</f>
        <v>PAR</v>
      </c>
      <c r="F1290" s="99">
        <v>1</v>
      </c>
      <c r="G1290" s="146"/>
      <c r="H1290" s="146"/>
      <c r="I1290" s="147"/>
      <c r="J1290" s="147"/>
      <c r="K1290" s="63"/>
    </row>
    <row r="1291" spans="1:11" x14ac:dyDescent="0.25">
      <c r="A1291" s="108">
        <v>46002</v>
      </c>
      <c r="B1291" s="109">
        <v>144</v>
      </c>
      <c r="C1291" s="49" t="s">
        <v>19</v>
      </c>
      <c r="D1291" s="110" t="str">
        <f>IF(ISBLANK($B1291),"",IFERROR(VLOOKUP($B1291,ESTOQUE!$B$2:$D$97168,3,FALSE),"Produto não cadastrado"))</f>
        <v>MASCARA PFF2-S C/ FILTRO</v>
      </c>
      <c r="E1291" s="99" t="str">
        <f>_xlfn.XLOOKUP(B1291,ESTOQUE!B:B,ESTOQUE!G:G,"",0)</f>
        <v>UND</v>
      </c>
      <c r="F1291" s="99">
        <v>15</v>
      </c>
      <c r="G1291" s="146"/>
      <c r="H1291" s="146"/>
      <c r="I1291" s="147"/>
      <c r="J1291" s="147"/>
      <c r="K1291" s="63"/>
    </row>
    <row r="1292" spans="1:11" x14ac:dyDescent="0.25">
      <c r="A1292" s="108">
        <v>46002</v>
      </c>
      <c r="B1292" s="109">
        <v>126</v>
      </c>
      <c r="C1292" s="49" t="s">
        <v>19</v>
      </c>
      <c r="D1292" s="110" t="str">
        <f>IF(ISBLANK($B1292),"",IFERROR(VLOOKUP($B1292,ESTOQUE!$B$2:$D$97168,3,FALSE),"Produto não cadastrado"))</f>
        <v>OCULOS DE PROTEÇÃO ESCURO</v>
      </c>
      <c r="E1292" s="99" t="str">
        <f>_xlfn.XLOOKUP(B1292,ESTOQUE!B:B,ESTOQUE!G:G,"",0)</f>
        <v>UND</v>
      </c>
      <c r="F1292" s="99">
        <v>15</v>
      </c>
      <c r="G1292" s="146"/>
      <c r="H1292" s="146"/>
      <c r="I1292" s="147"/>
      <c r="J1292" s="147"/>
      <c r="K1292" s="63"/>
    </row>
    <row r="1293" spans="1:11" x14ac:dyDescent="0.25">
      <c r="A1293" s="108">
        <v>46002</v>
      </c>
      <c r="B1293" s="109">
        <v>124</v>
      </c>
      <c r="C1293" s="49" t="s">
        <v>19</v>
      </c>
      <c r="D1293" s="110" t="str">
        <f>IF(ISBLANK($B1293),"",IFERROR(VLOOKUP($B1293,ESTOQUE!$B$2:$D$97168,3,FALSE),"Produto não cadastrado"))</f>
        <v xml:space="preserve">OCULOS DE PROTEÇÃO INCOLOR </v>
      </c>
      <c r="E1293" s="99" t="str">
        <f>_xlfn.XLOOKUP(B1293,ESTOQUE!B:B,ESTOQUE!G:G,"",0)</f>
        <v>UND</v>
      </c>
      <c r="F1293" s="99">
        <v>15</v>
      </c>
      <c r="G1293" s="146"/>
      <c r="H1293" s="146"/>
      <c r="I1293" s="147"/>
      <c r="J1293" s="147"/>
      <c r="K1293" s="63"/>
    </row>
    <row r="1294" spans="1:11" x14ac:dyDescent="0.25">
      <c r="A1294" s="108">
        <v>46003</v>
      </c>
      <c r="B1294" s="109">
        <v>190</v>
      </c>
      <c r="C1294" s="49" t="s">
        <v>19</v>
      </c>
      <c r="D1294" s="110" t="str">
        <f>IF(ISBLANK($B1294),"",IFERROR(VLOOKUP($B1294,ESTOQUE!$B$2:$D$97168,3,FALSE),"Produto não cadastrado"))</f>
        <v>AVENTAL DE RASPA TAM 120X60</v>
      </c>
      <c r="E1294" s="99" t="str">
        <f>_xlfn.XLOOKUP(B1294,ESTOQUE!B:B,ESTOQUE!G:G,"",0)</f>
        <v>UND</v>
      </c>
      <c r="F1294" s="99">
        <v>1</v>
      </c>
      <c r="G1294" s="146"/>
      <c r="H1294" s="146"/>
      <c r="I1294" s="147"/>
      <c r="J1294" s="147"/>
      <c r="K1294" s="63"/>
    </row>
    <row r="1295" spans="1:11" x14ac:dyDescent="0.25">
      <c r="A1295" s="108">
        <v>46003</v>
      </c>
      <c r="B1295" s="109">
        <v>173</v>
      </c>
      <c r="C1295" s="49" t="s">
        <v>19</v>
      </c>
      <c r="D1295" s="110" t="str">
        <f>IF(ISBLANK($B1295),"",IFERROR(VLOOKUP($B1295,ESTOQUE!$B$2:$D$97168,3,FALSE),"Produto não cadastrado"))</f>
        <v>BOTA PVC CANO CURTO Nº 42</v>
      </c>
      <c r="E1295" s="99" t="str">
        <f>_xlfn.XLOOKUP(B1295,ESTOQUE!B:B,ESTOQUE!G:G,"",0)</f>
        <v>PAR</v>
      </c>
      <c r="F1295" s="99">
        <v>1</v>
      </c>
      <c r="G1295" s="146"/>
      <c r="H1295" s="146"/>
      <c r="I1295" s="147"/>
      <c r="J1295" s="147"/>
      <c r="K1295" s="63"/>
    </row>
    <row r="1296" spans="1:11" x14ac:dyDescent="0.25">
      <c r="A1296" s="108">
        <v>46003</v>
      </c>
      <c r="B1296" s="109">
        <v>13</v>
      </c>
      <c r="C1296" s="49" t="s">
        <v>19</v>
      </c>
      <c r="D1296" s="110" t="str">
        <f>IF(ISBLANK($B1296),"",IFERROR(VLOOKUP($B1296,ESTOQUE!$B$2:$D$97168,3,FALSE),"Produto não cadastrado"))</f>
        <v>BOTA PVC CANO LONGO Nº 45</v>
      </c>
      <c r="E1296" s="99" t="str">
        <f>_xlfn.XLOOKUP(B1296,ESTOQUE!B:B,ESTOQUE!G:G,"",0)</f>
        <v>PAR</v>
      </c>
      <c r="F1296" s="99">
        <v>1</v>
      </c>
      <c r="G1296" s="146"/>
      <c r="H1296" s="146"/>
      <c r="I1296" s="147"/>
      <c r="J1296" s="147"/>
      <c r="K1296" s="63"/>
    </row>
    <row r="1297" spans="1:11" x14ac:dyDescent="0.25">
      <c r="A1297" s="108">
        <v>46003</v>
      </c>
      <c r="B1297" s="109">
        <v>46</v>
      </c>
      <c r="C1297" s="49" t="s">
        <v>19</v>
      </c>
      <c r="D1297" s="110" t="str">
        <f>IF(ISBLANK($B1297),"",IFERROR(VLOOKUP($B1297,ESTOQUE!$B$2:$D$97168,3,FALSE),"Produto não cadastrado"))</f>
        <v>CALÇA CINZA OP. C/ FAIXA REFLETIVA TAM: G</v>
      </c>
      <c r="E1297" s="99" t="str">
        <f>_xlfn.XLOOKUP(B1297,ESTOQUE!B:B,ESTOQUE!G:G,"",0)</f>
        <v>UND</v>
      </c>
      <c r="F1297" s="99">
        <v>6</v>
      </c>
      <c r="G1297" s="146"/>
      <c r="H1297" s="146"/>
      <c r="I1297" s="147"/>
      <c r="J1297" s="147"/>
      <c r="K1297" s="63"/>
    </row>
    <row r="1298" spans="1:11" x14ac:dyDescent="0.25">
      <c r="A1298" s="108">
        <v>46003</v>
      </c>
      <c r="B1298" s="109">
        <v>48</v>
      </c>
      <c r="C1298" s="49" t="s">
        <v>19</v>
      </c>
      <c r="D1298" s="110" t="str">
        <f>IF(ISBLANK($B1298),"",IFERROR(VLOOKUP($B1298,ESTOQUE!$B$2:$D$97168,3,FALSE),"Produto não cadastrado"))</f>
        <v>CALÇA CINZA OP. C/ FAIXA REFLETIVA TAM: M</v>
      </c>
      <c r="E1298" s="99" t="str">
        <f>_xlfn.XLOOKUP(B1298,ESTOQUE!B:B,ESTOQUE!G:G,"",0)</f>
        <v>UND</v>
      </c>
      <c r="F1298" s="99">
        <v>5</v>
      </c>
      <c r="G1298" s="146"/>
      <c r="H1298" s="146"/>
      <c r="I1298" s="147"/>
      <c r="J1298" s="147"/>
      <c r="K1298" s="63"/>
    </row>
    <row r="1299" spans="1:11" x14ac:dyDescent="0.25">
      <c r="A1299" s="108">
        <v>46003</v>
      </c>
      <c r="B1299" s="109">
        <v>49</v>
      </c>
      <c r="C1299" s="49" t="s">
        <v>19</v>
      </c>
      <c r="D1299" s="110" t="str">
        <f>IF(ISBLANK($B1299),"",IFERROR(VLOOKUP($B1299,ESTOQUE!$B$2:$D$97168,3,FALSE),"Produto não cadastrado"))</f>
        <v>CALÇA CINZA OP. C/ FAIXA REFLETIVA TAM: P</v>
      </c>
      <c r="E1299" s="99" t="str">
        <f>_xlfn.XLOOKUP(B1299,ESTOQUE!B:B,ESTOQUE!G:G,"",0)</f>
        <v>UND</v>
      </c>
      <c r="F1299" s="99">
        <v>2</v>
      </c>
      <c r="G1299" s="146"/>
      <c r="H1299" s="146"/>
      <c r="I1299" s="147"/>
      <c r="J1299" s="147"/>
      <c r="K1299" s="63"/>
    </row>
    <row r="1300" spans="1:11" x14ac:dyDescent="0.25">
      <c r="A1300" s="108">
        <v>46003</v>
      </c>
      <c r="B1300" s="109">
        <v>67</v>
      </c>
      <c r="C1300" s="49" t="s">
        <v>19</v>
      </c>
      <c r="D1300" s="110" t="str">
        <f>IF(ISBLANK($B1300),"",IFERROR(VLOOKUP($B1300,ESTOQUE!$B$2:$D$97168,3,FALSE),"Produto não cadastrado"))</f>
        <v>CAMISA LARANJA OP. C/ FAIXA REFLETIVA TAM: G</v>
      </c>
      <c r="E1300" s="99" t="str">
        <f>_xlfn.XLOOKUP(B1300,ESTOQUE!B:B,ESTOQUE!G:G,"",0)</f>
        <v>UND</v>
      </c>
      <c r="F1300" s="99">
        <v>2</v>
      </c>
      <c r="G1300" s="146"/>
      <c r="H1300" s="146"/>
      <c r="I1300" s="147"/>
      <c r="J1300" s="147"/>
      <c r="K1300" s="63"/>
    </row>
    <row r="1301" spans="1:11" x14ac:dyDescent="0.25">
      <c r="A1301" s="108">
        <v>46003</v>
      </c>
      <c r="B1301" s="109">
        <v>69</v>
      </c>
      <c r="C1301" s="49" t="s">
        <v>19</v>
      </c>
      <c r="D1301" s="110" t="str">
        <f>IF(ISBLANK($B1301),"",IFERROR(VLOOKUP($B1301,ESTOQUE!$B$2:$D$97168,3,FALSE),"Produto não cadastrado"))</f>
        <v>CAMISA LARANJA OP. C/ FAIXA REFLETIVA TAM: M</v>
      </c>
      <c r="E1301" s="99" t="str">
        <f>_xlfn.XLOOKUP(B1301,ESTOQUE!B:B,ESTOQUE!G:G,"",0)</f>
        <v>UND</v>
      </c>
      <c r="F1301" s="99">
        <v>5</v>
      </c>
      <c r="G1301" s="146"/>
      <c r="H1301" s="146"/>
      <c r="I1301" s="147"/>
      <c r="J1301" s="147"/>
      <c r="K1301" s="63"/>
    </row>
    <row r="1302" spans="1:11" x14ac:dyDescent="0.25">
      <c r="A1302" s="108">
        <v>46003</v>
      </c>
      <c r="B1302" s="109">
        <v>70</v>
      </c>
      <c r="C1302" s="49" t="s">
        <v>19</v>
      </c>
      <c r="D1302" s="110" t="str">
        <f>IF(ISBLANK($B1302),"",IFERROR(VLOOKUP($B1302,ESTOQUE!$B$2:$D$97168,3,FALSE),"Produto não cadastrado"))</f>
        <v>CAMISA LARANJA OP. C/ FAIXA REFLETIVA TAM: P</v>
      </c>
      <c r="E1302" s="99" t="str">
        <f>_xlfn.XLOOKUP(B1302,ESTOQUE!B:B,ESTOQUE!G:G,"",0)</f>
        <v>UND</v>
      </c>
      <c r="F1302" s="99">
        <v>2</v>
      </c>
      <c r="G1302" s="146"/>
      <c r="H1302" s="146"/>
      <c r="I1302" s="147"/>
      <c r="J1302" s="147"/>
      <c r="K1302" s="63"/>
    </row>
    <row r="1303" spans="1:11" x14ac:dyDescent="0.25">
      <c r="A1303" s="108">
        <v>46003</v>
      </c>
      <c r="B1303" s="109">
        <v>95</v>
      </c>
      <c r="C1303" s="49" t="s">
        <v>19</v>
      </c>
      <c r="D1303" s="110" t="str">
        <f>IF(ISBLANK($B1303),"",IFERROR(VLOOKUP($B1303,ESTOQUE!$B$2:$D$97168,3,FALSE),"Produto não cadastrado"))</f>
        <v>CARNEIRA P/ CAPACETE LIBUS</v>
      </c>
      <c r="E1303" s="99" t="str">
        <f>_xlfn.XLOOKUP(B1303,ESTOQUE!B:B,ESTOQUE!G:G,"",0)</f>
        <v>UND</v>
      </c>
      <c r="F1303" s="99">
        <v>1</v>
      </c>
      <c r="G1303" s="146"/>
      <c r="H1303" s="146"/>
      <c r="I1303" s="147"/>
      <c r="J1303" s="147"/>
      <c r="K1303" s="63"/>
    </row>
    <row r="1304" spans="1:11" x14ac:dyDescent="0.25">
      <c r="A1304" s="108">
        <v>46003</v>
      </c>
      <c r="B1304" s="109">
        <v>210</v>
      </c>
      <c r="C1304" s="49" t="s">
        <v>19</v>
      </c>
      <c r="D1304" s="110" t="str">
        <f>IF(ISBLANK($B1304),"",IFERROR(VLOOKUP($B1304,ESTOQUE!$B$2:$D$97168,3,FALSE),"Produto não cadastrado"))</f>
        <v>COLETE REFLETIVO LARANJA G</v>
      </c>
      <c r="E1304" s="99" t="str">
        <f>_xlfn.XLOOKUP(B1304,ESTOQUE!B:B,ESTOQUE!G:G,"",0)</f>
        <v>UND</v>
      </c>
      <c r="F1304" s="99">
        <v>2</v>
      </c>
      <c r="G1304" s="146"/>
      <c r="H1304" s="146"/>
      <c r="I1304" s="147"/>
      <c r="J1304" s="147"/>
      <c r="K1304" s="63"/>
    </row>
    <row r="1305" spans="1:11" x14ac:dyDescent="0.25">
      <c r="A1305" s="108">
        <v>46003</v>
      </c>
      <c r="B1305" s="109">
        <v>97</v>
      </c>
      <c r="C1305" s="49" t="s">
        <v>19</v>
      </c>
      <c r="D1305" s="110" t="str">
        <f>IF(ISBLANK($B1305),"",IFERROR(VLOOKUP($B1305,ESTOQUE!$B$2:$D$97168,3,FALSE),"Produto não cadastrado"))</f>
        <v>COLETE REFLETIVO LARANJA M</v>
      </c>
      <c r="E1305" s="99" t="str">
        <f>_xlfn.XLOOKUP(B1305,ESTOQUE!B:B,ESTOQUE!G:G,"",0)</f>
        <v>UND</v>
      </c>
      <c r="F1305" s="99">
        <v>1</v>
      </c>
      <c r="G1305" s="146"/>
      <c r="H1305" s="146"/>
      <c r="I1305" s="147"/>
      <c r="J1305" s="147"/>
      <c r="K1305" s="63"/>
    </row>
    <row r="1306" spans="1:11" x14ac:dyDescent="0.25">
      <c r="A1306" s="108">
        <v>46003</v>
      </c>
      <c r="B1306" s="109">
        <v>98</v>
      </c>
      <c r="C1306" s="49" t="s">
        <v>19</v>
      </c>
      <c r="D1306" s="110" t="str">
        <f>IF(ISBLANK($B1306),"",IFERROR(VLOOKUP($B1306,ESTOQUE!$B$2:$D$97168,3,FALSE),"Produto não cadastrado"))</f>
        <v>COLETE REFLETIVO LARANJA XGG</v>
      </c>
      <c r="E1306" s="99" t="str">
        <f>_xlfn.XLOOKUP(B1306,ESTOQUE!B:B,ESTOQUE!G:G,"",0)</f>
        <v>UND</v>
      </c>
      <c r="F1306" s="99">
        <v>1</v>
      </c>
      <c r="G1306" s="146"/>
      <c r="H1306" s="146"/>
      <c r="I1306" s="147"/>
      <c r="J1306" s="147"/>
      <c r="K1306" s="63"/>
    </row>
    <row r="1307" spans="1:11" x14ac:dyDescent="0.25">
      <c r="A1307" s="108">
        <v>46003</v>
      </c>
      <c r="B1307" s="109">
        <v>161</v>
      </c>
      <c r="C1307" s="49" t="s">
        <v>19</v>
      </c>
      <c r="D1307" s="110" t="str">
        <f>IF(ISBLANK($B1307),"",IFERROR(VLOOKUP($B1307,ESTOQUE!$B$2:$D$97168,3,FALSE),"Produto não cadastrado"))</f>
        <v>JUGULAR</v>
      </c>
      <c r="E1307" s="99" t="str">
        <f>_xlfn.XLOOKUP(B1307,ESTOQUE!B:B,ESTOQUE!G:G,"",0)</f>
        <v>UND</v>
      </c>
      <c r="F1307" s="99">
        <v>1</v>
      </c>
      <c r="G1307" s="146"/>
      <c r="H1307" s="146"/>
      <c r="I1307" s="147"/>
      <c r="J1307" s="147"/>
      <c r="K1307" s="63"/>
    </row>
    <row r="1308" spans="1:11" x14ac:dyDescent="0.25">
      <c r="A1308" s="108">
        <v>46003</v>
      </c>
      <c r="B1308" s="109">
        <v>110</v>
      </c>
      <c r="C1308" s="49" t="s">
        <v>19</v>
      </c>
      <c r="D1308" s="110" t="str">
        <f>IF(ISBLANK($B1308),"",IFERROR(VLOOKUP($B1308,ESTOQUE!$B$2:$D$97168,3,FALSE),"Produto não cadastrado"))</f>
        <v>LUVA DE RASPA CANO LONGO</v>
      </c>
      <c r="E1308" s="99" t="s">
        <v>22</v>
      </c>
      <c r="F1308" s="99">
        <v>11</v>
      </c>
      <c r="G1308" s="146"/>
      <c r="H1308" s="146"/>
      <c r="I1308" s="147"/>
      <c r="J1308" s="147"/>
      <c r="K1308" s="63"/>
    </row>
    <row r="1309" spans="1:11" x14ac:dyDescent="0.25">
      <c r="A1309" s="108">
        <v>46003</v>
      </c>
      <c r="B1309" s="109">
        <v>141</v>
      </c>
      <c r="C1309" s="49" t="s">
        <v>19</v>
      </c>
      <c r="D1309" s="110" t="str">
        <f>IF(ISBLANK($B1309),"",IFERROR(VLOOKUP($B1309,ESTOQUE!$B$2:$D$97168,3,FALSE),"Produto não cadastrado"))</f>
        <v xml:space="preserve">LUVA DE VAQUETA </v>
      </c>
      <c r="E1309" s="99" t="str">
        <f>_xlfn.XLOOKUP(B1309,ESTOQUE!B:B,ESTOQUE!G:G,"",0)</f>
        <v>PAR</v>
      </c>
      <c r="F1309" s="99">
        <v>2</v>
      </c>
      <c r="G1309" s="146"/>
      <c r="H1309" s="146"/>
      <c r="I1309" s="147"/>
      <c r="J1309" s="147"/>
      <c r="K1309" s="63"/>
    </row>
    <row r="1310" spans="1:11" x14ac:dyDescent="0.25">
      <c r="A1310" s="108">
        <v>46003</v>
      </c>
      <c r="B1310" s="109">
        <v>111</v>
      </c>
      <c r="C1310" s="49" t="s">
        <v>19</v>
      </c>
      <c r="D1310" s="110" t="str">
        <f>IF(ISBLANK($B1310),"",IFERROR(VLOOKUP($B1310,ESTOQUE!$B$2:$D$97168,3,FALSE),"Produto não cadastrado"))</f>
        <v>LUVA DE VAQUETA MARROM</v>
      </c>
      <c r="E1310" s="99" t="str">
        <f>_xlfn.XLOOKUP(B1310,ESTOQUE!B:B,ESTOQUE!G:G,"",0)</f>
        <v>PAR</v>
      </c>
      <c r="F1310" s="99">
        <v>2</v>
      </c>
      <c r="G1310" s="146"/>
      <c r="H1310" s="146"/>
      <c r="I1310" s="147"/>
      <c r="J1310" s="147"/>
      <c r="K1310" s="63"/>
    </row>
    <row r="1311" spans="1:11" x14ac:dyDescent="0.25">
      <c r="A1311" s="108">
        <v>46003</v>
      </c>
      <c r="B1311" s="109">
        <v>261</v>
      </c>
      <c r="C1311" s="49" t="s">
        <v>19</v>
      </c>
      <c r="D1311" s="110" t="str">
        <f>IF(ISBLANK($B1311),"",IFERROR(VLOOKUP($B1311,ESTOQUE!$B$2:$D$97168,3,FALSE),"Produto não cadastrado"))</f>
        <v xml:space="preserve">LUVA DE VAQUETA VERDE </v>
      </c>
      <c r="E1311" s="99" t="str">
        <f>_xlfn.XLOOKUP(B1311,ESTOQUE!B:B,ESTOQUE!G:G,"",0)</f>
        <v>PAR</v>
      </c>
      <c r="F1311" s="99">
        <v>40</v>
      </c>
      <c r="G1311" s="146"/>
      <c r="H1311" s="146"/>
      <c r="I1311" s="147"/>
      <c r="J1311" s="147"/>
      <c r="K1311" s="63"/>
    </row>
    <row r="1312" spans="1:11" x14ac:dyDescent="0.25">
      <c r="A1312" s="108">
        <v>46003</v>
      </c>
      <c r="B1312" s="109">
        <v>114</v>
      </c>
      <c r="C1312" s="49" t="s">
        <v>19</v>
      </c>
      <c r="D1312" s="110" t="str">
        <f>IF(ISBLANK($B1312),"",IFERROR(VLOOKUP($B1312,ESTOQUE!$B$2:$D$97168,3,FALSE),"Produto não cadastrado"))</f>
        <v xml:space="preserve">LUVA LATEX NITRILICA </v>
      </c>
      <c r="E1312" s="99" t="str">
        <f>_xlfn.XLOOKUP(B1312,ESTOQUE!B:B,ESTOQUE!G:G,"",0)</f>
        <v>PAR</v>
      </c>
      <c r="F1312" s="99">
        <v>110</v>
      </c>
      <c r="G1312" s="146"/>
      <c r="H1312" s="146"/>
      <c r="I1312" s="147"/>
      <c r="J1312" s="147"/>
      <c r="K1312" s="63"/>
    </row>
    <row r="1313" spans="1:11" x14ac:dyDescent="0.25">
      <c r="A1313" s="108">
        <v>46003</v>
      </c>
      <c r="B1313" s="109">
        <v>117</v>
      </c>
      <c r="C1313" s="49" t="s">
        <v>19</v>
      </c>
      <c r="D1313" s="110" t="str">
        <f>IF(ISBLANK($B1313),"",IFERROR(VLOOKUP($B1313,ESTOQUE!$B$2:$D$97168,3,FALSE),"Produto não cadastrado"))</f>
        <v>LUVA PIGMENTADA</v>
      </c>
      <c r="E1313" s="99" t="str">
        <f>_xlfn.XLOOKUP(B1313,ESTOQUE!B:B,ESTOQUE!G:G,"",0)</f>
        <v>PAR</v>
      </c>
      <c r="F1313" s="99">
        <v>32</v>
      </c>
      <c r="G1313" s="146"/>
      <c r="H1313" s="146"/>
      <c r="I1313" s="147"/>
      <c r="J1313" s="147"/>
      <c r="K1313" s="63"/>
    </row>
    <row r="1314" spans="1:11" x14ac:dyDescent="0.25">
      <c r="A1314" s="108">
        <v>46003</v>
      </c>
      <c r="B1314" s="109">
        <v>159</v>
      </c>
      <c r="C1314" s="49" t="s">
        <v>19</v>
      </c>
      <c r="D1314" s="110" t="str">
        <f>IF(ISBLANK($B1314),"",IFERROR(VLOOKUP($B1314,ESTOQUE!$B$2:$D$97168,3,FALSE),"Produto não cadastrado"))</f>
        <v>LUVA VOLK ANTIVIBRAÇÃO GORILA TAM 9</v>
      </c>
      <c r="E1314" s="99" t="str">
        <f>_xlfn.XLOOKUP(B1314,ESTOQUE!B:B,ESTOQUE!G:G,"",0)</f>
        <v>PAR</v>
      </c>
      <c r="F1314" s="99">
        <v>2</v>
      </c>
      <c r="G1314" s="146"/>
      <c r="H1314" s="146"/>
      <c r="I1314" s="147"/>
      <c r="J1314" s="147"/>
      <c r="K1314" s="63"/>
    </row>
    <row r="1315" spans="1:11" x14ac:dyDescent="0.25">
      <c r="A1315" s="108">
        <v>46003</v>
      </c>
      <c r="B1315" s="109">
        <v>118</v>
      </c>
      <c r="C1315" s="49" t="s">
        <v>19</v>
      </c>
      <c r="D1315" s="110" t="str">
        <f>IF(ISBLANK($B1315),"",IFERROR(VLOOKUP($B1315,ESTOQUE!$B$2:$D$97168,3,FALSE),"Produto não cadastrado"))</f>
        <v>MACACÃO DE PROTEÇÃO TYVEK</v>
      </c>
      <c r="E1315" s="99" t="str">
        <f>_xlfn.XLOOKUP(B1315,ESTOQUE!B:B,ESTOQUE!G:G,"",0)</f>
        <v>UND</v>
      </c>
      <c r="F1315" s="99">
        <v>3</v>
      </c>
      <c r="G1315" s="146"/>
      <c r="H1315" s="146"/>
      <c r="I1315" s="147"/>
      <c r="J1315" s="147"/>
      <c r="K1315" s="63"/>
    </row>
    <row r="1316" spans="1:11" x14ac:dyDescent="0.25">
      <c r="A1316" s="108">
        <v>46003</v>
      </c>
      <c r="B1316" s="109">
        <v>131</v>
      </c>
      <c r="C1316" s="49" t="s">
        <v>19</v>
      </c>
      <c r="D1316" s="110" t="str">
        <f>IF(ISBLANK($B1316),"",IFERROR(VLOOKUP($B1316,ESTOQUE!$B$2:$D$97168,3,FALSE),"Produto não cadastrado"))</f>
        <v>MACACÃO DE RASPA MANGA LONGA</v>
      </c>
      <c r="E1316" s="99" t="str">
        <f>_xlfn.XLOOKUP(B1316,ESTOQUE!B:B,ESTOQUE!G:G,"",0)</f>
        <v>UND</v>
      </c>
      <c r="F1316" s="99">
        <v>1</v>
      </c>
      <c r="G1316" s="146"/>
      <c r="H1316" s="146"/>
      <c r="I1316" s="147"/>
      <c r="J1316" s="147"/>
      <c r="K1316" s="63"/>
    </row>
    <row r="1317" spans="1:11" x14ac:dyDescent="0.25">
      <c r="A1317" s="108">
        <v>46003</v>
      </c>
      <c r="B1317" s="109">
        <v>144</v>
      </c>
      <c r="C1317" s="49" t="s">
        <v>19</v>
      </c>
      <c r="D1317" s="110" t="str">
        <f>IF(ISBLANK($B1317),"",IFERROR(VLOOKUP($B1317,ESTOQUE!$B$2:$D$97168,3,FALSE),"Produto não cadastrado"))</f>
        <v>MASCARA PFF2-S C/ FILTRO</v>
      </c>
      <c r="E1317" s="99" t="str">
        <f>_xlfn.XLOOKUP(B1317,ESTOQUE!B:B,ESTOQUE!G:G,"",0)</f>
        <v>UND</v>
      </c>
      <c r="F1317" s="99">
        <v>15</v>
      </c>
      <c r="G1317" s="146"/>
      <c r="H1317" s="146"/>
      <c r="I1317" s="147"/>
      <c r="J1317" s="147"/>
      <c r="K1317" s="63"/>
    </row>
    <row r="1318" spans="1:11" x14ac:dyDescent="0.25">
      <c r="A1318" s="108">
        <v>46003</v>
      </c>
      <c r="B1318" s="109">
        <v>126</v>
      </c>
      <c r="C1318" s="49" t="s">
        <v>19</v>
      </c>
      <c r="D1318" s="110" t="str">
        <f>IF(ISBLANK($B1318),"",IFERROR(VLOOKUP($B1318,ESTOQUE!$B$2:$D$97168,3,FALSE),"Produto não cadastrado"))</f>
        <v>OCULOS DE PROTEÇÃO ESCURO</v>
      </c>
      <c r="E1318" s="99" t="str">
        <f>_xlfn.XLOOKUP(B1318,ESTOQUE!B:B,ESTOQUE!G:G,"",0)</f>
        <v>UND</v>
      </c>
      <c r="F1318" s="99">
        <v>2</v>
      </c>
      <c r="G1318" s="146"/>
      <c r="H1318" s="146"/>
      <c r="I1318" s="147"/>
      <c r="J1318" s="147"/>
      <c r="K1318" s="63"/>
    </row>
    <row r="1319" spans="1:11" x14ac:dyDescent="0.25">
      <c r="A1319" s="108">
        <v>46003</v>
      </c>
      <c r="B1319" s="109">
        <v>129</v>
      </c>
      <c r="C1319" s="49" t="s">
        <v>19</v>
      </c>
      <c r="D1319" s="110" t="str">
        <f>IF(ISBLANK($B1319),"",IFERROR(VLOOKUP($B1319,ESTOQUE!$B$2:$D$97168,3,FALSE),"Produto não cadastrado"))</f>
        <v>PERNEIRA DE RASPA</v>
      </c>
      <c r="E1319" s="99" t="str">
        <f>_xlfn.XLOOKUP(B1319,ESTOQUE!B:B,ESTOQUE!G:G,"",0)</f>
        <v>PAR</v>
      </c>
      <c r="F1319" s="99">
        <v>1</v>
      </c>
      <c r="G1319" s="146"/>
      <c r="H1319" s="146"/>
      <c r="I1319" s="147"/>
      <c r="J1319" s="147"/>
      <c r="K1319" s="63"/>
    </row>
    <row r="1320" spans="1:11" x14ac:dyDescent="0.25">
      <c r="A1320" s="108">
        <v>46004</v>
      </c>
      <c r="B1320" s="109">
        <v>218</v>
      </c>
      <c r="C1320" s="49" t="s">
        <v>19</v>
      </c>
      <c r="D1320" s="110" t="str">
        <f>IF(ISBLANK($B1320),"",IFERROR(VLOOKUP($B1320,ESTOQUE!$B$2:$D$97168,3,FALSE),"Produto não cadastrado"))</f>
        <v>BOTINA SEGURANÇA METATARSO  41</v>
      </c>
      <c r="E1320" s="99" t="str">
        <f>_xlfn.XLOOKUP(B1320,ESTOQUE!B:B,ESTOQUE!G:G,"",0)</f>
        <v>PAR</v>
      </c>
      <c r="F1320" s="99">
        <v>2</v>
      </c>
      <c r="G1320" s="146"/>
      <c r="H1320" s="146"/>
      <c r="I1320" s="147"/>
      <c r="J1320" s="147"/>
      <c r="K1320" s="63"/>
    </row>
    <row r="1321" spans="1:11" x14ac:dyDescent="0.25">
      <c r="A1321" s="108">
        <v>46004</v>
      </c>
      <c r="B1321" s="109">
        <v>46</v>
      </c>
      <c r="C1321" s="49" t="s">
        <v>19</v>
      </c>
      <c r="D1321" s="110" t="str">
        <f>IF(ISBLANK($B1321),"",IFERROR(VLOOKUP($B1321,ESTOQUE!$B$2:$D$97168,3,FALSE),"Produto não cadastrado"))</f>
        <v>CALÇA CINZA OP. C/ FAIXA REFLETIVA TAM: G</v>
      </c>
      <c r="E1321" s="99" t="str">
        <f>_xlfn.XLOOKUP(B1321,ESTOQUE!B:B,ESTOQUE!G:G,"",0)</f>
        <v>UND</v>
      </c>
      <c r="F1321" s="99">
        <v>4</v>
      </c>
      <c r="G1321" s="146"/>
      <c r="H1321" s="146"/>
      <c r="I1321" s="147"/>
      <c r="J1321" s="147"/>
      <c r="K1321" s="63"/>
    </row>
    <row r="1322" spans="1:11" x14ac:dyDescent="0.25">
      <c r="A1322" s="108">
        <v>46004</v>
      </c>
      <c r="B1322" s="109">
        <v>48</v>
      </c>
      <c r="C1322" s="49" t="s">
        <v>19</v>
      </c>
      <c r="D1322" s="110" t="str">
        <f>IF(ISBLANK($B1322),"",IFERROR(VLOOKUP($B1322,ESTOQUE!$B$2:$D$97168,3,FALSE),"Produto não cadastrado"))</f>
        <v>CALÇA CINZA OP. C/ FAIXA REFLETIVA TAM: M</v>
      </c>
      <c r="E1322" s="99" t="str">
        <f>_xlfn.XLOOKUP(B1322,ESTOQUE!B:B,ESTOQUE!G:G,"",0)</f>
        <v>UND</v>
      </c>
      <c r="F1322" s="99">
        <v>4</v>
      </c>
      <c r="G1322" s="146"/>
      <c r="H1322" s="146"/>
      <c r="I1322" s="147"/>
      <c r="J1322" s="147"/>
      <c r="K1322" s="63"/>
    </row>
    <row r="1323" spans="1:11" x14ac:dyDescent="0.25">
      <c r="A1323" s="108">
        <v>46004</v>
      </c>
      <c r="B1323" s="109">
        <v>49</v>
      </c>
      <c r="C1323" s="49" t="s">
        <v>19</v>
      </c>
      <c r="D1323" s="110" t="str">
        <f>IF(ISBLANK($B1323),"",IFERROR(VLOOKUP($B1323,ESTOQUE!$B$2:$D$97168,3,FALSE),"Produto não cadastrado"))</f>
        <v>CALÇA CINZA OP. C/ FAIXA REFLETIVA TAM: P</v>
      </c>
      <c r="E1323" s="99" t="str">
        <f>_xlfn.XLOOKUP(B1323,ESTOQUE!B:B,ESTOQUE!G:G,"",0)</f>
        <v>UND</v>
      </c>
      <c r="F1323" s="99">
        <v>1</v>
      </c>
      <c r="G1323" s="146"/>
      <c r="H1323" s="146"/>
      <c r="I1323" s="147"/>
      <c r="J1323" s="147"/>
      <c r="K1323" s="63"/>
    </row>
    <row r="1324" spans="1:11" x14ac:dyDescent="0.25">
      <c r="A1324" s="108">
        <v>46004</v>
      </c>
      <c r="B1324" s="109">
        <v>67</v>
      </c>
      <c r="C1324" s="49" t="s">
        <v>19</v>
      </c>
      <c r="D1324" s="110" t="str">
        <f>IF(ISBLANK($B1324),"",IFERROR(VLOOKUP($B1324,ESTOQUE!$B$2:$D$97168,3,FALSE),"Produto não cadastrado"))</f>
        <v>CAMISA LARANJA OP. C/ FAIXA REFLETIVA TAM: G</v>
      </c>
      <c r="E1324" s="99" t="str">
        <f>_xlfn.XLOOKUP(B1324,ESTOQUE!B:B,ESTOQUE!G:G,"",0)</f>
        <v>UND</v>
      </c>
      <c r="F1324" s="99">
        <v>5</v>
      </c>
      <c r="G1324" s="146"/>
      <c r="H1324" s="146"/>
      <c r="I1324" s="147"/>
      <c r="J1324" s="147"/>
      <c r="K1324" s="63"/>
    </row>
    <row r="1325" spans="1:11" x14ac:dyDescent="0.25">
      <c r="A1325" s="108">
        <v>46004</v>
      </c>
      <c r="B1325" s="109">
        <v>69</v>
      </c>
      <c r="C1325" s="49" t="s">
        <v>19</v>
      </c>
      <c r="D1325" s="110" t="str">
        <f>IF(ISBLANK($B1325),"",IFERROR(VLOOKUP($B1325,ESTOQUE!$B$2:$D$97168,3,FALSE),"Produto não cadastrado"))</f>
        <v>CAMISA LARANJA OP. C/ FAIXA REFLETIVA TAM: M</v>
      </c>
      <c r="E1325" s="99" t="str">
        <f>_xlfn.XLOOKUP(B1325,ESTOQUE!B:B,ESTOQUE!G:G,"",0)</f>
        <v>UND</v>
      </c>
      <c r="F1325" s="99">
        <v>2</v>
      </c>
      <c r="G1325" s="146"/>
      <c r="H1325" s="146"/>
      <c r="I1325" s="147"/>
      <c r="J1325" s="147"/>
      <c r="K1325" s="63"/>
    </row>
    <row r="1326" spans="1:11" x14ac:dyDescent="0.25">
      <c r="A1326" s="108">
        <v>46004</v>
      </c>
      <c r="B1326" s="109">
        <v>94</v>
      </c>
      <c r="C1326" s="49" t="s">
        <v>19</v>
      </c>
      <c r="D1326" s="110" t="str">
        <f>IF(ISBLANK($B1326),"",IFERROR(VLOOKUP($B1326,ESTOQUE!$B$2:$D$97168,3,FALSE),"Produto não cadastrado"))</f>
        <v>CARNEIRA P/ CAPACETE CAMPER</v>
      </c>
      <c r="E1326" s="99" t="str">
        <f>_xlfn.XLOOKUP(B1326,ESTOQUE!B:B,ESTOQUE!G:G,"",0)</f>
        <v>UND</v>
      </c>
      <c r="F1326" s="99">
        <v>2</v>
      </c>
      <c r="G1326" s="146"/>
      <c r="H1326" s="146"/>
      <c r="I1326" s="147"/>
      <c r="J1326" s="147"/>
      <c r="K1326" s="63"/>
    </row>
    <row r="1327" spans="1:11" x14ac:dyDescent="0.25">
      <c r="A1327" s="108">
        <v>46004</v>
      </c>
      <c r="B1327" s="109">
        <v>161</v>
      </c>
      <c r="C1327" s="49" t="s">
        <v>19</v>
      </c>
      <c r="D1327" s="110" t="str">
        <f>IF(ISBLANK($B1327),"",IFERROR(VLOOKUP($B1327,ESTOQUE!$B$2:$D$97168,3,FALSE),"Produto não cadastrado"))</f>
        <v>JUGULAR</v>
      </c>
      <c r="E1327" s="99" t="str">
        <f>_xlfn.XLOOKUP(B1327,ESTOQUE!B:B,ESTOQUE!G:G,"",0)</f>
        <v>UND</v>
      </c>
      <c r="F1327" s="99">
        <v>2</v>
      </c>
      <c r="G1327" s="146"/>
      <c r="H1327" s="146"/>
      <c r="I1327" s="147"/>
      <c r="J1327" s="147"/>
      <c r="K1327" s="63"/>
    </row>
    <row r="1328" spans="1:11" x14ac:dyDescent="0.25">
      <c r="A1328" s="108">
        <v>46004</v>
      </c>
      <c r="B1328" s="109">
        <v>111</v>
      </c>
      <c r="C1328" s="49" t="s">
        <v>19</v>
      </c>
      <c r="D1328" s="110" t="str">
        <f>IF(ISBLANK($B1328),"",IFERROR(VLOOKUP($B1328,ESTOQUE!$B$2:$D$97168,3,FALSE),"Produto não cadastrado"))</f>
        <v>LUVA DE VAQUETA MARROM</v>
      </c>
      <c r="E1328" s="99" t="str">
        <f>_xlfn.XLOOKUP(B1328,ESTOQUE!B:B,ESTOQUE!G:G,"",0)</f>
        <v>PAR</v>
      </c>
      <c r="F1328" s="99">
        <v>7</v>
      </c>
      <c r="G1328" s="146"/>
      <c r="H1328" s="146"/>
      <c r="I1328" s="147"/>
      <c r="J1328" s="147"/>
      <c r="K1328" s="63"/>
    </row>
    <row r="1329" spans="1:11" x14ac:dyDescent="0.25">
      <c r="A1329" s="108">
        <v>46004</v>
      </c>
      <c r="B1329" s="109">
        <v>257</v>
      </c>
      <c r="C1329" s="49" t="s">
        <v>19</v>
      </c>
      <c r="D1329" s="110" t="str">
        <f>IF(ISBLANK($B1329),"",IFERROR(VLOOKUP($B1329,ESTOQUE!$B$2:$D$97168,3,FALSE),"Produto não cadastrado"))</f>
        <v xml:space="preserve">LUVA MULTITATO </v>
      </c>
      <c r="E1329" s="99" t="str">
        <f>_xlfn.XLOOKUP(B1329,ESTOQUE!B:B,ESTOQUE!G:G,"",0)</f>
        <v>UND</v>
      </c>
      <c r="F1329" s="99">
        <v>1</v>
      </c>
      <c r="G1329" s="146"/>
      <c r="H1329" s="146"/>
      <c r="I1329" s="147"/>
      <c r="J1329" s="147"/>
      <c r="K1329" s="63"/>
    </row>
    <row r="1330" spans="1:11" x14ac:dyDescent="0.25">
      <c r="A1330" s="108">
        <v>46004</v>
      </c>
      <c r="B1330" s="109">
        <v>117</v>
      </c>
      <c r="C1330" s="49" t="s">
        <v>19</v>
      </c>
      <c r="D1330" s="110" t="str">
        <f>IF(ISBLANK($B1330),"",IFERROR(VLOOKUP($B1330,ESTOQUE!$B$2:$D$97168,3,FALSE),"Produto não cadastrado"))</f>
        <v>LUVA PIGMENTADA</v>
      </c>
      <c r="E1330" s="99" t="str">
        <f>_xlfn.XLOOKUP(B1330,ESTOQUE!B:B,ESTOQUE!G:G,"",0)</f>
        <v>PAR</v>
      </c>
      <c r="F1330" s="99">
        <v>13</v>
      </c>
      <c r="G1330" s="146"/>
      <c r="H1330" s="146"/>
      <c r="I1330" s="147"/>
      <c r="J1330" s="147"/>
      <c r="K1330" s="63"/>
    </row>
    <row r="1331" spans="1:11" x14ac:dyDescent="0.25">
      <c r="A1331" s="108">
        <v>46004</v>
      </c>
      <c r="B1331" s="109">
        <v>118</v>
      </c>
      <c r="C1331" s="49" t="s">
        <v>19</v>
      </c>
      <c r="D1331" s="110" t="str">
        <f>IF(ISBLANK($B1331),"",IFERROR(VLOOKUP($B1331,ESTOQUE!$B$2:$D$97168,3,FALSE),"Produto não cadastrado"))</f>
        <v>MACACÃO DE PROTEÇÃO TYVEK</v>
      </c>
      <c r="E1331" s="99" t="str">
        <f>_xlfn.XLOOKUP(B1331,ESTOQUE!B:B,ESTOQUE!G:G,"",0)</f>
        <v>UND</v>
      </c>
      <c r="F1331" s="99">
        <v>50</v>
      </c>
      <c r="G1331" s="146"/>
      <c r="H1331" s="146"/>
      <c r="I1331" s="147"/>
      <c r="J1331" s="147"/>
      <c r="K1331" s="63"/>
    </row>
    <row r="1332" spans="1:11" x14ac:dyDescent="0.25">
      <c r="A1332" s="108">
        <v>46004</v>
      </c>
      <c r="B1332" s="109">
        <v>125</v>
      </c>
      <c r="C1332" s="49" t="s">
        <v>19</v>
      </c>
      <c r="D1332" s="110" t="str">
        <f>IF(ISBLANK($B1332),"",IFERROR(VLOOKUP($B1332,ESTOQUE!$B$2:$D$97168,3,FALSE),"Produto não cadastrado"))</f>
        <v xml:space="preserve">MASCARA DE SOLDA AUTOMATICA </v>
      </c>
      <c r="E1332" s="99" t="str">
        <f>_xlfn.XLOOKUP(B1332,ESTOQUE!B:B,ESTOQUE!G:G,"",0)</f>
        <v>UND</v>
      </c>
      <c r="F1332" s="99">
        <v>1</v>
      </c>
      <c r="G1332" s="146"/>
      <c r="H1332" s="146"/>
      <c r="I1332" s="147"/>
      <c r="J1332" s="147"/>
      <c r="K1332" s="63"/>
    </row>
    <row r="1333" spans="1:11" x14ac:dyDescent="0.25">
      <c r="A1333" s="108">
        <v>46004</v>
      </c>
      <c r="B1333" s="109">
        <v>144</v>
      </c>
      <c r="C1333" s="49" t="s">
        <v>19</v>
      </c>
      <c r="D1333" s="110" t="str">
        <f>IF(ISBLANK($B1333),"",IFERROR(VLOOKUP($B1333,ESTOQUE!$B$2:$D$97168,3,FALSE),"Produto não cadastrado"))</f>
        <v>MASCARA PFF2-S C/ FILTRO</v>
      </c>
      <c r="E1333" s="99" t="str">
        <f>_xlfn.XLOOKUP(B1333,ESTOQUE!B:B,ESTOQUE!G:G,"",0)</f>
        <v>UND</v>
      </c>
      <c r="F1333" s="99">
        <v>8</v>
      </c>
      <c r="G1333" s="146"/>
      <c r="H1333" s="146"/>
      <c r="I1333" s="147"/>
      <c r="J1333" s="147"/>
      <c r="K1333" s="63"/>
    </row>
    <row r="1334" spans="1:11" x14ac:dyDescent="0.25">
      <c r="A1334" s="108">
        <v>46004</v>
      </c>
      <c r="B1334" s="109">
        <v>126</v>
      </c>
      <c r="C1334" s="49" t="s">
        <v>19</v>
      </c>
      <c r="D1334" s="110" t="str">
        <f>IF(ISBLANK($B1334),"",IFERROR(VLOOKUP($B1334,ESTOQUE!$B$2:$D$97168,3,FALSE),"Produto não cadastrado"))</f>
        <v>OCULOS DE PROTEÇÃO ESCURO</v>
      </c>
      <c r="E1334" s="99" t="str">
        <f>_xlfn.XLOOKUP(B1334,ESTOQUE!B:B,ESTOQUE!G:G,"",0)</f>
        <v>UND</v>
      </c>
      <c r="F1334" s="99">
        <v>1</v>
      </c>
      <c r="G1334" s="146"/>
      <c r="H1334" s="146"/>
      <c r="I1334" s="147"/>
      <c r="J1334" s="147"/>
      <c r="K1334" s="63"/>
    </row>
    <row r="1335" spans="1:11" x14ac:dyDescent="0.25">
      <c r="A1335" s="108">
        <v>46004</v>
      </c>
      <c r="B1335" s="109">
        <v>124</v>
      </c>
      <c r="C1335" s="49" t="s">
        <v>19</v>
      </c>
      <c r="D1335" s="110" t="str">
        <f>IF(ISBLANK($B1335),"",IFERROR(VLOOKUP($B1335,ESTOQUE!$B$2:$D$97168,3,FALSE),"Produto não cadastrado"))</f>
        <v xml:space="preserve">OCULOS DE PROTEÇÃO INCOLOR </v>
      </c>
      <c r="E1335" s="99" t="str">
        <f>_xlfn.XLOOKUP(B1335,ESTOQUE!B:B,ESTOQUE!G:G,"",0)</f>
        <v>UND</v>
      </c>
      <c r="F1335" s="99">
        <v>10</v>
      </c>
      <c r="G1335" s="146"/>
      <c r="H1335" s="146"/>
      <c r="I1335" s="147"/>
      <c r="J1335" s="147"/>
      <c r="K1335" s="63"/>
    </row>
    <row r="1336" spans="1:11" x14ac:dyDescent="0.25">
      <c r="A1336" s="108">
        <v>46004</v>
      </c>
      <c r="B1336" s="109">
        <v>129</v>
      </c>
      <c r="C1336" s="49" t="s">
        <v>19</v>
      </c>
      <c r="D1336" s="110" t="str">
        <f>IF(ISBLANK($B1336),"",IFERROR(VLOOKUP($B1336,ESTOQUE!$B$2:$D$97168,3,FALSE),"Produto não cadastrado"))</f>
        <v>PERNEIRA DE RASPA</v>
      </c>
      <c r="E1336" s="99" t="str">
        <f>_xlfn.XLOOKUP(B1336,ESTOQUE!B:B,ESTOQUE!G:G,"",0)</f>
        <v>PAR</v>
      </c>
      <c r="F1336" s="99">
        <v>2</v>
      </c>
      <c r="G1336" s="146"/>
      <c r="H1336" s="146"/>
      <c r="I1336" s="147"/>
      <c r="J1336" s="147"/>
      <c r="K1336" s="63"/>
    </row>
    <row r="1337" spans="1:11" x14ac:dyDescent="0.25">
      <c r="A1337" s="108">
        <v>46005</v>
      </c>
      <c r="B1337" s="109">
        <v>46</v>
      </c>
      <c r="C1337" s="49" t="s">
        <v>19</v>
      </c>
      <c r="D1337" s="110" t="str">
        <f>IF(ISBLANK($B1337),"",IFERROR(VLOOKUP($B1337,ESTOQUE!$B$2:$D$97168,3,FALSE),"Produto não cadastrado"))</f>
        <v>CALÇA CINZA OP. C/ FAIXA REFLETIVA TAM: G</v>
      </c>
      <c r="E1337" s="99" t="str">
        <f>_xlfn.XLOOKUP(B1337,ESTOQUE!B:B,ESTOQUE!G:G,"",0)</f>
        <v>UND</v>
      </c>
      <c r="F1337" s="99">
        <v>1</v>
      </c>
      <c r="G1337" s="146"/>
      <c r="H1337" s="146"/>
      <c r="I1337" s="147"/>
      <c r="J1337" s="147"/>
      <c r="K1337" s="63"/>
    </row>
    <row r="1338" spans="1:11" x14ac:dyDescent="0.25">
      <c r="A1338" s="108">
        <v>46005</v>
      </c>
      <c r="B1338" s="109">
        <v>47</v>
      </c>
      <c r="C1338" s="49" t="s">
        <v>19</v>
      </c>
      <c r="D1338" s="110" t="str">
        <f>IF(ISBLANK($B1338),"",IFERROR(VLOOKUP($B1338,ESTOQUE!$B$2:$D$97168,3,FALSE),"Produto não cadastrado"))</f>
        <v>CALÇA CINZA OP. C/ FAIXA REFLETIVA TAM: GG</v>
      </c>
      <c r="E1338" s="99" t="str">
        <f>_xlfn.XLOOKUP(B1338,ESTOQUE!B:B,ESTOQUE!G:G,"",0)</f>
        <v>UND</v>
      </c>
      <c r="F1338" s="99">
        <v>1</v>
      </c>
      <c r="G1338" s="146"/>
      <c r="H1338" s="146"/>
      <c r="I1338" s="147"/>
      <c r="J1338" s="147"/>
      <c r="K1338" s="63"/>
    </row>
    <row r="1339" spans="1:11" x14ac:dyDescent="0.25">
      <c r="A1339" s="108">
        <v>46005</v>
      </c>
      <c r="B1339" s="109">
        <v>69</v>
      </c>
      <c r="C1339" s="49" t="s">
        <v>19</v>
      </c>
      <c r="D1339" s="110" t="str">
        <f>IF(ISBLANK($B1339),"",IFERROR(VLOOKUP($B1339,ESTOQUE!$B$2:$D$97168,3,FALSE),"Produto não cadastrado"))</f>
        <v>CAMISA LARANJA OP. C/ FAIXA REFLETIVA TAM: M</v>
      </c>
      <c r="E1339" s="99" t="str">
        <f>_xlfn.XLOOKUP(B1339,ESTOQUE!B:B,ESTOQUE!G:G,"",0)</f>
        <v>UND</v>
      </c>
      <c r="F1339" s="99">
        <v>1</v>
      </c>
      <c r="G1339" s="146"/>
      <c r="H1339" s="146"/>
      <c r="I1339" s="147"/>
      <c r="J1339" s="147"/>
      <c r="K1339" s="63"/>
    </row>
    <row r="1340" spans="1:11" x14ac:dyDescent="0.25">
      <c r="A1340" s="108">
        <v>46005</v>
      </c>
      <c r="B1340" s="109">
        <v>97</v>
      </c>
      <c r="C1340" s="49" t="s">
        <v>19</v>
      </c>
      <c r="D1340" s="110" t="str">
        <f>IF(ISBLANK($B1340),"",IFERROR(VLOOKUP($B1340,ESTOQUE!$B$2:$D$97168,3,FALSE),"Produto não cadastrado"))</f>
        <v>COLETE REFLETIVO LARANJA M</v>
      </c>
      <c r="E1340" s="99" t="str">
        <f>_xlfn.XLOOKUP(B1340,ESTOQUE!B:B,ESTOQUE!G:G,"",0)</f>
        <v>UND</v>
      </c>
      <c r="F1340" s="99">
        <v>1</v>
      </c>
      <c r="G1340" s="146"/>
      <c r="H1340" s="146"/>
      <c r="I1340" s="147"/>
      <c r="J1340" s="147"/>
      <c r="K1340" s="63"/>
    </row>
    <row r="1341" spans="1:11" x14ac:dyDescent="0.25">
      <c r="A1341" s="108">
        <v>46005</v>
      </c>
      <c r="B1341" s="109">
        <v>111</v>
      </c>
      <c r="C1341" s="49" t="s">
        <v>19</v>
      </c>
      <c r="D1341" s="110" t="str">
        <f>IF(ISBLANK($B1341),"",IFERROR(VLOOKUP($B1341,ESTOQUE!$B$2:$D$97168,3,FALSE),"Produto não cadastrado"))</f>
        <v>LUVA DE VAQUETA MARROM</v>
      </c>
      <c r="E1341" s="99" t="str">
        <f>_xlfn.XLOOKUP(B1341,ESTOQUE!B:B,ESTOQUE!G:G,"",0)</f>
        <v>PAR</v>
      </c>
      <c r="F1341" s="99">
        <v>10</v>
      </c>
      <c r="G1341" s="146"/>
      <c r="H1341" s="146"/>
      <c r="I1341" s="147"/>
      <c r="J1341" s="147"/>
      <c r="K1341" s="63"/>
    </row>
    <row r="1342" spans="1:11" x14ac:dyDescent="0.25">
      <c r="A1342" s="108">
        <v>46005</v>
      </c>
      <c r="B1342" s="109">
        <v>124</v>
      </c>
      <c r="C1342" s="49" t="s">
        <v>19</v>
      </c>
      <c r="D1342" s="110" t="str">
        <f>IF(ISBLANK($B1342),"",IFERROR(VLOOKUP($B1342,ESTOQUE!$B$2:$D$97168,3,FALSE),"Produto não cadastrado"))</f>
        <v xml:space="preserve">OCULOS DE PROTEÇÃO INCOLOR </v>
      </c>
      <c r="E1342" s="99" t="str">
        <f>_xlfn.XLOOKUP(B1342,ESTOQUE!B:B,ESTOQUE!G:G,"",0)</f>
        <v>UND</v>
      </c>
      <c r="F1342" s="99">
        <v>23</v>
      </c>
      <c r="G1342" s="146"/>
      <c r="H1342" s="146"/>
      <c r="I1342" s="147"/>
      <c r="J1342" s="147"/>
      <c r="K1342" s="63"/>
    </row>
    <row r="1343" spans="1:11" x14ac:dyDescent="0.25">
      <c r="A1343" s="108">
        <v>46006</v>
      </c>
      <c r="B1343" s="109">
        <v>38</v>
      </c>
      <c r="C1343" s="49" t="s">
        <v>19</v>
      </c>
      <c r="D1343" s="110" t="str">
        <f>IF(ISBLANK($B1343),"",IFERROR(VLOOKUP($B1343,ESTOQUE!$B$2:$D$97168,3,FALSE),"Produto não cadastrado"))</f>
        <v>BOTINA OP. BICO PVC Nº 40</v>
      </c>
      <c r="E1343" s="99" t="str">
        <f>_xlfn.XLOOKUP(B1343,ESTOQUE!B:B,ESTOQUE!G:G,"",0)</f>
        <v>PAR</v>
      </c>
      <c r="F1343" s="99">
        <v>2</v>
      </c>
      <c r="G1343" s="146"/>
      <c r="H1343" s="146"/>
      <c r="I1343" s="147"/>
      <c r="J1343" s="147"/>
      <c r="K1343" s="63"/>
    </row>
    <row r="1344" spans="1:11" x14ac:dyDescent="0.25">
      <c r="A1344" s="108">
        <v>46006</v>
      </c>
      <c r="B1344" s="109">
        <v>40</v>
      </c>
      <c r="C1344" s="49" t="s">
        <v>19</v>
      </c>
      <c r="D1344" s="110" t="str">
        <f>IF(ISBLANK($B1344),"",IFERROR(VLOOKUP($B1344,ESTOQUE!$B$2:$D$97168,3,FALSE),"Produto não cadastrado"))</f>
        <v>BOTINA OP. BICO PVC Nº 42</v>
      </c>
      <c r="E1344" s="99" t="str">
        <f>_xlfn.XLOOKUP(B1344,ESTOQUE!B:B,ESTOQUE!G:G,"",0)</f>
        <v>PAR</v>
      </c>
      <c r="F1344" s="99">
        <v>1</v>
      </c>
      <c r="G1344" s="146"/>
      <c r="H1344" s="146"/>
      <c r="I1344" s="147"/>
      <c r="J1344" s="147"/>
      <c r="K1344" s="63"/>
    </row>
    <row r="1345" spans="1:11" x14ac:dyDescent="0.25">
      <c r="A1345" s="108">
        <v>46006</v>
      </c>
      <c r="B1345" s="109">
        <v>46</v>
      </c>
      <c r="C1345" s="49" t="s">
        <v>19</v>
      </c>
      <c r="D1345" s="110" t="str">
        <f>IF(ISBLANK($B1345),"",IFERROR(VLOOKUP($B1345,ESTOQUE!$B$2:$D$97168,3,FALSE),"Produto não cadastrado"))</f>
        <v>CALÇA CINZA OP. C/ FAIXA REFLETIVA TAM: G</v>
      </c>
      <c r="E1345" s="99" t="str">
        <f>_xlfn.XLOOKUP(B1345,ESTOQUE!B:B,ESTOQUE!G:G,"",0)</f>
        <v>UND</v>
      </c>
      <c r="F1345" s="99">
        <v>5</v>
      </c>
      <c r="G1345" s="146"/>
      <c r="H1345" s="146"/>
      <c r="I1345" s="147"/>
      <c r="J1345" s="147"/>
      <c r="K1345" s="63"/>
    </row>
    <row r="1346" spans="1:11" x14ac:dyDescent="0.25">
      <c r="A1346" s="108">
        <v>46006</v>
      </c>
      <c r="B1346" s="109">
        <v>48</v>
      </c>
      <c r="C1346" s="49" t="s">
        <v>19</v>
      </c>
      <c r="D1346" s="110" t="str">
        <f>IF(ISBLANK($B1346),"",IFERROR(VLOOKUP($B1346,ESTOQUE!$B$2:$D$97168,3,FALSE),"Produto não cadastrado"))</f>
        <v>CALÇA CINZA OP. C/ FAIXA REFLETIVA TAM: M</v>
      </c>
      <c r="E1346" s="99" t="str">
        <f>_xlfn.XLOOKUP(B1346,ESTOQUE!B:B,ESTOQUE!G:G,"",0)</f>
        <v>UND</v>
      </c>
      <c r="F1346" s="99">
        <v>5</v>
      </c>
      <c r="G1346" s="146"/>
      <c r="H1346" s="146"/>
      <c r="I1346" s="147"/>
      <c r="J1346" s="147"/>
      <c r="K1346" s="63"/>
    </row>
    <row r="1347" spans="1:11" x14ac:dyDescent="0.25">
      <c r="A1347" s="108">
        <v>46006</v>
      </c>
      <c r="B1347" s="109">
        <v>49</v>
      </c>
      <c r="C1347" s="49" t="s">
        <v>19</v>
      </c>
      <c r="D1347" s="110" t="str">
        <f>IF(ISBLANK($B1347),"",IFERROR(VLOOKUP($B1347,ESTOQUE!$B$2:$D$97168,3,FALSE),"Produto não cadastrado"))</f>
        <v>CALÇA CINZA OP. C/ FAIXA REFLETIVA TAM: P</v>
      </c>
      <c r="E1347" s="99" t="str">
        <f>_xlfn.XLOOKUP(B1347,ESTOQUE!B:B,ESTOQUE!G:G,"",0)</f>
        <v>UND</v>
      </c>
      <c r="F1347" s="99">
        <v>3</v>
      </c>
      <c r="G1347" s="146"/>
      <c r="H1347" s="146"/>
      <c r="I1347" s="147"/>
      <c r="J1347" s="147"/>
      <c r="K1347" s="63"/>
    </row>
    <row r="1348" spans="1:11" x14ac:dyDescent="0.25">
      <c r="A1348" s="108">
        <v>46006</v>
      </c>
      <c r="B1348" s="109">
        <v>53</v>
      </c>
      <c r="C1348" s="49" t="s">
        <v>19</v>
      </c>
      <c r="D1348" s="110" t="str">
        <f>IF(ISBLANK($B1348),"",IFERROR(VLOOKUP($B1348,ESTOQUE!$B$2:$D$97168,3,FALSE),"Produto não cadastrado"))</f>
        <v>CALÇA DE ELETRICISTA NR.10 TAM: P</v>
      </c>
      <c r="E1348" s="99" t="str">
        <f>_xlfn.XLOOKUP(B1348,ESTOQUE!B:B,ESTOQUE!G:G,"",0)</f>
        <v>UND</v>
      </c>
      <c r="F1348" s="99">
        <v>1</v>
      </c>
      <c r="G1348" s="146"/>
      <c r="H1348" s="146"/>
      <c r="I1348" s="147"/>
      <c r="J1348" s="147"/>
      <c r="K1348" s="63"/>
    </row>
    <row r="1349" spans="1:11" x14ac:dyDescent="0.25">
      <c r="A1349" s="108">
        <v>46006</v>
      </c>
      <c r="B1349" s="109">
        <v>65</v>
      </c>
      <c r="C1349" s="49" t="s">
        <v>19</v>
      </c>
      <c r="D1349" s="110" t="str">
        <f>IF(ISBLANK($B1349),"",IFERROR(VLOOKUP($B1349,ESTOQUE!$B$2:$D$97168,3,FALSE),"Produto não cadastrado"))</f>
        <v>CAMISA DE ELETRICISTA NR.10 TAM: P</v>
      </c>
      <c r="E1349" s="99" t="str">
        <f>_xlfn.XLOOKUP(B1349,ESTOQUE!B:B,ESTOQUE!G:G,"",0)</f>
        <v>UND</v>
      </c>
      <c r="F1349" s="99">
        <v>1</v>
      </c>
      <c r="G1349" s="146"/>
      <c r="H1349" s="146"/>
      <c r="I1349" s="147"/>
      <c r="J1349" s="147"/>
      <c r="K1349" s="63"/>
    </row>
    <row r="1350" spans="1:11" x14ac:dyDescent="0.25">
      <c r="A1350" s="108">
        <v>46006</v>
      </c>
      <c r="B1350" s="109">
        <v>67</v>
      </c>
      <c r="C1350" s="49" t="s">
        <v>19</v>
      </c>
      <c r="D1350" s="110" t="str">
        <f>IF(ISBLANK($B1350),"",IFERROR(VLOOKUP($B1350,ESTOQUE!$B$2:$D$97168,3,FALSE),"Produto não cadastrado"))</f>
        <v>CAMISA LARANJA OP. C/ FAIXA REFLETIVA TAM: G</v>
      </c>
      <c r="E1350" s="99" t="str">
        <f>_xlfn.XLOOKUP(B1350,ESTOQUE!B:B,ESTOQUE!G:G,"",0)</f>
        <v>UND</v>
      </c>
      <c r="F1350" s="99">
        <v>5</v>
      </c>
      <c r="G1350" s="146"/>
      <c r="H1350" s="146"/>
      <c r="I1350" s="147"/>
      <c r="J1350" s="147"/>
      <c r="K1350" s="63"/>
    </row>
    <row r="1351" spans="1:11" x14ac:dyDescent="0.25">
      <c r="A1351" s="108">
        <v>46006</v>
      </c>
      <c r="B1351" s="109">
        <v>68</v>
      </c>
      <c r="C1351" s="49" t="s">
        <v>19</v>
      </c>
      <c r="D1351" s="110" t="str">
        <f>IF(ISBLANK($B1351),"",IFERROR(VLOOKUP($B1351,ESTOQUE!$B$2:$D$97168,3,FALSE),"Produto não cadastrado"))</f>
        <v>CAMISA LARANJA OP. C/ FAIXA REFLETIVA TAM: GG</v>
      </c>
      <c r="E1351" s="99" t="str">
        <f>_xlfn.XLOOKUP(B1351,ESTOQUE!B:B,ESTOQUE!G:G,"",0)</f>
        <v>UND</v>
      </c>
      <c r="F1351" s="99">
        <v>3</v>
      </c>
      <c r="G1351" s="146"/>
      <c r="H1351" s="146"/>
      <c r="I1351" s="147"/>
      <c r="J1351" s="147"/>
      <c r="K1351" s="63"/>
    </row>
    <row r="1352" spans="1:11" x14ac:dyDescent="0.25">
      <c r="A1352" s="108">
        <v>46006</v>
      </c>
      <c r="B1352" s="109">
        <v>69</v>
      </c>
      <c r="C1352" s="49" t="s">
        <v>19</v>
      </c>
      <c r="D1352" s="110" t="str">
        <f>IF(ISBLANK($B1352),"",IFERROR(VLOOKUP($B1352,ESTOQUE!$B$2:$D$97168,3,FALSE),"Produto não cadastrado"))</f>
        <v>CAMISA LARANJA OP. C/ FAIXA REFLETIVA TAM: M</v>
      </c>
      <c r="E1352" s="99" t="str">
        <f>_xlfn.XLOOKUP(B1352,ESTOQUE!B:B,ESTOQUE!G:G,"",0)</f>
        <v>UND</v>
      </c>
      <c r="F1352" s="99">
        <v>4</v>
      </c>
      <c r="G1352" s="146"/>
      <c r="H1352" s="146"/>
      <c r="I1352" s="147"/>
      <c r="J1352" s="147"/>
      <c r="K1352" s="63"/>
    </row>
    <row r="1353" spans="1:11" x14ac:dyDescent="0.25">
      <c r="A1353" s="108">
        <v>46006</v>
      </c>
      <c r="B1353" s="109">
        <v>70</v>
      </c>
      <c r="C1353" s="49" t="s">
        <v>19</v>
      </c>
      <c r="D1353" s="110" t="str">
        <f>IF(ISBLANK($B1353),"",IFERROR(VLOOKUP($B1353,ESTOQUE!$B$2:$D$97168,3,FALSE),"Produto não cadastrado"))</f>
        <v>CAMISA LARANJA OP. C/ FAIXA REFLETIVA TAM: P</v>
      </c>
      <c r="E1353" s="99" t="str">
        <f>_xlfn.XLOOKUP(B1353,ESTOQUE!B:B,ESTOQUE!G:G,"",0)</f>
        <v>UND</v>
      </c>
      <c r="F1353" s="99">
        <v>2</v>
      </c>
      <c r="G1353" s="146"/>
      <c r="H1353" s="146"/>
      <c r="I1353" s="147"/>
      <c r="J1353" s="147"/>
      <c r="K1353" s="63"/>
    </row>
    <row r="1354" spans="1:11" x14ac:dyDescent="0.25">
      <c r="A1354" s="108">
        <v>46006</v>
      </c>
      <c r="B1354" s="109">
        <v>72</v>
      </c>
      <c r="C1354" s="49" t="s">
        <v>19</v>
      </c>
      <c r="D1354" s="110" t="str">
        <f>IF(ISBLANK($B1354),"",IFERROR(VLOOKUP($B1354,ESTOQUE!$B$2:$D$97168,3,FALSE),"Produto não cadastrado"))</f>
        <v>CAPA DE CHUVA G</v>
      </c>
      <c r="E1354" s="99" t="str">
        <f>_xlfn.XLOOKUP(B1354,ESTOQUE!B:B,ESTOQUE!G:G,"",0)</f>
        <v>UND</v>
      </c>
      <c r="F1354" s="99">
        <v>2</v>
      </c>
      <c r="G1354" s="146"/>
      <c r="H1354" s="146"/>
      <c r="I1354" s="147"/>
      <c r="J1354" s="147"/>
      <c r="K1354" s="63"/>
    </row>
    <row r="1355" spans="1:11" x14ac:dyDescent="0.25">
      <c r="A1355" s="108">
        <v>46006</v>
      </c>
      <c r="B1355" s="109">
        <v>76</v>
      </c>
      <c r="C1355" s="49" t="s">
        <v>19</v>
      </c>
      <c r="D1355" s="110" t="str">
        <f>IF(ISBLANK($B1355),"",IFERROR(VLOOKUP($B1355,ESTOQUE!$B$2:$D$97168,3,FALSE),"Produto não cadastrado"))</f>
        <v>CAPACETE CAMPER BRANCO</v>
      </c>
      <c r="E1355" s="99" t="str">
        <f>_xlfn.XLOOKUP(B1355,ESTOQUE!B:B,ESTOQUE!G:G,"",0)</f>
        <v>UND</v>
      </c>
      <c r="F1355" s="99">
        <v>1</v>
      </c>
      <c r="G1355" s="146"/>
      <c r="H1355" s="146"/>
      <c r="I1355" s="147"/>
      <c r="J1355" s="147"/>
      <c r="K1355" s="63"/>
    </row>
    <row r="1356" spans="1:11" x14ac:dyDescent="0.25">
      <c r="A1356" s="108">
        <v>46006</v>
      </c>
      <c r="B1356" s="109">
        <v>94</v>
      </c>
      <c r="C1356" s="49" t="s">
        <v>19</v>
      </c>
      <c r="D1356" s="110" t="str">
        <f>IF(ISBLANK($B1356),"",IFERROR(VLOOKUP($B1356,ESTOQUE!$B$2:$D$97168,3,FALSE),"Produto não cadastrado"))</f>
        <v>CARNEIRA P/ CAPACETE CAMPER</v>
      </c>
      <c r="E1356" s="99" t="s">
        <v>22</v>
      </c>
      <c r="F1356" s="99">
        <v>1</v>
      </c>
      <c r="G1356" s="146"/>
      <c r="H1356" s="146"/>
      <c r="I1356" s="147"/>
      <c r="J1356" s="147"/>
      <c r="K1356" s="63"/>
    </row>
    <row r="1357" spans="1:11" x14ac:dyDescent="0.25">
      <c r="A1357" s="108">
        <v>46006</v>
      </c>
      <c r="B1357" s="109">
        <v>111</v>
      </c>
      <c r="C1357" s="49" t="s">
        <v>19</v>
      </c>
      <c r="D1357" s="110" t="str">
        <f>IF(ISBLANK($B1357),"",IFERROR(VLOOKUP($B1357,ESTOQUE!$B$2:$D$97168,3,FALSE),"Produto não cadastrado"))</f>
        <v>LUVA DE VAQUETA MARROM</v>
      </c>
      <c r="E1357" s="99" t="str">
        <f>_xlfn.XLOOKUP(B1357,ESTOQUE!B:B,ESTOQUE!G:G,"",0)</f>
        <v>PAR</v>
      </c>
      <c r="F1357" s="99">
        <v>10</v>
      </c>
      <c r="G1357" s="146"/>
      <c r="H1357" s="146"/>
      <c r="I1357" s="147"/>
      <c r="J1357" s="147"/>
      <c r="K1357" s="63"/>
    </row>
    <row r="1358" spans="1:11" x14ac:dyDescent="0.25">
      <c r="A1358" s="108">
        <v>46006</v>
      </c>
      <c r="B1358" s="109">
        <v>114</v>
      </c>
      <c r="C1358" s="49" t="s">
        <v>19</v>
      </c>
      <c r="D1358" s="110" t="str">
        <f>IF(ISBLANK($B1358),"",IFERROR(VLOOKUP($B1358,ESTOQUE!$B$2:$D$97168,3,FALSE),"Produto não cadastrado"))</f>
        <v xml:space="preserve">LUVA LATEX NITRILICA </v>
      </c>
      <c r="E1358" s="99" t="str">
        <f>_xlfn.XLOOKUP(B1358,ESTOQUE!B:B,ESTOQUE!G:G,"",0)</f>
        <v>PAR</v>
      </c>
      <c r="F1358" s="99">
        <v>39</v>
      </c>
      <c r="G1358" s="146"/>
      <c r="H1358" s="146"/>
      <c r="I1358" s="147"/>
      <c r="J1358" s="147"/>
      <c r="K1358" s="63"/>
    </row>
    <row r="1359" spans="1:11" x14ac:dyDescent="0.25">
      <c r="A1359" s="108">
        <v>46006</v>
      </c>
      <c r="B1359" s="109">
        <v>117</v>
      </c>
      <c r="C1359" s="49" t="s">
        <v>19</v>
      </c>
      <c r="D1359" s="110" t="str">
        <f>IF(ISBLANK($B1359),"",IFERROR(VLOOKUP($B1359,ESTOQUE!$B$2:$D$97168,3,FALSE),"Produto não cadastrado"))</f>
        <v>LUVA PIGMENTADA</v>
      </c>
      <c r="E1359" s="99" t="str">
        <f>_xlfn.XLOOKUP(B1359,ESTOQUE!B:B,ESTOQUE!G:G,"",0)</f>
        <v>PAR</v>
      </c>
      <c r="F1359" s="99">
        <v>37</v>
      </c>
      <c r="G1359" s="146"/>
      <c r="H1359" s="146"/>
      <c r="I1359" s="147"/>
      <c r="J1359" s="147"/>
      <c r="K1359" s="63"/>
    </row>
    <row r="1360" spans="1:11" x14ac:dyDescent="0.25">
      <c r="A1360" s="108">
        <v>46006</v>
      </c>
      <c r="B1360" s="109">
        <v>116</v>
      </c>
      <c r="C1360" s="49" t="s">
        <v>19</v>
      </c>
      <c r="D1360" s="110" t="str">
        <f>IF(ISBLANK($B1360),"",IFERROR(VLOOKUP($B1360,ESTOQUE!$B$2:$D$97168,3,FALSE),"Produto não cadastrado"))</f>
        <v>LUVA PVC LINEA - CANO LONGO</v>
      </c>
      <c r="E1360" s="99" t="str">
        <f>_xlfn.XLOOKUP(B1360,ESTOQUE!B:B,ESTOQUE!G:G,"",0)</f>
        <v>PAR</v>
      </c>
      <c r="F1360" s="99">
        <v>1</v>
      </c>
      <c r="G1360" s="146"/>
      <c r="H1360" s="146"/>
      <c r="I1360" s="147"/>
      <c r="J1360" s="147"/>
      <c r="K1360" s="63"/>
    </row>
    <row r="1361" spans="1:11" x14ac:dyDescent="0.25">
      <c r="A1361" s="108">
        <v>46006</v>
      </c>
      <c r="B1361" s="109">
        <v>118</v>
      </c>
      <c r="C1361" s="49" t="s">
        <v>19</v>
      </c>
      <c r="D1361" s="110" t="str">
        <f>IF(ISBLANK($B1361),"",IFERROR(VLOOKUP($B1361,ESTOQUE!$B$2:$D$97168,3,FALSE),"Produto não cadastrado"))</f>
        <v>MACACÃO DE PROTEÇÃO TYVEK</v>
      </c>
      <c r="E1361" s="99" t="str">
        <f>_xlfn.XLOOKUP(B1361,ESTOQUE!B:B,ESTOQUE!G:G,"",0)</f>
        <v>UND</v>
      </c>
      <c r="F1361" s="99">
        <v>50</v>
      </c>
      <c r="G1361" s="146"/>
      <c r="H1361" s="146"/>
      <c r="I1361" s="147"/>
      <c r="J1361" s="147"/>
      <c r="K1361" s="63"/>
    </row>
    <row r="1362" spans="1:11" x14ac:dyDescent="0.25">
      <c r="A1362" s="108">
        <v>46006</v>
      </c>
      <c r="B1362" s="109">
        <v>144</v>
      </c>
      <c r="C1362" s="49" t="s">
        <v>19</v>
      </c>
      <c r="D1362" s="110" t="str">
        <f>IF(ISBLANK($B1362),"",IFERROR(VLOOKUP($B1362,ESTOQUE!$B$2:$D$97168,3,FALSE),"Produto não cadastrado"))</f>
        <v>MASCARA PFF2-S C/ FILTRO</v>
      </c>
      <c r="E1362" s="99" t="str">
        <f>_xlfn.XLOOKUP(B1362,ESTOQUE!B:B,ESTOQUE!G:G,"",0)</f>
        <v>UND</v>
      </c>
      <c r="F1362" s="99">
        <v>37</v>
      </c>
      <c r="G1362" s="146"/>
      <c r="H1362" s="146"/>
      <c r="I1362" s="147"/>
      <c r="J1362" s="147"/>
      <c r="K1362" s="63"/>
    </row>
    <row r="1363" spans="1:11" x14ac:dyDescent="0.25">
      <c r="A1363" s="108">
        <v>46006</v>
      </c>
      <c r="B1363" s="109">
        <v>126</v>
      </c>
      <c r="C1363" s="49" t="s">
        <v>19</v>
      </c>
      <c r="D1363" s="110" t="str">
        <f>IF(ISBLANK($B1363),"",IFERROR(VLOOKUP($B1363,ESTOQUE!$B$2:$D$97168,3,FALSE),"Produto não cadastrado"))</f>
        <v>OCULOS DE PROTEÇÃO ESCURO</v>
      </c>
      <c r="E1363" s="99" t="str">
        <f>_xlfn.XLOOKUP(B1363,ESTOQUE!B:B,ESTOQUE!G:G,"",0)</f>
        <v>UND</v>
      </c>
      <c r="F1363" s="99">
        <v>37</v>
      </c>
      <c r="G1363" s="146"/>
      <c r="H1363" s="146"/>
      <c r="I1363" s="147"/>
      <c r="J1363" s="147"/>
      <c r="K1363" s="63"/>
    </row>
    <row r="1364" spans="1:11" x14ac:dyDescent="0.25">
      <c r="A1364" s="108">
        <v>46006</v>
      </c>
      <c r="B1364" s="109">
        <v>124</v>
      </c>
      <c r="C1364" s="49" t="s">
        <v>19</v>
      </c>
      <c r="D1364" s="110" t="str">
        <f>IF(ISBLANK($B1364),"",IFERROR(VLOOKUP($B1364,ESTOQUE!$B$2:$D$97168,3,FALSE),"Produto não cadastrado"))</f>
        <v xml:space="preserve">OCULOS DE PROTEÇÃO INCOLOR </v>
      </c>
      <c r="E1364" s="99" t="str">
        <f>_xlfn.XLOOKUP(B1364,ESTOQUE!B:B,ESTOQUE!G:G,"",0)</f>
        <v>UND</v>
      </c>
      <c r="F1364" s="99">
        <v>20</v>
      </c>
      <c r="G1364" s="146"/>
      <c r="H1364" s="146"/>
      <c r="I1364" s="147"/>
      <c r="J1364" s="147"/>
      <c r="K1364" s="63"/>
    </row>
    <row r="1365" spans="1:11" x14ac:dyDescent="0.25">
      <c r="A1365" s="108">
        <v>46006</v>
      </c>
      <c r="B1365" s="109">
        <v>129</v>
      </c>
      <c r="C1365" s="49" t="s">
        <v>19</v>
      </c>
      <c r="D1365" s="110" t="str">
        <f>IF(ISBLANK($B1365),"",IFERROR(VLOOKUP($B1365,ESTOQUE!$B$2:$D$97168,3,FALSE),"Produto não cadastrado"))</f>
        <v>PERNEIRA DE RASPA</v>
      </c>
      <c r="E1365" s="99" t="str">
        <f>_xlfn.XLOOKUP(B1365,ESTOQUE!B:B,ESTOQUE!G:G,"",0)</f>
        <v>PAR</v>
      </c>
      <c r="F1365" s="99">
        <v>1</v>
      </c>
      <c r="G1365" s="146"/>
      <c r="H1365" s="146"/>
      <c r="I1365" s="147"/>
      <c r="J1365" s="147"/>
      <c r="K1365" s="63"/>
    </row>
    <row r="1366" spans="1:11" x14ac:dyDescent="0.25">
      <c r="A1366" s="108">
        <v>46006</v>
      </c>
      <c r="B1366" s="109">
        <v>137</v>
      </c>
      <c r="C1366" s="49" t="s">
        <v>19</v>
      </c>
      <c r="D1366" s="110" t="str">
        <f>IF(ISBLANK($B1366),"",IFERROR(VLOOKUP($B1366,ESTOQUE!$B$2:$D$97168,3,FALSE),"Produto não cadastrado"))</f>
        <v xml:space="preserve">TOUCA ARABE </v>
      </c>
      <c r="E1366" s="99" t="str">
        <f>_xlfn.XLOOKUP(B1366,ESTOQUE!B:B,ESTOQUE!G:G,"",0)</f>
        <v>UND</v>
      </c>
      <c r="F1366" s="99">
        <v>1</v>
      </c>
      <c r="G1366" s="146"/>
      <c r="H1366" s="146"/>
      <c r="I1366" s="147"/>
      <c r="J1366" s="147"/>
      <c r="K1366" s="63"/>
    </row>
    <row r="1367" spans="1:11" x14ac:dyDescent="0.25">
      <c r="A1367" s="108">
        <v>46006</v>
      </c>
      <c r="B1367" s="109">
        <v>67</v>
      </c>
      <c r="C1367" s="49" t="s">
        <v>19</v>
      </c>
      <c r="D1367" s="110" t="str">
        <f>IF(ISBLANK($B1367),"",IFERROR(VLOOKUP($B1367,ESTOQUE!$B$2:$D$97168,3,FALSE),"Produto não cadastrado"))</f>
        <v>CAMISA LARANJA OP. C/ FAIXA REFLETIVA TAM: G</v>
      </c>
      <c r="E1367" s="99" t="str">
        <f>_xlfn.XLOOKUP(B1367,ESTOQUE!B:B,ESTOQUE!G:G,"",0)</f>
        <v>UND</v>
      </c>
      <c r="F1367" s="99">
        <v>1</v>
      </c>
      <c r="G1367" s="146"/>
      <c r="H1367" s="146"/>
      <c r="I1367" s="147"/>
      <c r="J1367" s="147"/>
      <c r="K1367" s="63"/>
    </row>
    <row r="1368" spans="1:11" x14ac:dyDescent="0.25">
      <c r="A1368" s="108">
        <v>46006</v>
      </c>
      <c r="B1368" s="109">
        <v>46</v>
      </c>
      <c r="C1368" s="49" t="s">
        <v>19</v>
      </c>
      <c r="D1368" s="110" t="str">
        <f>IF(ISBLANK($B1368),"",IFERROR(VLOOKUP($B1368,ESTOQUE!$B$2:$D$97168,3,FALSE),"Produto não cadastrado"))</f>
        <v>CALÇA CINZA OP. C/ FAIXA REFLETIVA TAM: G</v>
      </c>
      <c r="E1368" s="99" t="str">
        <f>_xlfn.XLOOKUP(B1368,ESTOQUE!B:B,ESTOQUE!G:G,"",0)</f>
        <v>UND</v>
      </c>
      <c r="F1368" s="99">
        <v>1</v>
      </c>
      <c r="G1368" s="146"/>
      <c r="H1368" s="146"/>
      <c r="I1368" s="147"/>
      <c r="J1368" s="147"/>
      <c r="K1368" s="63"/>
    </row>
    <row r="1369" spans="1:11" x14ac:dyDescent="0.25">
      <c r="A1369" s="108">
        <v>46007</v>
      </c>
      <c r="B1369" s="109">
        <v>39</v>
      </c>
      <c r="C1369" s="49" t="s">
        <v>19</v>
      </c>
      <c r="D1369" s="110" t="str">
        <f>IF(ISBLANK($B1369),"",IFERROR(VLOOKUP($B1369,ESTOQUE!$B$2:$D$97168,3,FALSE),"Produto não cadastrado"))</f>
        <v>BOTINA OP. BICO PVC Nº 41</v>
      </c>
      <c r="E1369" s="99" t="str">
        <f>_xlfn.XLOOKUP(B1369,ESTOQUE!B:B,ESTOQUE!G:G,"",0)</f>
        <v>PAR</v>
      </c>
      <c r="F1369" s="99">
        <v>1</v>
      </c>
      <c r="G1369" s="146"/>
      <c r="H1369" s="146"/>
      <c r="I1369" s="147"/>
      <c r="J1369" s="147"/>
      <c r="K1369" s="63"/>
    </row>
    <row r="1370" spans="1:11" x14ac:dyDescent="0.25">
      <c r="A1370" s="108">
        <v>46007</v>
      </c>
      <c r="B1370" s="109">
        <v>40</v>
      </c>
      <c r="C1370" s="49" t="s">
        <v>19</v>
      </c>
      <c r="D1370" s="110" t="str">
        <f>IF(ISBLANK($B1370),"",IFERROR(VLOOKUP($B1370,ESTOQUE!$B$2:$D$97168,3,FALSE),"Produto não cadastrado"))</f>
        <v>BOTINA OP. BICO PVC Nº 42</v>
      </c>
      <c r="E1370" s="99" t="str">
        <f>_xlfn.XLOOKUP(B1370,ESTOQUE!B:B,ESTOQUE!G:G,"",0)</f>
        <v>PAR</v>
      </c>
      <c r="F1370" s="99">
        <v>3</v>
      </c>
      <c r="G1370" s="146"/>
      <c r="H1370" s="146"/>
      <c r="I1370" s="147"/>
      <c r="J1370" s="147"/>
      <c r="K1370" s="63"/>
    </row>
    <row r="1371" spans="1:11" x14ac:dyDescent="0.25">
      <c r="A1371" s="108">
        <v>46007</v>
      </c>
      <c r="B1371" s="109">
        <v>46</v>
      </c>
      <c r="C1371" s="49" t="s">
        <v>19</v>
      </c>
      <c r="D1371" s="110" t="str">
        <f>IF(ISBLANK($B1371),"",IFERROR(VLOOKUP($B1371,ESTOQUE!$B$2:$D$97168,3,FALSE),"Produto não cadastrado"))</f>
        <v>CALÇA CINZA OP. C/ FAIXA REFLETIVA TAM: G</v>
      </c>
      <c r="E1371" s="99" t="str">
        <f>_xlfn.XLOOKUP(B1371,ESTOQUE!B:B,ESTOQUE!G:G,"",0)</f>
        <v>UND</v>
      </c>
      <c r="F1371" s="99">
        <v>4</v>
      </c>
      <c r="G1371" s="146"/>
      <c r="H1371" s="146"/>
      <c r="I1371" s="147"/>
      <c r="J1371" s="147"/>
      <c r="K1371" s="63"/>
    </row>
    <row r="1372" spans="1:11" x14ac:dyDescent="0.25">
      <c r="A1372" s="108">
        <v>46007</v>
      </c>
      <c r="B1372" s="109">
        <v>48</v>
      </c>
      <c r="C1372" s="49" t="s">
        <v>19</v>
      </c>
      <c r="D1372" s="110" t="str">
        <f>IF(ISBLANK($B1372),"",IFERROR(VLOOKUP($B1372,ESTOQUE!$B$2:$D$97168,3,FALSE),"Produto não cadastrado"))</f>
        <v>CALÇA CINZA OP. C/ FAIXA REFLETIVA TAM: M</v>
      </c>
      <c r="E1372" s="99" t="str">
        <f>_xlfn.XLOOKUP(B1372,ESTOQUE!B:B,ESTOQUE!G:G,"",0)</f>
        <v>UND</v>
      </c>
      <c r="F1372" s="99">
        <v>4</v>
      </c>
      <c r="G1372" s="146"/>
      <c r="H1372" s="146"/>
      <c r="I1372" s="147"/>
      <c r="J1372" s="147"/>
      <c r="K1372" s="63"/>
    </row>
    <row r="1373" spans="1:11" x14ac:dyDescent="0.25">
      <c r="A1373" s="108">
        <v>46007</v>
      </c>
      <c r="B1373" s="109">
        <v>49</v>
      </c>
      <c r="C1373" s="49" t="s">
        <v>19</v>
      </c>
      <c r="D1373" s="110" t="str">
        <f>IF(ISBLANK($B1373),"",IFERROR(VLOOKUP($B1373,ESTOQUE!$B$2:$D$97168,3,FALSE),"Produto não cadastrado"))</f>
        <v>CALÇA CINZA OP. C/ FAIXA REFLETIVA TAM: P</v>
      </c>
      <c r="E1373" s="99" t="str">
        <f>_xlfn.XLOOKUP(B1373,ESTOQUE!B:B,ESTOQUE!G:G,"",0)</f>
        <v>UND</v>
      </c>
      <c r="F1373" s="99">
        <v>1</v>
      </c>
      <c r="G1373" s="146"/>
      <c r="H1373" s="146"/>
      <c r="I1373" s="147"/>
      <c r="J1373" s="147"/>
      <c r="K1373" s="63"/>
    </row>
    <row r="1374" spans="1:11" x14ac:dyDescent="0.25">
      <c r="A1374" s="108">
        <v>46007</v>
      </c>
      <c r="B1374" s="109">
        <v>67</v>
      </c>
      <c r="C1374" s="49" t="s">
        <v>19</v>
      </c>
      <c r="D1374" s="110" t="str">
        <f>IF(ISBLANK($B1374),"",IFERROR(VLOOKUP($B1374,ESTOQUE!$B$2:$D$97168,3,FALSE),"Produto não cadastrado"))</f>
        <v>CAMISA LARANJA OP. C/ FAIXA REFLETIVA TAM: G</v>
      </c>
      <c r="E1374" s="99" t="str">
        <f>_xlfn.XLOOKUP(B1374,ESTOQUE!B:B,ESTOQUE!G:G,"",0)</f>
        <v>UND</v>
      </c>
      <c r="F1374" s="99">
        <v>2</v>
      </c>
      <c r="G1374" s="146"/>
      <c r="H1374" s="146"/>
      <c r="I1374" s="147"/>
      <c r="J1374" s="147"/>
      <c r="K1374" s="63"/>
    </row>
    <row r="1375" spans="1:11" x14ac:dyDescent="0.25">
      <c r="A1375" s="108">
        <v>46007</v>
      </c>
      <c r="B1375" s="109">
        <v>68</v>
      </c>
      <c r="C1375" s="49" t="s">
        <v>19</v>
      </c>
      <c r="D1375" s="110" t="str">
        <f>IF(ISBLANK($B1375),"",IFERROR(VLOOKUP($B1375,ESTOQUE!$B$2:$D$97168,3,FALSE),"Produto não cadastrado"))</f>
        <v>CAMISA LARANJA OP. C/ FAIXA REFLETIVA TAM: GG</v>
      </c>
      <c r="E1375" s="99" t="str">
        <f>_xlfn.XLOOKUP(B1375,ESTOQUE!B:B,ESTOQUE!G:G,"",0)</f>
        <v>UND</v>
      </c>
      <c r="F1375" s="99">
        <v>1</v>
      </c>
      <c r="G1375" s="146"/>
      <c r="H1375" s="146"/>
      <c r="I1375" s="147"/>
      <c r="J1375" s="147"/>
      <c r="K1375" s="63"/>
    </row>
    <row r="1376" spans="1:11" x14ac:dyDescent="0.25">
      <c r="A1376" s="108">
        <v>46007</v>
      </c>
      <c r="B1376" s="109">
        <v>69</v>
      </c>
      <c r="C1376" s="49" t="s">
        <v>19</v>
      </c>
      <c r="D1376" s="110" t="str">
        <f>IF(ISBLANK($B1376),"",IFERROR(VLOOKUP($B1376,ESTOQUE!$B$2:$D$97168,3,FALSE),"Produto não cadastrado"))</f>
        <v>CAMISA LARANJA OP. C/ FAIXA REFLETIVA TAM: M</v>
      </c>
      <c r="E1376" s="99" t="str">
        <f>_xlfn.XLOOKUP(B1376,ESTOQUE!B:B,ESTOQUE!G:G,"",0)</f>
        <v>UND</v>
      </c>
      <c r="F1376" s="99">
        <v>2</v>
      </c>
      <c r="G1376" s="146"/>
      <c r="H1376" s="146"/>
      <c r="I1376" s="147"/>
      <c r="J1376" s="147"/>
      <c r="K1376" s="63"/>
    </row>
    <row r="1377" spans="1:11" x14ac:dyDescent="0.25">
      <c r="A1377" s="108">
        <v>46007</v>
      </c>
      <c r="B1377" s="109">
        <v>70</v>
      </c>
      <c r="C1377" s="49" t="s">
        <v>19</v>
      </c>
      <c r="D1377" s="110" t="str">
        <f>IF(ISBLANK($B1377),"",IFERROR(VLOOKUP($B1377,ESTOQUE!$B$2:$D$97168,3,FALSE),"Produto não cadastrado"))</f>
        <v>CAMISA LARANJA OP. C/ FAIXA REFLETIVA TAM: P</v>
      </c>
      <c r="E1377" s="99" t="str">
        <f>_xlfn.XLOOKUP(B1377,ESTOQUE!B:B,ESTOQUE!G:G,"",0)</f>
        <v>UND</v>
      </c>
      <c r="F1377" s="99">
        <v>2</v>
      </c>
      <c r="G1377" s="146"/>
      <c r="H1377" s="146"/>
      <c r="I1377" s="147"/>
      <c r="J1377" s="147"/>
      <c r="K1377" s="63"/>
    </row>
    <row r="1378" spans="1:11" x14ac:dyDescent="0.25">
      <c r="A1378" s="108">
        <v>46007</v>
      </c>
      <c r="B1378" s="109">
        <v>73</v>
      </c>
      <c r="C1378" s="49" t="s">
        <v>19</v>
      </c>
      <c r="D1378" s="110" t="str">
        <f>IF(ISBLANK($B1378),"",IFERROR(VLOOKUP($B1378,ESTOQUE!$B$2:$D$97168,3,FALSE),"Produto não cadastrado"))</f>
        <v>CAPA DE CHUVA GG</v>
      </c>
      <c r="E1378" s="99" t="str">
        <f>_xlfn.XLOOKUP(B1378,ESTOQUE!B:B,ESTOQUE!G:G,"",0)</f>
        <v>UND</v>
      </c>
      <c r="F1378" s="99">
        <v>11</v>
      </c>
      <c r="G1378" s="146"/>
      <c r="H1378" s="146"/>
      <c r="I1378" s="147"/>
      <c r="J1378" s="147"/>
      <c r="K1378" s="63"/>
    </row>
    <row r="1379" spans="1:11" x14ac:dyDescent="0.25">
      <c r="A1379" s="108">
        <v>46007</v>
      </c>
      <c r="B1379" s="109">
        <v>79</v>
      </c>
      <c r="C1379" s="49" t="s">
        <v>19</v>
      </c>
      <c r="D1379" s="110" t="str">
        <f>IF(ISBLANK($B1379),"",IFERROR(VLOOKUP($B1379,ESTOQUE!$B$2:$D$97168,3,FALSE),"Produto não cadastrado"))</f>
        <v>CAPACETE LIBUS AMARELO</v>
      </c>
      <c r="E1379" s="99" t="str">
        <f>_xlfn.XLOOKUP(B1379,ESTOQUE!B:B,ESTOQUE!G:G,"",0)</f>
        <v>UND</v>
      </c>
      <c r="F1379" s="99">
        <v>2</v>
      </c>
      <c r="G1379" s="146"/>
      <c r="H1379" s="146"/>
      <c r="I1379" s="147"/>
      <c r="J1379" s="147"/>
      <c r="K1379" s="63"/>
    </row>
    <row r="1380" spans="1:11" x14ac:dyDescent="0.25">
      <c r="A1380" s="108">
        <v>46007</v>
      </c>
      <c r="B1380" s="109">
        <v>95</v>
      </c>
      <c r="C1380" s="49" t="s">
        <v>19</v>
      </c>
      <c r="D1380" s="110" t="str">
        <f>IF(ISBLANK($B1380),"",IFERROR(VLOOKUP($B1380,ESTOQUE!$B$2:$D$97168,3,FALSE),"Produto não cadastrado"))</f>
        <v>CARNEIRA P/ CAPACETE LIBUS</v>
      </c>
      <c r="E1380" s="99" t="str">
        <f>_xlfn.XLOOKUP(B1380,ESTOQUE!B:B,ESTOQUE!G:G,"",0)</f>
        <v>UND</v>
      </c>
      <c r="F1380" s="99">
        <v>2</v>
      </c>
      <c r="G1380" s="146"/>
      <c r="H1380" s="146"/>
      <c r="I1380" s="147"/>
      <c r="J1380" s="147"/>
      <c r="K1380" s="63"/>
    </row>
    <row r="1381" spans="1:11" x14ac:dyDescent="0.25">
      <c r="A1381" s="108">
        <v>46007</v>
      </c>
      <c r="B1381" s="109">
        <v>210</v>
      </c>
      <c r="C1381" s="49" t="s">
        <v>19</v>
      </c>
      <c r="D1381" s="110" t="str">
        <f>IF(ISBLANK($B1381),"",IFERROR(VLOOKUP($B1381,ESTOQUE!$B$2:$D$97168,3,FALSE),"Produto não cadastrado"))</f>
        <v>COLETE REFLETIVO LARANJA G</v>
      </c>
      <c r="E1381" s="99" t="str">
        <f>_xlfn.XLOOKUP(B1381,ESTOQUE!B:B,ESTOQUE!G:G,"",0)</f>
        <v>UND</v>
      </c>
      <c r="F1381" s="99">
        <v>2</v>
      </c>
      <c r="G1381" s="146"/>
      <c r="H1381" s="146"/>
      <c r="I1381" s="147"/>
      <c r="J1381" s="147"/>
      <c r="K1381" s="63"/>
    </row>
    <row r="1382" spans="1:11" x14ac:dyDescent="0.25">
      <c r="A1382" s="108">
        <v>46007</v>
      </c>
      <c r="B1382" s="109">
        <v>110</v>
      </c>
      <c r="C1382" s="49" t="s">
        <v>19</v>
      </c>
      <c r="D1382" s="110" t="str">
        <f>IF(ISBLANK($B1382),"",IFERROR(VLOOKUP($B1382,ESTOQUE!$B$2:$D$97168,3,FALSE),"Produto não cadastrado"))</f>
        <v>LUVA DE RASPA CANO LONGO</v>
      </c>
      <c r="E1382" s="99" t="str">
        <f>_xlfn.XLOOKUP(B1382,ESTOQUE!B:B,ESTOQUE!G:G,"",0)</f>
        <v>PAR</v>
      </c>
      <c r="F1382" s="99">
        <v>20</v>
      </c>
      <c r="G1382" s="146"/>
      <c r="H1382" s="146"/>
      <c r="I1382" s="147"/>
      <c r="J1382" s="147"/>
      <c r="K1382" s="63"/>
    </row>
    <row r="1383" spans="1:11" x14ac:dyDescent="0.25">
      <c r="A1383" s="108">
        <v>46007</v>
      </c>
      <c r="B1383" s="109">
        <v>141</v>
      </c>
      <c r="C1383" s="49" t="s">
        <v>19</v>
      </c>
      <c r="D1383" s="110" t="str">
        <f>IF(ISBLANK($B1383),"",IFERROR(VLOOKUP($B1383,ESTOQUE!$B$2:$D$97168,3,FALSE),"Produto não cadastrado"))</f>
        <v xml:space="preserve">LUVA DE VAQUETA </v>
      </c>
      <c r="E1383" s="99" t="str">
        <f>_xlfn.XLOOKUP(B1383,ESTOQUE!B:B,ESTOQUE!G:G,"",0)</f>
        <v>PAR</v>
      </c>
      <c r="F1383" s="99">
        <v>55</v>
      </c>
      <c r="G1383" s="146"/>
      <c r="H1383" s="146"/>
      <c r="I1383" s="147"/>
      <c r="J1383" s="147"/>
      <c r="K1383" s="63"/>
    </row>
    <row r="1384" spans="1:11" x14ac:dyDescent="0.25">
      <c r="A1384" s="108">
        <v>46007</v>
      </c>
      <c r="B1384" s="109">
        <v>114</v>
      </c>
      <c r="C1384" s="49" t="s">
        <v>19</v>
      </c>
      <c r="D1384" s="110" t="str">
        <f>IF(ISBLANK($B1384),"",IFERROR(VLOOKUP($B1384,ESTOQUE!$B$2:$D$97168,3,FALSE),"Produto não cadastrado"))</f>
        <v xml:space="preserve">LUVA LATEX NITRILICA </v>
      </c>
      <c r="E1384" s="99" t="str">
        <f>_xlfn.XLOOKUP(B1384,ESTOQUE!B:B,ESTOQUE!G:G,"",0)</f>
        <v>PAR</v>
      </c>
      <c r="F1384" s="99">
        <v>2</v>
      </c>
      <c r="G1384" s="146"/>
      <c r="H1384" s="146"/>
      <c r="I1384" s="147"/>
      <c r="J1384" s="147"/>
      <c r="K1384" s="63"/>
    </row>
    <row r="1385" spans="1:11" x14ac:dyDescent="0.25">
      <c r="A1385" s="108">
        <v>46007</v>
      </c>
      <c r="B1385" s="109">
        <v>117</v>
      </c>
      <c r="C1385" s="49" t="s">
        <v>19</v>
      </c>
      <c r="D1385" s="110" t="str">
        <f>IF(ISBLANK($B1385),"",IFERROR(VLOOKUP($B1385,ESTOQUE!$B$2:$D$97168,3,FALSE),"Produto não cadastrado"))</f>
        <v>LUVA PIGMENTADA</v>
      </c>
      <c r="E1385" s="99" t="str">
        <f>_xlfn.XLOOKUP(B1385,ESTOQUE!B:B,ESTOQUE!G:G,"",0)</f>
        <v>PAR</v>
      </c>
      <c r="F1385" s="99">
        <v>3</v>
      </c>
      <c r="G1385" s="146"/>
      <c r="H1385" s="146"/>
      <c r="I1385" s="147"/>
      <c r="J1385" s="147"/>
      <c r="K1385" s="63"/>
    </row>
    <row r="1386" spans="1:11" x14ac:dyDescent="0.25">
      <c r="A1386" s="108">
        <v>46007</v>
      </c>
      <c r="B1386" s="109">
        <v>144</v>
      </c>
      <c r="C1386" s="49" t="s">
        <v>19</v>
      </c>
      <c r="D1386" s="110" t="str">
        <f>IF(ISBLANK($B1386),"",IFERROR(VLOOKUP($B1386,ESTOQUE!$B$2:$D$97168,3,FALSE),"Produto não cadastrado"))</f>
        <v>MASCARA PFF2-S C/ FILTRO</v>
      </c>
      <c r="E1386" s="99" t="str">
        <f>_xlfn.XLOOKUP(B1386,ESTOQUE!B:B,ESTOQUE!G:G,"",0)</f>
        <v>UND</v>
      </c>
      <c r="F1386" s="99">
        <v>4</v>
      </c>
      <c r="G1386" s="146"/>
      <c r="H1386" s="146"/>
      <c r="I1386" s="147"/>
      <c r="J1386" s="147"/>
      <c r="K1386" s="63"/>
    </row>
    <row r="1387" spans="1:11" x14ac:dyDescent="0.25">
      <c r="A1387" s="108">
        <v>46007</v>
      </c>
      <c r="B1387" s="109">
        <v>126</v>
      </c>
      <c r="C1387" s="49" t="s">
        <v>19</v>
      </c>
      <c r="D1387" s="110" t="str">
        <f>IF(ISBLANK($B1387),"",IFERROR(VLOOKUP($B1387,ESTOQUE!$B$2:$D$97168,3,FALSE),"Produto não cadastrado"))</f>
        <v>OCULOS DE PROTEÇÃO ESCURO</v>
      </c>
      <c r="E1387" s="99" t="str">
        <f>_xlfn.XLOOKUP(B1387,ESTOQUE!B:B,ESTOQUE!G:G,"",0)</f>
        <v>UND</v>
      </c>
      <c r="F1387" s="99">
        <v>4</v>
      </c>
      <c r="G1387" s="146"/>
      <c r="H1387" s="146"/>
      <c r="I1387" s="147"/>
      <c r="J1387" s="147"/>
      <c r="K1387" s="63"/>
    </row>
    <row r="1388" spans="1:11" x14ac:dyDescent="0.25">
      <c r="A1388" s="108">
        <v>46007</v>
      </c>
      <c r="B1388" s="109">
        <v>130</v>
      </c>
      <c r="C1388" s="49" t="s">
        <v>19</v>
      </c>
      <c r="D1388" s="110" t="str">
        <f>IF(ISBLANK($B1388),"",IFERROR(VLOOKUP($B1388,ESTOQUE!$B$2:$D$97168,3,FALSE),"Produto não cadastrado"))</f>
        <v>PROTETOR AUDITIVO TIPO CONCHA L-300</v>
      </c>
      <c r="E1388" s="99" t="str">
        <f>_xlfn.XLOOKUP(B1388,ESTOQUE!B:B,ESTOQUE!G:G,"",0)</f>
        <v>UND</v>
      </c>
      <c r="F1388" s="99">
        <v>1</v>
      </c>
      <c r="G1388" s="146"/>
      <c r="H1388" s="146"/>
      <c r="I1388" s="147"/>
      <c r="J1388" s="147"/>
      <c r="K1388" s="63"/>
    </row>
    <row r="1389" spans="1:11" x14ac:dyDescent="0.25">
      <c r="A1389" s="108">
        <v>46007</v>
      </c>
      <c r="B1389" s="109">
        <v>231</v>
      </c>
      <c r="C1389" s="49" t="s">
        <v>19</v>
      </c>
      <c r="D1389" s="110" t="str">
        <f>IF(ISBLANK($B1389),"",IFERROR(VLOOKUP($B1389,ESTOQUE!$B$2:$D$97168,3,FALSE),"Produto não cadastrado"))</f>
        <v xml:space="preserve">PROTETOR DE VERGALHÃO </v>
      </c>
      <c r="E1389" s="99" t="str">
        <f>_xlfn.XLOOKUP(B1389,ESTOQUE!B:B,ESTOQUE!G:G,"",0)</f>
        <v>UND</v>
      </c>
      <c r="F1389" s="99">
        <v>100</v>
      </c>
      <c r="G1389" s="146"/>
      <c r="H1389" s="146"/>
      <c r="I1389" s="147"/>
      <c r="J1389" s="147"/>
      <c r="K1389" s="63"/>
    </row>
    <row r="1390" spans="1:11" x14ac:dyDescent="0.25">
      <c r="A1390" s="108">
        <v>46008</v>
      </c>
      <c r="B1390" s="109">
        <v>219</v>
      </c>
      <c r="C1390" s="49" t="s">
        <v>19</v>
      </c>
      <c r="D1390" s="110" t="str">
        <f>IF(ISBLANK($B1390),"",IFERROR(VLOOKUP($B1390,ESTOQUE!$B$2:$D$97168,3,FALSE),"Produto não cadastrado"))</f>
        <v>BOTINA SEGURANÇA METATARSO  42</v>
      </c>
      <c r="E1390" s="99" t="str">
        <f>_xlfn.XLOOKUP(B1390,ESTOQUE!B:B,ESTOQUE!G:G,"",0)</f>
        <v>PAR</v>
      </c>
      <c r="F1390" s="99">
        <v>1</v>
      </c>
      <c r="G1390" s="146"/>
      <c r="H1390" s="146"/>
      <c r="I1390" s="147"/>
      <c r="J1390" s="147"/>
      <c r="K1390" s="63"/>
    </row>
    <row r="1391" spans="1:11" x14ac:dyDescent="0.25">
      <c r="A1391" s="108">
        <v>46008</v>
      </c>
      <c r="B1391" s="109">
        <v>46</v>
      </c>
      <c r="C1391" s="49" t="s">
        <v>19</v>
      </c>
      <c r="D1391" s="110" t="str">
        <f>IF(ISBLANK($B1391),"",IFERROR(VLOOKUP($B1391,ESTOQUE!$B$2:$D$97168,3,FALSE),"Produto não cadastrado"))</f>
        <v>CALÇA CINZA OP. C/ FAIXA REFLETIVA TAM: G</v>
      </c>
      <c r="E1391" s="99" t="str">
        <f>_xlfn.XLOOKUP(B1391,ESTOQUE!B:B,ESTOQUE!G:G,"",0)</f>
        <v>UND</v>
      </c>
      <c r="F1391" s="99">
        <v>2</v>
      </c>
      <c r="G1391" s="146"/>
      <c r="H1391" s="146"/>
      <c r="I1391" s="147"/>
      <c r="J1391" s="147"/>
      <c r="K1391" s="63"/>
    </row>
    <row r="1392" spans="1:11" x14ac:dyDescent="0.25">
      <c r="A1392" s="108">
        <v>46008</v>
      </c>
      <c r="B1392" s="109">
        <v>48</v>
      </c>
      <c r="C1392" s="49" t="s">
        <v>19</v>
      </c>
      <c r="D1392" s="110" t="str">
        <f>IF(ISBLANK($B1392),"",IFERROR(VLOOKUP($B1392,ESTOQUE!$B$2:$D$97168,3,FALSE),"Produto não cadastrado"))</f>
        <v>CALÇA CINZA OP. C/ FAIXA REFLETIVA TAM: M</v>
      </c>
      <c r="E1392" s="99" t="str">
        <f>_xlfn.XLOOKUP(B1392,ESTOQUE!B:B,ESTOQUE!G:G,"",0)</f>
        <v>UND</v>
      </c>
      <c r="F1392" s="99">
        <v>2</v>
      </c>
      <c r="G1392" s="146"/>
      <c r="H1392" s="146"/>
      <c r="I1392" s="147"/>
      <c r="J1392" s="147"/>
      <c r="K1392" s="63"/>
    </row>
    <row r="1393" spans="1:11" x14ac:dyDescent="0.25">
      <c r="A1393" s="108">
        <v>46008</v>
      </c>
      <c r="B1393" s="109">
        <v>49</v>
      </c>
      <c r="C1393" s="49" t="s">
        <v>19</v>
      </c>
      <c r="D1393" s="110" t="str">
        <f>IF(ISBLANK($B1393),"",IFERROR(VLOOKUP($B1393,ESTOQUE!$B$2:$D$97168,3,FALSE),"Produto não cadastrado"))</f>
        <v>CALÇA CINZA OP. C/ FAIXA REFLETIVA TAM: P</v>
      </c>
      <c r="E1393" s="99" t="str">
        <f>_xlfn.XLOOKUP(B1393,ESTOQUE!B:B,ESTOQUE!G:G,"",0)</f>
        <v>UND</v>
      </c>
      <c r="F1393" s="99">
        <v>1</v>
      </c>
      <c r="G1393" s="146"/>
      <c r="H1393" s="146"/>
      <c r="I1393" s="147"/>
      <c r="J1393" s="147"/>
      <c r="K1393" s="63"/>
    </row>
    <row r="1394" spans="1:11" x14ac:dyDescent="0.25">
      <c r="A1394" s="108">
        <v>46008</v>
      </c>
      <c r="B1394" s="109">
        <v>67</v>
      </c>
      <c r="C1394" s="49" t="s">
        <v>19</v>
      </c>
      <c r="D1394" s="110" t="str">
        <f>IF(ISBLANK($B1394),"",IFERROR(VLOOKUP($B1394,ESTOQUE!$B$2:$D$97168,3,FALSE),"Produto não cadastrado"))</f>
        <v>CAMISA LARANJA OP. C/ FAIXA REFLETIVA TAM: G</v>
      </c>
      <c r="E1394" s="99" t="str">
        <f>_xlfn.XLOOKUP(B1394,ESTOQUE!B:B,ESTOQUE!G:G,"",0)</f>
        <v>UND</v>
      </c>
      <c r="F1394" s="99">
        <v>1</v>
      </c>
      <c r="G1394" s="146"/>
      <c r="H1394" s="146"/>
      <c r="I1394" s="147"/>
      <c r="J1394" s="147"/>
      <c r="K1394" s="63"/>
    </row>
    <row r="1395" spans="1:11" x14ac:dyDescent="0.25">
      <c r="A1395" s="108">
        <v>46008</v>
      </c>
      <c r="B1395" s="109">
        <v>69</v>
      </c>
      <c r="C1395" s="49" t="s">
        <v>19</v>
      </c>
      <c r="D1395" s="110" t="str">
        <f>IF(ISBLANK($B1395),"",IFERROR(VLOOKUP($B1395,ESTOQUE!$B$2:$D$97168,3,FALSE),"Produto não cadastrado"))</f>
        <v>CAMISA LARANJA OP. C/ FAIXA REFLETIVA TAM: M</v>
      </c>
      <c r="E1395" s="99" t="str">
        <f>_xlfn.XLOOKUP(B1395,ESTOQUE!B:B,ESTOQUE!G:G,"",0)</f>
        <v>UND</v>
      </c>
      <c r="F1395" s="99">
        <v>1</v>
      </c>
      <c r="G1395" s="146"/>
      <c r="H1395" s="146"/>
      <c r="I1395" s="147"/>
      <c r="J1395" s="147"/>
      <c r="K1395" s="63"/>
    </row>
    <row r="1396" spans="1:11" x14ac:dyDescent="0.25">
      <c r="A1396" s="108">
        <v>46008</v>
      </c>
      <c r="B1396" s="109">
        <v>70</v>
      </c>
      <c r="C1396" s="49" t="s">
        <v>19</v>
      </c>
      <c r="D1396" s="110" t="str">
        <f>IF(ISBLANK($B1396),"",IFERROR(VLOOKUP($B1396,ESTOQUE!$B$2:$D$97168,3,FALSE),"Produto não cadastrado"))</f>
        <v>CAMISA LARANJA OP. C/ FAIXA REFLETIVA TAM: P</v>
      </c>
      <c r="E1396" s="99" t="str">
        <f>_xlfn.XLOOKUP(B1396,ESTOQUE!B:B,ESTOQUE!G:G,"",0)</f>
        <v>UND</v>
      </c>
      <c r="F1396" s="99">
        <v>70</v>
      </c>
      <c r="G1396" s="146"/>
      <c r="H1396" s="146"/>
      <c r="I1396" s="147"/>
      <c r="J1396" s="147"/>
      <c r="K1396" s="63"/>
    </row>
    <row r="1397" spans="1:11" x14ac:dyDescent="0.25">
      <c r="A1397" s="108">
        <v>46008</v>
      </c>
      <c r="B1397" s="109">
        <v>76</v>
      </c>
      <c r="C1397" s="49" t="s">
        <v>19</v>
      </c>
      <c r="D1397" s="110" t="str">
        <f>IF(ISBLANK($B1397),"",IFERROR(VLOOKUP($B1397,ESTOQUE!$B$2:$D$97168,3,FALSE),"Produto não cadastrado"))</f>
        <v>CAPACETE CAMPER BRANCO</v>
      </c>
      <c r="E1397" s="99" t="str">
        <f>_xlfn.XLOOKUP(B1397,ESTOQUE!B:B,ESTOQUE!G:G,"",0)</f>
        <v>UND</v>
      </c>
      <c r="F1397" s="99">
        <v>1</v>
      </c>
      <c r="G1397" s="146"/>
      <c r="H1397" s="146"/>
      <c r="I1397" s="147"/>
      <c r="J1397" s="147"/>
      <c r="K1397" s="63"/>
    </row>
    <row r="1398" spans="1:11" x14ac:dyDescent="0.25">
      <c r="A1398" s="108">
        <v>46008</v>
      </c>
      <c r="B1398" s="109">
        <v>210</v>
      </c>
      <c r="C1398" s="49" t="s">
        <v>19</v>
      </c>
      <c r="D1398" s="110" t="str">
        <f>IF(ISBLANK($B1398),"",IFERROR(VLOOKUP($B1398,ESTOQUE!$B$2:$D$97168,3,FALSE),"Produto não cadastrado"))</f>
        <v>COLETE REFLETIVO LARANJA G</v>
      </c>
      <c r="E1398" s="99" t="str">
        <f>_xlfn.XLOOKUP(B1398,ESTOQUE!B:B,ESTOQUE!G:G,"",0)</f>
        <v>UND</v>
      </c>
      <c r="F1398" s="99">
        <v>1</v>
      </c>
      <c r="G1398" s="146"/>
      <c r="H1398" s="146"/>
      <c r="I1398" s="147"/>
      <c r="J1398" s="147"/>
      <c r="K1398" s="63"/>
    </row>
    <row r="1399" spans="1:11" x14ac:dyDescent="0.25">
      <c r="A1399" s="108">
        <v>46008</v>
      </c>
      <c r="B1399" s="109">
        <v>161</v>
      </c>
      <c r="C1399" s="49" t="s">
        <v>19</v>
      </c>
      <c r="D1399" s="110" t="str">
        <f>IF(ISBLANK($B1399),"",IFERROR(VLOOKUP($B1399,ESTOQUE!$B$2:$D$97168,3,FALSE),"Produto não cadastrado"))</f>
        <v>JUGULAR</v>
      </c>
      <c r="E1399" s="99" t="str">
        <f>_xlfn.XLOOKUP(B1399,ESTOQUE!B:B,ESTOQUE!G:G,"",0)</f>
        <v>UND</v>
      </c>
      <c r="F1399" s="99">
        <v>3</v>
      </c>
      <c r="G1399" s="146"/>
      <c r="H1399" s="146"/>
      <c r="I1399" s="147"/>
      <c r="J1399" s="147"/>
      <c r="K1399" s="63"/>
    </row>
    <row r="1400" spans="1:11" x14ac:dyDescent="0.25">
      <c r="A1400" s="108">
        <v>46008</v>
      </c>
      <c r="B1400" s="109">
        <v>111</v>
      </c>
      <c r="C1400" s="49" t="s">
        <v>19</v>
      </c>
      <c r="D1400" s="110" t="str">
        <f>IF(ISBLANK($B1400),"",IFERROR(VLOOKUP($B1400,ESTOQUE!$B$2:$D$97168,3,FALSE),"Produto não cadastrado"))</f>
        <v>LUVA DE VAQUETA MARROM</v>
      </c>
      <c r="E1400" s="99" t="str">
        <f>_xlfn.XLOOKUP(B1400,ESTOQUE!B:B,ESTOQUE!G:G,"",0)</f>
        <v>PAR</v>
      </c>
      <c r="F1400" s="99">
        <v>5</v>
      </c>
      <c r="G1400" s="146"/>
      <c r="H1400" s="146"/>
      <c r="I1400" s="147"/>
      <c r="J1400" s="147"/>
      <c r="K1400" s="63"/>
    </row>
    <row r="1401" spans="1:11" x14ac:dyDescent="0.25">
      <c r="A1401" s="108">
        <v>46008</v>
      </c>
      <c r="B1401" s="109">
        <v>114</v>
      </c>
      <c r="C1401" s="49" t="s">
        <v>19</v>
      </c>
      <c r="D1401" s="110" t="str">
        <f>IF(ISBLANK($B1401),"",IFERROR(VLOOKUP($B1401,ESTOQUE!$B$2:$D$97168,3,FALSE),"Produto não cadastrado"))</f>
        <v xml:space="preserve">LUVA LATEX NITRILICA </v>
      </c>
      <c r="E1401" s="99" t="str">
        <f>_xlfn.XLOOKUP(B1401,ESTOQUE!B:B,ESTOQUE!G:G,"",0)</f>
        <v>PAR</v>
      </c>
      <c r="F1401" s="99">
        <v>24</v>
      </c>
      <c r="G1401" s="146"/>
      <c r="H1401" s="146"/>
      <c r="I1401" s="147"/>
      <c r="J1401" s="147"/>
      <c r="K1401" s="63"/>
    </row>
    <row r="1402" spans="1:11" x14ac:dyDescent="0.25">
      <c r="A1402" s="108">
        <v>46008</v>
      </c>
      <c r="B1402" s="109">
        <v>117</v>
      </c>
      <c r="C1402" s="49" t="s">
        <v>19</v>
      </c>
      <c r="D1402" s="110" t="str">
        <f>IF(ISBLANK($B1402),"",IFERROR(VLOOKUP($B1402,ESTOQUE!$B$2:$D$97168,3,FALSE),"Produto não cadastrado"))</f>
        <v>LUVA PIGMENTADA</v>
      </c>
      <c r="E1402" s="99" t="str">
        <f>_xlfn.XLOOKUP(B1402,ESTOQUE!B:B,ESTOQUE!G:G,"",0)</f>
        <v>PAR</v>
      </c>
      <c r="F1402" s="99">
        <v>12</v>
      </c>
      <c r="G1402" s="146"/>
      <c r="H1402" s="146"/>
      <c r="I1402" s="147"/>
      <c r="J1402" s="147"/>
      <c r="K1402" s="63"/>
    </row>
    <row r="1403" spans="1:11" x14ac:dyDescent="0.25">
      <c r="A1403" s="108">
        <v>46008</v>
      </c>
      <c r="B1403" s="109">
        <v>144</v>
      </c>
      <c r="C1403" s="49" t="s">
        <v>19</v>
      </c>
      <c r="D1403" s="110" t="str">
        <f>IF(ISBLANK($B1403),"",IFERROR(VLOOKUP($B1403,ESTOQUE!$B$2:$D$97168,3,FALSE),"Produto não cadastrado"))</f>
        <v>MASCARA PFF2-S C/ FILTRO</v>
      </c>
      <c r="E1403" s="99" t="str">
        <f>_xlfn.XLOOKUP(B1403,ESTOQUE!B:B,ESTOQUE!G:G,"",0)</f>
        <v>UND</v>
      </c>
      <c r="F1403" s="99">
        <v>11</v>
      </c>
      <c r="G1403" s="146"/>
      <c r="H1403" s="146"/>
      <c r="I1403" s="147"/>
      <c r="J1403" s="147"/>
      <c r="K1403" s="63"/>
    </row>
    <row r="1404" spans="1:11" x14ac:dyDescent="0.25">
      <c r="A1404" s="108">
        <v>46008</v>
      </c>
      <c r="B1404" s="109">
        <v>126</v>
      </c>
      <c r="C1404" s="49" t="s">
        <v>19</v>
      </c>
      <c r="D1404" s="110" t="str">
        <f>IF(ISBLANK($B1404),"",IFERROR(VLOOKUP($B1404,ESTOQUE!$B$2:$D$97168,3,FALSE),"Produto não cadastrado"))</f>
        <v>OCULOS DE PROTEÇÃO ESCURO</v>
      </c>
      <c r="E1404" s="99" t="str">
        <f>_xlfn.XLOOKUP(B1404,ESTOQUE!B:B,ESTOQUE!G:G,"",0)</f>
        <v>UND</v>
      </c>
      <c r="F1404" s="99">
        <v>16</v>
      </c>
      <c r="G1404" s="146"/>
      <c r="H1404" s="146"/>
      <c r="I1404" s="147"/>
      <c r="J1404" s="147"/>
      <c r="K1404" s="63"/>
    </row>
    <row r="1405" spans="1:11" x14ac:dyDescent="0.25">
      <c r="A1405" s="108">
        <v>46008</v>
      </c>
      <c r="B1405" s="109">
        <v>124</v>
      </c>
      <c r="C1405" s="49" t="s">
        <v>19</v>
      </c>
      <c r="D1405" s="110" t="str">
        <f>IF(ISBLANK($B1405),"",IFERROR(VLOOKUP($B1405,ESTOQUE!$B$2:$D$97168,3,FALSE),"Produto não cadastrado"))</f>
        <v xml:space="preserve">OCULOS DE PROTEÇÃO INCOLOR </v>
      </c>
      <c r="E1405" s="99" t="str">
        <f>_xlfn.XLOOKUP(B1405,ESTOQUE!B:B,ESTOQUE!G:G,"",0)</f>
        <v>UND</v>
      </c>
      <c r="F1405" s="99">
        <v>15</v>
      </c>
      <c r="G1405" s="146"/>
      <c r="H1405" s="146"/>
      <c r="I1405" s="147"/>
      <c r="J1405" s="147"/>
      <c r="K1405" s="63"/>
    </row>
    <row r="1406" spans="1:11" x14ac:dyDescent="0.25">
      <c r="A1406" s="108">
        <v>46008</v>
      </c>
      <c r="B1406" s="109">
        <v>139</v>
      </c>
      <c r="C1406" s="49" t="s">
        <v>19</v>
      </c>
      <c r="D1406" s="110" t="str">
        <f>IF(ISBLANK($B1406),"",IFERROR(VLOOKUP($B1406,ESTOQUE!$B$2:$D$97168,3,FALSE),"Produto não cadastrado"))</f>
        <v>PROTETOR AURICULAR TIPO PLUG</v>
      </c>
      <c r="E1406" s="99" t="str">
        <f>_xlfn.XLOOKUP(B1406,ESTOQUE!B:B,ESTOQUE!G:G,"",0)</f>
        <v>UND</v>
      </c>
      <c r="F1406" s="99">
        <v>15</v>
      </c>
      <c r="G1406" s="146"/>
      <c r="H1406" s="146"/>
      <c r="I1406" s="147"/>
      <c r="J1406" s="147"/>
      <c r="K1406" s="63"/>
    </row>
    <row r="1407" spans="1:11" x14ac:dyDescent="0.25">
      <c r="A1407" s="108">
        <v>46009</v>
      </c>
      <c r="B1407" s="109">
        <v>10</v>
      </c>
      <c r="C1407" s="49" t="s">
        <v>19</v>
      </c>
      <c r="D1407" s="110" t="str">
        <f>IF(ISBLANK($B1407),"",IFERROR(VLOOKUP($B1407,ESTOQUE!$B$2:$D$97168,3,FALSE),"Produto não cadastrado"))</f>
        <v>BOTA PVC CANO LONGO Nº 42</v>
      </c>
      <c r="E1407" s="99" t="str">
        <f>_xlfn.XLOOKUP(B1407,ESTOQUE!B:B,ESTOQUE!G:G,"",0)</f>
        <v>PAR</v>
      </c>
      <c r="F1407" s="99">
        <v>1</v>
      </c>
      <c r="G1407" s="146"/>
      <c r="H1407" s="146"/>
      <c r="I1407" s="147"/>
      <c r="J1407" s="147"/>
      <c r="K1407" s="63"/>
    </row>
    <row r="1408" spans="1:11" x14ac:dyDescent="0.25">
      <c r="A1408" s="108">
        <v>46009</v>
      </c>
      <c r="B1408" s="109">
        <v>42</v>
      </c>
      <c r="C1408" s="49" t="s">
        <v>19</v>
      </c>
      <c r="D1408" s="110" t="str">
        <f>IF(ISBLANK($B1408),"",IFERROR(VLOOKUP($B1408,ESTOQUE!$B$2:$D$97168,3,FALSE),"Produto não cadastrado"))</f>
        <v>BOTINA OP. BICO PVC Nº 44</v>
      </c>
      <c r="E1408" s="99" t="str">
        <f>_xlfn.XLOOKUP(B1408,ESTOQUE!B:B,ESTOQUE!G:G,"",0)</f>
        <v>PAR</v>
      </c>
      <c r="F1408" s="99">
        <v>1</v>
      </c>
      <c r="G1408" s="146"/>
      <c r="H1408" s="146"/>
      <c r="I1408" s="147"/>
      <c r="J1408" s="147"/>
      <c r="K1408" s="63"/>
    </row>
    <row r="1409" spans="1:11" x14ac:dyDescent="0.25">
      <c r="A1409" s="108">
        <v>46009</v>
      </c>
      <c r="B1409" s="109">
        <v>46</v>
      </c>
      <c r="C1409" s="49" t="s">
        <v>19</v>
      </c>
      <c r="D1409" s="110" t="str">
        <f>IF(ISBLANK($B1409),"",IFERROR(VLOOKUP($B1409,ESTOQUE!$B$2:$D$97168,3,FALSE),"Produto não cadastrado"))</f>
        <v>CALÇA CINZA OP. C/ FAIXA REFLETIVA TAM: G</v>
      </c>
      <c r="E1409" s="99" t="str">
        <f>_xlfn.XLOOKUP(B1409,ESTOQUE!B:B,ESTOQUE!G:G,"",0)</f>
        <v>UND</v>
      </c>
      <c r="F1409" s="99">
        <v>1</v>
      </c>
      <c r="G1409" s="146"/>
      <c r="H1409" s="146"/>
      <c r="I1409" s="147"/>
      <c r="J1409" s="147"/>
      <c r="K1409" s="63"/>
    </row>
    <row r="1410" spans="1:11" x14ac:dyDescent="0.25">
      <c r="A1410" s="108">
        <v>46009</v>
      </c>
      <c r="B1410" s="109">
        <v>47</v>
      </c>
      <c r="C1410" s="49" t="s">
        <v>19</v>
      </c>
      <c r="D1410" s="110" t="str">
        <f>IF(ISBLANK($B1410),"",IFERROR(VLOOKUP($B1410,ESTOQUE!$B$2:$D$97168,3,FALSE),"Produto não cadastrado"))</f>
        <v>CALÇA CINZA OP. C/ FAIXA REFLETIVA TAM: GG</v>
      </c>
      <c r="E1410" s="99" t="str">
        <f>_xlfn.XLOOKUP(B1410,ESTOQUE!B:B,ESTOQUE!G:G,"",0)</f>
        <v>UND</v>
      </c>
      <c r="F1410" s="99">
        <v>1</v>
      </c>
      <c r="G1410" s="146"/>
      <c r="H1410" s="146"/>
      <c r="I1410" s="147"/>
      <c r="J1410" s="147"/>
      <c r="K1410" s="63"/>
    </row>
    <row r="1411" spans="1:11" x14ac:dyDescent="0.25">
      <c r="A1411" s="108">
        <v>46009</v>
      </c>
      <c r="B1411" s="109">
        <v>68</v>
      </c>
      <c r="C1411" s="49" t="s">
        <v>19</v>
      </c>
      <c r="D1411" s="110" t="str">
        <f>IF(ISBLANK($B1411),"",IFERROR(VLOOKUP($B1411,ESTOQUE!$B$2:$D$97168,3,FALSE),"Produto não cadastrado"))</f>
        <v>CAMISA LARANJA OP. C/ FAIXA REFLETIVA TAM: GG</v>
      </c>
      <c r="E1411" s="99" t="str">
        <f>_xlfn.XLOOKUP(B1411,ESTOQUE!B:B,ESTOQUE!G:G,"",0)</f>
        <v>UND</v>
      </c>
      <c r="F1411" s="99">
        <v>1</v>
      </c>
      <c r="G1411" s="146"/>
      <c r="H1411" s="146"/>
      <c r="I1411" s="147"/>
      <c r="J1411" s="147"/>
      <c r="K1411" s="63"/>
    </row>
    <row r="1412" spans="1:11" x14ac:dyDescent="0.25">
      <c r="A1412" s="108">
        <v>46009</v>
      </c>
      <c r="B1412" s="109">
        <v>69</v>
      </c>
      <c r="C1412" s="49" t="s">
        <v>19</v>
      </c>
      <c r="D1412" s="110" t="str">
        <f>IF(ISBLANK($B1412),"",IFERROR(VLOOKUP($B1412,ESTOQUE!$B$2:$D$97168,3,FALSE),"Produto não cadastrado"))</f>
        <v>CAMISA LARANJA OP. C/ FAIXA REFLETIVA TAM: M</v>
      </c>
      <c r="E1412" s="99" t="str">
        <f>_xlfn.XLOOKUP(B1412,ESTOQUE!B:B,ESTOQUE!G:G,"",0)</f>
        <v>UND</v>
      </c>
      <c r="F1412" s="99">
        <v>1</v>
      </c>
      <c r="G1412" s="146"/>
      <c r="H1412" s="146"/>
      <c r="I1412" s="147"/>
      <c r="J1412" s="147"/>
      <c r="K1412" s="63"/>
    </row>
    <row r="1413" spans="1:11" x14ac:dyDescent="0.25">
      <c r="A1413" s="108">
        <v>46009</v>
      </c>
      <c r="B1413" s="109">
        <v>97</v>
      </c>
      <c r="C1413" s="49" t="s">
        <v>19</v>
      </c>
      <c r="D1413" s="110" t="str">
        <f>IF(ISBLANK($B1413),"",IFERROR(VLOOKUP($B1413,ESTOQUE!$B$2:$D$97168,3,FALSE),"Produto não cadastrado"))</f>
        <v>COLETE REFLETIVO LARANJA M</v>
      </c>
      <c r="E1413" s="99" t="str">
        <f>_xlfn.XLOOKUP(B1413,ESTOQUE!B:B,ESTOQUE!G:G,"",0)</f>
        <v>UND</v>
      </c>
      <c r="F1413" s="99">
        <v>2</v>
      </c>
      <c r="G1413" s="146"/>
      <c r="H1413" s="146"/>
      <c r="I1413" s="147"/>
      <c r="J1413" s="147"/>
      <c r="K1413" s="63"/>
    </row>
    <row r="1414" spans="1:11" x14ac:dyDescent="0.25">
      <c r="A1414" s="108">
        <v>46009</v>
      </c>
      <c r="B1414" s="109">
        <v>117</v>
      </c>
      <c r="C1414" s="49" t="s">
        <v>19</v>
      </c>
      <c r="D1414" s="110" t="str">
        <f>IF(ISBLANK($B1414),"",IFERROR(VLOOKUP($B1414,ESTOQUE!$B$2:$D$97168,3,FALSE),"Produto não cadastrado"))</f>
        <v>LUVA PIGMENTADA</v>
      </c>
      <c r="E1414" s="99" t="str">
        <f>_xlfn.XLOOKUP(B1414,ESTOQUE!B:B,ESTOQUE!G:G,"",0)</f>
        <v>PAR</v>
      </c>
      <c r="F1414" s="99">
        <v>1</v>
      </c>
      <c r="G1414" s="146"/>
      <c r="H1414" s="146"/>
      <c r="I1414" s="147"/>
      <c r="J1414" s="147"/>
      <c r="K1414" s="63"/>
    </row>
    <row r="1415" spans="1:11" x14ac:dyDescent="0.25">
      <c r="A1415" s="108">
        <v>46009</v>
      </c>
      <c r="B1415" s="109">
        <v>144</v>
      </c>
      <c r="C1415" s="49" t="s">
        <v>19</v>
      </c>
      <c r="D1415" s="110" t="str">
        <f>IF(ISBLANK($B1415),"",IFERROR(VLOOKUP($B1415,ESTOQUE!$B$2:$D$97168,3,FALSE),"Produto não cadastrado"))</f>
        <v>MASCARA PFF2-S C/ FILTRO</v>
      </c>
      <c r="E1415" s="99" t="str">
        <f>_xlfn.XLOOKUP(B1415,ESTOQUE!B:B,ESTOQUE!G:G,"",0)</f>
        <v>UND</v>
      </c>
      <c r="F1415" s="99">
        <v>4</v>
      </c>
      <c r="G1415" s="146"/>
      <c r="H1415" s="146"/>
      <c r="I1415" s="147"/>
      <c r="J1415" s="147"/>
      <c r="K1415" s="63"/>
    </row>
    <row r="1416" spans="1:11" x14ac:dyDescent="0.25">
      <c r="A1416" s="108">
        <v>46009</v>
      </c>
      <c r="B1416" s="109">
        <v>126</v>
      </c>
      <c r="C1416" s="49" t="s">
        <v>19</v>
      </c>
      <c r="D1416" s="110" t="str">
        <f>IF(ISBLANK($B1416),"",IFERROR(VLOOKUP($B1416,ESTOQUE!$B$2:$D$97168,3,FALSE),"Produto não cadastrado"))</f>
        <v>OCULOS DE PROTEÇÃO ESCURO</v>
      </c>
      <c r="E1416" s="99" t="str">
        <f>_xlfn.XLOOKUP(B1416,ESTOQUE!B:B,ESTOQUE!G:G,"",0)</f>
        <v>UND</v>
      </c>
      <c r="F1416" s="99">
        <v>1</v>
      </c>
      <c r="G1416" s="146"/>
      <c r="H1416" s="146"/>
      <c r="I1416" s="147"/>
      <c r="J1416" s="147"/>
      <c r="K1416" s="63"/>
    </row>
    <row r="1417" spans="1:11" x14ac:dyDescent="0.25">
      <c r="A1417" s="108">
        <v>46009</v>
      </c>
      <c r="B1417" s="109">
        <v>139</v>
      </c>
      <c r="C1417" s="49" t="s">
        <v>19</v>
      </c>
      <c r="D1417" s="110" t="str">
        <f>IF(ISBLANK($B1417),"",IFERROR(VLOOKUP($B1417,ESTOQUE!$B$2:$D$97168,3,FALSE),"Produto não cadastrado"))</f>
        <v>PROTETOR AURICULAR TIPO PLUG</v>
      </c>
      <c r="E1417" s="99" t="str">
        <f>_xlfn.XLOOKUP(B1417,ESTOQUE!B:B,ESTOQUE!G:G,"",0)</f>
        <v>UND</v>
      </c>
      <c r="F1417" s="99">
        <v>2</v>
      </c>
      <c r="G1417" s="146"/>
      <c r="H1417" s="146"/>
      <c r="I1417" s="147"/>
      <c r="J1417" s="147"/>
      <c r="K1417" s="63"/>
    </row>
    <row r="1418" spans="1:11" x14ac:dyDescent="0.25">
      <c r="A1418" s="108">
        <v>46010</v>
      </c>
      <c r="B1418" s="109">
        <v>144</v>
      </c>
      <c r="C1418" s="49" t="s">
        <v>19</v>
      </c>
      <c r="D1418" s="110" t="str">
        <f>IF(ISBLANK($B1418),"",IFERROR(VLOOKUP($B1418,ESTOQUE!$B$2:$D$97168,3,FALSE),"Produto não cadastrado"))</f>
        <v>MASCARA PFF2-S C/ FILTRO</v>
      </c>
      <c r="E1418" s="99" t="str">
        <f>_xlfn.XLOOKUP(B1418,ESTOQUE!B:B,ESTOQUE!G:G,"",0)</f>
        <v>UND</v>
      </c>
      <c r="F1418" s="99">
        <v>2</v>
      </c>
      <c r="G1418" s="146"/>
      <c r="H1418" s="146"/>
      <c r="I1418" s="147"/>
      <c r="J1418" s="147"/>
      <c r="K1418" s="63"/>
    </row>
    <row r="1419" spans="1:11" x14ac:dyDescent="0.25">
      <c r="A1419" s="108">
        <v>46011</v>
      </c>
      <c r="B1419" s="109">
        <v>98</v>
      </c>
      <c r="C1419" s="49" t="s">
        <v>19</v>
      </c>
      <c r="D1419" s="110" t="str">
        <f>IF(ISBLANK($B1419),"",IFERROR(VLOOKUP($B1419,ESTOQUE!$B$2:$D$97168,3,FALSE),"Produto não cadastrado"))</f>
        <v>COLETE REFLETIVO LARANJA XGG</v>
      </c>
      <c r="E1419" s="99" t="str">
        <f>_xlfn.XLOOKUP(B1419,ESTOQUE!B:B,ESTOQUE!G:G,"",0)</f>
        <v>UND</v>
      </c>
      <c r="F1419" s="99">
        <v>1</v>
      </c>
      <c r="G1419" s="146"/>
      <c r="H1419" s="146"/>
      <c r="I1419" s="147"/>
      <c r="J1419" s="147"/>
      <c r="K1419" s="63"/>
    </row>
    <row r="1420" spans="1:11" x14ac:dyDescent="0.25">
      <c r="A1420" s="108">
        <v>46011</v>
      </c>
      <c r="B1420" s="109">
        <v>105</v>
      </c>
      <c r="C1420" s="49" t="s">
        <v>19</v>
      </c>
      <c r="D1420" s="110" t="str">
        <f>IF(ISBLANK($B1420),"",IFERROR(VLOOKUP($B1420,ESTOQUE!$B$2:$D$97168,3,FALSE),"Produto não cadastrado"))</f>
        <v>JARDINEIRA AMARELA BOTA Nº 43</v>
      </c>
      <c r="E1420" s="99" t="str">
        <f>_xlfn.XLOOKUP(B1420,ESTOQUE!B:B,ESTOQUE!G:G,"",0)</f>
        <v>UND</v>
      </c>
      <c r="F1420" s="99">
        <v>1</v>
      </c>
      <c r="G1420" s="146"/>
      <c r="H1420" s="146"/>
      <c r="I1420" s="147"/>
      <c r="J1420" s="147"/>
      <c r="K1420" s="63"/>
    </row>
    <row r="1421" spans="1:11" x14ac:dyDescent="0.25">
      <c r="A1421" s="108">
        <v>46011</v>
      </c>
      <c r="B1421" s="109">
        <v>117</v>
      </c>
      <c r="C1421" s="49" t="s">
        <v>19</v>
      </c>
      <c r="D1421" s="110" t="str">
        <f>IF(ISBLANK($B1421),"",IFERROR(VLOOKUP($B1421,ESTOQUE!$B$2:$D$97168,3,FALSE),"Produto não cadastrado"))</f>
        <v>LUVA PIGMENTADA</v>
      </c>
      <c r="E1421" s="99" t="str">
        <f>_xlfn.XLOOKUP(B1421,ESTOQUE!B:B,ESTOQUE!G:G,"",0)</f>
        <v>PAR</v>
      </c>
      <c r="F1421" s="99">
        <v>1</v>
      </c>
      <c r="G1421" s="146"/>
      <c r="H1421" s="146"/>
      <c r="I1421" s="147"/>
      <c r="J1421" s="147"/>
      <c r="K1421" s="63"/>
    </row>
    <row r="1422" spans="1:11" x14ac:dyDescent="0.25">
      <c r="A1422" s="108">
        <v>46011</v>
      </c>
      <c r="B1422" s="109">
        <v>126</v>
      </c>
      <c r="C1422" s="49" t="s">
        <v>19</v>
      </c>
      <c r="D1422" s="110" t="str">
        <f>IF(ISBLANK($B1422),"",IFERROR(VLOOKUP($B1422,ESTOQUE!$B$2:$D$97168,3,FALSE),"Produto não cadastrado"))</f>
        <v>OCULOS DE PROTEÇÃO ESCURO</v>
      </c>
      <c r="E1422" s="99" t="str">
        <f>_xlfn.XLOOKUP(B1422,ESTOQUE!B:B,ESTOQUE!G:G,"",0)</f>
        <v>UND</v>
      </c>
      <c r="F1422" s="99">
        <v>1</v>
      </c>
      <c r="G1422" s="146"/>
      <c r="H1422" s="146"/>
      <c r="I1422" s="147"/>
      <c r="J1422" s="147"/>
      <c r="K1422" s="63"/>
    </row>
    <row r="1423" spans="1:11" x14ac:dyDescent="0.25">
      <c r="A1423" s="108">
        <v>46011</v>
      </c>
      <c r="B1423" s="109">
        <v>224</v>
      </c>
      <c r="C1423" s="49" t="s">
        <v>19</v>
      </c>
      <c r="D1423" s="110" t="str">
        <f>IF(ISBLANK($B1423),"",IFERROR(VLOOKUP($B1423,ESTOQUE!$B$2:$D$97168,3,FALSE),"Produto não cadastrado"))</f>
        <v>OCULOS OPERACIONAL SOBRE POR ESCURO</v>
      </c>
      <c r="E1423" s="99" t="str">
        <f>_xlfn.XLOOKUP(B1423,ESTOQUE!B:B,ESTOQUE!G:G,"",0)</f>
        <v>UND</v>
      </c>
      <c r="F1423" s="99">
        <v>1</v>
      </c>
      <c r="G1423" s="146"/>
      <c r="H1423" s="146"/>
      <c r="I1423" s="147"/>
      <c r="J1423" s="147"/>
      <c r="K1423" s="63"/>
    </row>
    <row r="1424" spans="1:11" x14ac:dyDescent="0.25">
      <c r="A1424" s="108">
        <v>46011</v>
      </c>
      <c r="B1424" s="109">
        <v>137</v>
      </c>
      <c r="C1424" s="49" t="s">
        <v>19</v>
      </c>
      <c r="D1424" s="110" t="str">
        <f>IF(ISBLANK($B1424),"",IFERROR(VLOOKUP($B1424,ESTOQUE!$B$2:$D$97168,3,FALSE),"Produto não cadastrado"))</f>
        <v xml:space="preserve">TOUCA ARABE </v>
      </c>
      <c r="E1424" s="99" t="str">
        <f>_xlfn.XLOOKUP(B1424,ESTOQUE!B:B,ESTOQUE!G:G,"",0)</f>
        <v>UND</v>
      </c>
      <c r="F1424" s="99">
        <v>1</v>
      </c>
      <c r="G1424" s="146"/>
      <c r="H1424" s="146"/>
      <c r="I1424" s="147"/>
      <c r="J1424" s="147"/>
      <c r="K1424" s="63"/>
    </row>
    <row r="1425" spans="1:11" x14ac:dyDescent="0.25">
      <c r="A1425" s="108">
        <v>46013</v>
      </c>
      <c r="B1425" s="109">
        <v>48</v>
      </c>
      <c r="C1425" s="49" t="s">
        <v>19</v>
      </c>
      <c r="D1425" s="110" t="str">
        <f>IF(ISBLANK($B1425),"",IFERROR(VLOOKUP($B1425,ESTOQUE!$B$2:$D$97168,3,FALSE),"Produto não cadastrado"))</f>
        <v>CALÇA CINZA OP. C/ FAIXA REFLETIVA TAM: M</v>
      </c>
      <c r="E1425" s="99" t="str">
        <f>_xlfn.XLOOKUP(B1425,ESTOQUE!B:B,ESTOQUE!G:G,"",0)</f>
        <v>UND</v>
      </c>
      <c r="F1425" s="99">
        <v>2</v>
      </c>
      <c r="G1425" s="146"/>
      <c r="H1425" s="146"/>
      <c r="I1425" s="147"/>
      <c r="J1425" s="147"/>
      <c r="K1425" s="63"/>
    </row>
    <row r="1426" spans="1:11" x14ac:dyDescent="0.25">
      <c r="A1426" s="108">
        <v>46013</v>
      </c>
      <c r="B1426" s="109">
        <v>69</v>
      </c>
      <c r="C1426" s="49" t="s">
        <v>19</v>
      </c>
      <c r="D1426" s="110" t="str">
        <f>IF(ISBLANK($B1426),"",IFERROR(VLOOKUP($B1426,ESTOQUE!$B$2:$D$97168,3,FALSE),"Produto não cadastrado"))</f>
        <v>CAMISA LARANJA OP. C/ FAIXA REFLETIVA TAM: M</v>
      </c>
      <c r="E1426" s="99" t="str">
        <f>_xlfn.XLOOKUP(B1426,ESTOQUE!B:B,ESTOQUE!G:G,"",0)</f>
        <v>UND</v>
      </c>
      <c r="F1426" s="99">
        <v>1</v>
      </c>
      <c r="G1426" s="146"/>
      <c r="H1426" s="146"/>
      <c r="I1426" s="147"/>
      <c r="J1426" s="147"/>
      <c r="K1426" s="63"/>
    </row>
    <row r="1427" spans="1:11" x14ac:dyDescent="0.25">
      <c r="A1427" s="108">
        <v>46013</v>
      </c>
      <c r="B1427" s="109">
        <v>79</v>
      </c>
      <c r="C1427" s="49" t="s">
        <v>19</v>
      </c>
      <c r="D1427" s="110" t="str">
        <f>IF(ISBLANK($B1427),"",IFERROR(VLOOKUP($B1427,ESTOQUE!$B$2:$D$97168,3,FALSE),"Produto não cadastrado"))</f>
        <v>CAPACETE LIBUS AMARELO</v>
      </c>
      <c r="E1427" s="99" t="str">
        <f>_xlfn.XLOOKUP(B1427,ESTOQUE!B:B,ESTOQUE!G:G,"",0)</f>
        <v>UND</v>
      </c>
      <c r="F1427" s="99">
        <v>2</v>
      </c>
      <c r="G1427" s="146"/>
      <c r="H1427" s="146"/>
      <c r="I1427" s="147"/>
      <c r="J1427" s="147"/>
      <c r="K1427" s="63"/>
    </row>
    <row r="1428" spans="1:11" x14ac:dyDescent="0.25">
      <c r="A1428" s="108">
        <v>46013</v>
      </c>
      <c r="B1428" s="109">
        <v>95</v>
      </c>
      <c r="C1428" s="49" t="s">
        <v>19</v>
      </c>
      <c r="D1428" s="110" t="str">
        <f>IF(ISBLANK($B1428),"",IFERROR(VLOOKUP($B1428,ESTOQUE!$B$2:$D$97168,3,FALSE),"Produto não cadastrado"))</f>
        <v>CARNEIRA P/ CAPACETE LIBUS</v>
      </c>
      <c r="E1428" s="99" t="str">
        <f>_xlfn.XLOOKUP(B1428,ESTOQUE!B:B,ESTOQUE!G:G,"",0)</f>
        <v>UND</v>
      </c>
      <c r="F1428" s="99">
        <v>1</v>
      </c>
      <c r="G1428" s="146"/>
      <c r="H1428" s="146"/>
      <c r="I1428" s="147"/>
      <c r="J1428" s="147"/>
      <c r="K1428" s="63"/>
    </row>
    <row r="1429" spans="1:11" x14ac:dyDescent="0.25">
      <c r="A1429" s="108">
        <v>46013</v>
      </c>
      <c r="B1429" s="109">
        <v>98</v>
      </c>
      <c r="C1429" s="49" t="s">
        <v>19</v>
      </c>
      <c r="D1429" s="110" t="str">
        <f>IF(ISBLANK($B1429),"",IFERROR(VLOOKUP($B1429,ESTOQUE!$B$2:$D$97168,3,FALSE),"Produto não cadastrado"))</f>
        <v>COLETE REFLETIVO LARANJA XGG</v>
      </c>
      <c r="E1429" s="99" t="str">
        <f>_xlfn.XLOOKUP(B1429,ESTOQUE!B:B,ESTOQUE!G:G,"",0)</f>
        <v>UND</v>
      </c>
      <c r="F1429" s="99">
        <v>1</v>
      </c>
      <c r="G1429" s="146"/>
      <c r="H1429" s="146"/>
      <c r="I1429" s="147"/>
      <c r="J1429" s="147"/>
      <c r="K1429" s="63"/>
    </row>
    <row r="1430" spans="1:11" x14ac:dyDescent="0.25">
      <c r="A1430" s="108">
        <v>46013</v>
      </c>
      <c r="B1430" s="109">
        <v>117</v>
      </c>
      <c r="C1430" s="49" t="s">
        <v>19</v>
      </c>
      <c r="D1430" s="110" t="str">
        <f>IF(ISBLANK($B1430),"",IFERROR(VLOOKUP($B1430,ESTOQUE!$B$2:$D$97168,3,FALSE),"Produto não cadastrado"))</f>
        <v>LUVA PIGMENTADA</v>
      </c>
      <c r="E1430" s="99" t="str">
        <f>_xlfn.XLOOKUP(B1430,ESTOQUE!B:B,ESTOQUE!G:G,"",0)</f>
        <v>PAR</v>
      </c>
      <c r="F1430" s="99">
        <v>9</v>
      </c>
      <c r="G1430" s="146"/>
      <c r="H1430" s="146"/>
      <c r="I1430" s="147"/>
      <c r="J1430" s="147"/>
      <c r="K1430" s="63"/>
    </row>
    <row r="1431" spans="1:11" x14ac:dyDescent="0.25">
      <c r="A1431" s="108">
        <v>46013</v>
      </c>
      <c r="B1431" s="109">
        <v>192</v>
      </c>
      <c r="C1431" s="49" t="s">
        <v>19</v>
      </c>
      <c r="D1431" s="110" t="str">
        <f>IF(ISBLANK($B1431),"",IFERROR(VLOOKUP($B1431,ESTOQUE!$B$2:$D$97168,3,FALSE),"Produto não cadastrado"))</f>
        <v>LUVA QUIMICA ( 2 OU 3)</v>
      </c>
      <c r="E1431" s="99" t="str">
        <f>_xlfn.XLOOKUP(B1431,ESTOQUE!B:B,ESTOQUE!G:G,"",0)</f>
        <v>UND</v>
      </c>
      <c r="F1431" s="99">
        <v>2</v>
      </c>
      <c r="G1431" s="146"/>
      <c r="H1431" s="146"/>
      <c r="I1431" s="147"/>
      <c r="J1431" s="147"/>
      <c r="K1431" s="63"/>
    </row>
    <row r="1432" spans="1:11" x14ac:dyDescent="0.25">
      <c r="A1432" s="108">
        <v>46013</v>
      </c>
      <c r="B1432" s="109">
        <v>118</v>
      </c>
      <c r="C1432" s="49" t="s">
        <v>19</v>
      </c>
      <c r="D1432" s="110" t="str">
        <f>IF(ISBLANK($B1432),"",IFERROR(VLOOKUP($B1432,ESTOQUE!$B$2:$D$97168,3,FALSE),"Produto não cadastrado"))</f>
        <v>MACACÃO DE PROTEÇÃO TYVEK</v>
      </c>
      <c r="E1432" s="99" t="str">
        <f>_xlfn.XLOOKUP(B1432,ESTOQUE!B:B,ESTOQUE!G:G,"",0)</f>
        <v>UND</v>
      </c>
      <c r="F1432" s="99">
        <v>1</v>
      </c>
      <c r="G1432" s="146"/>
      <c r="H1432" s="146"/>
      <c r="I1432" s="147"/>
      <c r="J1432" s="147"/>
      <c r="K1432" s="63"/>
    </row>
    <row r="1433" spans="1:11" x14ac:dyDescent="0.25">
      <c r="A1433" s="108">
        <v>46013</v>
      </c>
      <c r="B1433" s="109">
        <v>144</v>
      </c>
      <c r="C1433" s="49" t="s">
        <v>19</v>
      </c>
      <c r="D1433" s="110" t="str">
        <f>IF(ISBLANK($B1433),"",IFERROR(VLOOKUP($B1433,ESTOQUE!$B$2:$D$97168,3,FALSE),"Produto não cadastrado"))</f>
        <v>MASCARA PFF2-S C/ FILTRO</v>
      </c>
      <c r="E1433" s="99" t="str">
        <f>_xlfn.XLOOKUP(B1433,ESTOQUE!B:B,ESTOQUE!G:G,"",0)</f>
        <v>UND</v>
      </c>
      <c r="F1433" s="99">
        <v>3</v>
      </c>
      <c r="G1433" s="146"/>
      <c r="H1433" s="146"/>
      <c r="I1433" s="147"/>
      <c r="J1433" s="147"/>
      <c r="K1433" s="63"/>
    </row>
    <row r="1434" spans="1:11" x14ac:dyDescent="0.25">
      <c r="A1434" s="108">
        <v>46013</v>
      </c>
      <c r="B1434" s="109">
        <v>139</v>
      </c>
      <c r="C1434" s="49" t="s">
        <v>19</v>
      </c>
      <c r="D1434" s="110" t="str">
        <f>IF(ISBLANK($B1434),"",IFERROR(VLOOKUP($B1434,ESTOQUE!$B$2:$D$97168,3,FALSE),"Produto não cadastrado"))</f>
        <v>PROTETOR AURICULAR TIPO PLUG</v>
      </c>
      <c r="E1434" s="99" t="str">
        <f>_xlfn.XLOOKUP(B1434,ESTOQUE!B:B,ESTOQUE!G:G,"",0)</f>
        <v>UND</v>
      </c>
      <c r="F1434" s="99">
        <v>1</v>
      </c>
      <c r="G1434" s="146"/>
      <c r="H1434" s="146"/>
      <c r="I1434" s="147"/>
      <c r="J1434" s="147"/>
      <c r="K1434" s="63"/>
    </row>
    <row r="1435" spans="1:11" x14ac:dyDescent="0.25">
      <c r="A1435" s="108">
        <v>46014</v>
      </c>
      <c r="B1435" s="109">
        <v>65</v>
      </c>
      <c r="C1435" s="49" t="s">
        <v>19</v>
      </c>
      <c r="D1435" s="110" t="str">
        <f>IF(ISBLANK($B1435),"",IFERROR(VLOOKUP($B1435,ESTOQUE!$B$2:$D$97168,3,FALSE),"Produto não cadastrado"))</f>
        <v>CAMISA DE ELETRICISTA NR.10 TAM: P</v>
      </c>
      <c r="E1435" s="99" t="str">
        <f>_xlfn.XLOOKUP(B1435,ESTOQUE!B:B,ESTOQUE!G:G,"",0)</f>
        <v>UND</v>
      </c>
      <c r="F1435" s="99">
        <v>1</v>
      </c>
      <c r="G1435" s="146"/>
      <c r="H1435" s="146"/>
      <c r="I1435" s="147"/>
      <c r="J1435" s="147"/>
      <c r="K1435" s="63"/>
    </row>
    <row r="1436" spans="1:11" x14ac:dyDescent="0.25">
      <c r="A1436" s="108">
        <v>46018</v>
      </c>
      <c r="B1436" s="109">
        <v>117</v>
      </c>
      <c r="C1436" s="49" t="s">
        <v>19</v>
      </c>
      <c r="D1436" s="110" t="str">
        <f>IF(ISBLANK($B1436),"",IFERROR(VLOOKUP($B1436,ESTOQUE!$B$2:$D$97168,3,FALSE),"Produto não cadastrado"))</f>
        <v>LUVA PIGMENTADA</v>
      </c>
      <c r="E1436" s="99" t="str">
        <f>_xlfn.XLOOKUP(B1436,ESTOQUE!B:B,ESTOQUE!G:G,"",0)</f>
        <v>PAR</v>
      </c>
      <c r="F1436" s="99">
        <v>3</v>
      </c>
      <c r="G1436" s="146"/>
      <c r="H1436" s="146"/>
      <c r="I1436" s="147"/>
      <c r="J1436" s="147"/>
      <c r="K1436" s="63"/>
    </row>
    <row r="1437" spans="1:11" x14ac:dyDescent="0.25">
      <c r="A1437" s="108">
        <v>46018</v>
      </c>
      <c r="B1437" s="109">
        <v>126</v>
      </c>
      <c r="C1437" s="49" t="s">
        <v>19</v>
      </c>
      <c r="D1437" s="110" t="str">
        <f>IF(ISBLANK($B1437),"",IFERROR(VLOOKUP($B1437,ESTOQUE!$B$2:$D$97168,3,FALSE),"Produto não cadastrado"))</f>
        <v>OCULOS DE PROTEÇÃO ESCURO</v>
      </c>
      <c r="E1437" s="99" t="str">
        <f>_xlfn.XLOOKUP(B1437,ESTOQUE!B:B,ESTOQUE!G:G,"",0)</f>
        <v>UND</v>
      </c>
      <c r="F1437" s="99">
        <v>2</v>
      </c>
      <c r="G1437" s="146"/>
      <c r="H1437" s="146"/>
      <c r="I1437" s="147"/>
      <c r="J1437" s="147"/>
      <c r="K1437" s="63"/>
    </row>
    <row r="1438" spans="1:11" x14ac:dyDescent="0.25">
      <c r="A1438" s="108">
        <v>46020</v>
      </c>
      <c r="B1438" s="109">
        <v>67</v>
      </c>
      <c r="C1438" s="49" t="s">
        <v>19</v>
      </c>
      <c r="D1438" s="110" t="str">
        <f>IF(ISBLANK($B1438),"",IFERROR(VLOOKUP($B1438,ESTOQUE!$B$2:$D$97168,3,FALSE),"Produto não cadastrado"))</f>
        <v>CAMISA LARANJA OP. C/ FAIXA REFLETIVA TAM: G</v>
      </c>
      <c r="E1438" s="99" t="str">
        <f>_xlfn.XLOOKUP(B1438,ESTOQUE!B:B,ESTOQUE!G:G,"",0)</f>
        <v>UND</v>
      </c>
      <c r="F1438" s="99">
        <v>2</v>
      </c>
      <c r="G1438" s="146"/>
      <c r="H1438" s="146"/>
      <c r="I1438" s="147"/>
      <c r="J1438" s="147"/>
      <c r="K1438" s="63"/>
    </row>
    <row r="1439" spans="1:11" x14ac:dyDescent="0.25">
      <c r="A1439" s="108">
        <v>46020</v>
      </c>
      <c r="B1439" s="109">
        <v>114</v>
      </c>
      <c r="C1439" s="49" t="s">
        <v>19</v>
      </c>
      <c r="D1439" s="110" t="str">
        <f>IF(ISBLANK($B1439),"",IFERROR(VLOOKUP($B1439,ESTOQUE!$B$2:$D$97168,3,FALSE),"Produto não cadastrado"))</f>
        <v xml:space="preserve">LUVA LATEX NITRILICA </v>
      </c>
      <c r="E1439" s="99" t="str">
        <f>_xlfn.XLOOKUP(B1439,ESTOQUE!B:B,ESTOQUE!G:G,"",0)</f>
        <v>PAR</v>
      </c>
      <c r="F1439" s="99">
        <v>1</v>
      </c>
      <c r="G1439" s="146"/>
      <c r="H1439" s="146"/>
      <c r="I1439" s="147"/>
      <c r="J1439" s="147"/>
      <c r="K1439" s="63"/>
    </row>
    <row r="1440" spans="1:11" x14ac:dyDescent="0.25">
      <c r="A1440" s="108">
        <v>46020</v>
      </c>
      <c r="B1440" s="109">
        <v>117</v>
      </c>
      <c r="C1440" s="49" t="s">
        <v>19</v>
      </c>
      <c r="D1440" s="110" t="str">
        <f>IF(ISBLANK($B1440),"",IFERROR(VLOOKUP($B1440,ESTOQUE!$B$2:$D$97168,3,FALSE),"Produto não cadastrado"))</f>
        <v>LUVA PIGMENTADA</v>
      </c>
      <c r="E1440" s="99" t="str">
        <f>_xlfn.XLOOKUP(B1440,ESTOQUE!B:B,ESTOQUE!G:G,"",0)</f>
        <v>PAR</v>
      </c>
      <c r="F1440" s="99">
        <v>3</v>
      </c>
      <c r="G1440" s="146"/>
      <c r="H1440" s="146"/>
      <c r="I1440" s="147"/>
      <c r="J1440" s="147"/>
      <c r="K1440" s="63"/>
    </row>
    <row r="1441" spans="1:11" x14ac:dyDescent="0.25">
      <c r="A1441" s="108">
        <v>46020</v>
      </c>
      <c r="B1441" s="109">
        <v>144</v>
      </c>
      <c r="C1441" s="49" t="s">
        <v>19</v>
      </c>
      <c r="D1441" s="110" t="str">
        <f>IF(ISBLANK($B1441),"",IFERROR(VLOOKUP($B1441,ESTOQUE!$B$2:$D$97168,3,FALSE),"Produto não cadastrado"))</f>
        <v>MASCARA PFF2-S C/ FILTRO</v>
      </c>
      <c r="E1441" s="99" t="str">
        <f>_xlfn.XLOOKUP(B1441,ESTOQUE!B:B,ESTOQUE!G:G,"",0)</f>
        <v>UND</v>
      </c>
      <c r="F1441" s="99">
        <v>6</v>
      </c>
      <c r="G1441" s="146"/>
      <c r="H1441" s="146"/>
      <c r="I1441" s="147"/>
      <c r="J1441" s="147"/>
      <c r="K1441" s="63"/>
    </row>
    <row r="1442" spans="1:11" x14ac:dyDescent="0.25">
      <c r="A1442" s="108">
        <v>46020</v>
      </c>
      <c r="B1442" s="109">
        <v>126</v>
      </c>
      <c r="C1442" s="49" t="s">
        <v>19</v>
      </c>
      <c r="D1442" s="110" t="str">
        <f>IF(ISBLANK($B1442),"",IFERROR(VLOOKUP($B1442,ESTOQUE!$B$2:$D$97168,3,FALSE),"Produto não cadastrado"))</f>
        <v>OCULOS DE PROTEÇÃO ESCURO</v>
      </c>
      <c r="E1442" s="99" t="str">
        <f>_xlfn.XLOOKUP(B1442,ESTOQUE!B:B,ESTOQUE!G:G,"",0)</f>
        <v>UND</v>
      </c>
      <c r="F1442" s="99">
        <v>1</v>
      </c>
      <c r="G1442" s="146"/>
      <c r="H1442" s="146"/>
      <c r="I1442" s="147"/>
      <c r="J1442" s="147"/>
      <c r="K1442" s="63"/>
    </row>
    <row r="1443" spans="1:11" x14ac:dyDescent="0.25">
      <c r="A1443" s="108">
        <v>46021</v>
      </c>
      <c r="B1443" s="109">
        <v>46</v>
      </c>
      <c r="C1443" s="49" t="s">
        <v>19</v>
      </c>
      <c r="D1443" s="110" t="str">
        <f>IF(ISBLANK($B1443),"",IFERROR(VLOOKUP($B1443,ESTOQUE!$B$2:$D$97168,3,FALSE),"Produto não cadastrado"))</f>
        <v>CALÇA CINZA OP. C/ FAIXA REFLETIVA TAM: G</v>
      </c>
      <c r="E1443" s="99" t="str">
        <f>_xlfn.XLOOKUP(B1443,ESTOQUE!B:B,ESTOQUE!G:G,"",0)</f>
        <v>UND</v>
      </c>
      <c r="F1443" s="99">
        <v>1</v>
      </c>
      <c r="G1443" s="146"/>
      <c r="H1443" s="146"/>
      <c r="I1443" s="147"/>
      <c r="J1443" s="147"/>
      <c r="K1443" s="63"/>
    </row>
    <row r="1444" spans="1:11" x14ac:dyDescent="0.25">
      <c r="A1444" s="108">
        <v>46021</v>
      </c>
      <c r="B1444" s="109">
        <v>67</v>
      </c>
      <c r="C1444" s="49" t="s">
        <v>19</v>
      </c>
      <c r="D1444" s="110" t="str">
        <f>IF(ISBLANK($B1444),"",IFERROR(VLOOKUP($B1444,ESTOQUE!$B$2:$D$97168,3,FALSE),"Produto não cadastrado"))</f>
        <v>CAMISA LARANJA OP. C/ FAIXA REFLETIVA TAM: G</v>
      </c>
      <c r="E1444" s="99" t="str">
        <f>_xlfn.XLOOKUP(B1444,ESTOQUE!B:B,ESTOQUE!G:G,"",0)</f>
        <v>UND</v>
      </c>
      <c r="F1444" s="99">
        <v>1</v>
      </c>
      <c r="G1444" s="146"/>
      <c r="H1444" s="146"/>
      <c r="I1444" s="147"/>
      <c r="J1444" s="147"/>
      <c r="K1444" s="63"/>
    </row>
    <row r="1445" spans="1:11" x14ac:dyDescent="0.25">
      <c r="A1445" s="108">
        <v>46021</v>
      </c>
      <c r="B1445" s="109">
        <v>126</v>
      </c>
      <c r="C1445" s="49" t="s">
        <v>19</v>
      </c>
      <c r="D1445" s="110" t="str">
        <f>IF(ISBLANK($B1445),"",IFERROR(VLOOKUP($B1445,ESTOQUE!$B$2:$D$97168,3,FALSE),"Produto não cadastrado"))</f>
        <v>OCULOS DE PROTEÇÃO ESCURO</v>
      </c>
      <c r="E1445" s="99" t="str">
        <f>_xlfn.XLOOKUP(B1445,ESTOQUE!B:B,ESTOQUE!G:G,"",0)</f>
        <v>UND</v>
      </c>
      <c r="F1445" s="99">
        <v>1</v>
      </c>
      <c r="G1445" s="146"/>
      <c r="H1445" s="146"/>
      <c r="I1445" s="147"/>
      <c r="J1445" s="147"/>
      <c r="K1445" s="63"/>
    </row>
    <row r="1446" spans="1:11" x14ac:dyDescent="0.25">
      <c r="A1446" s="108">
        <v>46024</v>
      </c>
      <c r="B1446" s="109">
        <v>190</v>
      </c>
      <c r="C1446" s="49" t="s">
        <v>19</v>
      </c>
      <c r="D1446" s="110" t="str">
        <f>IF(ISBLANK($B1446),"",IFERROR(VLOOKUP($B1446,ESTOQUE!$B$2:$D$97168,3,FALSE),"Produto não cadastrado"))</f>
        <v>AVENTAL DE RASPA TAM 120X60</v>
      </c>
      <c r="E1446" s="99" t="str">
        <f>_xlfn.XLOOKUP(B1446,ESTOQUE!B:B,ESTOQUE!G:G,"",0)</f>
        <v>UND</v>
      </c>
      <c r="F1446" s="99">
        <v>1</v>
      </c>
      <c r="G1446" s="146"/>
      <c r="H1446" s="146"/>
      <c r="I1446" s="147"/>
      <c r="J1446" s="147"/>
      <c r="K1446" s="63"/>
    </row>
    <row r="1447" spans="1:11" x14ac:dyDescent="0.25">
      <c r="A1447" s="108">
        <v>46024</v>
      </c>
      <c r="B1447" s="109">
        <v>67</v>
      </c>
      <c r="C1447" s="49" t="s">
        <v>19</v>
      </c>
      <c r="D1447" s="110" t="str">
        <f>IF(ISBLANK($B1447),"",IFERROR(VLOOKUP($B1447,ESTOQUE!$B$2:$D$97168,3,FALSE),"Produto não cadastrado"))</f>
        <v>CAMISA LARANJA OP. C/ FAIXA REFLETIVA TAM: G</v>
      </c>
      <c r="E1447" s="99" t="str">
        <f>_xlfn.XLOOKUP(B1447,ESTOQUE!B:B,ESTOQUE!G:G,"",0)</f>
        <v>UND</v>
      </c>
      <c r="F1447" s="99">
        <v>1</v>
      </c>
      <c r="G1447" s="146"/>
      <c r="H1447" s="146"/>
      <c r="I1447" s="147"/>
      <c r="J1447" s="147"/>
      <c r="K1447" s="63"/>
    </row>
    <row r="1448" spans="1:11" x14ac:dyDescent="0.25">
      <c r="A1448" s="108">
        <v>46024</v>
      </c>
      <c r="B1448" s="109">
        <v>68</v>
      </c>
      <c r="C1448" s="49" t="s">
        <v>19</v>
      </c>
      <c r="D1448" s="110" t="str">
        <f>IF(ISBLANK($B1448),"",IFERROR(VLOOKUP($B1448,ESTOQUE!$B$2:$D$97168,3,FALSE),"Produto não cadastrado"))</f>
        <v>CAMISA LARANJA OP. C/ FAIXA REFLETIVA TAM: GG</v>
      </c>
      <c r="E1448" s="99" t="str">
        <f>_xlfn.XLOOKUP(B1448,ESTOQUE!B:B,ESTOQUE!G:G,"",0)</f>
        <v>UND</v>
      </c>
      <c r="F1448" s="99">
        <v>1</v>
      </c>
      <c r="G1448" s="146"/>
      <c r="H1448" s="146"/>
      <c r="I1448" s="147"/>
      <c r="J1448" s="147"/>
      <c r="K1448" s="63"/>
    </row>
    <row r="1449" spans="1:11" x14ac:dyDescent="0.25">
      <c r="A1449" s="108">
        <v>46024</v>
      </c>
      <c r="B1449" s="109">
        <v>114</v>
      </c>
      <c r="C1449" s="49" t="s">
        <v>19</v>
      </c>
      <c r="D1449" s="110" t="str">
        <f>IF(ISBLANK($B1449),"",IFERROR(VLOOKUP($B1449,ESTOQUE!$B$2:$D$97168,3,FALSE),"Produto não cadastrado"))</f>
        <v xml:space="preserve">LUVA LATEX NITRILICA </v>
      </c>
      <c r="E1449" s="99" t="str">
        <f>_xlfn.XLOOKUP(B1449,ESTOQUE!B:B,ESTOQUE!G:G,"",0)</f>
        <v>PAR</v>
      </c>
      <c r="F1449" s="99">
        <v>1</v>
      </c>
      <c r="G1449" s="146"/>
      <c r="H1449" s="146"/>
      <c r="I1449" s="147"/>
      <c r="J1449" s="147"/>
      <c r="K1449" s="63"/>
    </row>
    <row r="1450" spans="1:11" x14ac:dyDescent="0.25">
      <c r="A1450" s="108">
        <v>46024</v>
      </c>
      <c r="B1450" s="109">
        <v>117</v>
      </c>
      <c r="C1450" s="49" t="s">
        <v>19</v>
      </c>
      <c r="D1450" s="110" t="str">
        <f>IF(ISBLANK($B1450),"",IFERROR(VLOOKUP($B1450,ESTOQUE!$B$2:$D$97168,3,FALSE),"Produto não cadastrado"))</f>
        <v>LUVA PIGMENTADA</v>
      </c>
      <c r="E1450" s="99" t="str">
        <f>_xlfn.XLOOKUP(B1450,ESTOQUE!B:B,ESTOQUE!G:G,"",0)</f>
        <v>PAR</v>
      </c>
      <c r="F1450" s="99">
        <v>4</v>
      </c>
      <c r="G1450" s="146"/>
      <c r="H1450" s="146"/>
      <c r="I1450" s="147"/>
      <c r="J1450" s="147"/>
      <c r="K1450" s="63"/>
    </row>
    <row r="1451" spans="1:11" x14ac:dyDescent="0.25">
      <c r="A1451" s="108">
        <v>46024</v>
      </c>
      <c r="B1451" s="109">
        <v>118</v>
      </c>
      <c r="C1451" s="49" t="s">
        <v>19</v>
      </c>
      <c r="D1451" s="110" t="str">
        <f>IF(ISBLANK($B1451),"",IFERROR(VLOOKUP($B1451,ESTOQUE!$B$2:$D$97168,3,FALSE),"Produto não cadastrado"))</f>
        <v>MACACÃO DE PROTEÇÃO TYVEK</v>
      </c>
      <c r="E1451" s="99" t="str">
        <f>_xlfn.XLOOKUP(B1451,ESTOQUE!B:B,ESTOQUE!G:G,"",0)</f>
        <v>UND</v>
      </c>
      <c r="F1451" s="99">
        <v>2</v>
      </c>
      <c r="G1451" s="146"/>
      <c r="H1451" s="146"/>
      <c r="I1451" s="147"/>
      <c r="J1451" s="147"/>
      <c r="K1451" s="63"/>
    </row>
    <row r="1452" spans="1:11" x14ac:dyDescent="0.25">
      <c r="A1452" s="108">
        <v>46024</v>
      </c>
      <c r="B1452" s="109">
        <v>144</v>
      </c>
      <c r="C1452" s="49" t="s">
        <v>19</v>
      </c>
      <c r="D1452" s="110" t="str">
        <f>IF(ISBLANK($B1452),"",IFERROR(VLOOKUP($B1452,ESTOQUE!$B$2:$D$97168,3,FALSE),"Produto não cadastrado"))</f>
        <v>MASCARA PFF2-S C/ FILTRO</v>
      </c>
      <c r="E1452" s="99" t="str">
        <f>_xlfn.XLOOKUP(B1452,ESTOQUE!B:B,ESTOQUE!G:G,"",0)</f>
        <v>UND</v>
      </c>
      <c r="F1452" s="99">
        <v>8</v>
      </c>
      <c r="G1452" s="146"/>
      <c r="H1452" s="146"/>
      <c r="I1452" s="147"/>
      <c r="J1452" s="147"/>
      <c r="K1452" s="63"/>
    </row>
    <row r="1453" spans="1:11" x14ac:dyDescent="0.25">
      <c r="A1453" s="108">
        <v>46024</v>
      </c>
      <c r="B1453" s="109">
        <v>126</v>
      </c>
      <c r="C1453" s="49" t="s">
        <v>19</v>
      </c>
      <c r="D1453" s="110" t="str">
        <f>IF(ISBLANK($B1453),"",IFERROR(VLOOKUP($B1453,ESTOQUE!$B$2:$D$97168,3,FALSE),"Produto não cadastrado"))</f>
        <v>OCULOS DE PROTEÇÃO ESCURO</v>
      </c>
      <c r="E1453" s="99" t="str">
        <f>_xlfn.XLOOKUP(B1453,ESTOQUE!B:B,ESTOQUE!G:G,"",0)</f>
        <v>UND</v>
      </c>
      <c r="F1453" s="99">
        <v>2</v>
      </c>
      <c r="G1453" s="146"/>
      <c r="H1453" s="146"/>
      <c r="I1453" s="147"/>
      <c r="J1453" s="147"/>
      <c r="K1453" s="63"/>
    </row>
    <row r="1454" spans="1:11" x14ac:dyDescent="0.25">
      <c r="A1454" s="108">
        <v>46024</v>
      </c>
      <c r="B1454" s="109">
        <v>137</v>
      </c>
      <c r="C1454" s="49" t="s">
        <v>19</v>
      </c>
      <c r="D1454" s="110" t="str">
        <f>IF(ISBLANK($B1454),"",IFERROR(VLOOKUP($B1454,ESTOQUE!$B$2:$D$97168,3,FALSE),"Produto não cadastrado"))</f>
        <v xml:space="preserve">TOUCA ARABE </v>
      </c>
      <c r="E1454" s="99" t="str">
        <f>_xlfn.XLOOKUP(B1454,ESTOQUE!B:B,ESTOQUE!G:G,"",0)</f>
        <v>UND</v>
      </c>
      <c r="F1454" s="99">
        <v>1</v>
      </c>
      <c r="G1454" s="146"/>
      <c r="H1454" s="146"/>
      <c r="I1454" s="147"/>
      <c r="J1454" s="147"/>
      <c r="K1454" s="63"/>
    </row>
    <row r="1455" spans="1:11" x14ac:dyDescent="0.25">
      <c r="A1455" s="108">
        <v>46027</v>
      </c>
      <c r="B1455" s="109">
        <v>11</v>
      </c>
      <c r="C1455" s="49" t="s">
        <v>19</v>
      </c>
      <c r="D1455" s="110" t="str">
        <f>IF(ISBLANK($B1455),"",IFERROR(VLOOKUP($B1455,ESTOQUE!$B$2:$D$97168,3,FALSE),"Produto não cadastrado"))</f>
        <v>BOTA PVC CANO LONGO Nº 43</v>
      </c>
      <c r="E1455" s="99" t="str">
        <f>_xlfn.XLOOKUP(B1455,ESTOQUE!B:B,ESTOQUE!G:G,"",0)</f>
        <v>PAR</v>
      </c>
      <c r="F1455" s="99">
        <v>1</v>
      </c>
      <c r="G1455" s="146"/>
      <c r="H1455" s="146"/>
      <c r="I1455" s="147"/>
      <c r="J1455" s="147"/>
      <c r="K1455" s="63"/>
    </row>
    <row r="1456" spans="1:11" x14ac:dyDescent="0.25">
      <c r="A1456" s="108">
        <v>46027</v>
      </c>
      <c r="B1456" s="109">
        <v>49</v>
      </c>
      <c r="C1456" s="49" t="s">
        <v>19</v>
      </c>
      <c r="D1456" s="110" t="str">
        <f>IF(ISBLANK($B1456),"",IFERROR(VLOOKUP($B1456,ESTOQUE!$B$2:$D$97168,3,FALSE),"Produto não cadastrado"))</f>
        <v>CALÇA CINZA OP. C/ FAIXA REFLETIVA TAM: P</v>
      </c>
      <c r="E1456" s="99" t="str">
        <f>_xlfn.XLOOKUP(B1456,ESTOQUE!B:B,ESTOQUE!G:G,"",0)</f>
        <v>UND</v>
      </c>
      <c r="F1456" s="99">
        <v>1</v>
      </c>
      <c r="G1456" s="146"/>
      <c r="H1456" s="146"/>
      <c r="I1456" s="147"/>
      <c r="J1456" s="147"/>
      <c r="K1456" s="63"/>
    </row>
    <row r="1457" spans="1:11" x14ac:dyDescent="0.25">
      <c r="A1457" s="108">
        <v>46027</v>
      </c>
      <c r="B1457" s="109">
        <v>73</v>
      </c>
      <c r="C1457" s="49" t="s">
        <v>19</v>
      </c>
      <c r="D1457" s="110" t="str">
        <f>IF(ISBLANK($B1457),"",IFERROR(VLOOKUP($B1457,ESTOQUE!$B$2:$D$97168,3,FALSE),"Produto não cadastrado"))</f>
        <v>CAPA DE CHUVA GG</v>
      </c>
      <c r="E1457" s="99" t="str">
        <f>_xlfn.XLOOKUP(B1457,ESTOQUE!B:B,ESTOQUE!G:G,"",0)</f>
        <v>UND</v>
      </c>
      <c r="F1457" s="99">
        <v>1</v>
      </c>
      <c r="G1457" s="146"/>
      <c r="H1457" s="146"/>
      <c r="I1457" s="147"/>
      <c r="J1457" s="147"/>
      <c r="K1457" s="63"/>
    </row>
    <row r="1458" spans="1:11" x14ac:dyDescent="0.25">
      <c r="A1458" s="108">
        <v>46027</v>
      </c>
      <c r="B1458" s="109">
        <v>81</v>
      </c>
      <c r="C1458" s="49" t="s">
        <v>19</v>
      </c>
      <c r="D1458" s="110" t="str">
        <f>IF(ISBLANK($B1458),"",IFERROR(VLOOKUP($B1458,ESTOQUE!$B$2:$D$97168,3,FALSE),"Produto não cadastrado"))</f>
        <v>CAPACETE LIBUS BRANCO</v>
      </c>
      <c r="E1458" s="99" t="str">
        <f>_xlfn.XLOOKUP(B1458,ESTOQUE!B:B,ESTOQUE!G:G,"",0)</f>
        <v>UND</v>
      </c>
      <c r="F1458" s="99">
        <v>1</v>
      </c>
      <c r="G1458" s="146"/>
      <c r="H1458" s="146"/>
      <c r="I1458" s="147"/>
      <c r="J1458" s="147"/>
      <c r="K1458" s="63"/>
    </row>
    <row r="1459" spans="1:11" x14ac:dyDescent="0.25">
      <c r="A1459" s="108">
        <v>46027</v>
      </c>
      <c r="B1459" s="109">
        <v>110</v>
      </c>
      <c r="C1459" s="49" t="s">
        <v>19</v>
      </c>
      <c r="D1459" s="110" t="str">
        <f>IF(ISBLANK($B1459),"",IFERROR(VLOOKUP($B1459,ESTOQUE!$B$2:$D$97168,3,FALSE),"Produto não cadastrado"))</f>
        <v>LUVA DE RASPA CANO LONGO</v>
      </c>
      <c r="E1459" s="99" t="str">
        <f>_xlfn.XLOOKUP(B1459,ESTOQUE!B:B,ESTOQUE!G:G,"",0)</f>
        <v>PAR</v>
      </c>
      <c r="F1459" s="99">
        <v>1</v>
      </c>
      <c r="G1459" s="146"/>
      <c r="H1459" s="146"/>
      <c r="I1459" s="147"/>
      <c r="J1459" s="147"/>
      <c r="K1459" s="63"/>
    </row>
    <row r="1460" spans="1:11" x14ac:dyDescent="0.25">
      <c r="A1460" s="108">
        <v>46027</v>
      </c>
      <c r="B1460" s="109">
        <v>111</v>
      </c>
      <c r="C1460" s="49" t="s">
        <v>19</v>
      </c>
      <c r="D1460" s="110" t="str">
        <f>IF(ISBLANK($B1460),"",IFERROR(VLOOKUP($B1460,ESTOQUE!$B$2:$D$97168,3,FALSE),"Produto não cadastrado"))</f>
        <v>LUVA DE VAQUETA MARROM</v>
      </c>
      <c r="E1460" s="99" t="str">
        <f>_xlfn.XLOOKUP(B1460,ESTOQUE!B:B,ESTOQUE!G:G,"",0)</f>
        <v>PAR</v>
      </c>
      <c r="F1460" s="99">
        <v>2</v>
      </c>
      <c r="G1460" s="146"/>
      <c r="H1460" s="146"/>
      <c r="I1460" s="147"/>
      <c r="J1460" s="147"/>
      <c r="K1460" s="63"/>
    </row>
    <row r="1461" spans="1:11" x14ac:dyDescent="0.25">
      <c r="A1461" s="108">
        <v>46027</v>
      </c>
      <c r="B1461" s="109">
        <v>117</v>
      </c>
      <c r="C1461" s="49" t="s">
        <v>19</v>
      </c>
      <c r="D1461" s="110" t="str">
        <f>IF(ISBLANK($B1461),"",IFERROR(VLOOKUP($B1461,ESTOQUE!$B$2:$D$97168,3,FALSE),"Produto não cadastrado"))</f>
        <v>LUVA PIGMENTADA</v>
      </c>
      <c r="E1461" s="99" t="str">
        <f>_xlfn.XLOOKUP(B1461,ESTOQUE!B:B,ESTOQUE!G:G,"",0)</f>
        <v>PAR</v>
      </c>
      <c r="F1461" s="99">
        <v>1</v>
      </c>
      <c r="G1461" s="146"/>
      <c r="H1461" s="146"/>
      <c r="I1461" s="147"/>
      <c r="J1461" s="147"/>
      <c r="K1461" s="63"/>
    </row>
    <row r="1462" spans="1:11" x14ac:dyDescent="0.25">
      <c r="A1462" s="108">
        <v>46027</v>
      </c>
      <c r="B1462" s="109">
        <v>207</v>
      </c>
      <c r="C1462" s="49" t="s">
        <v>19</v>
      </c>
      <c r="D1462" s="110" t="str">
        <f>IF(ISBLANK($B1462),"",IFERROR(VLOOKUP($B1462,ESTOQUE!$B$2:$D$97168,3,FALSE),"Produto não cadastrado"))</f>
        <v>LUVA POLIESTER ANTICORTE BANHADA PU TAM 9</v>
      </c>
      <c r="E1462" s="99" t="str">
        <f>_xlfn.XLOOKUP(B1462,ESTOQUE!B:B,ESTOQUE!G:G,"",0)</f>
        <v>PAR</v>
      </c>
      <c r="F1462" s="99">
        <v>4</v>
      </c>
      <c r="G1462" s="146"/>
      <c r="H1462" s="146"/>
      <c r="I1462" s="147"/>
      <c r="J1462" s="147"/>
      <c r="K1462" s="63"/>
    </row>
    <row r="1463" spans="1:11" x14ac:dyDescent="0.25">
      <c r="A1463" s="108">
        <v>46027</v>
      </c>
      <c r="B1463" s="109">
        <v>126</v>
      </c>
      <c r="C1463" s="49" t="s">
        <v>19</v>
      </c>
      <c r="D1463" s="110" t="str">
        <f>IF(ISBLANK($B1463),"",IFERROR(VLOOKUP($B1463,ESTOQUE!$B$2:$D$97168,3,FALSE),"Produto não cadastrado"))</f>
        <v>OCULOS DE PROTEÇÃO ESCURO</v>
      </c>
      <c r="E1463" s="99" t="str">
        <f>_xlfn.XLOOKUP(B1463,ESTOQUE!B:B,ESTOQUE!G:G,"",0)</f>
        <v>UND</v>
      </c>
      <c r="F1463" s="99">
        <v>2</v>
      </c>
      <c r="G1463" s="146"/>
      <c r="H1463" s="146"/>
      <c r="I1463" s="147"/>
      <c r="J1463" s="147"/>
      <c r="K1463" s="63"/>
    </row>
    <row r="1464" spans="1:11" x14ac:dyDescent="0.25">
      <c r="A1464" s="108">
        <v>46027</v>
      </c>
      <c r="B1464" s="109">
        <v>124</v>
      </c>
      <c r="C1464" s="49" t="s">
        <v>19</v>
      </c>
      <c r="D1464" s="110" t="str">
        <f>IF(ISBLANK($B1464),"",IFERROR(VLOOKUP($B1464,ESTOQUE!$B$2:$D$97168,3,FALSE),"Produto não cadastrado"))</f>
        <v xml:space="preserve">OCULOS DE PROTEÇÃO INCOLOR </v>
      </c>
      <c r="E1464" s="99" t="str">
        <f>_xlfn.XLOOKUP(B1464,ESTOQUE!B:B,ESTOQUE!G:G,"",0)</f>
        <v>UND</v>
      </c>
      <c r="F1464" s="99">
        <v>1</v>
      </c>
      <c r="G1464" s="146"/>
      <c r="H1464" s="146"/>
      <c r="I1464" s="147"/>
      <c r="J1464" s="147"/>
      <c r="K1464" s="63"/>
    </row>
    <row r="1465" spans="1:11" x14ac:dyDescent="0.25">
      <c r="A1465" s="108">
        <v>46027</v>
      </c>
      <c r="B1465" s="109">
        <v>224</v>
      </c>
      <c r="C1465" s="49" t="s">
        <v>19</v>
      </c>
      <c r="D1465" s="110" t="str">
        <f>IF(ISBLANK($B1465),"",IFERROR(VLOOKUP($B1465,ESTOQUE!$B$2:$D$97168,3,FALSE),"Produto não cadastrado"))</f>
        <v>OCULOS OPERACIONAL SOBRE POR ESCURO</v>
      </c>
      <c r="E1465" s="99" t="str">
        <f>_xlfn.XLOOKUP(B1465,ESTOQUE!B:B,ESTOQUE!G:G,"",0)</f>
        <v>UND</v>
      </c>
      <c r="F1465" s="99">
        <v>3</v>
      </c>
      <c r="G1465" s="146"/>
      <c r="H1465" s="146"/>
      <c r="I1465" s="147"/>
      <c r="J1465" s="147"/>
      <c r="K1465" s="63"/>
    </row>
    <row r="1466" spans="1:11" x14ac:dyDescent="0.25">
      <c r="A1466" s="108">
        <v>46027</v>
      </c>
      <c r="B1466" s="109">
        <v>139</v>
      </c>
      <c r="C1466" s="49" t="s">
        <v>19</v>
      </c>
      <c r="D1466" s="110" t="str">
        <f>IF(ISBLANK($B1466),"",IFERROR(VLOOKUP($B1466,ESTOQUE!$B$2:$D$97168,3,FALSE),"Produto não cadastrado"))</f>
        <v>PROTETOR AURICULAR TIPO PLUG</v>
      </c>
      <c r="E1466" s="99" t="str">
        <f>_xlfn.XLOOKUP(B1466,ESTOQUE!B:B,ESTOQUE!G:G,"",0)</f>
        <v>UND</v>
      </c>
      <c r="F1466" s="99">
        <v>2</v>
      </c>
      <c r="G1466" s="146"/>
      <c r="H1466" s="146"/>
      <c r="I1466" s="147"/>
      <c r="J1466" s="147"/>
      <c r="K1466" s="63"/>
    </row>
    <row r="1467" spans="1:11" x14ac:dyDescent="0.25">
      <c r="A1467" s="108">
        <v>46028</v>
      </c>
      <c r="B1467" s="109">
        <v>37</v>
      </c>
      <c r="C1467" s="49" t="s">
        <v>19</v>
      </c>
      <c r="D1467" s="110" t="str">
        <f>IF(ISBLANK($B1467),"",IFERROR(VLOOKUP($B1467,ESTOQUE!$B$2:$D$97168,3,FALSE),"Produto não cadastrado"))</f>
        <v>BOTINA OP. BICO PVC Nº 39</v>
      </c>
      <c r="E1467" s="99" t="str">
        <f>_xlfn.XLOOKUP(B1467,ESTOQUE!B:B,ESTOQUE!G:G,"",0)</f>
        <v>PAR</v>
      </c>
      <c r="F1467" s="99">
        <v>1</v>
      </c>
      <c r="G1467" s="146"/>
      <c r="H1467" s="146"/>
      <c r="I1467" s="147"/>
      <c r="J1467" s="147"/>
      <c r="K1467" s="63"/>
    </row>
    <row r="1468" spans="1:11" x14ac:dyDescent="0.25">
      <c r="A1468" s="108">
        <v>46028</v>
      </c>
      <c r="B1468" s="109">
        <v>38</v>
      </c>
      <c r="C1468" s="49" t="s">
        <v>19</v>
      </c>
      <c r="D1468" s="110" t="str">
        <f>IF(ISBLANK($B1468),"",IFERROR(VLOOKUP($B1468,ESTOQUE!$B$2:$D$97168,3,FALSE),"Produto não cadastrado"))</f>
        <v>BOTINA OP. BICO PVC Nº 40</v>
      </c>
      <c r="E1468" s="99" t="str">
        <f>_xlfn.XLOOKUP(B1468,ESTOQUE!B:B,ESTOQUE!G:G,"",0)</f>
        <v>PAR</v>
      </c>
      <c r="F1468" s="99">
        <v>2</v>
      </c>
      <c r="G1468" s="146"/>
      <c r="H1468" s="146"/>
      <c r="I1468" s="147"/>
      <c r="J1468" s="147"/>
      <c r="K1468" s="63"/>
    </row>
    <row r="1469" spans="1:11" x14ac:dyDescent="0.25">
      <c r="A1469" s="108">
        <v>46028</v>
      </c>
      <c r="B1469" s="109">
        <v>46</v>
      </c>
      <c r="C1469" s="49" t="s">
        <v>19</v>
      </c>
      <c r="D1469" s="110" t="str">
        <f>IF(ISBLANK($B1469),"",IFERROR(VLOOKUP($B1469,ESTOQUE!$B$2:$D$97168,3,FALSE),"Produto não cadastrado"))</f>
        <v>CALÇA CINZA OP. C/ FAIXA REFLETIVA TAM: G</v>
      </c>
      <c r="E1469" s="99" t="str">
        <f>_xlfn.XLOOKUP(B1469,ESTOQUE!B:B,ESTOQUE!G:G,"",0)</f>
        <v>UND</v>
      </c>
      <c r="F1469" s="99">
        <v>1</v>
      </c>
      <c r="G1469" s="146"/>
      <c r="H1469" s="146"/>
      <c r="I1469" s="147"/>
      <c r="J1469" s="147"/>
      <c r="K1469" s="63"/>
    </row>
    <row r="1470" spans="1:11" x14ac:dyDescent="0.25">
      <c r="A1470" s="108">
        <v>46028</v>
      </c>
      <c r="B1470" s="109">
        <v>49</v>
      </c>
      <c r="C1470" s="49" t="s">
        <v>19</v>
      </c>
      <c r="D1470" s="110" t="str">
        <f>IF(ISBLANK($B1470),"",IFERROR(VLOOKUP($B1470,ESTOQUE!$B$2:$D$97168,3,FALSE),"Produto não cadastrado"))</f>
        <v>CALÇA CINZA OP. C/ FAIXA REFLETIVA TAM: P</v>
      </c>
      <c r="E1470" s="99" t="str">
        <f>_xlfn.XLOOKUP(B1470,ESTOQUE!B:B,ESTOQUE!G:G,"",0)</f>
        <v>UND</v>
      </c>
      <c r="F1470" s="99">
        <v>1</v>
      </c>
      <c r="G1470" s="146"/>
      <c r="H1470" s="146"/>
      <c r="I1470" s="147"/>
      <c r="J1470" s="147"/>
      <c r="K1470" s="63"/>
    </row>
    <row r="1471" spans="1:11" x14ac:dyDescent="0.25">
      <c r="A1471" s="108">
        <v>46028</v>
      </c>
      <c r="B1471" s="109">
        <v>67</v>
      </c>
      <c r="C1471" s="49" t="s">
        <v>19</v>
      </c>
      <c r="D1471" s="110" t="str">
        <f>IF(ISBLANK($B1471),"",IFERROR(VLOOKUP($B1471,ESTOQUE!$B$2:$D$97168,3,FALSE),"Produto não cadastrado"))</f>
        <v>CAMISA LARANJA OP. C/ FAIXA REFLETIVA TAM: G</v>
      </c>
      <c r="E1471" s="99" t="str">
        <f>_xlfn.XLOOKUP(B1471,ESTOQUE!B:B,ESTOQUE!G:G,"",0)</f>
        <v>UND</v>
      </c>
      <c r="F1471" s="99">
        <v>2</v>
      </c>
      <c r="G1471" s="146"/>
      <c r="H1471" s="146"/>
      <c r="I1471" s="147"/>
      <c r="J1471" s="147"/>
      <c r="K1471" s="63"/>
    </row>
    <row r="1472" spans="1:11" x14ac:dyDescent="0.25">
      <c r="A1472" s="108">
        <v>46028</v>
      </c>
      <c r="B1472" s="109">
        <v>94</v>
      </c>
      <c r="C1472" s="49" t="s">
        <v>19</v>
      </c>
      <c r="D1472" s="110" t="str">
        <f>IF(ISBLANK($B1472),"",IFERROR(VLOOKUP($B1472,ESTOQUE!$B$2:$D$97168,3,FALSE),"Produto não cadastrado"))</f>
        <v>CARNEIRA P/ CAPACETE CAMPER</v>
      </c>
      <c r="E1472" s="99" t="str">
        <f>_xlfn.XLOOKUP(B1472,ESTOQUE!B:B,ESTOQUE!G:G,"",0)</f>
        <v>UND</v>
      </c>
      <c r="F1472" s="99">
        <v>1</v>
      </c>
      <c r="G1472" s="146"/>
      <c r="H1472" s="146"/>
      <c r="I1472" s="147"/>
      <c r="J1472" s="147"/>
      <c r="K1472" s="63"/>
    </row>
    <row r="1473" spans="1:11" x14ac:dyDescent="0.25">
      <c r="A1473" s="108">
        <v>46028</v>
      </c>
      <c r="B1473" s="109">
        <v>110</v>
      </c>
      <c r="C1473" s="49" t="s">
        <v>19</v>
      </c>
      <c r="D1473" s="110" t="str">
        <f>IF(ISBLANK($B1473),"",IFERROR(VLOOKUP($B1473,ESTOQUE!$B$2:$D$97168,3,FALSE),"Produto não cadastrado"))</f>
        <v>LUVA DE RASPA CANO LONGO</v>
      </c>
      <c r="E1473" s="99" t="str">
        <f>_xlfn.XLOOKUP(B1473,ESTOQUE!B:B,ESTOQUE!G:G,"",0)</f>
        <v>PAR</v>
      </c>
      <c r="F1473" s="99">
        <v>2</v>
      </c>
      <c r="G1473" s="146"/>
      <c r="H1473" s="146"/>
      <c r="I1473" s="147"/>
      <c r="J1473" s="147"/>
      <c r="K1473" s="63"/>
    </row>
    <row r="1474" spans="1:11" x14ac:dyDescent="0.25">
      <c r="A1474" s="108">
        <v>46028</v>
      </c>
      <c r="B1474" s="109">
        <v>111</v>
      </c>
      <c r="C1474" s="49" t="s">
        <v>19</v>
      </c>
      <c r="D1474" s="110" t="str">
        <f>IF(ISBLANK($B1474),"",IFERROR(VLOOKUP($B1474,ESTOQUE!$B$2:$D$97168,3,FALSE),"Produto não cadastrado"))</f>
        <v>LUVA DE VAQUETA MARROM</v>
      </c>
      <c r="E1474" s="99" t="str">
        <f>_xlfn.XLOOKUP(B1474,ESTOQUE!B:B,ESTOQUE!G:G,"",0)</f>
        <v>PAR</v>
      </c>
      <c r="F1474" s="99">
        <v>20</v>
      </c>
      <c r="G1474" s="146"/>
      <c r="H1474" s="146"/>
      <c r="I1474" s="147"/>
      <c r="J1474" s="147"/>
      <c r="K1474" s="63"/>
    </row>
    <row r="1475" spans="1:11" x14ac:dyDescent="0.25">
      <c r="A1475" s="108">
        <v>46028</v>
      </c>
      <c r="B1475" s="109">
        <v>189</v>
      </c>
      <c r="C1475" s="49" t="s">
        <v>19</v>
      </c>
      <c r="D1475" s="110" t="str">
        <f>IF(ISBLANK($B1475),"",IFERROR(VLOOKUP($B1475,ESTOQUE!$B$2:$D$97168,3,FALSE),"Produto não cadastrado"))</f>
        <v xml:space="preserve">LUVA DE VAQUETA MISTA </v>
      </c>
      <c r="E1475" s="99" t="str">
        <f>_xlfn.XLOOKUP(B1475,ESTOQUE!B:B,ESTOQUE!G:G,"",0)</f>
        <v>UND</v>
      </c>
      <c r="F1475" s="99">
        <v>10</v>
      </c>
      <c r="G1475" s="146"/>
      <c r="H1475" s="146"/>
      <c r="I1475" s="147"/>
      <c r="J1475" s="147"/>
      <c r="K1475" s="63"/>
    </row>
    <row r="1476" spans="1:11" x14ac:dyDescent="0.25">
      <c r="A1476" s="108">
        <v>46028</v>
      </c>
      <c r="B1476" s="109">
        <v>114</v>
      </c>
      <c r="C1476" s="49" t="s">
        <v>19</v>
      </c>
      <c r="D1476" s="110" t="str">
        <f>IF(ISBLANK($B1476),"",IFERROR(VLOOKUP($B1476,ESTOQUE!$B$2:$D$97168,3,FALSE),"Produto não cadastrado"))</f>
        <v xml:space="preserve">LUVA LATEX NITRILICA </v>
      </c>
      <c r="E1476" s="99" t="str">
        <f>_xlfn.XLOOKUP(B1476,ESTOQUE!B:B,ESTOQUE!G:G,"",0)</f>
        <v>PAR</v>
      </c>
      <c r="F1476" s="99">
        <v>10</v>
      </c>
      <c r="G1476" s="146"/>
      <c r="H1476" s="146"/>
      <c r="I1476" s="147"/>
      <c r="J1476" s="147"/>
      <c r="K1476" s="63"/>
    </row>
    <row r="1477" spans="1:11" x14ac:dyDescent="0.25">
      <c r="A1477" s="108">
        <v>46028</v>
      </c>
      <c r="B1477" s="109">
        <v>117</v>
      </c>
      <c r="C1477" s="49" t="s">
        <v>19</v>
      </c>
      <c r="D1477" s="110" t="str">
        <f>IF(ISBLANK($B1477),"",IFERROR(VLOOKUP($B1477,ESTOQUE!$B$2:$D$97168,3,FALSE),"Produto não cadastrado"))</f>
        <v>LUVA PIGMENTADA</v>
      </c>
      <c r="E1477" s="99" t="str">
        <f>_xlfn.XLOOKUP(B1477,ESTOQUE!B:B,ESTOQUE!G:G,"",0)</f>
        <v>PAR</v>
      </c>
      <c r="F1477" s="99">
        <v>12</v>
      </c>
      <c r="G1477" s="146"/>
      <c r="H1477" s="146"/>
      <c r="I1477" s="147"/>
      <c r="J1477" s="147"/>
      <c r="K1477" s="63"/>
    </row>
    <row r="1478" spans="1:11" x14ac:dyDescent="0.25">
      <c r="A1478" s="108">
        <v>46028</v>
      </c>
      <c r="B1478" s="109">
        <v>207</v>
      </c>
      <c r="C1478" s="49" t="s">
        <v>19</v>
      </c>
      <c r="D1478" s="110" t="str">
        <f>IF(ISBLANK($B1478),"",IFERROR(VLOOKUP($B1478,ESTOQUE!$B$2:$D$97168,3,FALSE),"Produto não cadastrado"))</f>
        <v>LUVA POLIESTER ANTICORTE BANHADA PU TAM 9</v>
      </c>
      <c r="E1478" s="99" t="str">
        <f>_xlfn.XLOOKUP(B1478,ESTOQUE!B:B,ESTOQUE!G:G,"",0)</f>
        <v>PAR</v>
      </c>
      <c r="F1478" s="99">
        <v>12</v>
      </c>
      <c r="G1478" s="146"/>
      <c r="H1478" s="146"/>
      <c r="I1478" s="147"/>
      <c r="J1478" s="147"/>
      <c r="K1478" s="63"/>
    </row>
    <row r="1479" spans="1:11" x14ac:dyDescent="0.25">
      <c r="A1479" s="108">
        <v>46028</v>
      </c>
      <c r="B1479" s="109">
        <v>118</v>
      </c>
      <c r="C1479" s="49" t="s">
        <v>19</v>
      </c>
      <c r="D1479" s="110" t="str">
        <f>IF(ISBLANK($B1479),"",IFERROR(VLOOKUP($B1479,ESTOQUE!$B$2:$D$97168,3,FALSE),"Produto não cadastrado"))</f>
        <v>MACACÃO DE PROTEÇÃO TYVEK</v>
      </c>
      <c r="E1479" s="99" t="str">
        <f>_xlfn.XLOOKUP(B1479,ESTOQUE!B:B,ESTOQUE!G:G,"",0)</f>
        <v>UND</v>
      </c>
      <c r="F1479" s="99">
        <v>45</v>
      </c>
      <c r="G1479" s="146"/>
      <c r="H1479" s="146"/>
      <c r="I1479" s="147"/>
      <c r="J1479" s="147"/>
      <c r="K1479" s="63"/>
    </row>
    <row r="1480" spans="1:11" x14ac:dyDescent="0.25">
      <c r="A1480" s="108">
        <v>46028</v>
      </c>
      <c r="B1480" s="109">
        <v>144</v>
      </c>
      <c r="C1480" s="49" t="s">
        <v>19</v>
      </c>
      <c r="D1480" s="110" t="str">
        <f>IF(ISBLANK($B1480),"",IFERROR(VLOOKUP($B1480,ESTOQUE!$B$2:$D$97168,3,FALSE),"Produto não cadastrado"))</f>
        <v>MASCARA PFF2-S C/ FILTRO</v>
      </c>
      <c r="E1480" s="99" t="str">
        <f>_xlfn.XLOOKUP(B1480,ESTOQUE!B:B,ESTOQUE!G:G,"",0)</f>
        <v>UND</v>
      </c>
      <c r="F1480" s="99">
        <v>50</v>
      </c>
      <c r="G1480" s="146"/>
      <c r="H1480" s="146"/>
      <c r="I1480" s="147"/>
      <c r="J1480" s="147"/>
      <c r="K1480" s="63"/>
    </row>
    <row r="1481" spans="1:11" x14ac:dyDescent="0.25">
      <c r="A1481" s="108">
        <v>46028</v>
      </c>
      <c r="B1481" s="109">
        <v>126</v>
      </c>
      <c r="C1481" s="49" t="s">
        <v>19</v>
      </c>
      <c r="D1481" s="110" t="str">
        <f>IF(ISBLANK($B1481),"",IFERROR(VLOOKUP($B1481,ESTOQUE!$B$2:$D$97168,3,FALSE),"Produto não cadastrado"))</f>
        <v>OCULOS DE PROTEÇÃO ESCURO</v>
      </c>
      <c r="E1481" s="99" t="str">
        <f>_xlfn.XLOOKUP(B1481,ESTOQUE!B:B,ESTOQUE!G:G,"",0)</f>
        <v>UND</v>
      </c>
      <c r="F1481" s="99">
        <v>18</v>
      </c>
      <c r="G1481" s="146"/>
      <c r="H1481" s="146"/>
      <c r="I1481" s="147"/>
      <c r="J1481" s="147"/>
      <c r="K1481" s="63"/>
    </row>
    <row r="1482" spans="1:11" x14ac:dyDescent="0.25">
      <c r="A1482" s="108">
        <v>46028</v>
      </c>
      <c r="B1482" s="109">
        <v>124</v>
      </c>
      <c r="C1482" s="49" t="s">
        <v>19</v>
      </c>
      <c r="D1482" s="110" t="str">
        <f>IF(ISBLANK($B1482),"",IFERROR(VLOOKUP($B1482,ESTOQUE!$B$2:$D$97168,3,FALSE),"Produto não cadastrado"))</f>
        <v xml:space="preserve">OCULOS DE PROTEÇÃO INCOLOR </v>
      </c>
      <c r="E1482" s="99" t="str">
        <f>_xlfn.XLOOKUP(B1482,ESTOQUE!B:B,ESTOQUE!G:G,"",0)</f>
        <v>UND</v>
      </c>
      <c r="F1482" s="99">
        <v>31</v>
      </c>
      <c r="G1482" s="146"/>
      <c r="H1482" s="146"/>
      <c r="I1482" s="147"/>
      <c r="J1482" s="147"/>
      <c r="K1482" s="63"/>
    </row>
    <row r="1483" spans="1:11" x14ac:dyDescent="0.25">
      <c r="A1483" s="108">
        <v>46028</v>
      </c>
      <c r="B1483" s="109">
        <v>139</v>
      </c>
      <c r="C1483" s="49" t="s">
        <v>19</v>
      </c>
      <c r="D1483" s="110" t="str">
        <f>IF(ISBLANK($B1483),"",IFERROR(VLOOKUP($B1483,ESTOQUE!$B$2:$D$97168,3,FALSE),"Produto não cadastrado"))</f>
        <v>PROTETOR AURICULAR TIPO PLUG</v>
      </c>
      <c r="E1483" s="99" t="str">
        <f>_xlfn.XLOOKUP(B1483,ESTOQUE!B:B,ESTOQUE!G:G,"",0)</f>
        <v>UND</v>
      </c>
      <c r="F1483" s="99">
        <v>19</v>
      </c>
      <c r="G1483" s="146"/>
      <c r="H1483" s="146"/>
      <c r="I1483" s="147"/>
      <c r="J1483" s="147"/>
      <c r="K1483" s="63"/>
    </row>
    <row r="1484" spans="1:11" x14ac:dyDescent="0.25">
      <c r="A1484" s="108">
        <v>46029</v>
      </c>
      <c r="B1484" s="109">
        <v>1</v>
      </c>
      <c r="C1484" s="49" t="s">
        <v>19</v>
      </c>
      <c r="D1484" s="110" t="str">
        <f>IF(ISBLANK($B1484),"",IFERROR(VLOOKUP($B1484,ESTOQUE!$B$2:$D$97168,3,FALSE),"Produto não cadastrado"))</f>
        <v>ABAFADOR DE RUIDOS TIPO CONCHA</v>
      </c>
      <c r="E1484" s="99" t="str">
        <f>_xlfn.XLOOKUP(B1484,ESTOQUE!B:B,ESTOQUE!G:G,"",0)</f>
        <v>UND</v>
      </c>
      <c r="F1484" s="99">
        <v>1</v>
      </c>
      <c r="G1484" s="146"/>
      <c r="H1484" s="146"/>
      <c r="I1484" s="147"/>
      <c r="J1484" s="147"/>
      <c r="K1484" s="63"/>
    </row>
    <row r="1485" spans="1:11" x14ac:dyDescent="0.25">
      <c r="A1485" s="108">
        <v>46029</v>
      </c>
      <c r="B1485" s="109">
        <v>38</v>
      </c>
      <c r="C1485" s="49" t="s">
        <v>19</v>
      </c>
      <c r="D1485" s="110" t="str">
        <f>IF(ISBLANK($B1485),"",IFERROR(VLOOKUP($B1485,ESTOQUE!$B$2:$D$97168,3,FALSE),"Produto não cadastrado"))</f>
        <v>BOTINA OP. BICO PVC Nº 40</v>
      </c>
      <c r="E1485" s="99" t="str">
        <f>_xlfn.XLOOKUP(B1485,ESTOQUE!B:B,ESTOQUE!G:G,"",0)</f>
        <v>PAR</v>
      </c>
      <c r="F1485" s="99">
        <v>1</v>
      </c>
      <c r="G1485" s="146"/>
      <c r="H1485" s="146"/>
      <c r="I1485" s="147"/>
      <c r="J1485" s="147"/>
      <c r="K1485" s="63"/>
    </row>
    <row r="1486" spans="1:11" x14ac:dyDescent="0.25">
      <c r="A1486" s="108">
        <v>46029</v>
      </c>
      <c r="B1486" s="109">
        <v>46</v>
      </c>
      <c r="C1486" s="49" t="s">
        <v>19</v>
      </c>
      <c r="D1486" s="110" t="str">
        <f>IF(ISBLANK($B1486),"",IFERROR(VLOOKUP($B1486,ESTOQUE!$B$2:$D$97168,3,FALSE),"Produto não cadastrado"))</f>
        <v>CALÇA CINZA OP. C/ FAIXA REFLETIVA TAM: G</v>
      </c>
      <c r="E1486" s="99" t="str">
        <f>_xlfn.XLOOKUP(B1486,ESTOQUE!B:B,ESTOQUE!G:G,"",0)</f>
        <v>UND</v>
      </c>
      <c r="F1486" s="99">
        <v>4</v>
      </c>
      <c r="G1486" s="146"/>
      <c r="H1486" s="146"/>
      <c r="I1486" s="147"/>
      <c r="J1486" s="147"/>
      <c r="K1486" s="63"/>
    </row>
    <row r="1487" spans="1:11" x14ac:dyDescent="0.25">
      <c r="A1487" s="108">
        <v>46029</v>
      </c>
      <c r="B1487" s="109">
        <v>47</v>
      </c>
      <c r="C1487" s="49" t="s">
        <v>19</v>
      </c>
      <c r="D1487" s="110" t="str">
        <f>IF(ISBLANK($B1487),"",IFERROR(VLOOKUP($B1487,ESTOQUE!$B$2:$D$97168,3,FALSE),"Produto não cadastrado"))</f>
        <v>CALÇA CINZA OP. C/ FAIXA REFLETIVA TAM: GG</v>
      </c>
      <c r="E1487" s="99" t="str">
        <f>_xlfn.XLOOKUP(B1487,ESTOQUE!B:B,ESTOQUE!G:G,"",0)</f>
        <v>UND</v>
      </c>
      <c r="F1487" s="99">
        <v>2</v>
      </c>
      <c r="G1487" s="146"/>
      <c r="H1487" s="146"/>
      <c r="I1487" s="147"/>
      <c r="J1487" s="147"/>
      <c r="K1487" s="63"/>
    </row>
    <row r="1488" spans="1:11" x14ac:dyDescent="0.25">
      <c r="A1488" s="108">
        <v>46029</v>
      </c>
      <c r="B1488" s="109">
        <v>48</v>
      </c>
      <c r="C1488" s="49" t="s">
        <v>19</v>
      </c>
      <c r="D1488" s="110" t="str">
        <f>IF(ISBLANK($B1488),"",IFERROR(VLOOKUP($B1488,ESTOQUE!$B$2:$D$97168,3,FALSE),"Produto não cadastrado"))</f>
        <v>CALÇA CINZA OP. C/ FAIXA REFLETIVA TAM: M</v>
      </c>
      <c r="E1488" s="99" t="str">
        <f>_xlfn.XLOOKUP(B1488,ESTOQUE!B:B,ESTOQUE!G:G,"",0)</f>
        <v>UND</v>
      </c>
      <c r="F1488" s="99">
        <v>3</v>
      </c>
      <c r="G1488" s="146"/>
      <c r="H1488" s="146"/>
      <c r="I1488" s="147"/>
      <c r="J1488" s="147"/>
      <c r="K1488" s="63"/>
    </row>
    <row r="1489" spans="1:11" x14ac:dyDescent="0.25">
      <c r="A1489" s="108">
        <v>46029</v>
      </c>
      <c r="B1489" s="109">
        <v>49</v>
      </c>
      <c r="C1489" s="49" t="s">
        <v>19</v>
      </c>
      <c r="D1489" s="110" t="str">
        <f>IF(ISBLANK($B1489),"",IFERROR(VLOOKUP($B1489,ESTOQUE!$B$2:$D$97168,3,FALSE),"Produto não cadastrado"))</f>
        <v>CALÇA CINZA OP. C/ FAIXA REFLETIVA TAM: P</v>
      </c>
      <c r="E1489" s="99" t="str">
        <f>_xlfn.XLOOKUP(B1489,ESTOQUE!B:B,ESTOQUE!G:G,"",0)</f>
        <v>UND</v>
      </c>
      <c r="F1489" s="99">
        <v>1</v>
      </c>
      <c r="G1489" s="146"/>
      <c r="H1489" s="146"/>
      <c r="I1489" s="147"/>
      <c r="J1489" s="147"/>
      <c r="K1489" s="63"/>
    </row>
    <row r="1490" spans="1:11" x14ac:dyDescent="0.25">
      <c r="A1490" s="108">
        <v>46029</v>
      </c>
      <c r="B1490" s="109">
        <v>67</v>
      </c>
      <c r="C1490" s="49" t="s">
        <v>19</v>
      </c>
      <c r="D1490" s="110" t="str">
        <f>IF(ISBLANK($B1490),"",IFERROR(VLOOKUP($B1490,ESTOQUE!$B$2:$D$97168,3,FALSE),"Produto não cadastrado"))</f>
        <v>CAMISA LARANJA OP. C/ FAIXA REFLETIVA TAM: G</v>
      </c>
      <c r="E1490" s="99" t="str">
        <f>_xlfn.XLOOKUP(B1490,ESTOQUE!B:B,ESTOQUE!G:G,"",0)</f>
        <v>UND</v>
      </c>
      <c r="F1490" s="99">
        <v>3</v>
      </c>
      <c r="G1490" s="146"/>
      <c r="H1490" s="146"/>
      <c r="I1490" s="147"/>
      <c r="J1490" s="147"/>
      <c r="K1490" s="63"/>
    </row>
    <row r="1491" spans="1:11" x14ac:dyDescent="0.25">
      <c r="A1491" s="108">
        <v>46029</v>
      </c>
      <c r="B1491" s="109">
        <v>69</v>
      </c>
      <c r="C1491" s="49" t="s">
        <v>19</v>
      </c>
      <c r="D1491" s="110" t="str">
        <f>IF(ISBLANK($B1491),"",IFERROR(VLOOKUP($B1491,ESTOQUE!$B$2:$D$97168,3,FALSE),"Produto não cadastrado"))</f>
        <v>CAMISA LARANJA OP. C/ FAIXA REFLETIVA TAM: M</v>
      </c>
      <c r="E1491" s="99" t="str">
        <f>_xlfn.XLOOKUP(B1491,ESTOQUE!B:B,ESTOQUE!G:G,"",0)</f>
        <v>UND</v>
      </c>
      <c r="F1491" s="99">
        <v>5</v>
      </c>
      <c r="G1491" s="146"/>
      <c r="H1491" s="146"/>
      <c r="I1491" s="147"/>
      <c r="J1491" s="147"/>
      <c r="K1491" s="63"/>
    </row>
    <row r="1492" spans="1:11" x14ac:dyDescent="0.25">
      <c r="A1492" s="108">
        <v>46029</v>
      </c>
      <c r="B1492" s="109">
        <v>180</v>
      </c>
      <c r="C1492" s="49" t="s">
        <v>19</v>
      </c>
      <c r="D1492" s="110" t="str">
        <f>IF(ISBLANK($B1492),"",IFERROR(VLOOKUP($B1492,ESTOQUE!$B$2:$D$97168,3,FALSE),"Produto não cadastrado"))</f>
        <v>CAPACETE GENISIS MARRON</v>
      </c>
      <c r="E1492" s="99" t="str">
        <f>_xlfn.XLOOKUP(B1492,ESTOQUE!B:B,ESTOQUE!G:G,"",0)</f>
        <v>UND</v>
      </c>
      <c r="F1492" s="99">
        <v>1</v>
      </c>
      <c r="G1492" s="146"/>
      <c r="H1492" s="146"/>
      <c r="I1492" s="147"/>
      <c r="J1492" s="147"/>
      <c r="K1492" s="63"/>
    </row>
    <row r="1493" spans="1:11" x14ac:dyDescent="0.25">
      <c r="A1493" s="108">
        <v>46029</v>
      </c>
      <c r="B1493" s="109">
        <v>95</v>
      </c>
      <c r="C1493" s="49" t="s">
        <v>19</v>
      </c>
      <c r="D1493" s="110" t="str">
        <f>IF(ISBLANK($B1493),"",IFERROR(VLOOKUP($B1493,ESTOQUE!$B$2:$D$97168,3,FALSE),"Produto não cadastrado"))</f>
        <v>CARNEIRA P/ CAPACETE LIBUS</v>
      </c>
      <c r="E1493" s="99" t="str">
        <f>_xlfn.XLOOKUP(B1493,ESTOQUE!B:B,ESTOQUE!G:G,"",0)</f>
        <v>UND</v>
      </c>
      <c r="F1493" s="99">
        <v>1</v>
      </c>
      <c r="G1493" s="146"/>
      <c r="H1493" s="146"/>
      <c r="I1493" s="147"/>
      <c r="J1493" s="147"/>
      <c r="K1493" s="63"/>
    </row>
    <row r="1494" spans="1:11" x14ac:dyDescent="0.25">
      <c r="A1494" s="108">
        <v>46029</v>
      </c>
      <c r="B1494" s="109">
        <v>161</v>
      </c>
      <c r="C1494" s="49" t="s">
        <v>19</v>
      </c>
      <c r="D1494" s="110" t="str">
        <f>IF(ISBLANK($B1494),"",IFERROR(VLOOKUP($B1494,ESTOQUE!$B$2:$D$97168,3,FALSE),"Produto não cadastrado"))</f>
        <v>JUGULAR</v>
      </c>
      <c r="E1494" s="99" t="str">
        <f>_xlfn.XLOOKUP(B1494,ESTOQUE!B:B,ESTOQUE!G:G,"",0)</f>
        <v>UND</v>
      </c>
      <c r="F1494" s="99">
        <v>3</v>
      </c>
      <c r="G1494" s="146"/>
      <c r="H1494" s="146"/>
      <c r="I1494" s="147"/>
      <c r="J1494" s="147"/>
      <c r="K1494" s="63"/>
    </row>
    <row r="1495" spans="1:11" x14ac:dyDescent="0.25">
      <c r="A1495" s="108">
        <v>46029</v>
      </c>
      <c r="B1495" s="109">
        <v>110</v>
      </c>
      <c r="C1495" s="49" t="s">
        <v>19</v>
      </c>
      <c r="D1495" s="110" t="str">
        <f>IF(ISBLANK($B1495),"",IFERROR(VLOOKUP($B1495,ESTOQUE!$B$2:$D$97168,3,FALSE),"Produto não cadastrado"))</f>
        <v>LUVA DE RASPA CANO LONGO</v>
      </c>
      <c r="E1495" s="99" t="str">
        <f>_xlfn.XLOOKUP(B1495,ESTOQUE!B:B,ESTOQUE!G:G,"",0)</f>
        <v>PAR</v>
      </c>
      <c r="F1495" s="99">
        <v>21</v>
      </c>
      <c r="G1495" s="146"/>
      <c r="H1495" s="146"/>
      <c r="I1495" s="147"/>
      <c r="J1495" s="147"/>
      <c r="K1495" s="63"/>
    </row>
    <row r="1496" spans="1:11" x14ac:dyDescent="0.25">
      <c r="A1496" s="108">
        <v>46029</v>
      </c>
      <c r="B1496" s="109">
        <v>141</v>
      </c>
      <c r="C1496" s="49" t="s">
        <v>19</v>
      </c>
      <c r="D1496" s="110" t="str">
        <f>IF(ISBLANK($B1496),"",IFERROR(VLOOKUP($B1496,ESTOQUE!$B$2:$D$97168,3,FALSE),"Produto não cadastrado"))</f>
        <v xml:space="preserve">LUVA DE VAQUETA </v>
      </c>
      <c r="E1496" s="99" t="str">
        <f>_xlfn.XLOOKUP(B1496,ESTOQUE!B:B,ESTOQUE!G:G,"",0)</f>
        <v>PAR</v>
      </c>
      <c r="F1496" s="99">
        <v>20</v>
      </c>
      <c r="G1496" s="146"/>
      <c r="H1496" s="146"/>
      <c r="I1496" s="147"/>
      <c r="J1496" s="147"/>
      <c r="K1496" s="63"/>
    </row>
    <row r="1497" spans="1:11" x14ac:dyDescent="0.25">
      <c r="A1497" s="108">
        <v>46029</v>
      </c>
      <c r="B1497" s="109">
        <v>114</v>
      </c>
      <c r="C1497" s="49" t="s">
        <v>19</v>
      </c>
      <c r="D1497" s="110" t="str">
        <f>IF(ISBLANK($B1497),"",IFERROR(VLOOKUP($B1497,ESTOQUE!$B$2:$D$97168,3,FALSE),"Produto não cadastrado"))</f>
        <v xml:space="preserve">LUVA LATEX NITRILICA </v>
      </c>
      <c r="E1497" s="99" t="str">
        <f>_xlfn.XLOOKUP(B1497,ESTOQUE!B:B,ESTOQUE!G:G,"",0)</f>
        <v>PAR</v>
      </c>
      <c r="F1497" s="99">
        <v>1</v>
      </c>
      <c r="G1497" s="146"/>
      <c r="H1497" s="146"/>
      <c r="I1497" s="147"/>
      <c r="J1497" s="147"/>
      <c r="K1497" s="63"/>
    </row>
    <row r="1498" spans="1:11" x14ac:dyDescent="0.25">
      <c r="A1498" s="108">
        <v>46029</v>
      </c>
      <c r="B1498" s="109">
        <v>117</v>
      </c>
      <c r="C1498" s="49" t="s">
        <v>19</v>
      </c>
      <c r="D1498" s="110" t="str">
        <f>IF(ISBLANK($B1498),"",IFERROR(VLOOKUP($B1498,ESTOQUE!$B$2:$D$97168,3,FALSE),"Produto não cadastrado"))</f>
        <v>LUVA PIGMENTADA</v>
      </c>
      <c r="E1498" s="99" t="str">
        <f>_xlfn.XLOOKUP(B1498,ESTOQUE!B:B,ESTOQUE!G:G,"",0)</f>
        <v>PAR</v>
      </c>
      <c r="F1498" s="99">
        <v>26</v>
      </c>
      <c r="G1498" s="146"/>
      <c r="H1498" s="146"/>
      <c r="I1498" s="147"/>
      <c r="J1498" s="147"/>
      <c r="K1498" s="63"/>
    </row>
    <row r="1499" spans="1:11" x14ac:dyDescent="0.25">
      <c r="A1499" s="108">
        <v>46029</v>
      </c>
      <c r="B1499" s="109">
        <v>207</v>
      </c>
      <c r="C1499" s="49" t="s">
        <v>19</v>
      </c>
      <c r="D1499" s="110" t="str">
        <f>IF(ISBLANK($B1499),"",IFERROR(VLOOKUP($B1499,ESTOQUE!$B$2:$D$97168,3,FALSE),"Produto não cadastrado"))</f>
        <v>LUVA POLIESTER ANTICORTE BANHADA PU TAM 9</v>
      </c>
      <c r="E1499" s="99" t="str">
        <f>_xlfn.XLOOKUP(B1499,ESTOQUE!B:B,ESTOQUE!G:G,"",0)</f>
        <v>PAR</v>
      </c>
      <c r="F1499" s="99">
        <v>16</v>
      </c>
      <c r="G1499" s="146"/>
      <c r="H1499" s="146"/>
      <c r="I1499" s="147"/>
      <c r="J1499" s="147"/>
      <c r="K1499" s="63"/>
    </row>
    <row r="1500" spans="1:11" x14ac:dyDescent="0.25">
      <c r="A1500" s="108">
        <v>46029</v>
      </c>
      <c r="B1500" s="109">
        <v>118</v>
      </c>
      <c r="C1500" s="49" t="s">
        <v>19</v>
      </c>
      <c r="D1500" s="110" t="str">
        <f>IF(ISBLANK($B1500),"",IFERROR(VLOOKUP($B1500,ESTOQUE!$B$2:$D$97168,3,FALSE),"Produto não cadastrado"))</f>
        <v>MACACÃO DE PROTEÇÃO TYVEK</v>
      </c>
      <c r="E1500" s="99" t="str">
        <f>_xlfn.XLOOKUP(B1500,ESTOQUE!B:B,ESTOQUE!G:G,"",0)</f>
        <v>UND</v>
      </c>
      <c r="F1500" s="99">
        <v>25</v>
      </c>
      <c r="G1500" s="146"/>
      <c r="H1500" s="146"/>
      <c r="I1500" s="147"/>
      <c r="J1500" s="147"/>
      <c r="K1500" s="63"/>
    </row>
    <row r="1501" spans="1:11" x14ac:dyDescent="0.25">
      <c r="A1501" s="108">
        <v>46029</v>
      </c>
      <c r="B1501" s="109">
        <v>125</v>
      </c>
      <c r="C1501" s="49" t="s">
        <v>19</v>
      </c>
      <c r="D1501" s="110" t="str">
        <f>IF(ISBLANK($B1501),"",IFERROR(VLOOKUP($B1501,ESTOQUE!$B$2:$D$97168,3,FALSE),"Produto não cadastrado"))</f>
        <v xml:space="preserve">MASCARA DE SOLDA AUTOMATICA </v>
      </c>
      <c r="E1501" s="99" t="str">
        <f>_xlfn.XLOOKUP(B1501,ESTOQUE!B:B,ESTOQUE!G:G,"",0)</f>
        <v>UND</v>
      </c>
      <c r="F1501" s="99">
        <v>1</v>
      </c>
      <c r="G1501" s="146"/>
      <c r="H1501" s="146"/>
      <c r="I1501" s="147"/>
      <c r="J1501" s="147"/>
      <c r="K1501" s="63"/>
    </row>
    <row r="1502" spans="1:11" x14ac:dyDescent="0.25">
      <c r="A1502" s="108">
        <v>46029</v>
      </c>
      <c r="B1502" s="109">
        <v>144</v>
      </c>
      <c r="C1502" s="49" t="s">
        <v>19</v>
      </c>
      <c r="D1502" s="110" t="str">
        <f>IF(ISBLANK($B1502),"",IFERROR(VLOOKUP($B1502,ESTOQUE!$B$2:$D$97168,3,FALSE),"Produto não cadastrado"))</f>
        <v>MASCARA PFF2-S C/ FILTRO</v>
      </c>
      <c r="E1502" s="99" t="str">
        <f>_xlfn.XLOOKUP(B1502,ESTOQUE!B:B,ESTOQUE!G:G,"",0)</f>
        <v>UND</v>
      </c>
      <c r="F1502" s="99">
        <v>62</v>
      </c>
      <c r="G1502" s="146"/>
      <c r="H1502" s="146"/>
      <c r="I1502" s="147"/>
      <c r="J1502" s="147"/>
      <c r="K1502" s="63"/>
    </row>
    <row r="1503" spans="1:11" x14ac:dyDescent="0.25">
      <c r="A1503" s="108">
        <v>46029</v>
      </c>
      <c r="B1503" s="109">
        <v>126</v>
      </c>
      <c r="C1503" s="49" t="s">
        <v>19</v>
      </c>
      <c r="D1503" s="110" t="str">
        <f>IF(ISBLANK($B1503),"",IFERROR(VLOOKUP($B1503,ESTOQUE!$B$2:$D$97168,3,FALSE),"Produto não cadastrado"))</f>
        <v>OCULOS DE PROTEÇÃO ESCURO</v>
      </c>
      <c r="E1503" s="99" t="str">
        <f>_xlfn.XLOOKUP(B1503,ESTOQUE!B:B,ESTOQUE!G:G,"",0)</f>
        <v>UND</v>
      </c>
      <c r="F1503" s="99">
        <v>60</v>
      </c>
      <c r="G1503" s="146"/>
      <c r="H1503" s="146"/>
      <c r="I1503" s="147"/>
      <c r="J1503" s="147"/>
      <c r="K1503" s="63"/>
    </row>
    <row r="1504" spans="1:11" x14ac:dyDescent="0.25">
      <c r="A1504" s="108">
        <v>46029</v>
      </c>
      <c r="B1504" s="109">
        <v>224</v>
      </c>
      <c r="C1504" s="49" t="s">
        <v>19</v>
      </c>
      <c r="D1504" s="110" t="str">
        <f>IF(ISBLANK($B1504),"",IFERROR(VLOOKUP($B1504,ESTOQUE!$B$2:$D$97168,3,FALSE),"Produto não cadastrado"))</f>
        <v>OCULOS OPERACIONAL SOBRE POR ESCURO</v>
      </c>
      <c r="E1504" s="99" t="str">
        <f>_xlfn.XLOOKUP(B1504,ESTOQUE!B:B,ESTOQUE!G:G,"",0)</f>
        <v>UND</v>
      </c>
      <c r="F1504" s="99">
        <v>1</v>
      </c>
      <c r="G1504" s="146"/>
      <c r="H1504" s="146"/>
      <c r="I1504" s="147"/>
      <c r="J1504" s="147"/>
      <c r="K1504" s="63"/>
    </row>
    <row r="1505" spans="1:11" x14ac:dyDescent="0.25">
      <c r="A1505" s="108">
        <v>46029</v>
      </c>
      <c r="B1505" s="109">
        <v>129</v>
      </c>
      <c r="C1505" s="49" t="s">
        <v>19</v>
      </c>
      <c r="D1505" s="110" t="str">
        <f>IF(ISBLANK($B1505),"",IFERROR(VLOOKUP($B1505,ESTOQUE!$B$2:$D$97168,3,FALSE),"Produto não cadastrado"))</f>
        <v>PERNEIRA DE RASPA</v>
      </c>
      <c r="E1505" s="99" t="str">
        <f>_xlfn.XLOOKUP(B1505,ESTOQUE!B:B,ESTOQUE!G:G,"",0)</f>
        <v>PAR</v>
      </c>
      <c r="F1505" s="99">
        <v>1</v>
      </c>
      <c r="G1505" s="146"/>
      <c r="H1505" s="146"/>
      <c r="I1505" s="147"/>
      <c r="J1505" s="147"/>
      <c r="K1505" s="63"/>
    </row>
    <row r="1506" spans="1:11" x14ac:dyDescent="0.25">
      <c r="A1506" s="108">
        <v>46029</v>
      </c>
      <c r="B1506" s="109">
        <v>139</v>
      </c>
      <c r="C1506" s="49" t="s">
        <v>19</v>
      </c>
      <c r="D1506" s="110" t="str">
        <f>IF(ISBLANK($B1506),"",IFERROR(VLOOKUP($B1506,ESTOQUE!$B$2:$D$97168,3,FALSE),"Produto não cadastrado"))</f>
        <v>PROTETOR AURICULAR TIPO PLUG</v>
      </c>
      <c r="E1506" s="99" t="str">
        <f>_xlfn.XLOOKUP(B1506,ESTOQUE!B:B,ESTOQUE!G:G,"",0)</f>
        <v>UND</v>
      </c>
      <c r="F1506" s="99">
        <v>54</v>
      </c>
      <c r="G1506" s="146"/>
      <c r="H1506" s="146"/>
      <c r="I1506" s="147"/>
      <c r="J1506" s="147"/>
      <c r="K1506" s="63"/>
    </row>
    <row r="1507" spans="1:11" x14ac:dyDescent="0.25">
      <c r="A1507" s="108">
        <v>46029</v>
      </c>
      <c r="B1507" s="109">
        <v>194</v>
      </c>
      <c r="C1507" s="49" t="s">
        <v>19</v>
      </c>
      <c r="D1507" s="110" t="str">
        <f>IF(ISBLANK($B1507),"",IFERROR(VLOOKUP($B1507,ESTOQUE!$B$2:$D$97168,3,FALSE),"Produto não cadastrado"))</f>
        <v>VISEIRA ACOPLADA</v>
      </c>
      <c r="E1507" s="99" t="str">
        <f>_xlfn.XLOOKUP(B1507,ESTOQUE!B:B,ESTOQUE!G:G,"",0)</f>
        <v>UND</v>
      </c>
      <c r="F1507" s="99">
        <v>2</v>
      </c>
      <c r="G1507" s="146"/>
      <c r="H1507" s="146"/>
      <c r="I1507" s="147"/>
      <c r="J1507" s="147"/>
      <c r="K1507" s="63"/>
    </row>
    <row r="1508" spans="1:11" x14ac:dyDescent="0.25">
      <c r="A1508" s="108">
        <v>46030</v>
      </c>
      <c r="B1508" s="109">
        <v>38</v>
      </c>
      <c r="C1508" s="49" t="s">
        <v>19</v>
      </c>
      <c r="D1508" s="110" t="str">
        <f>IF(ISBLANK($B1508),"",IFERROR(VLOOKUP($B1508,ESTOQUE!$B$2:$D$97168,3,FALSE),"Produto não cadastrado"))</f>
        <v>BOTINA OP. BICO PVC Nº 40</v>
      </c>
      <c r="E1508" s="99" t="str">
        <f>_xlfn.XLOOKUP(B1508,ESTOQUE!B:B,ESTOQUE!G:G,"",0)</f>
        <v>PAR</v>
      </c>
      <c r="F1508" s="99">
        <v>1</v>
      </c>
      <c r="G1508" s="146"/>
      <c r="H1508" s="146"/>
      <c r="I1508" s="147"/>
      <c r="J1508" s="147"/>
      <c r="K1508" s="63"/>
    </row>
    <row r="1509" spans="1:11" x14ac:dyDescent="0.25">
      <c r="A1509" s="108">
        <v>46030</v>
      </c>
      <c r="B1509" s="109">
        <v>46</v>
      </c>
      <c r="C1509" s="49" t="s">
        <v>19</v>
      </c>
      <c r="D1509" s="110" t="str">
        <f>IF(ISBLANK($B1509),"",IFERROR(VLOOKUP($B1509,ESTOQUE!$B$2:$D$97168,3,FALSE),"Produto não cadastrado"))</f>
        <v>CALÇA CINZA OP. C/ FAIXA REFLETIVA TAM: G</v>
      </c>
      <c r="E1509" s="99" t="str">
        <f>_xlfn.XLOOKUP(B1509,ESTOQUE!B:B,ESTOQUE!G:G,"",0)</f>
        <v>UND</v>
      </c>
      <c r="F1509" s="99">
        <v>3</v>
      </c>
      <c r="G1509" s="146"/>
      <c r="H1509" s="146"/>
      <c r="I1509" s="147"/>
      <c r="J1509" s="147"/>
      <c r="K1509" s="63"/>
    </row>
    <row r="1510" spans="1:11" x14ac:dyDescent="0.25">
      <c r="A1510" s="108">
        <v>46030</v>
      </c>
      <c r="B1510" s="109">
        <v>47</v>
      </c>
      <c r="C1510" s="49" t="s">
        <v>19</v>
      </c>
      <c r="D1510" s="110" t="str">
        <f>IF(ISBLANK($B1510),"",IFERROR(VLOOKUP($B1510,ESTOQUE!$B$2:$D$97168,3,FALSE),"Produto não cadastrado"))</f>
        <v>CALÇA CINZA OP. C/ FAIXA REFLETIVA TAM: GG</v>
      </c>
      <c r="E1510" s="99" t="str">
        <f>_xlfn.XLOOKUP(B1510,ESTOQUE!B:B,ESTOQUE!G:G,"",0)</f>
        <v>UND</v>
      </c>
      <c r="F1510" s="99">
        <v>5</v>
      </c>
      <c r="G1510" s="146"/>
      <c r="H1510" s="146"/>
      <c r="I1510" s="147"/>
      <c r="J1510" s="147"/>
      <c r="K1510" s="63"/>
    </row>
    <row r="1511" spans="1:11" x14ac:dyDescent="0.25">
      <c r="A1511" s="108">
        <v>46030</v>
      </c>
      <c r="B1511" s="109">
        <v>48</v>
      </c>
      <c r="C1511" s="49" t="s">
        <v>19</v>
      </c>
      <c r="D1511" s="110" t="str">
        <f>IF(ISBLANK($B1511),"",IFERROR(VLOOKUP($B1511,ESTOQUE!$B$2:$D$97168,3,FALSE),"Produto não cadastrado"))</f>
        <v>CALÇA CINZA OP. C/ FAIXA REFLETIVA TAM: M</v>
      </c>
      <c r="E1511" s="99" t="str">
        <f>_xlfn.XLOOKUP(B1511,ESTOQUE!B:B,ESTOQUE!G:G,"",0)</f>
        <v>UND</v>
      </c>
      <c r="F1511" s="99">
        <v>7</v>
      </c>
      <c r="G1511" s="146"/>
      <c r="H1511" s="146"/>
      <c r="I1511" s="147"/>
      <c r="J1511" s="147"/>
      <c r="K1511" s="63"/>
    </row>
    <row r="1512" spans="1:11" x14ac:dyDescent="0.25">
      <c r="A1512" s="108">
        <v>46030</v>
      </c>
      <c r="B1512" s="109">
        <v>49</v>
      </c>
      <c r="C1512" s="49" t="s">
        <v>19</v>
      </c>
      <c r="D1512" s="110" t="str">
        <f>IF(ISBLANK($B1512),"",IFERROR(VLOOKUP($B1512,ESTOQUE!$B$2:$D$97168,3,FALSE),"Produto não cadastrado"))</f>
        <v>CALÇA CINZA OP. C/ FAIXA REFLETIVA TAM: P</v>
      </c>
      <c r="E1512" s="99" t="str">
        <f>_xlfn.XLOOKUP(B1512,ESTOQUE!B:B,ESTOQUE!G:G,"",0)</f>
        <v>UND</v>
      </c>
      <c r="F1512" s="99">
        <v>2</v>
      </c>
      <c r="G1512" s="146"/>
      <c r="H1512" s="146"/>
      <c r="I1512" s="147"/>
      <c r="J1512" s="147"/>
      <c r="K1512" s="63"/>
    </row>
    <row r="1513" spans="1:11" x14ac:dyDescent="0.25">
      <c r="A1513" s="108">
        <v>46030</v>
      </c>
      <c r="B1513" s="109">
        <v>67</v>
      </c>
      <c r="C1513" s="49" t="s">
        <v>19</v>
      </c>
      <c r="D1513" s="110" t="str">
        <f>IF(ISBLANK($B1513),"",IFERROR(VLOOKUP($B1513,ESTOQUE!$B$2:$D$97168,3,FALSE),"Produto não cadastrado"))</f>
        <v>CAMISA LARANJA OP. C/ FAIXA REFLETIVA TAM: G</v>
      </c>
      <c r="E1513" s="99" t="str">
        <f>_xlfn.XLOOKUP(B1513,ESTOQUE!B:B,ESTOQUE!G:G,"",0)</f>
        <v>UND</v>
      </c>
      <c r="F1513" s="99">
        <v>2</v>
      </c>
      <c r="G1513" s="146"/>
      <c r="H1513" s="146"/>
      <c r="I1513" s="147"/>
      <c r="J1513" s="147"/>
      <c r="K1513" s="63"/>
    </row>
    <row r="1514" spans="1:11" x14ac:dyDescent="0.25">
      <c r="A1514" s="108">
        <v>46030</v>
      </c>
      <c r="B1514" s="109">
        <v>69</v>
      </c>
      <c r="C1514" s="49" t="s">
        <v>19</v>
      </c>
      <c r="D1514" s="110" t="str">
        <f>IF(ISBLANK($B1514),"",IFERROR(VLOOKUP($B1514,ESTOQUE!$B$2:$D$97168,3,FALSE),"Produto não cadastrado"))</f>
        <v>CAMISA LARANJA OP. C/ FAIXA REFLETIVA TAM: M</v>
      </c>
      <c r="E1514" s="99" t="str">
        <f>_xlfn.XLOOKUP(B1514,ESTOQUE!B:B,ESTOQUE!G:G,"",0)</f>
        <v>UND</v>
      </c>
      <c r="F1514" s="99">
        <v>5</v>
      </c>
      <c r="G1514" s="146"/>
      <c r="H1514" s="146"/>
      <c r="I1514" s="147"/>
      <c r="J1514" s="147"/>
      <c r="K1514" s="63"/>
    </row>
    <row r="1515" spans="1:11" x14ac:dyDescent="0.25">
      <c r="A1515" s="108">
        <v>46030</v>
      </c>
      <c r="B1515" s="109">
        <v>261</v>
      </c>
      <c r="C1515" s="49" t="s">
        <v>19</v>
      </c>
      <c r="D1515" s="110" t="str">
        <f>IF(ISBLANK($B1515),"",IFERROR(VLOOKUP($B1515,ESTOQUE!$B$2:$D$97168,3,FALSE),"Produto não cadastrado"))</f>
        <v xml:space="preserve">LUVA DE VAQUETA VERDE </v>
      </c>
      <c r="E1515" s="99" t="str">
        <f>_xlfn.XLOOKUP(B1515,ESTOQUE!B:B,ESTOQUE!G:G,"",0)</f>
        <v>PAR</v>
      </c>
      <c r="F1515" s="99">
        <v>10</v>
      </c>
      <c r="G1515" s="146"/>
      <c r="H1515" s="146"/>
      <c r="I1515" s="147"/>
      <c r="J1515" s="147"/>
      <c r="K1515" s="63"/>
    </row>
    <row r="1516" spans="1:11" x14ac:dyDescent="0.25">
      <c r="A1516" s="108">
        <v>46030</v>
      </c>
      <c r="B1516" s="109">
        <v>117</v>
      </c>
      <c r="C1516" s="49" t="s">
        <v>19</v>
      </c>
      <c r="D1516" s="110" t="str">
        <f>IF(ISBLANK($B1516),"",IFERROR(VLOOKUP($B1516,ESTOQUE!$B$2:$D$97168,3,FALSE),"Produto não cadastrado"))</f>
        <v>LUVA PIGMENTADA</v>
      </c>
      <c r="E1516" s="99" t="str">
        <f>_xlfn.XLOOKUP(B1516,ESTOQUE!B:B,ESTOQUE!G:G,"",0)</f>
        <v>PAR</v>
      </c>
      <c r="F1516" s="99">
        <v>13</v>
      </c>
      <c r="G1516" s="146"/>
      <c r="H1516" s="146"/>
      <c r="I1516" s="147"/>
      <c r="J1516" s="147"/>
      <c r="K1516" s="63"/>
    </row>
    <row r="1517" spans="1:11" x14ac:dyDescent="0.25">
      <c r="A1517" s="108">
        <v>46030</v>
      </c>
      <c r="B1517" s="109">
        <v>114</v>
      </c>
      <c r="C1517" s="49" t="s">
        <v>19</v>
      </c>
      <c r="D1517" s="110" t="str">
        <f>IF(ISBLANK($B1517),"",IFERROR(VLOOKUP($B1517,ESTOQUE!$B$2:$D$97168,3,FALSE),"Produto não cadastrado"))</f>
        <v xml:space="preserve">LUVA LATEX NITRILICA </v>
      </c>
      <c r="E1517" s="99" t="str">
        <f>_xlfn.XLOOKUP(B1517,ESTOQUE!B:B,ESTOQUE!G:G,"",0)</f>
        <v>PAR</v>
      </c>
      <c r="F1517" s="99">
        <v>2</v>
      </c>
      <c r="G1517" s="146"/>
      <c r="H1517" s="146"/>
      <c r="I1517" s="147"/>
      <c r="J1517" s="147"/>
      <c r="K1517" s="63"/>
    </row>
    <row r="1518" spans="1:11" x14ac:dyDescent="0.25">
      <c r="A1518" s="108">
        <v>46030</v>
      </c>
      <c r="B1518" s="109">
        <v>207</v>
      </c>
      <c r="C1518" s="49" t="s">
        <v>19</v>
      </c>
      <c r="D1518" s="110" t="str">
        <f>IF(ISBLANK($B1518),"",IFERROR(VLOOKUP($B1518,ESTOQUE!$B$2:$D$97168,3,FALSE),"Produto não cadastrado"))</f>
        <v>LUVA POLIESTER ANTICORTE BANHADA PU TAM 9</v>
      </c>
      <c r="E1518" s="99" t="str">
        <f>_xlfn.XLOOKUP(B1518,ESTOQUE!B:B,ESTOQUE!G:G,"",0)</f>
        <v>PAR</v>
      </c>
      <c r="F1518" s="99">
        <v>5</v>
      </c>
      <c r="G1518" s="146"/>
      <c r="H1518" s="146"/>
      <c r="I1518" s="147"/>
      <c r="J1518" s="147"/>
      <c r="K1518" s="63"/>
    </row>
    <row r="1519" spans="1:11" x14ac:dyDescent="0.25">
      <c r="A1519" s="108">
        <v>46030</v>
      </c>
      <c r="B1519" s="109">
        <v>144</v>
      </c>
      <c r="C1519" s="49" t="s">
        <v>19</v>
      </c>
      <c r="D1519" s="110" t="str">
        <f>IF(ISBLANK($B1519),"",IFERROR(VLOOKUP($B1519,ESTOQUE!$B$2:$D$97168,3,FALSE),"Produto não cadastrado"))</f>
        <v>MASCARA PFF2-S C/ FILTRO</v>
      </c>
      <c r="E1519" s="99" t="str">
        <f>_xlfn.XLOOKUP(B1519,ESTOQUE!B:B,ESTOQUE!G:G,"",0)</f>
        <v>UND</v>
      </c>
      <c r="F1519" s="99">
        <v>2</v>
      </c>
      <c r="G1519" s="146"/>
      <c r="H1519" s="146"/>
      <c r="I1519" s="147"/>
      <c r="J1519" s="147"/>
      <c r="K1519" s="63"/>
    </row>
    <row r="1520" spans="1:11" x14ac:dyDescent="0.25">
      <c r="A1520" s="108">
        <v>46030</v>
      </c>
      <c r="B1520" s="109">
        <v>124</v>
      </c>
      <c r="C1520" s="49" t="s">
        <v>19</v>
      </c>
      <c r="D1520" s="110" t="str">
        <f>IF(ISBLANK($B1520),"",IFERROR(VLOOKUP($B1520,ESTOQUE!$B$2:$D$97168,3,FALSE),"Produto não cadastrado"))</f>
        <v xml:space="preserve">OCULOS DE PROTEÇÃO INCOLOR </v>
      </c>
      <c r="E1520" s="99" t="str">
        <f>_xlfn.XLOOKUP(B1520,ESTOQUE!B:B,ESTOQUE!G:G,"",0)</f>
        <v>UND</v>
      </c>
      <c r="F1520" s="99">
        <v>1</v>
      </c>
      <c r="G1520" s="146"/>
      <c r="H1520" s="146"/>
      <c r="I1520" s="147"/>
      <c r="J1520" s="147"/>
      <c r="K1520" s="63"/>
    </row>
    <row r="1521" spans="1:11" x14ac:dyDescent="0.25">
      <c r="A1521" s="108">
        <v>46031</v>
      </c>
      <c r="B1521" s="109">
        <v>42</v>
      </c>
      <c r="C1521" s="49" t="s">
        <v>19</v>
      </c>
      <c r="D1521" s="110" t="str">
        <f>IF(ISBLANK($B1521),"",IFERROR(VLOOKUP($B1521,ESTOQUE!$B$2:$D$97168,3,FALSE),"Produto não cadastrado"))</f>
        <v>BOTINA OP. BICO PVC Nº 44</v>
      </c>
      <c r="E1521" s="99" t="str">
        <f>_xlfn.XLOOKUP(B1521,ESTOQUE!B:B,ESTOQUE!G:G,"",0)</f>
        <v>PAR</v>
      </c>
      <c r="F1521" s="99">
        <v>1</v>
      </c>
      <c r="G1521" s="146"/>
      <c r="H1521" s="146"/>
      <c r="I1521" s="147"/>
      <c r="J1521" s="147"/>
      <c r="K1521" s="63"/>
    </row>
    <row r="1522" spans="1:11" x14ac:dyDescent="0.25">
      <c r="A1522" s="108">
        <v>46031</v>
      </c>
      <c r="B1522" s="109">
        <v>43</v>
      </c>
      <c r="C1522" s="49" t="s">
        <v>19</v>
      </c>
      <c r="D1522" s="110" t="str">
        <f>IF(ISBLANK($B1522),"",IFERROR(VLOOKUP($B1522,ESTOQUE!$B$2:$D$97168,3,FALSE),"Produto não cadastrado"))</f>
        <v>BOTINA OP. BICO PVC Nº 45</v>
      </c>
      <c r="E1522" s="99" t="str">
        <f>_xlfn.XLOOKUP(B1522,ESTOQUE!B:B,ESTOQUE!G:G,"",0)</f>
        <v>PAR</v>
      </c>
      <c r="F1522" s="99">
        <v>1</v>
      </c>
      <c r="G1522" s="146"/>
      <c r="H1522" s="146"/>
      <c r="I1522" s="147"/>
      <c r="J1522" s="147"/>
      <c r="K1522" s="63"/>
    </row>
    <row r="1523" spans="1:11" x14ac:dyDescent="0.25">
      <c r="A1523" s="108">
        <v>46031</v>
      </c>
      <c r="B1523" s="109">
        <v>46</v>
      </c>
      <c r="C1523" s="49" t="s">
        <v>19</v>
      </c>
      <c r="D1523" s="110" t="str">
        <f>IF(ISBLANK($B1523),"",IFERROR(VLOOKUP($B1523,ESTOQUE!$B$2:$D$97168,3,FALSE),"Produto não cadastrado"))</f>
        <v>CALÇA CINZA OP. C/ FAIXA REFLETIVA TAM: G</v>
      </c>
      <c r="E1523" s="99" t="str">
        <f>_xlfn.XLOOKUP(B1523,ESTOQUE!B:B,ESTOQUE!G:G,"",0)</f>
        <v>UND</v>
      </c>
      <c r="F1523" s="99">
        <v>1</v>
      </c>
      <c r="G1523" s="146"/>
      <c r="H1523" s="146"/>
      <c r="I1523" s="147"/>
      <c r="J1523" s="147"/>
      <c r="K1523" s="63"/>
    </row>
    <row r="1524" spans="1:11" x14ac:dyDescent="0.25">
      <c r="A1524" s="108">
        <v>46031</v>
      </c>
      <c r="B1524" s="109">
        <v>47</v>
      </c>
      <c r="C1524" s="49" t="s">
        <v>19</v>
      </c>
      <c r="D1524" s="110" t="str">
        <f>IF(ISBLANK($B1524),"",IFERROR(VLOOKUP($B1524,ESTOQUE!$B$2:$D$97168,3,FALSE),"Produto não cadastrado"))</f>
        <v>CALÇA CINZA OP. C/ FAIXA REFLETIVA TAM: GG</v>
      </c>
      <c r="E1524" s="99" t="str">
        <f>_xlfn.XLOOKUP(B1524,ESTOQUE!B:B,ESTOQUE!G:G,"",0)</f>
        <v>UND</v>
      </c>
      <c r="F1524" s="99">
        <v>3</v>
      </c>
      <c r="G1524" s="146"/>
      <c r="H1524" s="146"/>
      <c r="I1524" s="147"/>
      <c r="J1524" s="147"/>
      <c r="K1524" s="63"/>
    </row>
    <row r="1525" spans="1:11" x14ac:dyDescent="0.25">
      <c r="A1525" s="108">
        <v>46031</v>
      </c>
      <c r="B1525" s="109">
        <v>48</v>
      </c>
      <c r="C1525" s="49" t="s">
        <v>19</v>
      </c>
      <c r="D1525" s="110" t="str">
        <f>IF(ISBLANK($B1525),"",IFERROR(VLOOKUP($B1525,ESTOQUE!$B$2:$D$97168,3,FALSE),"Produto não cadastrado"))</f>
        <v>CALÇA CINZA OP. C/ FAIXA REFLETIVA TAM: M</v>
      </c>
      <c r="E1525" s="99" t="str">
        <f>_xlfn.XLOOKUP(B1525,ESTOQUE!B:B,ESTOQUE!G:G,"",0)</f>
        <v>UND</v>
      </c>
      <c r="F1525" s="99">
        <v>7</v>
      </c>
      <c r="G1525" s="146"/>
      <c r="H1525" s="146"/>
      <c r="I1525" s="147"/>
      <c r="J1525" s="147"/>
      <c r="K1525" s="63"/>
    </row>
    <row r="1526" spans="1:11" x14ac:dyDescent="0.25">
      <c r="A1526" s="108">
        <v>46031</v>
      </c>
      <c r="B1526" s="109">
        <v>49</v>
      </c>
      <c r="C1526" s="49" t="s">
        <v>19</v>
      </c>
      <c r="D1526" s="110" t="str">
        <f>IF(ISBLANK($B1526),"",IFERROR(VLOOKUP($B1526,ESTOQUE!$B$2:$D$97168,3,FALSE),"Produto não cadastrado"))</f>
        <v>CALÇA CINZA OP. C/ FAIXA REFLETIVA TAM: P</v>
      </c>
      <c r="E1526" s="99" t="str">
        <f>_xlfn.XLOOKUP(B1526,ESTOQUE!B:B,ESTOQUE!G:G,"",0)</f>
        <v>UND</v>
      </c>
      <c r="F1526" s="99">
        <v>5</v>
      </c>
      <c r="G1526" s="146"/>
      <c r="H1526" s="146"/>
      <c r="I1526" s="147"/>
      <c r="J1526" s="147"/>
      <c r="K1526" s="63"/>
    </row>
    <row r="1527" spans="1:11" x14ac:dyDescent="0.25">
      <c r="A1527" s="108">
        <v>46031</v>
      </c>
      <c r="B1527" s="109">
        <v>67</v>
      </c>
      <c r="C1527" s="49" t="s">
        <v>19</v>
      </c>
      <c r="D1527" s="110" t="str">
        <f>IF(ISBLANK($B1527),"",IFERROR(VLOOKUP($B1527,ESTOQUE!$B$2:$D$97168,3,FALSE),"Produto não cadastrado"))</f>
        <v>CAMISA LARANJA OP. C/ FAIXA REFLETIVA TAM: G</v>
      </c>
      <c r="E1527" s="99" t="str">
        <f>_xlfn.XLOOKUP(B1527,ESTOQUE!B:B,ESTOQUE!G:G,"",0)</f>
        <v>UND</v>
      </c>
      <c r="F1527" s="99">
        <v>3</v>
      </c>
      <c r="G1527" s="146"/>
      <c r="H1527" s="146"/>
      <c r="I1527" s="147"/>
      <c r="J1527" s="147"/>
      <c r="K1527" s="63"/>
    </row>
    <row r="1528" spans="1:11" x14ac:dyDescent="0.25">
      <c r="A1528" s="108">
        <v>46031</v>
      </c>
      <c r="B1528" s="109">
        <v>68</v>
      </c>
      <c r="C1528" s="49" t="s">
        <v>19</v>
      </c>
      <c r="D1528" s="110" t="str">
        <f>IF(ISBLANK($B1528),"",IFERROR(VLOOKUP($B1528,ESTOQUE!$B$2:$D$97168,3,FALSE),"Produto não cadastrado"))</f>
        <v>CAMISA LARANJA OP. C/ FAIXA REFLETIVA TAM: GG</v>
      </c>
      <c r="E1528" s="99" t="str">
        <f>_xlfn.XLOOKUP(B1528,ESTOQUE!B:B,ESTOQUE!G:G,"",0)</f>
        <v>UND</v>
      </c>
      <c r="F1528" s="99">
        <v>1</v>
      </c>
      <c r="G1528" s="146"/>
      <c r="H1528" s="146"/>
      <c r="I1528" s="147"/>
      <c r="J1528" s="147"/>
      <c r="K1528" s="63"/>
    </row>
    <row r="1529" spans="1:11" x14ac:dyDescent="0.25">
      <c r="A1529" s="108">
        <v>46031</v>
      </c>
      <c r="B1529" s="109">
        <v>69</v>
      </c>
      <c r="C1529" s="49" t="s">
        <v>19</v>
      </c>
      <c r="D1529" s="110" t="str">
        <f>IF(ISBLANK($B1529),"",IFERROR(VLOOKUP($B1529,ESTOQUE!$B$2:$D$97168,3,FALSE),"Produto não cadastrado"))</f>
        <v>CAMISA LARANJA OP. C/ FAIXA REFLETIVA TAM: M</v>
      </c>
      <c r="E1529" s="99" t="str">
        <f>_xlfn.XLOOKUP(B1529,ESTOQUE!B:B,ESTOQUE!G:G,"",0)</f>
        <v>UND</v>
      </c>
      <c r="F1529" s="99">
        <v>5</v>
      </c>
      <c r="G1529" s="146"/>
      <c r="H1529" s="146"/>
      <c r="I1529" s="147"/>
      <c r="J1529" s="147"/>
      <c r="K1529" s="63"/>
    </row>
    <row r="1530" spans="1:11" x14ac:dyDescent="0.25">
      <c r="A1530" s="108">
        <v>46031</v>
      </c>
      <c r="B1530" s="109">
        <v>70</v>
      </c>
      <c r="C1530" s="49" t="s">
        <v>19</v>
      </c>
      <c r="D1530" s="110" t="str">
        <f>IF(ISBLANK($B1530),"",IFERROR(VLOOKUP($B1530,ESTOQUE!$B$2:$D$97168,3,FALSE),"Produto não cadastrado"))</f>
        <v>CAMISA LARANJA OP. C/ FAIXA REFLETIVA TAM: P</v>
      </c>
      <c r="E1530" s="99" t="str">
        <f>_xlfn.XLOOKUP(B1530,ESTOQUE!B:B,ESTOQUE!G:G,"",0)</f>
        <v>UND</v>
      </c>
      <c r="F1530" s="99">
        <v>4</v>
      </c>
      <c r="G1530" s="146"/>
      <c r="H1530" s="146"/>
      <c r="I1530" s="147"/>
      <c r="J1530" s="147"/>
      <c r="K1530" s="63"/>
    </row>
    <row r="1531" spans="1:11" x14ac:dyDescent="0.25">
      <c r="A1531" s="108">
        <v>46031</v>
      </c>
      <c r="B1531" s="109">
        <v>73</v>
      </c>
      <c r="C1531" s="49" t="s">
        <v>19</v>
      </c>
      <c r="D1531" s="110" t="str">
        <f>IF(ISBLANK($B1531),"",IFERROR(VLOOKUP($B1531,ESTOQUE!$B$2:$D$97168,3,FALSE),"Produto não cadastrado"))</f>
        <v>CAPA DE CHUVA GG</v>
      </c>
      <c r="E1531" s="99" t="str">
        <f>_xlfn.XLOOKUP(B1531,ESTOQUE!B:B,ESTOQUE!G:G,"",0)</f>
        <v>UND</v>
      </c>
      <c r="F1531" s="99">
        <v>40</v>
      </c>
      <c r="G1531" s="146"/>
      <c r="H1531" s="146"/>
      <c r="I1531" s="147"/>
      <c r="J1531" s="147"/>
      <c r="K1531" s="63"/>
    </row>
    <row r="1532" spans="1:11" x14ac:dyDescent="0.25">
      <c r="A1532" s="108">
        <v>46031</v>
      </c>
      <c r="B1532" s="109">
        <v>141</v>
      </c>
      <c r="C1532" s="49" t="s">
        <v>19</v>
      </c>
      <c r="D1532" s="110" t="str">
        <f>IF(ISBLANK($B1532),"",IFERROR(VLOOKUP($B1532,ESTOQUE!$B$2:$D$97168,3,FALSE),"Produto não cadastrado"))</f>
        <v xml:space="preserve">LUVA DE VAQUETA </v>
      </c>
      <c r="E1532" s="99" t="str">
        <f>_xlfn.XLOOKUP(B1532,ESTOQUE!B:B,ESTOQUE!G:G,"",0)</f>
        <v>PAR</v>
      </c>
      <c r="F1532" s="99">
        <v>1</v>
      </c>
      <c r="G1532" s="146"/>
      <c r="H1532" s="146"/>
      <c r="I1532" s="147"/>
      <c r="J1532" s="147"/>
      <c r="K1532" s="63"/>
    </row>
    <row r="1533" spans="1:11" x14ac:dyDescent="0.25">
      <c r="A1533" s="108">
        <v>46031</v>
      </c>
      <c r="B1533" s="109">
        <v>111</v>
      </c>
      <c r="C1533" s="49" t="s">
        <v>19</v>
      </c>
      <c r="D1533" s="110" t="str">
        <f>IF(ISBLANK($B1533),"",IFERROR(VLOOKUP($B1533,ESTOQUE!$B$2:$D$97168,3,FALSE),"Produto não cadastrado"))</f>
        <v>LUVA DE VAQUETA MARROM</v>
      </c>
      <c r="E1533" s="99" t="str">
        <f>_xlfn.XLOOKUP(B1533,ESTOQUE!B:B,ESTOQUE!G:G,"",0)</f>
        <v>PAR</v>
      </c>
      <c r="F1533" s="99">
        <v>15</v>
      </c>
      <c r="G1533" s="146"/>
      <c r="H1533" s="146"/>
      <c r="I1533" s="147"/>
      <c r="J1533" s="147"/>
      <c r="K1533" s="63"/>
    </row>
    <row r="1534" spans="1:11" x14ac:dyDescent="0.25">
      <c r="A1534" s="108">
        <v>46031</v>
      </c>
      <c r="B1534" s="109">
        <v>261</v>
      </c>
      <c r="C1534" s="49" t="s">
        <v>19</v>
      </c>
      <c r="D1534" s="110" t="str">
        <f>IF(ISBLANK($B1534),"",IFERROR(VLOOKUP($B1534,ESTOQUE!$B$2:$D$97168,3,FALSE),"Produto não cadastrado"))</f>
        <v xml:space="preserve">LUVA DE VAQUETA VERDE </v>
      </c>
      <c r="E1534" s="99" t="str">
        <f>_xlfn.XLOOKUP(B1534,ESTOQUE!B:B,ESTOQUE!G:G,"",0)</f>
        <v>PAR</v>
      </c>
      <c r="F1534" s="99">
        <v>15</v>
      </c>
      <c r="G1534" s="146"/>
      <c r="H1534" s="146"/>
      <c r="I1534" s="147"/>
      <c r="J1534" s="147"/>
      <c r="K1534" s="63"/>
    </row>
    <row r="1535" spans="1:11" x14ac:dyDescent="0.25">
      <c r="A1535" s="108">
        <v>46031</v>
      </c>
      <c r="B1535" s="109">
        <v>117</v>
      </c>
      <c r="C1535" s="49" t="s">
        <v>19</v>
      </c>
      <c r="D1535" s="110" t="str">
        <f>IF(ISBLANK($B1535),"",IFERROR(VLOOKUP($B1535,ESTOQUE!$B$2:$D$97168,3,FALSE),"Produto não cadastrado"))</f>
        <v>LUVA PIGMENTADA</v>
      </c>
      <c r="E1535" s="99" t="str">
        <f>_xlfn.XLOOKUP(B1535,ESTOQUE!B:B,ESTOQUE!G:G,"",0)</f>
        <v>PAR</v>
      </c>
      <c r="F1535" s="99">
        <v>24</v>
      </c>
      <c r="G1535" s="146"/>
      <c r="H1535" s="146"/>
      <c r="I1535" s="147"/>
      <c r="J1535" s="147"/>
      <c r="K1535" s="63"/>
    </row>
    <row r="1536" spans="1:11" x14ac:dyDescent="0.25">
      <c r="A1536" s="108">
        <v>46031</v>
      </c>
      <c r="B1536" s="109">
        <v>207</v>
      </c>
      <c r="C1536" s="49" t="s">
        <v>19</v>
      </c>
      <c r="D1536" s="110" t="str">
        <f>IF(ISBLANK($B1536),"",IFERROR(VLOOKUP($B1536,ESTOQUE!$B$2:$D$97168,3,FALSE),"Produto não cadastrado"))</f>
        <v>LUVA POLIESTER ANTICORTE BANHADA PU TAM 9</v>
      </c>
      <c r="E1536" s="99" t="str">
        <f>_xlfn.XLOOKUP(B1536,ESTOQUE!B:B,ESTOQUE!G:G,"",0)</f>
        <v>PAR</v>
      </c>
      <c r="F1536" s="99">
        <v>14</v>
      </c>
      <c r="G1536" s="146"/>
      <c r="H1536" s="146"/>
      <c r="I1536" s="147"/>
      <c r="J1536" s="147"/>
      <c r="K1536" s="63"/>
    </row>
    <row r="1537" spans="1:11" x14ac:dyDescent="0.25">
      <c r="A1537" s="108">
        <v>46031</v>
      </c>
      <c r="B1537" s="109">
        <v>118</v>
      </c>
      <c r="C1537" s="49" t="s">
        <v>19</v>
      </c>
      <c r="D1537" s="110" t="str">
        <f>IF(ISBLANK($B1537),"",IFERROR(VLOOKUP($B1537,ESTOQUE!$B$2:$D$97168,3,FALSE),"Produto não cadastrado"))</f>
        <v>MACACÃO DE PROTEÇÃO TYVEK</v>
      </c>
      <c r="E1537" s="99" t="str">
        <f>_xlfn.XLOOKUP(B1537,ESTOQUE!B:B,ESTOQUE!G:G,"",0)</f>
        <v>UND</v>
      </c>
      <c r="F1537" s="99">
        <v>25</v>
      </c>
      <c r="G1537" s="146"/>
      <c r="H1537" s="146"/>
      <c r="I1537" s="147"/>
      <c r="J1537" s="147"/>
      <c r="K1537" s="63"/>
    </row>
    <row r="1538" spans="1:11" x14ac:dyDescent="0.25">
      <c r="A1538" s="108">
        <v>46031</v>
      </c>
      <c r="B1538" s="109">
        <v>144</v>
      </c>
      <c r="C1538" s="49" t="s">
        <v>19</v>
      </c>
      <c r="D1538" s="110" t="str">
        <f>IF(ISBLANK($B1538),"",IFERROR(VLOOKUP($B1538,ESTOQUE!$B$2:$D$97168,3,FALSE),"Produto não cadastrado"))</f>
        <v>MASCARA PFF2-S C/ FILTRO</v>
      </c>
      <c r="E1538" s="99" t="str">
        <f>_xlfn.XLOOKUP(B1538,ESTOQUE!B:B,ESTOQUE!G:G,"",0)</f>
        <v>UND</v>
      </c>
      <c r="F1538" s="99">
        <v>20</v>
      </c>
      <c r="G1538" s="146"/>
      <c r="H1538" s="146"/>
      <c r="I1538" s="147"/>
      <c r="J1538" s="147"/>
      <c r="K1538" s="63"/>
    </row>
    <row r="1539" spans="1:11" x14ac:dyDescent="0.25">
      <c r="A1539" s="108">
        <v>46031</v>
      </c>
      <c r="B1539" s="109">
        <v>126</v>
      </c>
      <c r="C1539" s="49" t="s">
        <v>19</v>
      </c>
      <c r="D1539" s="110" t="str">
        <f>IF(ISBLANK($B1539),"",IFERROR(VLOOKUP($B1539,ESTOQUE!$B$2:$D$97168,3,FALSE),"Produto não cadastrado"))</f>
        <v>OCULOS DE PROTEÇÃO ESCURO</v>
      </c>
      <c r="E1539" s="99" t="str">
        <f>_xlfn.XLOOKUP(B1539,ESTOQUE!B:B,ESTOQUE!G:G,"",0)</f>
        <v>UND</v>
      </c>
      <c r="F1539" s="99">
        <v>4</v>
      </c>
      <c r="G1539" s="146"/>
      <c r="H1539" s="146"/>
      <c r="I1539" s="147"/>
      <c r="J1539" s="147"/>
      <c r="K1539" s="63"/>
    </row>
    <row r="1540" spans="1:11" x14ac:dyDescent="0.25">
      <c r="A1540" s="108">
        <v>46031</v>
      </c>
      <c r="B1540" s="109">
        <v>124</v>
      </c>
      <c r="C1540" s="49" t="s">
        <v>19</v>
      </c>
      <c r="D1540" s="110" t="str">
        <f>IF(ISBLANK($B1540),"",IFERROR(VLOOKUP($B1540,ESTOQUE!$B$2:$D$97168,3,FALSE),"Produto não cadastrado"))</f>
        <v xml:space="preserve">OCULOS DE PROTEÇÃO INCOLOR </v>
      </c>
      <c r="E1540" s="99" t="str">
        <f>_xlfn.XLOOKUP(B1540,ESTOQUE!B:B,ESTOQUE!G:G,"",0)</f>
        <v>UND</v>
      </c>
      <c r="F1540" s="99">
        <v>20</v>
      </c>
      <c r="G1540" s="146"/>
      <c r="H1540" s="146"/>
      <c r="I1540" s="147"/>
      <c r="J1540" s="147"/>
      <c r="K1540" s="63"/>
    </row>
    <row r="1541" spans="1:11" x14ac:dyDescent="0.25">
      <c r="A1541" s="108">
        <v>46031</v>
      </c>
      <c r="B1541" s="109">
        <v>137</v>
      </c>
      <c r="C1541" s="49" t="s">
        <v>19</v>
      </c>
      <c r="D1541" s="110" t="str">
        <f>IF(ISBLANK($B1541),"",IFERROR(VLOOKUP($B1541,ESTOQUE!$B$2:$D$97168,3,FALSE),"Produto não cadastrado"))</f>
        <v xml:space="preserve">TOUCA ARABE </v>
      </c>
      <c r="E1541" s="99" t="str">
        <f>_xlfn.XLOOKUP(B1541,ESTOQUE!B:B,ESTOQUE!G:G,"",0)</f>
        <v>UND</v>
      </c>
      <c r="F1541" s="99">
        <v>5</v>
      </c>
      <c r="G1541" s="146"/>
      <c r="H1541" s="146"/>
      <c r="I1541" s="147"/>
      <c r="J1541" s="147"/>
      <c r="K1541" s="63"/>
    </row>
    <row r="1542" spans="1:11" x14ac:dyDescent="0.25">
      <c r="A1542" s="108">
        <v>46032</v>
      </c>
      <c r="B1542" s="109">
        <v>6</v>
      </c>
      <c r="C1542" s="49" t="s">
        <v>19</v>
      </c>
      <c r="D1542" s="110" t="str">
        <f>IF(ISBLANK($B1542),"",IFERROR(VLOOKUP($B1542,ESTOQUE!$B$2:$D$97168,3,FALSE),"Produto não cadastrado"))</f>
        <v>BOTA PVC CANO LONGO Nº 38</v>
      </c>
      <c r="E1542" s="99" t="str">
        <f>_xlfn.XLOOKUP(B1542,ESTOQUE!B:B,ESTOQUE!G:G,"",0)</f>
        <v>PAR</v>
      </c>
      <c r="F1542" s="99">
        <v>1</v>
      </c>
      <c r="G1542" s="146"/>
      <c r="H1542" s="146"/>
      <c r="I1542" s="147"/>
      <c r="J1542" s="147"/>
      <c r="K1542" s="63"/>
    </row>
    <row r="1543" spans="1:11" x14ac:dyDescent="0.25">
      <c r="A1543" s="108">
        <v>46032</v>
      </c>
      <c r="B1543" s="109">
        <v>162</v>
      </c>
      <c r="C1543" s="49" t="s">
        <v>19</v>
      </c>
      <c r="D1543" s="110" t="str">
        <f>IF(ISBLANK($B1543),"",IFERROR(VLOOKUP($B1543,ESTOQUE!$B$2:$D$97168,3,FALSE),"Produto não cadastrado"))</f>
        <v>BOTINA DE ELETRICISTA Nº 42</v>
      </c>
      <c r="E1543" s="99" t="str">
        <f>_xlfn.XLOOKUP(B1543,ESTOQUE!B:B,ESTOQUE!G:G,"",0)</f>
        <v>PAR</v>
      </c>
      <c r="F1543" s="99">
        <v>1</v>
      </c>
      <c r="G1543" s="146"/>
      <c r="H1543" s="146"/>
      <c r="I1543" s="147"/>
      <c r="J1543" s="147"/>
      <c r="K1543" s="63"/>
    </row>
    <row r="1544" spans="1:11" x14ac:dyDescent="0.25">
      <c r="A1544" s="108">
        <v>46032</v>
      </c>
      <c r="B1544" s="109">
        <v>46</v>
      </c>
      <c r="C1544" s="49" t="s">
        <v>19</v>
      </c>
      <c r="D1544" s="110" t="str">
        <f>IF(ISBLANK($B1544),"",IFERROR(VLOOKUP($B1544,ESTOQUE!$B$2:$D$97168,3,FALSE),"Produto não cadastrado"))</f>
        <v>CALÇA CINZA OP. C/ FAIXA REFLETIVA TAM: G</v>
      </c>
      <c r="E1544" s="99" t="str">
        <f>_xlfn.XLOOKUP(B1544,ESTOQUE!B:B,ESTOQUE!G:G,"",0)</f>
        <v>UND</v>
      </c>
      <c r="F1544" s="99">
        <v>2</v>
      </c>
      <c r="G1544" s="146"/>
      <c r="H1544" s="146"/>
      <c r="I1544" s="147"/>
      <c r="J1544" s="147"/>
      <c r="K1544" s="63"/>
    </row>
    <row r="1545" spans="1:11" x14ac:dyDescent="0.25">
      <c r="A1545" s="108">
        <v>46032</v>
      </c>
      <c r="B1545" s="109">
        <v>47</v>
      </c>
      <c r="C1545" s="49" t="s">
        <v>19</v>
      </c>
      <c r="D1545" s="110" t="str">
        <f>IF(ISBLANK($B1545),"",IFERROR(VLOOKUP($B1545,ESTOQUE!$B$2:$D$97168,3,FALSE),"Produto não cadastrado"))</f>
        <v>CALÇA CINZA OP. C/ FAIXA REFLETIVA TAM: GG</v>
      </c>
      <c r="E1545" s="99" t="str">
        <f>_xlfn.XLOOKUP(B1545,ESTOQUE!B:B,ESTOQUE!G:G,"",0)</f>
        <v>UND</v>
      </c>
      <c r="F1545" s="99">
        <v>3</v>
      </c>
      <c r="G1545" s="146"/>
      <c r="H1545" s="146"/>
      <c r="I1545" s="147"/>
      <c r="J1545" s="147"/>
      <c r="K1545" s="63"/>
    </row>
    <row r="1546" spans="1:11" x14ac:dyDescent="0.25">
      <c r="A1546" s="108">
        <v>46032</v>
      </c>
      <c r="B1546" s="109">
        <v>48</v>
      </c>
      <c r="C1546" s="49" t="s">
        <v>19</v>
      </c>
      <c r="D1546" s="110" t="str">
        <f>IF(ISBLANK($B1546),"",IFERROR(VLOOKUP($B1546,ESTOQUE!$B$2:$D$97168,3,FALSE),"Produto não cadastrado"))</f>
        <v>CALÇA CINZA OP. C/ FAIXA REFLETIVA TAM: M</v>
      </c>
      <c r="E1546" s="99" t="str">
        <f>_xlfn.XLOOKUP(B1546,ESTOQUE!B:B,ESTOQUE!G:G,"",0)</f>
        <v>UND</v>
      </c>
      <c r="F1546" s="99">
        <v>1</v>
      </c>
      <c r="G1546" s="146"/>
      <c r="H1546" s="146"/>
      <c r="I1546" s="147"/>
      <c r="J1546" s="147"/>
      <c r="K1546" s="63"/>
    </row>
    <row r="1547" spans="1:11" x14ac:dyDescent="0.25">
      <c r="A1547" s="108">
        <v>46032</v>
      </c>
      <c r="B1547" s="109">
        <v>49</v>
      </c>
      <c r="C1547" s="49" t="s">
        <v>19</v>
      </c>
      <c r="D1547" s="110" t="str">
        <f>IF(ISBLANK($B1547),"",IFERROR(VLOOKUP($B1547,ESTOQUE!$B$2:$D$97168,3,FALSE),"Produto não cadastrado"))</f>
        <v>CALÇA CINZA OP. C/ FAIXA REFLETIVA TAM: P</v>
      </c>
      <c r="E1547" s="99" t="str">
        <f>_xlfn.XLOOKUP(B1547,ESTOQUE!B:B,ESTOQUE!G:G,"",0)</f>
        <v>UND</v>
      </c>
      <c r="F1547" s="99">
        <v>2</v>
      </c>
      <c r="G1547" s="146"/>
      <c r="H1547" s="146"/>
      <c r="I1547" s="147"/>
      <c r="J1547" s="147"/>
      <c r="K1547" s="63"/>
    </row>
    <row r="1548" spans="1:11" x14ac:dyDescent="0.25">
      <c r="A1548" s="108">
        <v>46032</v>
      </c>
      <c r="B1548" s="109">
        <v>50</v>
      </c>
      <c r="C1548" s="49" t="s">
        <v>19</v>
      </c>
      <c r="D1548" s="110" t="str">
        <f>IF(ISBLANK($B1548),"",IFERROR(VLOOKUP($B1548,ESTOQUE!$B$2:$D$97168,3,FALSE),"Produto não cadastrado"))</f>
        <v>CALÇA CINZA OP. C/ FAIXA REFLETIVA TAM: XG</v>
      </c>
      <c r="E1548" s="99" t="str">
        <f>_xlfn.XLOOKUP(B1548,ESTOQUE!B:B,ESTOQUE!G:G,"",0)</f>
        <v>UND</v>
      </c>
      <c r="F1548" s="99">
        <v>1</v>
      </c>
      <c r="G1548" s="146"/>
      <c r="H1548" s="146"/>
      <c r="I1548" s="147"/>
      <c r="J1548" s="147"/>
      <c r="K1548" s="63"/>
    </row>
    <row r="1549" spans="1:11" x14ac:dyDescent="0.25">
      <c r="A1549" s="108">
        <v>46032</v>
      </c>
      <c r="B1549" s="109">
        <v>67</v>
      </c>
      <c r="C1549" s="49" t="s">
        <v>19</v>
      </c>
      <c r="D1549" s="110" t="str">
        <f>IF(ISBLANK($B1549),"",IFERROR(VLOOKUP($B1549,ESTOQUE!$B$2:$D$97168,3,FALSE),"Produto não cadastrado"))</f>
        <v>CAMISA LARANJA OP. C/ FAIXA REFLETIVA TAM: G</v>
      </c>
      <c r="E1549" s="99" t="str">
        <f>_xlfn.XLOOKUP(B1549,ESTOQUE!B:B,ESTOQUE!G:G,"",0)</f>
        <v>UND</v>
      </c>
      <c r="F1549" s="99">
        <v>4</v>
      </c>
      <c r="G1549" s="146"/>
      <c r="H1549" s="146"/>
      <c r="I1549" s="147"/>
      <c r="J1549" s="147"/>
      <c r="K1549" s="63"/>
    </row>
    <row r="1550" spans="1:11" x14ac:dyDescent="0.25">
      <c r="A1550" s="108">
        <v>46032</v>
      </c>
      <c r="B1550" s="109">
        <v>68</v>
      </c>
      <c r="C1550" s="49" t="s">
        <v>19</v>
      </c>
      <c r="D1550" s="110" t="str">
        <f>IF(ISBLANK($B1550),"",IFERROR(VLOOKUP($B1550,ESTOQUE!$B$2:$D$97168,3,FALSE),"Produto não cadastrado"))</f>
        <v>CAMISA LARANJA OP. C/ FAIXA REFLETIVA TAM: GG</v>
      </c>
      <c r="E1550" s="99" t="str">
        <f>_xlfn.XLOOKUP(B1550,ESTOQUE!B:B,ESTOQUE!G:G,"",0)</f>
        <v>UND</v>
      </c>
      <c r="F1550" s="99">
        <v>3</v>
      </c>
      <c r="G1550" s="146"/>
      <c r="H1550" s="146"/>
      <c r="I1550" s="147"/>
      <c r="J1550" s="147"/>
      <c r="K1550" s="63"/>
    </row>
    <row r="1551" spans="1:11" x14ac:dyDescent="0.25">
      <c r="A1551" s="108">
        <v>46032</v>
      </c>
      <c r="B1551" s="109">
        <v>69</v>
      </c>
      <c r="C1551" s="49" t="s">
        <v>19</v>
      </c>
      <c r="D1551" s="110" t="str">
        <f>IF(ISBLANK($B1551),"",IFERROR(VLOOKUP($B1551,ESTOQUE!$B$2:$D$97168,3,FALSE),"Produto não cadastrado"))</f>
        <v>CAMISA LARANJA OP. C/ FAIXA REFLETIVA TAM: M</v>
      </c>
      <c r="E1551" s="99" t="str">
        <f>_xlfn.XLOOKUP(B1551,ESTOQUE!B:B,ESTOQUE!G:G,"",0)</f>
        <v>UND</v>
      </c>
      <c r="F1551" s="99">
        <v>4</v>
      </c>
      <c r="G1551" s="146"/>
      <c r="H1551" s="146"/>
      <c r="I1551" s="147"/>
      <c r="J1551" s="147"/>
      <c r="K1551" s="63"/>
    </row>
    <row r="1552" spans="1:11" x14ac:dyDescent="0.25">
      <c r="A1552" s="108">
        <v>46032</v>
      </c>
      <c r="B1552" s="109">
        <v>70</v>
      </c>
      <c r="C1552" s="49" t="s">
        <v>19</v>
      </c>
      <c r="D1552" s="110" t="str">
        <f>IF(ISBLANK($B1552),"",IFERROR(VLOOKUP($B1552,ESTOQUE!$B$2:$D$97168,3,FALSE),"Produto não cadastrado"))</f>
        <v>CAMISA LARANJA OP. C/ FAIXA REFLETIVA TAM: P</v>
      </c>
      <c r="E1552" s="99" t="str">
        <f>_xlfn.XLOOKUP(B1552,ESTOQUE!B:B,ESTOQUE!G:G,"",0)</f>
        <v>UND</v>
      </c>
      <c r="F1552" s="99">
        <v>2</v>
      </c>
      <c r="G1552" s="146"/>
      <c r="H1552" s="146"/>
      <c r="I1552" s="147"/>
      <c r="J1552" s="147"/>
      <c r="K1552" s="63"/>
    </row>
    <row r="1553" spans="1:11" x14ac:dyDescent="0.25">
      <c r="A1553" s="108">
        <v>46032</v>
      </c>
      <c r="B1553" s="109">
        <v>71</v>
      </c>
      <c r="C1553" s="49" t="s">
        <v>19</v>
      </c>
      <c r="D1553" s="110" t="str">
        <f>IF(ISBLANK($B1553),"",IFERROR(VLOOKUP($B1553,ESTOQUE!$B$2:$D$97168,3,FALSE),"Produto não cadastrado"))</f>
        <v>CAMISA LARANJA OP. C/ FAIXA REFLETIVA TAM: XG</v>
      </c>
      <c r="E1553" s="99" t="str">
        <f>_xlfn.XLOOKUP(B1553,ESTOQUE!B:B,ESTOQUE!G:G,"",0)</f>
        <v>UND</v>
      </c>
      <c r="F1553" s="99">
        <v>1</v>
      </c>
      <c r="G1553" s="146"/>
      <c r="H1553" s="146"/>
      <c r="I1553" s="147"/>
      <c r="J1553" s="147"/>
      <c r="K1553" s="63"/>
    </row>
    <row r="1554" spans="1:11" x14ac:dyDescent="0.25">
      <c r="A1554" s="108">
        <v>46032</v>
      </c>
      <c r="B1554" s="109">
        <v>93</v>
      </c>
      <c r="C1554" s="49" t="s">
        <v>19</v>
      </c>
      <c r="D1554" s="110" t="str">
        <f>IF(ISBLANK($B1554),"",IFERROR(VLOOKUP($B1554,ESTOQUE!$B$2:$D$97168,3,FALSE),"Produto não cadastrado"))</f>
        <v>CARNEIRA P/ CAPACETE C/ CATRACA GENESIS</v>
      </c>
      <c r="E1554" s="99" t="str">
        <f>_xlfn.XLOOKUP(B1554,ESTOQUE!B:B,ESTOQUE!G:G,"",0)</f>
        <v>UND</v>
      </c>
      <c r="F1554" s="99">
        <v>2</v>
      </c>
      <c r="G1554" s="146"/>
      <c r="H1554" s="146"/>
      <c r="I1554" s="147"/>
      <c r="J1554" s="147"/>
      <c r="K1554" s="63"/>
    </row>
    <row r="1555" spans="1:11" x14ac:dyDescent="0.25">
      <c r="A1555" s="108">
        <v>46032</v>
      </c>
      <c r="B1555" s="109">
        <v>161</v>
      </c>
      <c r="C1555" s="49" t="s">
        <v>19</v>
      </c>
      <c r="D1555" s="110" t="str">
        <f>IF(ISBLANK($B1555),"",IFERROR(VLOOKUP($B1555,ESTOQUE!$B$2:$D$97168,3,FALSE),"Produto não cadastrado"))</f>
        <v>JUGULAR</v>
      </c>
      <c r="E1555" s="99" t="s">
        <v>31</v>
      </c>
      <c r="F1555" s="99">
        <v>4</v>
      </c>
      <c r="G1555" s="146"/>
      <c r="H1555" s="146"/>
      <c r="I1555" s="147"/>
      <c r="J1555" s="147"/>
      <c r="K1555" s="63"/>
    </row>
    <row r="1556" spans="1:11" x14ac:dyDescent="0.25">
      <c r="A1556" s="108">
        <v>46032</v>
      </c>
      <c r="B1556" s="109">
        <v>111</v>
      </c>
      <c r="C1556" s="49" t="s">
        <v>19</v>
      </c>
      <c r="D1556" s="110" t="str">
        <f>IF(ISBLANK($B1556),"",IFERROR(VLOOKUP($B1556,ESTOQUE!$B$2:$D$97168,3,FALSE),"Produto não cadastrado"))</f>
        <v>LUVA DE VAQUETA MARROM</v>
      </c>
      <c r="E1556" s="99" t="str">
        <f>_xlfn.XLOOKUP(B1556,ESTOQUE!B:B,ESTOQUE!G:G,"",0)</f>
        <v>PAR</v>
      </c>
      <c r="F1556" s="99">
        <v>1</v>
      </c>
      <c r="G1556" s="146"/>
      <c r="H1556" s="146"/>
      <c r="I1556" s="147"/>
      <c r="J1556" s="147"/>
      <c r="K1556" s="63"/>
    </row>
    <row r="1557" spans="1:11" x14ac:dyDescent="0.25">
      <c r="A1557" s="108">
        <v>46032</v>
      </c>
      <c r="B1557" s="109">
        <v>189</v>
      </c>
      <c r="C1557" s="49" t="s">
        <v>19</v>
      </c>
      <c r="D1557" s="110" t="str">
        <f>IF(ISBLANK($B1557),"",IFERROR(VLOOKUP($B1557,ESTOQUE!$B$2:$D$97168,3,FALSE),"Produto não cadastrado"))</f>
        <v xml:space="preserve">LUVA DE VAQUETA MISTA </v>
      </c>
      <c r="E1557" s="99" t="str">
        <f>_xlfn.XLOOKUP(B1557,ESTOQUE!B:B,ESTOQUE!G:G,"",0)</f>
        <v>UND</v>
      </c>
      <c r="F1557" s="99">
        <v>3</v>
      </c>
      <c r="G1557" s="146"/>
      <c r="H1557" s="146"/>
      <c r="I1557" s="147"/>
      <c r="J1557" s="147"/>
      <c r="K1557" s="63"/>
    </row>
    <row r="1558" spans="1:11" x14ac:dyDescent="0.25">
      <c r="A1558" s="108">
        <v>46032</v>
      </c>
      <c r="B1558" s="109">
        <v>114</v>
      </c>
      <c r="C1558" s="49" t="s">
        <v>19</v>
      </c>
      <c r="D1558" s="110" t="str">
        <f>IF(ISBLANK($B1558),"",IFERROR(VLOOKUP($B1558,ESTOQUE!$B$2:$D$97168,3,FALSE),"Produto não cadastrado"))</f>
        <v xml:space="preserve">LUVA LATEX NITRILICA </v>
      </c>
      <c r="E1558" s="99" t="str">
        <f>_xlfn.XLOOKUP(B1558,ESTOQUE!B:B,ESTOQUE!G:G,"",0)</f>
        <v>PAR</v>
      </c>
      <c r="F1558" s="99">
        <v>1</v>
      </c>
      <c r="G1558" s="146"/>
      <c r="H1558" s="146"/>
      <c r="I1558" s="147"/>
      <c r="J1558" s="147"/>
      <c r="K1558" s="63"/>
    </row>
    <row r="1559" spans="1:11" x14ac:dyDescent="0.25">
      <c r="A1559" s="108">
        <v>46032</v>
      </c>
      <c r="B1559" s="109">
        <v>117</v>
      </c>
      <c r="C1559" s="49" t="s">
        <v>19</v>
      </c>
      <c r="D1559" s="110" t="str">
        <f>IF(ISBLANK($B1559),"",IFERROR(VLOOKUP($B1559,ESTOQUE!$B$2:$D$97168,3,FALSE),"Produto não cadastrado"))</f>
        <v>LUVA PIGMENTADA</v>
      </c>
      <c r="E1559" s="99" t="str">
        <f>_xlfn.XLOOKUP(B1559,ESTOQUE!B:B,ESTOQUE!G:G,"",0)</f>
        <v>PAR</v>
      </c>
      <c r="F1559" s="99">
        <v>1</v>
      </c>
      <c r="G1559" s="146"/>
      <c r="H1559" s="146"/>
      <c r="I1559" s="147"/>
      <c r="J1559" s="147"/>
      <c r="K1559" s="63"/>
    </row>
    <row r="1560" spans="1:11" x14ac:dyDescent="0.25">
      <c r="A1560" s="108">
        <v>46032</v>
      </c>
      <c r="B1560" s="109">
        <v>207</v>
      </c>
      <c r="C1560" s="49" t="s">
        <v>19</v>
      </c>
      <c r="D1560" s="110" t="str">
        <f>IF(ISBLANK($B1560),"",IFERROR(VLOOKUP($B1560,ESTOQUE!$B$2:$D$97168,3,FALSE),"Produto não cadastrado"))</f>
        <v>LUVA POLIESTER ANTICORTE BANHADA PU TAM 9</v>
      </c>
      <c r="E1560" s="99" t="str">
        <f>_xlfn.XLOOKUP(B1560,ESTOQUE!B:B,ESTOQUE!G:G,"",0)</f>
        <v>PAR</v>
      </c>
      <c r="F1560" s="99">
        <v>1</v>
      </c>
      <c r="G1560" s="146"/>
      <c r="H1560" s="146"/>
      <c r="I1560" s="147"/>
      <c r="J1560" s="147"/>
      <c r="K1560" s="63"/>
    </row>
    <row r="1561" spans="1:11" x14ac:dyDescent="0.25">
      <c r="A1561" s="108">
        <v>46032</v>
      </c>
      <c r="B1561" s="109">
        <v>126</v>
      </c>
      <c r="C1561" s="49" t="s">
        <v>19</v>
      </c>
      <c r="D1561" s="110" t="str">
        <f>IF(ISBLANK($B1561),"",IFERROR(VLOOKUP($B1561,ESTOQUE!$B$2:$D$97168,3,FALSE),"Produto não cadastrado"))</f>
        <v>OCULOS DE PROTEÇÃO ESCURO</v>
      </c>
      <c r="E1561" s="99" t="str">
        <f>_xlfn.XLOOKUP(B1561,ESTOQUE!B:B,ESTOQUE!G:G,"",0)</f>
        <v>UND</v>
      </c>
      <c r="F1561" s="99">
        <v>1</v>
      </c>
      <c r="G1561" s="146"/>
      <c r="H1561" s="146"/>
      <c r="I1561" s="147"/>
      <c r="J1561" s="147"/>
      <c r="K1561" s="63"/>
    </row>
    <row r="1562" spans="1:11" x14ac:dyDescent="0.25">
      <c r="A1562" s="108">
        <v>46034</v>
      </c>
      <c r="B1562" s="109">
        <v>1</v>
      </c>
      <c r="C1562" s="49" t="s">
        <v>19</v>
      </c>
      <c r="D1562" s="110" t="str">
        <f>IF(ISBLANK($B1562),"",IFERROR(VLOOKUP($B1562,ESTOQUE!$B$2:$D$97168,3,FALSE),"Produto não cadastrado"))</f>
        <v>ABAFADOR DE RUIDOS TIPO CONCHA</v>
      </c>
      <c r="E1562" s="99" t="str">
        <f>_xlfn.XLOOKUP(B1562,ESTOQUE!B:B,ESTOQUE!G:G,"",0)</f>
        <v>UND</v>
      </c>
      <c r="F1562" s="99">
        <v>1</v>
      </c>
      <c r="G1562" s="146"/>
      <c r="H1562" s="146"/>
      <c r="I1562" s="147"/>
      <c r="J1562" s="147"/>
      <c r="K1562" s="63"/>
    </row>
    <row r="1563" spans="1:11" x14ac:dyDescent="0.25">
      <c r="A1563" s="108">
        <v>46034</v>
      </c>
      <c r="B1563" s="109">
        <v>31</v>
      </c>
      <c r="C1563" s="49" t="s">
        <v>19</v>
      </c>
      <c r="D1563" s="110" t="str">
        <f>IF(ISBLANK($B1563),"",IFERROR(VLOOKUP($B1563,ESTOQUE!$B$2:$D$97168,3,FALSE),"Produto não cadastrado"))</f>
        <v>BOTINA DE ELETRICISTA Nº 41</v>
      </c>
      <c r="E1563" s="99" t="str">
        <f>_xlfn.XLOOKUP(B1563,ESTOQUE!B:B,ESTOQUE!G:G,"",0)</f>
        <v>PAR</v>
      </c>
      <c r="F1563" s="99">
        <v>1</v>
      </c>
      <c r="G1563" s="146"/>
      <c r="H1563" s="146"/>
      <c r="I1563" s="147"/>
      <c r="J1563" s="147"/>
      <c r="K1563" s="63"/>
    </row>
    <row r="1564" spans="1:11" x14ac:dyDescent="0.25">
      <c r="A1564" s="108">
        <v>46034</v>
      </c>
      <c r="B1564" s="109">
        <v>46</v>
      </c>
      <c r="C1564" s="49" t="s">
        <v>19</v>
      </c>
      <c r="D1564" s="110" t="str">
        <f>IF(ISBLANK($B1564),"",IFERROR(VLOOKUP($B1564,ESTOQUE!$B$2:$D$97168,3,FALSE),"Produto não cadastrado"))</f>
        <v>CALÇA CINZA OP. C/ FAIXA REFLETIVA TAM: G</v>
      </c>
      <c r="E1564" s="99" t="str">
        <f>_xlfn.XLOOKUP(B1564,ESTOQUE!B:B,ESTOQUE!G:G,"",0)</f>
        <v>UND</v>
      </c>
      <c r="F1564" s="99">
        <v>3</v>
      </c>
      <c r="G1564" s="146"/>
      <c r="H1564" s="146"/>
      <c r="I1564" s="147"/>
      <c r="J1564" s="147"/>
      <c r="K1564" s="63"/>
    </row>
    <row r="1565" spans="1:11" x14ac:dyDescent="0.25">
      <c r="A1565" s="108">
        <v>46034</v>
      </c>
      <c r="B1565" s="109">
        <v>47</v>
      </c>
      <c r="C1565" s="49" t="s">
        <v>19</v>
      </c>
      <c r="D1565" s="110" t="str">
        <f>IF(ISBLANK($B1565),"",IFERROR(VLOOKUP($B1565,ESTOQUE!$B$2:$D$97168,3,FALSE),"Produto não cadastrado"))</f>
        <v>CALÇA CINZA OP. C/ FAIXA REFLETIVA TAM: GG</v>
      </c>
      <c r="E1565" s="99" t="str">
        <f>_xlfn.XLOOKUP(B1565,ESTOQUE!B:B,ESTOQUE!G:G,"",0)</f>
        <v>UND</v>
      </c>
      <c r="F1565" s="99">
        <v>2</v>
      </c>
      <c r="G1565" s="146"/>
      <c r="H1565" s="146"/>
      <c r="I1565" s="147"/>
      <c r="J1565" s="147"/>
      <c r="K1565" s="63"/>
    </row>
    <row r="1566" spans="1:11" x14ac:dyDescent="0.25">
      <c r="A1566" s="108">
        <v>46034</v>
      </c>
      <c r="B1566" s="109">
        <v>48</v>
      </c>
      <c r="C1566" s="49" t="s">
        <v>19</v>
      </c>
      <c r="D1566" s="110" t="str">
        <f>IF(ISBLANK($B1566),"",IFERROR(VLOOKUP($B1566,ESTOQUE!$B$2:$D$97168,3,FALSE),"Produto não cadastrado"))</f>
        <v>CALÇA CINZA OP. C/ FAIXA REFLETIVA TAM: M</v>
      </c>
      <c r="E1566" s="99" t="str">
        <f>_xlfn.XLOOKUP(B1566,ESTOQUE!B:B,ESTOQUE!G:G,"",0)</f>
        <v>UND</v>
      </c>
      <c r="F1566" s="99">
        <v>6</v>
      </c>
      <c r="G1566" s="146"/>
      <c r="H1566" s="146"/>
      <c r="I1566" s="147"/>
      <c r="J1566" s="147"/>
      <c r="K1566" s="63"/>
    </row>
    <row r="1567" spans="1:11" x14ac:dyDescent="0.25">
      <c r="A1567" s="108">
        <v>46034</v>
      </c>
      <c r="B1567" s="109">
        <v>49</v>
      </c>
      <c r="C1567" s="49" t="s">
        <v>19</v>
      </c>
      <c r="D1567" s="110" t="str">
        <f>IF(ISBLANK($B1567),"",IFERROR(VLOOKUP($B1567,ESTOQUE!$B$2:$D$97168,3,FALSE),"Produto não cadastrado"))</f>
        <v>CALÇA CINZA OP. C/ FAIXA REFLETIVA TAM: P</v>
      </c>
      <c r="E1567" s="99" t="str">
        <f>_xlfn.XLOOKUP(B1567,ESTOQUE!B:B,ESTOQUE!G:G,"",0)</f>
        <v>UND</v>
      </c>
      <c r="F1567" s="99">
        <v>3</v>
      </c>
      <c r="G1567" s="146"/>
      <c r="H1567" s="146"/>
      <c r="I1567" s="147"/>
      <c r="J1567" s="147"/>
      <c r="K1567" s="63"/>
    </row>
    <row r="1568" spans="1:11" x14ac:dyDescent="0.25">
      <c r="A1568" s="108">
        <v>46034</v>
      </c>
      <c r="B1568" s="109">
        <v>67</v>
      </c>
      <c r="C1568" s="49" t="s">
        <v>19</v>
      </c>
      <c r="D1568" s="110" t="str">
        <f>IF(ISBLANK($B1568),"",IFERROR(VLOOKUP($B1568,ESTOQUE!$B$2:$D$97168,3,FALSE),"Produto não cadastrado"))</f>
        <v>CAMISA LARANJA OP. C/ FAIXA REFLETIVA TAM: G</v>
      </c>
      <c r="E1568" s="99" t="str">
        <f>_xlfn.XLOOKUP(B1568,ESTOQUE!B:B,ESTOQUE!G:G,"",0)</f>
        <v>UND</v>
      </c>
      <c r="F1568" s="99">
        <v>4</v>
      </c>
      <c r="G1568" s="146"/>
      <c r="H1568" s="146"/>
      <c r="I1568" s="147"/>
      <c r="J1568" s="147"/>
      <c r="K1568" s="63"/>
    </row>
    <row r="1569" spans="1:11" x14ac:dyDescent="0.25">
      <c r="A1569" s="108">
        <v>46034</v>
      </c>
      <c r="B1569" s="109">
        <v>68</v>
      </c>
      <c r="C1569" s="49" t="s">
        <v>19</v>
      </c>
      <c r="D1569" s="110" t="str">
        <f>IF(ISBLANK($B1569),"",IFERROR(VLOOKUP($B1569,ESTOQUE!$B$2:$D$97168,3,FALSE),"Produto não cadastrado"))</f>
        <v>CAMISA LARANJA OP. C/ FAIXA REFLETIVA TAM: GG</v>
      </c>
      <c r="E1569" s="99" t="str">
        <f>_xlfn.XLOOKUP(B1569,ESTOQUE!B:B,ESTOQUE!G:G,"",0)</f>
        <v>UND</v>
      </c>
      <c r="F1569" s="99">
        <v>1</v>
      </c>
      <c r="G1569" s="146"/>
      <c r="H1569" s="146"/>
      <c r="I1569" s="147"/>
      <c r="J1569" s="147"/>
      <c r="K1569" s="63"/>
    </row>
    <row r="1570" spans="1:11" x14ac:dyDescent="0.25">
      <c r="A1570" s="108">
        <v>46034</v>
      </c>
      <c r="B1570" s="109">
        <v>69</v>
      </c>
      <c r="C1570" s="49" t="s">
        <v>19</v>
      </c>
      <c r="D1570" s="110" t="str">
        <f>IF(ISBLANK($B1570),"",IFERROR(VLOOKUP($B1570,ESTOQUE!$B$2:$D$97168,3,FALSE),"Produto não cadastrado"))</f>
        <v>CAMISA LARANJA OP. C/ FAIXA REFLETIVA TAM: M</v>
      </c>
      <c r="E1570" s="99" t="str">
        <f>_xlfn.XLOOKUP(B1570,ESTOQUE!B:B,ESTOQUE!G:G,"",0)</f>
        <v>UND</v>
      </c>
      <c r="F1570" s="99">
        <v>5</v>
      </c>
      <c r="G1570" s="146"/>
      <c r="H1570" s="146"/>
      <c r="I1570" s="147"/>
      <c r="J1570" s="147"/>
      <c r="K1570" s="63"/>
    </row>
    <row r="1571" spans="1:11" x14ac:dyDescent="0.25">
      <c r="A1571" s="108">
        <v>46034</v>
      </c>
      <c r="B1571" s="109">
        <v>70</v>
      </c>
      <c r="C1571" s="49" t="s">
        <v>19</v>
      </c>
      <c r="D1571" s="110" t="str">
        <f>IF(ISBLANK($B1571),"",IFERROR(VLOOKUP($B1571,ESTOQUE!$B$2:$D$97168,3,FALSE),"Produto não cadastrado"))</f>
        <v>CAMISA LARANJA OP. C/ FAIXA REFLETIVA TAM: P</v>
      </c>
      <c r="E1571" s="99" t="str">
        <f>_xlfn.XLOOKUP(B1571,ESTOQUE!B:B,ESTOQUE!G:G,"",0)</f>
        <v>UND</v>
      </c>
      <c r="F1571" s="99">
        <v>3</v>
      </c>
      <c r="G1571" s="146"/>
      <c r="H1571" s="146"/>
      <c r="I1571" s="147"/>
      <c r="J1571" s="147"/>
      <c r="K1571" s="63"/>
    </row>
    <row r="1572" spans="1:11" x14ac:dyDescent="0.25">
      <c r="A1572" s="108">
        <v>46034</v>
      </c>
      <c r="B1572" s="109">
        <v>81</v>
      </c>
      <c r="C1572" s="49" t="s">
        <v>19</v>
      </c>
      <c r="D1572" s="110" t="str">
        <f>IF(ISBLANK($B1572),"",IFERROR(VLOOKUP($B1572,ESTOQUE!$B$2:$D$97168,3,FALSE),"Produto não cadastrado"))</f>
        <v>CAPACETE LIBUS BRANCO</v>
      </c>
      <c r="E1572" s="99" t="str">
        <f>_xlfn.XLOOKUP(B1572,ESTOQUE!B:B,ESTOQUE!G:G,"",0)</f>
        <v>UND</v>
      </c>
      <c r="F1572" s="99">
        <v>1</v>
      </c>
      <c r="G1572" s="146"/>
      <c r="H1572" s="146"/>
      <c r="I1572" s="147"/>
      <c r="J1572" s="147"/>
      <c r="K1572" s="63"/>
    </row>
    <row r="1573" spans="1:11" x14ac:dyDescent="0.25">
      <c r="A1573" s="108">
        <v>46034</v>
      </c>
      <c r="B1573" s="109">
        <v>95</v>
      </c>
      <c r="C1573" s="49" t="s">
        <v>19</v>
      </c>
      <c r="D1573" s="110" t="str">
        <f>IF(ISBLANK($B1573),"",IFERROR(VLOOKUP($B1573,ESTOQUE!$B$2:$D$97168,3,FALSE),"Produto não cadastrado"))</f>
        <v>CARNEIRA P/ CAPACETE LIBUS</v>
      </c>
      <c r="E1573" s="99" t="str">
        <f>_xlfn.XLOOKUP(B1573,ESTOQUE!B:B,ESTOQUE!G:G,"",0)</f>
        <v>UND</v>
      </c>
      <c r="F1573" s="99">
        <v>3</v>
      </c>
      <c r="G1573" s="146"/>
      <c r="H1573" s="146"/>
      <c r="I1573" s="147"/>
      <c r="J1573" s="147"/>
      <c r="K1573" s="63"/>
    </row>
    <row r="1574" spans="1:11" x14ac:dyDescent="0.25">
      <c r="A1574" s="108">
        <v>46034</v>
      </c>
      <c r="B1574" s="109">
        <v>97</v>
      </c>
      <c r="C1574" s="49" t="s">
        <v>19</v>
      </c>
      <c r="D1574" s="110" t="str">
        <f>IF(ISBLANK($B1574),"",IFERROR(VLOOKUP($B1574,ESTOQUE!$B$2:$D$97168,3,FALSE),"Produto não cadastrado"))</f>
        <v>COLETE REFLETIVO LARANJA M</v>
      </c>
      <c r="E1574" s="99" t="str">
        <f>_xlfn.XLOOKUP(B1574,ESTOQUE!B:B,ESTOQUE!G:G,"",0)</f>
        <v>UND</v>
      </c>
      <c r="F1574" s="99">
        <v>1</v>
      </c>
      <c r="G1574" s="146"/>
      <c r="H1574" s="146"/>
      <c r="I1574" s="147"/>
      <c r="J1574" s="147"/>
      <c r="K1574" s="63"/>
    </row>
    <row r="1575" spans="1:11" x14ac:dyDescent="0.25">
      <c r="A1575" s="108">
        <v>46034</v>
      </c>
      <c r="B1575" s="109">
        <v>161</v>
      </c>
      <c r="C1575" s="49" t="s">
        <v>19</v>
      </c>
      <c r="D1575" s="110" t="str">
        <f>IF(ISBLANK($B1575),"",IFERROR(VLOOKUP($B1575,ESTOQUE!$B$2:$D$97168,3,FALSE),"Produto não cadastrado"))</f>
        <v>JUGULAR</v>
      </c>
      <c r="E1575" s="99" t="str">
        <f>_xlfn.XLOOKUP(B1575,ESTOQUE!B:B,ESTOQUE!G:G,"",0)</f>
        <v>UND</v>
      </c>
      <c r="F1575" s="99">
        <v>3</v>
      </c>
      <c r="G1575" s="146"/>
      <c r="H1575" s="146"/>
      <c r="I1575" s="147"/>
      <c r="J1575" s="147"/>
      <c r="K1575" s="63"/>
    </row>
    <row r="1576" spans="1:11" x14ac:dyDescent="0.25">
      <c r="A1576" s="108">
        <v>46034</v>
      </c>
      <c r="B1576" s="109">
        <v>139</v>
      </c>
      <c r="C1576" s="49" t="s">
        <v>19</v>
      </c>
      <c r="D1576" s="110" t="str">
        <f>IF(ISBLANK($B1576),"",IFERROR(VLOOKUP($B1576,ESTOQUE!$B$2:$D$97168,3,FALSE),"Produto não cadastrado"))</f>
        <v>PROTETOR AURICULAR TIPO PLUG</v>
      </c>
      <c r="E1576" s="99" t="str">
        <f>_xlfn.XLOOKUP(B1576,ESTOQUE!B:B,ESTOQUE!G:G,"",0)</f>
        <v>UND</v>
      </c>
      <c r="F1576" s="99">
        <v>3</v>
      </c>
      <c r="G1576" s="146"/>
      <c r="H1576" s="146"/>
      <c r="I1576" s="147"/>
      <c r="J1576" s="147"/>
      <c r="K1576" s="63"/>
    </row>
    <row r="1577" spans="1:11" x14ac:dyDescent="0.25">
      <c r="A1577" s="108">
        <v>46034</v>
      </c>
      <c r="B1577" s="109">
        <v>137</v>
      </c>
      <c r="C1577" s="49" t="s">
        <v>19</v>
      </c>
      <c r="D1577" s="110" t="str">
        <f>IF(ISBLANK($B1577),"",IFERROR(VLOOKUP($B1577,ESTOQUE!$B$2:$D$97168,3,FALSE),"Produto não cadastrado"))</f>
        <v xml:space="preserve">TOUCA ARABE </v>
      </c>
      <c r="E1577" s="99" t="str">
        <f>_xlfn.XLOOKUP(B1577,ESTOQUE!B:B,ESTOQUE!G:G,"",0)</f>
        <v>UND</v>
      </c>
      <c r="F1577" s="99">
        <v>3</v>
      </c>
      <c r="G1577" s="146"/>
      <c r="H1577" s="146"/>
      <c r="I1577" s="147"/>
      <c r="J1577" s="147"/>
      <c r="K1577" s="63"/>
    </row>
    <row r="1578" spans="1:11" x14ac:dyDescent="0.25">
      <c r="A1578" s="108">
        <v>46034</v>
      </c>
      <c r="B1578" s="109">
        <v>141</v>
      </c>
      <c r="C1578" s="49" t="s">
        <v>19</v>
      </c>
      <c r="D1578" s="110" t="str">
        <f>IF(ISBLANK($B1578),"",IFERROR(VLOOKUP($B1578,ESTOQUE!$B$2:$D$97168,3,FALSE),"Produto não cadastrado"))</f>
        <v xml:space="preserve">LUVA DE VAQUETA </v>
      </c>
      <c r="E1578" s="99" t="str">
        <f>_xlfn.XLOOKUP(B1578,ESTOQUE!B:B,ESTOQUE!G:G,"",0)</f>
        <v>PAR</v>
      </c>
      <c r="F1578" s="99">
        <v>33</v>
      </c>
      <c r="G1578" s="146"/>
      <c r="H1578" s="146"/>
      <c r="I1578" s="147"/>
      <c r="J1578" s="147"/>
      <c r="K1578" s="63"/>
    </row>
    <row r="1579" spans="1:11" x14ac:dyDescent="0.25">
      <c r="A1579" s="108">
        <v>46034</v>
      </c>
      <c r="B1579" s="109">
        <v>114</v>
      </c>
      <c r="C1579" s="49" t="s">
        <v>19</v>
      </c>
      <c r="D1579" s="110" t="str">
        <f>IF(ISBLANK($B1579),"",IFERROR(VLOOKUP($B1579,ESTOQUE!$B$2:$D$97168,3,FALSE),"Produto não cadastrado"))</f>
        <v xml:space="preserve">LUVA LATEX NITRILICA </v>
      </c>
      <c r="E1579" s="99" t="str">
        <f>_xlfn.XLOOKUP(B1579,ESTOQUE!B:B,ESTOQUE!G:G,"",0)</f>
        <v>PAR</v>
      </c>
      <c r="F1579" s="99">
        <v>13</v>
      </c>
      <c r="G1579" s="146"/>
      <c r="H1579" s="146"/>
      <c r="I1579" s="147"/>
      <c r="J1579" s="147"/>
      <c r="K1579" s="63"/>
    </row>
    <row r="1580" spans="1:11" x14ac:dyDescent="0.25">
      <c r="A1580" s="108">
        <v>46034</v>
      </c>
      <c r="B1580" s="109">
        <v>117</v>
      </c>
      <c r="C1580" s="49" t="s">
        <v>19</v>
      </c>
      <c r="D1580" s="110" t="str">
        <f>IF(ISBLANK($B1580),"",IFERROR(VLOOKUP($B1580,ESTOQUE!$B$2:$D$97168,3,FALSE),"Produto não cadastrado"))</f>
        <v>LUVA PIGMENTADA</v>
      </c>
      <c r="E1580" s="99" t="str">
        <f>_xlfn.XLOOKUP(B1580,ESTOQUE!B:B,ESTOQUE!G:G,"",0)</f>
        <v>PAR</v>
      </c>
      <c r="F1580" s="99">
        <v>49</v>
      </c>
      <c r="G1580" s="146"/>
      <c r="H1580" s="146"/>
      <c r="I1580" s="147"/>
      <c r="J1580" s="147"/>
      <c r="K1580" s="63"/>
    </row>
    <row r="1581" spans="1:11" x14ac:dyDescent="0.25">
      <c r="A1581" s="108">
        <v>46034</v>
      </c>
      <c r="B1581" s="109">
        <v>207</v>
      </c>
      <c r="C1581" s="49" t="s">
        <v>19</v>
      </c>
      <c r="D1581" s="110" t="str">
        <f>IF(ISBLANK($B1581),"",IFERROR(VLOOKUP($B1581,ESTOQUE!$B$2:$D$97168,3,FALSE),"Produto não cadastrado"))</f>
        <v>LUVA POLIESTER ANTICORTE BANHADA PU TAM 9</v>
      </c>
      <c r="E1581" s="99" t="str">
        <f>_xlfn.XLOOKUP(B1581,ESTOQUE!B:B,ESTOQUE!G:G,"",0)</f>
        <v>PAR</v>
      </c>
      <c r="F1581" s="99">
        <v>3</v>
      </c>
      <c r="G1581" s="146"/>
      <c r="H1581" s="146"/>
      <c r="I1581" s="147"/>
      <c r="J1581" s="147"/>
      <c r="K1581" s="63"/>
    </row>
    <row r="1582" spans="1:11" x14ac:dyDescent="0.25">
      <c r="A1582" s="108">
        <v>46034</v>
      </c>
      <c r="B1582" s="109">
        <v>144</v>
      </c>
      <c r="C1582" s="49" t="s">
        <v>19</v>
      </c>
      <c r="D1582" s="110" t="str">
        <f>IF(ISBLANK($B1582),"",IFERROR(VLOOKUP($B1582,ESTOQUE!$B$2:$D$97168,3,FALSE),"Produto não cadastrado"))</f>
        <v>MASCARA PFF2-S C/ FILTRO</v>
      </c>
      <c r="E1582" s="99" t="str">
        <f>_xlfn.XLOOKUP(B1582,ESTOQUE!B:B,ESTOQUE!G:G,"",0)</f>
        <v>UND</v>
      </c>
      <c r="F1582" s="99">
        <v>64</v>
      </c>
      <c r="G1582" s="146"/>
      <c r="H1582" s="146"/>
      <c r="I1582" s="147"/>
      <c r="J1582" s="147"/>
      <c r="K1582" s="63"/>
    </row>
    <row r="1583" spans="1:11" x14ac:dyDescent="0.25">
      <c r="A1583" s="108">
        <v>46034</v>
      </c>
      <c r="B1583" s="109">
        <v>126</v>
      </c>
      <c r="C1583" s="49" t="s">
        <v>19</v>
      </c>
      <c r="D1583" s="110" t="str">
        <f>IF(ISBLANK($B1583),"",IFERROR(VLOOKUP($B1583,ESTOQUE!$B$2:$D$97168,3,FALSE),"Produto não cadastrado"))</f>
        <v>OCULOS DE PROTEÇÃO ESCURO</v>
      </c>
      <c r="E1583" s="99" t="str">
        <f>_xlfn.XLOOKUP(B1583,ESTOQUE!B:B,ESTOQUE!G:G,"",0)</f>
        <v>UND</v>
      </c>
      <c r="F1583" s="99">
        <v>24</v>
      </c>
      <c r="G1583" s="146"/>
      <c r="H1583" s="146"/>
      <c r="I1583" s="147"/>
      <c r="J1583" s="147"/>
      <c r="K1583" s="63"/>
    </row>
    <row r="1584" spans="1:11" x14ac:dyDescent="0.25">
      <c r="A1584" s="108">
        <v>46034</v>
      </c>
      <c r="B1584" s="109">
        <v>124</v>
      </c>
      <c r="C1584" s="49" t="s">
        <v>19</v>
      </c>
      <c r="D1584" s="110" t="str">
        <f>IF(ISBLANK($B1584),"",IFERROR(VLOOKUP($B1584,ESTOQUE!$B$2:$D$97168,3,FALSE),"Produto não cadastrado"))</f>
        <v xml:space="preserve">OCULOS DE PROTEÇÃO INCOLOR </v>
      </c>
      <c r="E1584" s="99" t="str">
        <f>_xlfn.XLOOKUP(B1584,ESTOQUE!B:B,ESTOQUE!G:G,"",0)</f>
        <v>UND</v>
      </c>
      <c r="F1584" s="99">
        <v>1</v>
      </c>
      <c r="G1584" s="146"/>
      <c r="H1584" s="146"/>
      <c r="I1584" s="147"/>
      <c r="J1584" s="147"/>
      <c r="K1584" s="63"/>
    </row>
    <row r="1585" spans="1:11" x14ac:dyDescent="0.25">
      <c r="A1585" s="108">
        <v>46035</v>
      </c>
      <c r="B1585" s="109">
        <v>190</v>
      </c>
      <c r="C1585" s="49" t="s">
        <v>19</v>
      </c>
      <c r="D1585" s="110" t="str">
        <f>IF(ISBLANK($B1585),"",IFERROR(VLOOKUP($B1585,ESTOQUE!$B$2:$D$97168,3,FALSE),"Produto não cadastrado"))</f>
        <v>AVENTAL DE RASPA TAM 120X60</v>
      </c>
      <c r="E1585" s="99" t="str">
        <f>_xlfn.XLOOKUP(B1585,ESTOQUE!B:B,ESTOQUE!G:G,"",0)</f>
        <v>UND</v>
      </c>
      <c r="F1585" s="99">
        <v>6</v>
      </c>
      <c r="G1585" s="146"/>
      <c r="H1585" s="146"/>
      <c r="I1585" s="147"/>
      <c r="J1585" s="147"/>
      <c r="K1585" s="63"/>
    </row>
    <row r="1586" spans="1:11" x14ac:dyDescent="0.25">
      <c r="A1586" s="108">
        <v>46035</v>
      </c>
      <c r="B1586" s="109">
        <v>29</v>
      </c>
      <c r="C1586" s="49" t="s">
        <v>19</v>
      </c>
      <c r="D1586" s="110" t="str">
        <f>IF(ISBLANK($B1586),"",IFERROR(VLOOKUP($B1586,ESTOQUE!$B$2:$D$97168,3,FALSE),"Produto não cadastrado"))</f>
        <v>BOTINA DE ELETRICISTA Nº 39</v>
      </c>
      <c r="E1586" s="99" t="str">
        <f>_xlfn.XLOOKUP(B1586,ESTOQUE!B:B,ESTOQUE!G:G,"",0)</f>
        <v>PAR</v>
      </c>
      <c r="F1586" s="99">
        <v>1</v>
      </c>
      <c r="G1586" s="146"/>
      <c r="H1586" s="146"/>
      <c r="I1586" s="147"/>
      <c r="J1586" s="147"/>
      <c r="K1586" s="63"/>
    </row>
    <row r="1587" spans="1:11" x14ac:dyDescent="0.25">
      <c r="A1587" s="108">
        <v>46035</v>
      </c>
      <c r="B1587" s="109">
        <v>30</v>
      </c>
      <c r="C1587" s="49" t="s">
        <v>19</v>
      </c>
      <c r="D1587" s="110" t="str">
        <f>IF(ISBLANK($B1587),"",IFERROR(VLOOKUP($B1587,ESTOQUE!$B$2:$D$97168,3,FALSE),"Produto não cadastrado"))</f>
        <v>BOTINA DE ELETRICISTA Nº 40</v>
      </c>
      <c r="E1587" s="99" t="str">
        <f>_xlfn.XLOOKUP(B1587,ESTOQUE!B:B,ESTOQUE!G:G,"",0)</f>
        <v>PAR</v>
      </c>
      <c r="F1587" s="99">
        <v>1</v>
      </c>
      <c r="G1587" s="146"/>
      <c r="H1587" s="146"/>
      <c r="I1587" s="147"/>
      <c r="J1587" s="147"/>
      <c r="K1587" s="63"/>
    </row>
    <row r="1588" spans="1:11" x14ac:dyDescent="0.25">
      <c r="A1588" s="108">
        <v>46035</v>
      </c>
      <c r="B1588" s="109">
        <v>31</v>
      </c>
      <c r="C1588" s="49" t="s">
        <v>19</v>
      </c>
      <c r="D1588" s="110" t="str">
        <f>IF(ISBLANK($B1588),"",IFERROR(VLOOKUP($B1588,ESTOQUE!$B$2:$D$97168,3,FALSE),"Produto não cadastrado"))</f>
        <v>BOTINA DE ELETRICISTA Nº 41</v>
      </c>
      <c r="E1588" s="99" t="str">
        <f>_xlfn.XLOOKUP(B1588,ESTOQUE!B:B,ESTOQUE!G:G,"",0)</f>
        <v>PAR</v>
      </c>
      <c r="F1588" s="99">
        <v>1</v>
      </c>
      <c r="G1588" s="146"/>
      <c r="H1588" s="146"/>
      <c r="I1588" s="147"/>
      <c r="J1588" s="147"/>
      <c r="K1588" s="63"/>
    </row>
    <row r="1589" spans="1:11" x14ac:dyDescent="0.25">
      <c r="A1589" s="108">
        <v>46035</v>
      </c>
      <c r="B1589" s="109">
        <v>162</v>
      </c>
      <c r="C1589" s="49" t="s">
        <v>19</v>
      </c>
      <c r="D1589" s="110" t="str">
        <f>IF(ISBLANK($B1589),"",IFERROR(VLOOKUP($B1589,ESTOQUE!$B$2:$D$97168,3,FALSE),"Produto não cadastrado"))</f>
        <v>BOTINA DE ELETRICISTA Nº 42</v>
      </c>
      <c r="E1589" s="99" t="str">
        <f>_xlfn.XLOOKUP(B1589,ESTOQUE!B:B,ESTOQUE!G:G,"",0)</f>
        <v>PAR</v>
      </c>
      <c r="F1589" s="99">
        <v>2</v>
      </c>
      <c r="G1589" s="146"/>
      <c r="H1589" s="146"/>
      <c r="I1589" s="147"/>
      <c r="J1589" s="147"/>
      <c r="K1589" s="63"/>
    </row>
    <row r="1590" spans="1:11" x14ac:dyDescent="0.25">
      <c r="A1590" s="108">
        <v>46035</v>
      </c>
      <c r="B1590" s="109">
        <v>46</v>
      </c>
      <c r="C1590" s="49" t="s">
        <v>19</v>
      </c>
      <c r="D1590" s="110" t="str">
        <f>IF(ISBLANK($B1590),"",IFERROR(VLOOKUP($B1590,ESTOQUE!$B$2:$D$97168,3,FALSE),"Produto não cadastrado"))</f>
        <v>CALÇA CINZA OP. C/ FAIXA REFLETIVA TAM: G</v>
      </c>
      <c r="E1590" s="99" t="str">
        <f>_xlfn.XLOOKUP(B1590,ESTOQUE!B:B,ESTOQUE!G:G,"",0)</f>
        <v>UND</v>
      </c>
      <c r="F1590" s="99">
        <v>1</v>
      </c>
      <c r="G1590" s="146"/>
      <c r="H1590" s="146"/>
      <c r="I1590" s="147"/>
      <c r="J1590" s="147"/>
      <c r="K1590" s="63"/>
    </row>
    <row r="1591" spans="1:11" x14ac:dyDescent="0.25">
      <c r="A1591" s="108">
        <v>46035</v>
      </c>
      <c r="B1591" s="109">
        <v>47</v>
      </c>
      <c r="C1591" s="49" t="s">
        <v>19</v>
      </c>
      <c r="D1591" s="110" t="str">
        <f>IF(ISBLANK($B1591),"",IFERROR(VLOOKUP($B1591,ESTOQUE!$B$2:$D$97168,3,FALSE),"Produto não cadastrado"))</f>
        <v>CALÇA CINZA OP. C/ FAIXA REFLETIVA TAM: GG</v>
      </c>
      <c r="E1591" s="99" t="str">
        <f>_xlfn.XLOOKUP(B1591,ESTOQUE!B:B,ESTOQUE!G:G,"",0)</f>
        <v>UND</v>
      </c>
      <c r="F1591" s="99">
        <v>1</v>
      </c>
      <c r="G1591" s="146"/>
      <c r="H1591" s="146"/>
      <c r="I1591" s="147"/>
      <c r="J1591" s="147"/>
      <c r="K1591" s="63"/>
    </row>
    <row r="1592" spans="1:11" x14ac:dyDescent="0.25">
      <c r="A1592" s="108">
        <v>46035</v>
      </c>
      <c r="B1592" s="109">
        <v>48</v>
      </c>
      <c r="C1592" s="49" t="s">
        <v>19</v>
      </c>
      <c r="D1592" s="110" t="str">
        <f>IF(ISBLANK($B1592),"",IFERROR(VLOOKUP($B1592,ESTOQUE!$B$2:$D$97168,3,FALSE),"Produto não cadastrado"))</f>
        <v>CALÇA CINZA OP. C/ FAIXA REFLETIVA TAM: M</v>
      </c>
      <c r="E1592" s="99" t="str">
        <f>_xlfn.XLOOKUP(B1592,ESTOQUE!B:B,ESTOQUE!G:G,"",0)</f>
        <v>UND</v>
      </c>
      <c r="F1592" s="99">
        <v>4</v>
      </c>
      <c r="G1592" s="146"/>
      <c r="H1592" s="146"/>
      <c r="I1592" s="147"/>
      <c r="J1592" s="147"/>
      <c r="K1592" s="63"/>
    </row>
    <row r="1593" spans="1:11" x14ac:dyDescent="0.25">
      <c r="A1593" s="108">
        <v>46035</v>
      </c>
      <c r="B1593" s="109">
        <v>49</v>
      </c>
      <c r="C1593" s="49" t="s">
        <v>19</v>
      </c>
      <c r="D1593" s="110" t="str">
        <f>IF(ISBLANK($B1593),"",IFERROR(VLOOKUP($B1593,ESTOQUE!$B$2:$D$97168,3,FALSE),"Produto não cadastrado"))</f>
        <v>CALÇA CINZA OP. C/ FAIXA REFLETIVA TAM: P</v>
      </c>
      <c r="E1593" s="99" t="str">
        <f>_xlfn.XLOOKUP(B1593,ESTOQUE!B:B,ESTOQUE!G:G,"",0)</f>
        <v>UND</v>
      </c>
      <c r="F1593" s="99">
        <v>1</v>
      </c>
      <c r="G1593" s="146"/>
      <c r="H1593" s="146"/>
      <c r="I1593" s="147"/>
      <c r="J1593" s="147"/>
      <c r="K1593" s="63"/>
    </row>
    <row r="1594" spans="1:11" x14ac:dyDescent="0.25">
      <c r="A1594" s="108">
        <v>46035</v>
      </c>
      <c r="B1594" s="109">
        <v>67</v>
      </c>
      <c r="C1594" s="49" t="s">
        <v>19</v>
      </c>
      <c r="D1594" s="110" t="str">
        <f>IF(ISBLANK($B1594),"",IFERROR(VLOOKUP($B1594,ESTOQUE!$B$2:$D$97168,3,FALSE),"Produto não cadastrado"))</f>
        <v>CAMISA LARANJA OP. C/ FAIXA REFLETIVA TAM: G</v>
      </c>
      <c r="E1594" s="99" t="str">
        <f>_xlfn.XLOOKUP(B1594,ESTOQUE!B:B,ESTOQUE!G:G,"",0)</f>
        <v>UND</v>
      </c>
      <c r="F1594" s="99">
        <v>2</v>
      </c>
      <c r="G1594" s="146"/>
      <c r="H1594" s="146"/>
      <c r="I1594" s="147"/>
      <c r="J1594" s="147"/>
      <c r="K1594" s="63"/>
    </row>
    <row r="1595" spans="1:11" x14ac:dyDescent="0.25">
      <c r="A1595" s="108">
        <v>46035</v>
      </c>
      <c r="B1595" s="109">
        <v>69</v>
      </c>
      <c r="C1595" s="49" t="s">
        <v>19</v>
      </c>
      <c r="D1595" s="110" t="str">
        <f>IF(ISBLANK($B1595),"",IFERROR(VLOOKUP($B1595,ESTOQUE!$B$2:$D$97168,3,FALSE),"Produto não cadastrado"))</f>
        <v>CAMISA LARANJA OP. C/ FAIXA REFLETIVA TAM: M</v>
      </c>
      <c r="E1595" s="99" t="str">
        <f>_xlfn.XLOOKUP(B1595,ESTOQUE!B:B,ESTOQUE!G:G,"",0)</f>
        <v>UND</v>
      </c>
      <c r="F1595" s="99">
        <v>2</v>
      </c>
      <c r="G1595" s="146"/>
      <c r="H1595" s="146"/>
      <c r="I1595" s="147"/>
      <c r="J1595" s="147"/>
      <c r="K1595" s="63"/>
    </row>
    <row r="1596" spans="1:11" x14ac:dyDescent="0.25">
      <c r="A1596" s="108">
        <v>46035</v>
      </c>
      <c r="B1596" s="109">
        <v>70</v>
      </c>
      <c r="C1596" s="49" t="s">
        <v>19</v>
      </c>
      <c r="D1596" s="110" t="str">
        <f>IF(ISBLANK($B1596),"",IFERROR(VLOOKUP($B1596,ESTOQUE!$B$2:$D$97168,3,FALSE),"Produto não cadastrado"))</f>
        <v>CAMISA LARANJA OP. C/ FAIXA REFLETIVA TAM: P</v>
      </c>
      <c r="E1596" s="99" t="str">
        <f>_xlfn.XLOOKUP(B1596,ESTOQUE!B:B,ESTOQUE!G:G,"",0)</f>
        <v>UND</v>
      </c>
      <c r="F1596" s="99">
        <v>1</v>
      </c>
      <c r="G1596" s="146"/>
      <c r="H1596" s="146"/>
      <c r="I1596" s="147"/>
      <c r="J1596" s="147"/>
      <c r="K1596" s="63"/>
    </row>
    <row r="1597" spans="1:11" x14ac:dyDescent="0.25">
      <c r="A1597" s="108">
        <v>46035</v>
      </c>
      <c r="B1597" s="109">
        <v>73</v>
      </c>
      <c r="C1597" s="49" t="s">
        <v>19</v>
      </c>
      <c r="D1597" s="110" t="str">
        <f>IF(ISBLANK($B1597),"",IFERROR(VLOOKUP($B1597,ESTOQUE!$B$2:$D$97168,3,FALSE),"Produto não cadastrado"))</f>
        <v>CAPA DE CHUVA GG</v>
      </c>
      <c r="E1597" s="99" t="str">
        <f>_xlfn.XLOOKUP(B1597,ESTOQUE!B:B,ESTOQUE!G:G,"",0)</f>
        <v>UND</v>
      </c>
      <c r="F1597" s="99">
        <v>2</v>
      </c>
      <c r="G1597" s="146"/>
      <c r="H1597" s="146"/>
      <c r="I1597" s="147"/>
      <c r="J1597" s="147"/>
      <c r="K1597" s="63"/>
    </row>
    <row r="1598" spans="1:11" x14ac:dyDescent="0.25">
      <c r="A1598" s="108">
        <v>46035</v>
      </c>
      <c r="B1598" s="109">
        <v>76</v>
      </c>
      <c r="C1598" s="49" t="s">
        <v>19</v>
      </c>
      <c r="D1598" s="110" t="str">
        <f>IF(ISBLANK($B1598),"",IFERROR(VLOOKUP($B1598,ESTOQUE!$B$2:$D$97168,3,FALSE),"Produto não cadastrado"))</f>
        <v>CAPACETE CAMPER BRANCO</v>
      </c>
      <c r="E1598" s="99" t="str">
        <f>_xlfn.XLOOKUP(B1598,ESTOQUE!B:B,ESTOQUE!G:G,"",0)</f>
        <v>UND</v>
      </c>
      <c r="F1598" s="99">
        <v>6</v>
      </c>
      <c r="G1598" s="146"/>
      <c r="H1598" s="146"/>
      <c r="I1598" s="147"/>
      <c r="J1598" s="147"/>
      <c r="K1598" s="63"/>
    </row>
    <row r="1599" spans="1:11" x14ac:dyDescent="0.25">
      <c r="A1599" s="108">
        <v>46035</v>
      </c>
      <c r="B1599" s="109">
        <v>95</v>
      </c>
      <c r="C1599" s="49" t="s">
        <v>19</v>
      </c>
      <c r="D1599" s="110" t="str">
        <f>IF(ISBLANK($B1599),"",IFERROR(VLOOKUP($B1599,ESTOQUE!$B$2:$D$97168,3,FALSE),"Produto não cadastrado"))</f>
        <v>CARNEIRA P/ CAPACETE LIBUS</v>
      </c>
      <c r="E1599" s="99" t="str">
        <f>_xlfn.XLOOKUP(B1599,ESTOQUE!B:B,ESTOQUE!G:G,"",0)</f>
        <v>UND</v>
      </c>
      <c r="F1599" s="99">
        <v>2</v>
      </c>
      <c r="G1599" s="146"/>
      <c r="H1599" s="146"/>
      <c r="I1599" s="147"/>
      <c r="J1599" s="147"/>
      <c r="K1599" s="63"/>
    </row>
    <row r="1600" spans="1:11" x14ac:dyDescent="0.25">
      <c r="A1600" s="108">
        <v>46035</v>
      </c>
      <c r="B1600" s="109">
        <v>98</v>
      </c>
      <c r="C1600" s="49" t="s">
        <v>19</v>
      </c>
      <c r="D1600" s="110" t="str">
        <f>IF(ISBLANK($B1600),"",IFERROR(VLOOKUP($B1600,ESTOQUE!$B$2:$D$97168,3,FALSE),"Produto não cadastrado"))</f>
        <v>COLETE REFLETIVO LARANJA XGG</v>
      </c>
      <c r="E1600" s="99" t="str">
        <f>_xlfn.XLOOKUP(B1600,ESTOQUE!B:B,ESTOQUE!G:G,"",0)</f>
        <v>UND</v>
      </c>
      <c r="F1600" s="99">
        <v>2</v>
      </c>
      <c r="G1600" s="146"/>
      <c r="H1600" s="146"/>
      <c r="I1600" s="147"/>
      <c r="J1600" s="147"/>
      <c r="K1600" s="63"/>
    </row>
    <row r="1601" spans="1:11" x14ac:dyDescent="0.25">
      <c r="A1601" s="108">
        <v>46035</v>
      </c>
      <c r="B1601" s="109">
        <v>161</v>
      </c>
      <c r="C1601" s="49" t="s">
        <v>19</v>
      </c>
      <c r="D1601" s="110" t="str">
        <f>IF(ISBLANK($B1601),"",IFERROR(VLOOKUP($B1601,ESTOQUE!$B$2:$D$97168,3,FALSE),"Produto não cadastrado"))</f>
        <v>JUGULAR</v>
      </c>
      <c r="E1601" s="99" t="str">
        <f>_xlfn.XLOOKUP(B1601,ESTOQUE!B:B,ESTOQUE!G:G,"",0)</f>
        <v>UND</v>
      </c>
      <c r="F1601" s="99">
        <v>2</v>
      </c>
      <c r="G1601" s="146"/>
      <c r="H1601" s="146"/>
      <c r="I1601" s="147"/>
      <c r="J1601" s="147"/>
      <c r="K1601" s="63"/>
    </row>
    <row r="1602" spans="1:11" x14ac:dyDescent="0.25">
      <c r="A1602" s="108">
        <v>46035</v>
      </c>
      <c r="B1602" s="109">
        <v>110</v>
      </c>
      <c r="C1602" s="49" t="s">
        <v>19</v>
      </c>
      <c r="D1602" s="110" t="str">
        <f>IF(ISBLANK($B1602),"",IFERROR(VLOOKUP($B1602,ESTOQUE!$B$2:$D$97168,3,FALSE),"Produto não cadastrado"))</f>
        <v>LUVA DE RASPA CANO LONGO</v>
      </c>
      <c r="E1602" s="99" t="str">
        <f>_xlfn.XLOOKUP(B1602,ESTOQUE!B:B,ESTOQUE!G:G,"",0)</f>
        <v>PAR</v>
      </c>
      <c r="F1602" s="99">
        <v>11</v>
      </c>
      <c r="G1602" s="146"/>
      <c r="H1602" s="146"/>
      <c r="I1602" s="147"/>
      <c r="J1602" s="147"/>
      <c r="K1602" s="63"/>
    </row>
    <row r="1603" spans="1:11" x14ac:dyDescent="0.25">
      <c r="A1603" s="108">
        <v>46035</v>
      </c>
      <c r="B1603" s="109">
        <v>189</v>
      </c>
      <c r="C1603" s="49" t="s">
        <v>19</v>
      </c>
      <c r="D1603" s="110" t="str">
        <f>IF(ISBLANK($B1603),"",IFERROR(VLOOKUP($B1603,ESTOQUE!$B$2:$D$97168,3,FALSE),"Produto não cadastrado"))</f>
        <v xml:space="preserve">LUVA DE VAQUETA MISTA </v>
      </c>
      <c r="E1603" s="99" t="str">
        <f>_xlfn.XLOOKUP(B1603,ESTOQUE!B:B,ESTOQUE!G:G,"",0)</f>
        <v>UND</v>
      </c>
      <c r="F1603" s="99">
        <v>5</v>
      </c>
      <c r="G1603" s="146"/>
      <c r="H1603" s="146"/>
      <c r="I1603" s="147"/>
      <c r="J1603" s="147"/>
      <c r="K1603" s="63"/>
    </row>
    <row r="1604" spans="1:11" x14ac:dyDescent="0.25">
      <c r="A1604" s="108">
        <v>46035</v>
      </c>
      <c r="B1604" s="109">
        <v>111</v>
      </c>
      <c r="C1604" s="49" t="s">
        <v>19</v>
      </c>
      <c r="D1604" s="110" t="str">
        <f>IF(ISBLANK($B1604),"",IFERROR(VLOOKUP($B1604,ESTOQUE!$B$2:$D$97168,3,FALSE),"Produto não cadastrado"))</f>
        <v>LUVA DE VAQUETA MARROM</v>
      </c>
      <c r="E1604" s="99" t="str">
        <f>_xlfn.XLOOKUP(B1604,ESTOQUE!B:B,ESTOQUE!G:G,"",0)</f>
        <v>PAR</v>
      </c>
      <c r="F1604" s="99">
        <v>4</v>
      </c>
      <c r="G1604" s="146"/>
      <c r="H1604" s="146"/>
      <c r="I1604" s="147"/>
      <c r="J1604" s="147"/>
      <c r="K1604" s="63"/>
    </row>
    <row r="1605" spans="1:11" x14ac:dyDescent="0.25">
      <c r="A1605" s="108">
        <v>46035</v>
      </c>
      <c r="B1605" s="109">
        <v>117</v>
      </c>
      <c r="C1605" s="49" t="s">
        <v>19</v>
      </c>
      <c r="D1605" s="110" t="str">
        <f>IF(ISBLANK($B1605),"",IFERROR(VLOOKUP($B1605,ESTOQUE!$B$2:$D$97168,3,FALSE),"Produto não cadastrado"))</f>
        <v>LUVA PIGMENTADA</v>
      </c>
      <c r="E1605" s="99" t="str">
        <f>_xlfn.XLOOKUP(B1605,ESTOQUE!B:B,ESTOQUE!G:G,"",0)</f>
        <v>PAR</v>
      </c>
      <c r="F1605" s="99">
        <v>1</v>
      </c>
      <c r="G1605" s="146"/>
      <c r="H1605" s="146"/>
      <c r="I1605" s="147"/>
      <c r="J1605" s="147"/>
      <c r="K1605" s="63"/>
    </row>
    <row r="1606" spans="1:11" x14ac:dyDescent="0.25">
      <c r="A1606" s="108">
        <v>46035</v>
      </c>
      <c r="B1606" s="109">
        <v>207</v>
      </c>
      <c r="C1606" s="49" t="s">
        <v>19</v>
      </c>
      <c r="D1606" s="110" t="str">
        <f>IF(ISBLANK($B1606),"",IFERROR(VLOOKUP($B1606,ESTOQUE!$B$2:$D$97168,3,FALSE),"Produto não cadastrado"))</f>
        <v>LUVA POLIESTER ANTICORTE BANHADA PU TAM 9</v>
      </c>
      <c r="E1606" s="99" t="str">
        <f>_xlfn.XLOOKUP(B1606,ESTOQUE!B:B,ESTOQUE!G:G,"",0)</f>
        <v>PAR</v>
      </c>
      <c r="F1606" s="99">
        <v>5</v>
      </c>
      <c r="G1606" s="146"/>
      <c r="H1606" s="146"/>
      <c r="I1606" s="147"/>
      <c r="J1606" s="147"/>
      <c r="K1606" s="63"/>
    </row>
    <row r="1607" spans="1:11" x14ac:dyDescent="0.25">
      <c r="A1607" s="108">
        <v>46035</v>
      </c>
      <c r="B1607" s="109">
        <v>125</v>
      </c>
      <c r="C1607" s="49" t="s">
        <v>19</v>
      </c>
      <c r="D1607" s="110" t="str">
        <f>IF(ISBLANK($B1607),"",IFERROR(VLOOKUP($B1607,ESTOQUE!$B$2:$D$97168,3,FALSE),"Produto não cadastrado"))</f>
        <v xml:space="preserve">MASCARA DE SOLDA AUTOMATICA </v>
      </c>
      <c r="E1607" s="99" t="str">
        <f>_xlfn.XLOOKUP(B1607,ESTOQUE!B:B,ESTOQUE!G:G,"",0)</f>
        <v>UND</v>
      </c>
      <c r="F1607" s="99">
        <v>1</v>
      </c>
      <c r="G1607" s="146"/>
      <c r="H1607" s="146"/>
      <c r="I1607" s="147"/>
      <c r="J1607" s="147"/>
      <c r="K1607" s="63"/>
    </row>
    <row r="1608" spans="1:11" x14ac:dyDescent="0.25">
      <c r="A1608" s="108">
        <v>46035</v>
      </c>
      <c r="B1608" s="109">
        <v>144</v>
      </c>
      <c r="C1608" s="49" t="s">
        <v>19</v>
      </c>
      <c r="D1608" s="110" t="str">
        <f>IF(ISBLANK($B1608),"",IFERROR(VLOOKUP($B1608,ESTOQUE!$B$2:$D$97168,3,FALSE),"Produto não cadastrado"))</f>
        <v>MASCARA PFF2-S C/ FILTRO</v>
      </c>
      <c r="E1608" s="99" t="str">
        <f>_xlfn.XLOOKUP(B1608,ESTOQUE!B:B,ESTOQUE!G:G,"",0)</f>
        <v>UND</v>
      </c>
      <c r="F1608" s="99">
        <v>34</v>
      </c>
      <c r="G1608" s="146"/>
      <c r="H1608" s="146"/>
      <c r="I1608" s="147"/>
      <c r="J1608" s="147"/>
      <c r="K1608" s="63"/>
    </row>
    <row r="1609" spans="1:11" x14ac:dyDescent="0.25">
      <c r="A1609" s="108">
        <v>46035</v>
      </c>
      <c r="B1609" s="109">
        <v>124</v>
      </c>
      <c r="C1609" s="49" t="s">
        <v>19</v>
      </c>
      <c r="D1609" s="110" t="str">
        <f>IF(ISBLANK($B1609),"",IFERROR(VLOOKUP($B1609,ESTOQUE!$B$2:$D$97168,3,FALSE),"Produto não cadastrado"))</f>
        <v xml:space="preserve">OCULOS DE PROTEÇÃO INCOLOR </v>
      </c>
      <c r="E1609" s="99" t="str">
        <f>_xlfn.XLOOKUP(B1609,ESTOQUE!B:B,ESTOQUE!G:G,"",0)</f>
        <v>UND</v>
      </c>
      <c r="F1609" s="99">
        <v>3</v>
      </c>
      <c r="G1609" s="146"/>
      <c r="H1609" s="146"/>
      <c r="I1609" s="147"/>
      <c r="J1609" s="147"/>
      <c r="K1609" s="63"/>
    </row>
    <row r="1610" spans="1:11" x14ac:dyDescent="0.25">
      <c r="A1610" s="108">
        <v>46035</v>
      </c>
      <c r="B1610" s="109">
        <v>129</v>
      </c>
      <c r="C1610" s="49" t="s">
        <v>19</v>
      </c>
      <c r="D1610" s="110" t="str">
        <f>IF(ISBLANK($B1610),"",IFERROR(VLOOKUP($B1610,ESTOQUE!$B$2:$D$97168,3,FALSE),"Produto não cadastrado"))</f>
        <v>PERNEIRA DE RASPA</v>
      </c>
      <c r="E1610" s="99" t="str">
        <f>_xlfn.XLOOKUP(B1610,ESTOQUE!B:B,ESTOQUE!G:G,"",0)</f>
        <v>PAR</v>
      </c>
      <c r="F1610" s="99">
        <v>2</v>
      </c>
      <c r="G1610" s="146"/>
      <c r="H1610" s="146"/>
      <c r="I1610" s="147"/>
      <c r="J1610" s="147"/>
      <c r="K1610" s="63"/>
    </row>
    <row r="1611" spans="1:11" x14ac:dyDescent="0.25">
      <c r="A1611" s="108">
        <v>46036</v>
      </c>
      <c r="B1611" s="109">
        <v>190</v>
      </c>
      <c r="C1611" s="49" t="s">
        <v>19</v>
      </c>
      <c r="D1611" s="110" t="str">
        <f>IF(ISBLANK($B1611),"",IFERROR(VLOOKUP($B1611,ESTOQUE!$B$2:$D$97168,3,FALSE),"Produto não cadastrado"))</f>
        <v>AVENTAL DE RASPA TAM 120X60</v>
      </c>
      <c r="E1611" s="99" t="str">
        <f>_xlfn.XLOOKUP(B1611,ESTOQUE!B:B,ESTOQUE!G:G,"",0)</f>
        <v>UND</v>
      </c>
      <c r="F1611" s="99">
        <v>1</v>
      </c>
      <c r="G1611" s="146"/>
      <c r="H1611" s="146"/>
      <c r="I1611" s="147"/>
      <c r="J1611" s="147"/>
      <c r="K1611" s="63"/>
    </row>
    <row r="1612" spans="1:11" x14ac:dyDescent="0.25">
      <c r="A1612" s="108">
        <v>46036</v>
      </c>
      <c r="B1612" s="109">
        <v>9</v>
      </c>
      <c r="C1612" s="49" t="s">
        <v>19</v>
      </c>
      <c r="D1612" s="110" t="str">
        <f>IF(ISBLANK($B1612),"",IFERROR(VLOOKUP($B1612,ESTOQUE!$B$2:$D$97168,3,FALSE),"Produto não cadastrado"))</f>
        <v>BOTA PVC CANO LONGO Nº 41</v>
      </c>
      <c r="E1612" s="99" t="str">
        <f>_xlfn.XLOOKUP(B1612,ESTOQUE!B:B,ESTOQUE!G:G,"",0)</f>
        <v>PAR</v>
      </c>
      <c r="F1612" s="99">
        <v>2</v>
      </c>
      <c r="G1612" s="146"/>
      <c r="H1612" s="146"/>
      <c r="I1612" s="147"/>
      <c r="J1612" s="147"/>
      <c r="K1612" s="63"/>
    </row>
    <row r="1613" spans="1:11" x14ac:dyDescent="0.25">
      <c r="A1613" s="108">
        <v>46036</v>
      </c>
      <c r="B1613" s="109">
        <v>10</v>
      </c>
      <c r="C1613" s="49" t="s">
        <v>19</v>
      </c>
      <c r="D1613" s="110" t="str">
        <f>IF(ISBLANK($B1613),"",IFERROR(VLOOKUP($B1613,ESTOQUE!$B$2:$D$97168,3,FALSE),"Produto não cadastrado"))</f>
        <v>BOTA PVC CANO LONGO Nº 42</v>
      </c>
      <c r="E1613" s="99" t="str">
        <f>_xlfn.XLOOKUP(B1613,ESTOQUE!B:B,ESTOQUE!G:G,"",0)</f>
        <v>PAR</v>
      </c>
      <c r="F1613" s="99">
        <v>3</v>
      </c>
      <c r="G1613" s="146"/>
      <c r="H1613" s="146"/>
      <c r="I1613" s="147"/>
      <c r="J1613" s="147"/>
      <c r="K1613" s="63"/>
    </row>
    <row r="1614" spans="1:11" x14ac:dyDescent="0.25">
      <c r="A1614" s="108">
        <v>46036</v>
      </c>
      <c r="B1614" s="109">
        <v>12</v>
      </c>
      <c r="C1614" s="49" t="s">
        <v>19</v>
      </c>
      <c r="D1614" s="110" t="str">
        <f>IF(ISBLANK($B1614),"",IFERROR(VLOOKUP($B1614,ESTOQUE!$B$2:$D$97168,3,FALSE),"Produto não cadastrado"))</f>
        <v>BOTA PVC CANO LONGO Nº 44</v>
      </c>
      <c r="E1614" s="99" t="str">
        <f>_xlfn.XLOOKUP(B1614,ESTOQUE!B:B,ESTOQUE!G:G,"",0)</f>
        <v>PAR</v>
      </c>
      <c r="F1614" s="99">
        <v>1</v>
      </c>
      <c r="G1614" s="146"/>
      <c r="H1614" s="146"/>
      <c r="I1614" s="147"/>
      <c r="J1614" s="147"/>
      <c r="K1614" s="63"/>
    </row>
    <row r="1615" spans="1:11" x14ac:dyDescent="0.25">
      <c r="A1615" s="108">
        <v>46036</v>
      </c>
      <c r="B1615" s="109">
        <v>14</v>
      </c>
      <c r="C1615" s="49" t="s">
        <v>19</v>
      </c>
      <c r="D1615" s="110" t="str">
        <f>IF(ISBLANK($B1615),"",IFERROR(VLOOKUP($B1615,ESTOQUE!$B$2:$D$97168,3,FALSE),"Produto não cadastrado"))</f>
        <v>BOTA PVC CANO LONGO Nº 46</v>
      </c>
      <c r="E1615" s="99" t="str">
        <f>_xlfn.XLOOKUP(B1615,ESTOQUE!B:B,ESTOQUE!G:G,"",0)</f>
        <v>PAR</v>
      </c>
      <c r="F1615" s="99">
        <v>1</v>
      </c>
      <c r="G1615" s="146"/>
      <c r="H1615" s="146"/>
      <c r="I1615" s="147"/>
      <c r="J1615" s="147"/>
      <c r="K1615" s="63"/>
    </row>
    <row r="1616" spans="1:11" x14ac:dyDescent="0.25">
      <c r="A1616" s="108">
        <v>46036</v>
      </c>
      <c r="B1616" s="109">
        <v>30</v>
      </c>
      <c r="C1616" s="49" t="s">
        <v>19</v>
      </c>
      <c r="D1616" s="110" t="str">
        <f>IF(ISBLANK($B1616),"",IFERROR(VLOOKUP($B1616,ESTOQUE!$B$2:$D$97168,3,FALSE),"Produto não cadastrado"))</f>
        <v>BOTINA DE ELETRICISTA Nº 40</v>
      </c>
      <c r="E1616" s="99" t="str">
        <f>_xlfn.XLOOKUP(B1616,ESTOQUE!B:B,ESTOQUE!G:G,"",0)</f>
        <v>PAR</v>
      </c>
      <c r="F1616" s="99">
        <v>1</v>
      </c>
      <c r="G1616" s="146"/>
      <c r="H1616" s="146"/>
      <c r="I1616" s="147"/>
      <c r="J1616" s="147"/>
      <c r="K1616" s="63"/>
    </row>
    <row r="1617" spans="1:29" x14ac:dyDescent="0.25">
      <c r="A1617" s="108">
        <v>46036</v>
      </c>
      <c r="B1617" s="109">
        <v>31</v>
      </c>
      <c r="C1617" s="49" t="s">
        <v>19</v>
      </c>
      <c r="D1617" s="110" t="str">
        <f>IF(ISBLANK($B1617),"",IFERROR(VLOOKUP($B1617,ESTOQUE!$B$2:$D$97168,3,FALSE),"Produto não cadastrado"))</f>
        <v>BOTINA DE ELETRICISTA Nº 41</v>
      </c>
      <c r="E1617" s="99" t="str">
        <f>_xlfn.XLOOKUP(B1617,ESTOQUE!B:B,ESTOQUE!G:G,"",0)</f>
        <v>PAR</v>
      </c>
      <c r="F1617" s="99">
        <v>1</v>
      </c>
      <c r="G1617" s="146"/>
      <c r="H1617" s="146"/>
      <c r="I1617" s="147"/>
      <c r="J1617" s="147"/>
      <c r="K1617" s="63"/>
    </row>
    <row r="1618" spans="1:29" x14ac:dyDescent="0.25">
      <c r="A1618" s="108">
        <v>46036</v>
      </c>
      <c r="B1618" s="109">
        <v>162</v>
      </c>
      <c r="C1618" s="49" t="s">
        <v>19</v>
      </c>
      <c r="D1618" s="110" t="str">
        <f>IF(ISBLANK($B1618),"",IFERROR(VLOOKUP($B1618,ESTOQUE!$B$2:$D$97168,3,FALSE),"Produto não cadastrado"))</f>
        <v>BOTINA DE ELETRICISTA Nº 42</v>
      </c>
      <c r="E1618" s="99" t="str">
        <f>_xlfn.XLOOKUP(B1618,ESTOQUE!B:B,ESTOQUE!G:G,"",0)</f>
        <v>PAR</v>
      </c>
      <c r="F1618" s="99">
        <v>1</v>
      </c>
      <c r="G1618" s="146"/>
      <c r="H1618" s="146"/>
      <c r="I1618" s="147"/>
      <c r="J1618" s="147"/>
      <c r="K1618" s="63"/>
    </row>
    <row r="1619" spans="1:29" x14ac:dyDescent="0.25">
      <c r="A1619" s="108">
        <v>46036</v>
      </c>
      <c r="B1619" s="109">
        <v>37</v>
      </c>
      <c r="C1619" s="49" t="s">
        <v>19</v>
      </c>
      <c r="D1619" s="110" t="str">
        <f>IF(ISBLANK($B1619),"",IFERROR(VLOOKUP($B1619,ESTOQUE!$B$2:$D$97168,3,FALSE),"Produto não cadastrado"))</f>
        <v>BOTINA OP. BICO PVC Nº 39</v>
      </c>
      <c r="E1619" s="99" t="str">
        <f>_xlfn.XLOOKUP(B1619,ESTOQUE!B:B,ESTOQUE!G:G,"",0)</f>
        <v>PAR</v>
      </c>
      <c r="F1619" s="99">
        <v>2</v>
      </c>
      <c r="G1619" s="146"/>
      <c r="H1619" s="146"/>
      <c r="I1619" s="147"/>
      <c r="J1619" s="147"/>
      <c r="K1619" s="63"/>
    </row>
    <row r="1620" spans="1:29" x14ac:dyDescent="0.25">
      <c r="A1620" s="108">
        <v>46036</v>
      </c>
      <c r="B1620" s="109">
        <v>38</v>
      </c>
      <c r="C1620" s="49" t="s">
        <v>19</v>
      </c>
      <c r="D1620" s="110" t="str">
        <f>IF(ISBLANK($B1620),"",IFERROR(VLOOKUP($B1620,ESTOQUE!$B$2:$D$97168,3,FALSE),"Produto não cadastrado"))</f>
        <v>BOTINA OP. BICO PVC Nº 40</v>
      </c>
      <c r="E1620" s="99" t="str">
        <f>_xlfn.XLOOKUP(B1620,ESTOQUE!B:B,ESTOQUE!G:G,"",0)</f>
        <v>PAR</v>
      </c>
      <c r="F1620" s="99">
        <v>3</v>
      </c>
      <c r="G1620" s="146"/>
      <c r="H1620" s="146"/>
      <c r="I1620" s="147"/>
      <c r="J1620" s="147"/>
      <c r="K1620" s="63"/>
    </row>
    <row r="1621" spans="1:29" x14ac:dyDescent="0.25">
      <c r="A1621" s="108">
        <v>46036</v>
      </c>
      <c r="B1621" s="109">
        <v>39</v>
      </c>
      <c r="C1621" s="49" t="s">
        <v>19</v>
      </c>
      <c r="D1621" s="110" t="str">
        <f>IF(ISBLANK($B1621),"",IFERROR(VLOOKUP($B1621,ESTOQUE!$B$2:$D$97168,3,FALSE),"Produto não cadastrado"))</f>
        <v>BOTINA OP. BICO PVC Nº 41</v>
      </c>
      <c r="E1621" s="99" t="str">
        <f>_xlfn.XLOOKUP(B1621,ESTOQUE!B:B,ESTOQUE!G:G,"",0)</f>
        <v>PAR</v>
      </c>
      <c r="F1621" s="99">
        <v>2</v>
      </c>
      <c r="G1621" s="146"/>
      <c r="H1621" s="146"/>
      <c r="I1621" s="147"/>
      <c r="J1621" s="147"/>
      <c r="K1621" s="63"/>
    </row>
    <row r="1622" spans="1:29" x14ac:dyDescent="0.25">
      <c r="A1622" s="108">
        <v>46036</v>
      </c>
      <c r="B1622" s="109">
        <v>40</v>
      </c>
      <c r="C1622" s="49" t="s">
        <v>19</v>
      </c>
      <c r="D1622" s="110" t="str">
        <f>IF(ISBLANK($B1622),"",IFERROR(VLOOKUP($B1622,ESTOQUE!$B$2:$D$97168,3,FALSE),"Produto não cadastrado"))</f>
        <v>BOTINA OP. BICO PVC Nº 42</v>
      </c>
      <c r="E1622" s="99" t="str">
        <f>_xlfn.XLOOKUP(B1622,ESTOQUE!B:B,ESTOQUE!G:G,"",0)</f>
        <v>PAR</v>
      </c>
      <c r="F1622" s="99">
        <v>4</v>
      </c>
      <c r="G1622" s="146"/>
      <c r="H1622" s="146"/>
      <c r="I1622" s="147"/>
      <c r="J1622" s="147"/>
      <c r="K1622" s="63"/>
    </row>
    <row r="1623" spans="1:29" x14ac:dyDescent="0.25">
      <c r="A1623" s="108">
        <v>46036</v>
      </c>
      <c r="B1623" s="109">
        <v>216</v>
      </c>
      <c r="C1623" s="49" t="s">
        <v>19</v>
      </c>
      <c r="D1623" s="110" t="str">
        <f>IF(ISBLANK($B1623),"",IFERROR(VLOOKUP($B1623,ESTOQUE!$B$2:$D$97168,3,FALSE),"Produto não cadastrado"))</f>
        <v>BOTINA SEGURANÇA METATARSO  39</v>
      </c>
      <c r="E1623" s="99" t="str">
        <f>_xlfn.XLOOKUP(B1623,ESTOQUE!B:B,ESTOQUE!G:G,"",0)</f>
        <v>PAR</v>
      </c>
      <c r="F1623" s="99">
        <v>1</v>
      </c>
      <c r="G1623" s="146"/>
      <c r="H1623" s="146"/>
      <c r="I1623" s="147"/>
      <c r="J1623" s="147"/>
      <c r="K1623" s="63"/>
    </row>
    <row r="1624" spans="1:29" x14ac:dyDescent="0.25">
      <c r="A1624" s="108">
        <v>46036</v>
      </c>
      <c r="B1624" s="109">
        <v>46</v>
      </c>
      <c r="C1624" s="49" t="s">
        <v>19</v>
      </c>
      <c r="D1624" s="110" t="str">
        <f>IF(ISBLANK($B1624),"",IFERROR(VLOOKUP($B1624,ESTOQUE!$B$2:$D$97168,3,FALSE),"Produto não cadastrado"))</f>
        <v>CALÇA CINZA OP. C/ FAIXA REFLETIVA TAM: G</v>
      </c>
      <c r="E1624" s="99" t="str">
        <f>_xlfn.XLOOKUP(B1624,ESTOQUE!B:B,ESTOQUE!G:G,"",0)</f>
        <v>UND</v>
      </c>
      <c r="F1624" s="99">
        <v>6</v>
      </c>
      <c r="G1624" s="146"/>
      <c r="H1624" s="146"/>
      <c r="I1624" s="147"/>
      <c r="J1624" s="147"/>
      <c r="K1624" s="63"/>
    </row>
    <row r="1625" spans="1:29" x14ac:dyDescent="0.25">
      <c r="A1625" s="108">
        <v>46036</v>
      </c>
      <c r="B1625" s="109">
        <v>47</v>
      </c>
      <c r="C1625" s="49" t="s">
        <v>19</v>
      </c>
      <c r="D1625" s="110" t="str">
        <f>IF(ISBLANK($B1625),"",IFERROR(VLOOKUP($B1625,ESTOQUE!$B$2:$D$97168,3,FALSE),"Produto não cadastrado"))</f>
        <v>CALÇA CINZA OP. C/ FAIXA REFLETIVA TAM: GG</v>
      </c>
      <c r="E1625" s="99" t="str">
        <f>_xlfn.XLOOKUP(B1625,ESTOQUE!B:B,ESTOQUE!G:G,"",0)</f>
        <v>UND</v>
      </c>
      <c r="F1625" s="99">
        <v>2</v>
      </c>
      <c r="G1625" s="146"/>
      <c r="H1625" s="146"/>
      <c r="I1625" s="147"/>
      <c r="J1625" s="147"/>
      <c r="K1625" s="63"/>
    </row>
    <row r="1626" spans="1:29" x14ac:dyDescent="0.25">
      <c r="A1626" s="108">
        <v>46036</v>
      </c>
      <c r="B1626" s="109">
        <v>48</v>
      </c>
      <c r="C1626" s="49" t="s">
        <v>19</v>
      </c>
      <c r="D1626" s="110" t="str">
        <f>IF(ISBLANK($B1626),"",IFERROR(VLOOKUP($B1626,ESTOQUE!$B$2:$D$97168,3,FALSE),"Produto não cadastrado"))</f>
        <v>CALÇA CINZA OP. C/ FAIXA REFLETIVA TAM: M</v>
      </c>
      <c r="E1626" s="99" t="str">
        <f>_xlfn.XLOOKUP(B1626,ESTOQUE!B:B,ESTOQUE!G:G,"",0)</f>
        <v>UND</v>
      </c>
      <c r="F1626" s="99">
        <v>6</v>
      </c>
      <c r="G1626" s="146"/>
      <c r="H1626" s="146"/>
      <c r="I1626" s="147"/>
      <c r="J1626" s="147"/>
      <c r="K1626" s="63"/>
    </row>
    <row r="1627" spans="1:29" x14ac:dyDescent="0.25">
      <c r="A1627" s="108">
        <v>46036</v>
      </c>
      <c r="B1627" s="109">
        <v>49</v>
      </c>
      <c r="C1627" s="49" t="s">
        <v>19</v>
      </c>
      <c r="D1627" s="110" t="str">
        <f>IF(ISBLANK($B1627),"",IFERROR(VLOOKUP($B1627,ESTOQUE!$B$2:$D$97168,3,FALSE),"Produto não cadastrado"))</f>
        <v>CALÇA CINZA OP. C/ FAIXA REFLETIVA TAM: P</v>
      </c>
      <c r="E1627" s="99" t="str">
        <f>_xlfn.XLOOKUP(B1627,ESTOQUE!B:B,ESTOQUE!G:G,"",0)</f>
        <v>UND</v>
      </c>
      <c r="F1627" s="99">
        <v>1</v>
      </c>
      <c r="G1627" s="146"/>
      <c r="H1627" s="146"/>
      <c r="I1627" s="147"/>
      <c r="J1627" s="147"/>
      <c r="K1627" s="63"/>
    </row>
    <row r="1628" spans="1:29" x14ac:dyDescent="0.25">
      <c r="A1628" s="108">
        <v>46036</v>
      </c>
      <c r="B1628" s="109">
        <v>50</v>
      </c>
      <c r="C1628" s="49" t="s">
        <v>19</v>
      </c>
      <c r="D1628" s="110" t="str">
        <f>IF(ISBLANK($B1628),"",IFERROR(VLOOKUP($B1628,ESTOQUE!$B$2:$D$97168,3,FALSE),"Produto não cadastrado"))</f>
        <v>CALÇA CINZA OP. C/ FAIXA REFLETIVA TAM: XG</v>
      </c>
      <c r="E1628" s="99" t="str">
        <f>_xlfn.XLOOKUP(B1628,ESTOQUE!B:B,ESTOQUE!G:G,"",0)</f>
        <v>UND</v>
      </c>
      <c r="F1628" s="99">
        <v>1</v>
      </c>
      <c r="G1628" s="146"/>
      <c r="H1628" s="146"/>
      <c r="I1628" s="147"/>
      <c r="J1628" s="147"/>
      <c r="K1628" s="63"/>
    </row>
    <row r="1629" spans="1:29" x14ac:dyDescent="0.25">
      <c r="A1629" s="108">
        <v>46036</v>
      </c>
      <c r="B1629" s="109">
        <v>67</v>
      </c>
      <c r="C1629" s="49" t="s">
        <v>19</v>
      </c>
      <c r="D1629" s="110" t="str">
        <f>IF(ISBLANK($B1629),"",IFERROR(VLOOKUP($B1629,ESTOQUE!$B$2:$D$97168,3,FALSE),"Produto não cadastrado"))</f>
        <v>CAMISA LARANJA OP. C/ FAIXA REFLETIVA TAM: G</v>
      </c>
      <c r="E1629" s="99" t="str">
        <f>_xlfn.XLOOKUP(B1629,ESTOQUE!B:B,ESTOQUE!G:G,"",0)</f>
        <v>UND</v>
      </c>
      <c r="F1629" s="99">
        <v>4</v>
      </c>
      <c r="G1629" s="146"/>
      <c r="H1629" s="146"/>
      <c r="I1629" s="147"/>
      <c r="J1629" s="147"/>
      <c r="K1629" s="63"/>
    </row>
    <row r="1630" spans="1:29" x14ac:dyDescent="0.25">
      <c r="A1630" s="108">
        <v>46036</v>
      </c>
      <c r="B1630" s="109">
        <v>69</v>
      </c>
      <c r="C1630" s="49" t="s">
        <v>19</v>
      </c>
      <c r="D1630" s="110" t="str">
        <f>IF(ISBLANK($B1630),"",IFERROR(VLOOKUP($B1630,ESTOQUE!$B$2:$D$97168,3,FALSE),"Produto não cadastrado"))</f>
        <v>CAMISA LARANJA OP. C/ FAIXA REFLETIVA TAM: M</v>
      </c>
      <c r="E1630" s="99" t="str">
        <f>_xlfn.XLOOKUP(B1630,ESTOQUE!B:B,ESTOQUE!G:G,"",0)</f>
        <v>UND</v>
      </c>
      <c r="F1630" s="99">
        <v>4</v>
      </c>
      <c r="G1630" s="146"/>
      <c r="H1630" s="146"/>
      <c r="I1630" s="147"/>
      <c r="J1630" s="147"/>
      <c r="K1630" s="63"/>
    </row>
    <row r="1631" spans="1:29" x14ac:dyDescent="0.25">
      <c r="A1631" s="108">
        <v>46036</v>
      </c>
      <c r="B1631" s="109">
        <v>70</v>
      </c>
      <c r="C1631" s="49" t="s">
        <v>19</v>
      </c>
      <c r="D1631" s="110" t="str">
        <f>IF(ISBLANK($B1631),"",IFERROR(VLOOKUP($B1631,ESTOQUE!$B$2:$D$97168,3,FALSE),"Produto não cadastrado"))</f>
        <v>CAMISA LARANJA OP. C/ FAIXA REFLETIVA TAM: P</v>
      </c>
      <c r="E1631" s="99" t="str">
        <f>_xlfn.XLOOKUP(B1631,ESTOQUE!B:B,ESTOQUE!G:G,"",0)</f>
        <v>UND</v>
      </c>
      <c r="F1631" s="99">
        <v>3</v>
      </c>
      <c r="G1631" s="146"/>
      <c r="H1631" s="146"/>
      <c r="I1631" s="147"/>
      <c r="J1631" s="147"/>
      <c r="K1631" s="63"/>
    </row>
    <row r="1632" spans="1:29" x14ac:dyDescent="0.25">
      <c r="A1632" s="108">
        <v>46036</v>
      </c>
      <c r="B1632" s="109">
        <v>73</v>
      </c>
      <c r="C1632" s="49" t="s">
        <v>19</v>
      </c>
      <c r="D1632" s="110" t="str">
        <f>IF(ISBLANK($B1632),"",IFERROR(VLOOKUP($B1632,ESTOQUE!$B$2:$D$97168,3,FALSE),"Produto não cadastrado"))</f>
        <v>CAPA DE CHUVA GG</v>
      </c>
      <c r="E1632" s="99" t="str">
        <f>_xlfn.XLOOKUP(B1632,ESTOQUE!B:B,ESTOQUE!G:G,"",0)</f>
        <v>UND</v>
      </c>
      <c r="F1632" s="99">
        <v>5</v>
      </c>
      <c r="G1632" s="146"/>
      <c r="H1632" s="146"/>
      <c r="I1632" s="147"/>
      <c r="J1632" s="147"/>
      <c r="K1632" s="63"/>
      <c r="L1632" s="63"/>
      <c r="M1632" s="63"/>
      <c r="N1632" s="63"/>
      <c r="O1632" s="63"/>
      <c r="P1632" s="63"/>
      <c r="Q1632" s="63"/>
      <c r="R1632" s="63"/>
      <c r="S1632" s="63"/>
      <c r="T1632" s="63"/>
      <c r="U1632" s="63"/>
      <c r="V1632" s="63"/>
      <c r="W1632" s="63"/>
      <c r="X1632" s="63"/>
      <c r="Y1632" s="63"/>
      <c r="Z1632" s="63"/>
      <c r="AA1632" s="63"/>
      <c r="AB1632" s="63"/>
      <c r="AC1632" s="63"/>
    </row>
    <row r="1633" spans="1:29" x14ac:dyDescent="0.25">
      <c r="A1633" s="108">
        <v>46036</v>
      </c>
      <c r="B1633" s="109">
        <v>175</v>
      </c>
      <c r="C1633" s="49" t="s">
        <v>19</v>
      </c>
      <c r="D1633" s="110" t="str">
        <f>IF(ISBLANK($B1633),"",IFERROR(VLOOKUP($B1633,ESTOQUE!$B$2:$D$97168,3,FALSE),"Produto não cadastrado"))</f>
        <v>CAPACETE GENISIS BRANCO</v>
      </c>
      <c r="E1633" s="99" t="str">
        <f>_xlfn.XLOOKUP(B1633,ESTOQUE!B:B,ESTOQUE!G:G,"",0)</f>
        <v>UND</v>
      </c>
      <c r="F1633" s="99">
        <v>2</v>
      </c>
      <c r="G1633" s="146"/>
      <c r="H1633" s="146"/>
      <c r="I1633" s="147"/>
      <c r="J1633" s="147"/>
      <c r="K1633" s="63"/>
      <c r="L1633" s="63"/>
      <c r="M1633" s="63"/>
      <c r="N1633" s="63"/>
      <c r="O1633" s="63"/>
      <c r="P1633" s="63"/>
      <c r="Q1633" s="63"/>
      <c r="R1633" s="63"/>
      <c r="S1633" s="63"/>
      <c r="T1633" s="63"/>
      <c r="U1633" s="63"/>
      <c r="V1633" s="63"/>
      <c r="W1633" s="63"/>
      <c r="X1633" s="63"/>
      <c r="Y1633" s="63"/>
      <c r="Z1633" s="63"/>
      <c r="AA1633" s="63"/>
      <c r="AB1633" s="63"/>
      <c r="AC1633" s="63"/>
    </row>
    <row r="1634" spans="1:29" x14ac:dyDescent="0.25">
      <c r="A1634" s="108">
        <v>46036</v>
      </c>
      <c r="B1634" s="109">
        <v>95</v>
      </c>
      <c r="C1634" s="49" t="s">
        <v>19</v>
      </c>
      <c r="D1634" s="110" t="str">
        <f>IF(ISBLANK($B1634),"",IFERROR(VLOOKUP($B1634,ESTOQUE!$B$2:$D$97168,3,FALSE),"Produto não cadastrado"))</f>
        <v>CARNEIRA P/ CAPACETE LIBUS</v>
      </c>
      <c r="E1634" s="99" t="str">
        <f>_xlfn.XLOOKUP(B1634,ESTOQUE!B:B,ESTOQUE!G:G,"",0)</f>
        <v>UND</v>
      </c>
      <c r="F1634" s="99">
        <v>3</v>
      </c>
      <c r="G1634" s="146"/>
      <c r="H1634" s="146"/>
      <c r="I1634" s="147"/>
      <c r="J1634" s="147"/>
      <c r="K1634" s="63"/>
      <c r="L1634" s="63"/>
      <c r="M1634" s="63"/>
      <c r="N1634" s="63"/>
      <c r="O1634" s="63"/>
      <c r="P1634" s="63"/>
      <c r="Q1634" s="63"/>
      <c r="R1634" s="63"/>
      <c r="S1634" s="63"/>
      <c r="T1634" s="63"/>
      <c r="U1634" s="63"/>
      <c r="V1634" s="63"/>
      <c r="W1634" s="63"/>
      <c r="X1634" s="63"/>
      <c r="Y1634" s="63"/>
      <c r="Z1634" s="63"/>
      <c r="AA1634" s="63"/>
      <c r="AB1634" s="63"/>
      <c r="AC1634" s="63"/>
    </row>
    <row r="1635" spans="1:29" x14ac:dyDescent="0.25">
      <c r="A1635" s="108">
        <v>46036</v>
      </c>
      <c r="B1635" s="109">
        <v>97</v>
      </c>
      <c r="C1635" s="49" t="s">
        <v>19</v>
      </c>
      <c r="D1635" s="110" t="str">
        <f>IF(ISBLANK($B1635),"",IFERROR(VLOOKUP($B1635,ESTOQUE!$B$2:$D$97168,3,FALSE),"Produto não cadastrado"))</f>
        <v>COLETE REFLETIVO LARANJA M</v>
      </c>
      <c r="E1635" s="99" t="str">
        <f>_xlfn.XLOOKUP(B1635,ESTOQUE!B:B,ESTOQUE!G:G,"",0)</f>
        <v>UND</v>
      </c>
      <c r="F1635" s="99">
        <v>1</v>
      </c>
      <c r="G1635" s="146"/>
      <c r="H1635" s="146"/>
      <c r="I1635" s="147"/>
      <c r="J1635" s="147"/>
      <c r="K1635" s="63"/>
      <c r="L1635" s="63"/>
      <c r="M1635" s="63"/>
      <c r="N1635" s="63"/>
      <c r="O1635" s="63"/>
      <c r="P1635" s="63"/>
      <c r="Q1635" s="63"/>
      <c r="R1635" s="63"/>
      <c r="S1635" s="63"/>
      <c r="T1635" s="63"/>
      <c r="U1635" s="63"/>
      <c r="V1635" s="63"/>
      <c r="W1635" s="63"/>
      <c r="X1635" s="63"/>
      <c r="Y1635" s="63"/>
      <c r="Z1635" s="63"/>
      <c r="AA1635" s="63"/>
      <c r="AB1635" s="63"/>
      <c r="AC1635" s="63"/>
    </row>
    <row r="1636" spans="1:29" x14ac:dyDescent="0.25">
      <c r="A1636" s="108">
        <v>46036</v>
      </c>
      <c r="B1636" s="109">
        <v>98</v>
      </c>
      <c r="C1636" s="49" t="s">
        <v>19</v>
      </c>
      <c r="D1636" s="110" t="str">
        <f>IF(ISBLANK($B1636),"",IFERROR(VLOOKUP($B1636,ESTOQUE!$B$2:$D$97168,3,FALSE),"Produto não cadastrado"))</f>
        <v>COLETE REFLETIVO LARANJA XGG</v>
      </c>
      <c r="E1636" s="99" t="str">
        <f>_xlfn.XLOOKUP(B1636,ESTOQUE!B:B,ESTOQUE!G:G,"",0)</f>
        <v>UND</v>
      </c>
      <c r="F1636" s="99">
        <v>1</v>
      </c>
      <c r="G1636" s="146"/>
      <c r="H1636" s="146"/>
      <c r="I1636" s="147"/>
      <c r="J1636" s="147"/>
      <c r="K1636" s="63"/>
      <c r="L1636" s="63"/>
      <c r="M1636" s="63"/>
      <c r="N1636" s="63"/>
      <c r="O1636" s="63"/>
      <c r="P1636" s="63"/>
      <c r="Q1636" s="63"/>
      <c r="R1636" s="63"/>
      <c r="S1636" s="63"/>
      <c r="T1636" s="63"/>
      <c r="U1636" s="63"/>
      <c r="V1636" s="63"/>
      <c r="W1636" s="63"/>
      <c r="X1636" s="63"/>
      <c r="Y1636" s="63"/>
      <c r="Z1636" s="63"/>
      <c r="AA1636" s="63"/>
      <c r="AB1636" s="63"/>
      <c r="AC1636" s="63"/>
    </row>
    <row r="1637" spans="1:29" x14ac:dyDescent="0.25">
      <c r="A1637" s="108">
        <v>46036</v>
      </c>
      <c r="B1637" s="109">
        <v>161</v>
      </c>
      <c r="C1637" s="49" t="s">
        <v>19</v>
      </c>
      <c r="D1637" s="110" t="str">
        <f>IF(ISBLANK($B1637),"",IFERROR(VLOOKUP($B1637,ESTOQUE!$B$2:$D$97168,3,FALSE),"Produto não cadastrado"))</f>
        <v>JUGULAR</v>
      </c>
      <c r="E1637" s="99" t="str">
        <f>_xlfn.XLOOKUP(B1637,ESTOQUE!B:B,ESTOQUE!G:G,"",0)</f>
        <v>UND</v>
      </c>
      <c r="F1637" s="99">
        <v>3</v>
      </c>
      <c r="G1637" s="146"/>
      <c r="H1637" s="146"/>
      <c r="I1637" s="147"/>
      <c r="J1637" s="147"/>
      <c r="K1637" s="63"/>
      <c r="L1637" s="63"/>
      <c r="M1637" s="63"/>
      <c r="N1637" s="63"/>
      <c r="O1637" s="63"/>
      <c r="P1637" s="63"/>
      <c r="Q1637" s="63"/>
      <c r="R1637" s="63"/>
      <c r="S1637" s="63"/>
      <c r="T1637" s="63"/>
      <c r="U1637" s="63"/>
      <c r="V1637" s="63"/>
      <c r="W1637" s="63"/>
      <c r="X1637" s="63"/>
      <c r="Y1637" s="63"/>
      <c r="Z1637" s="63"/>
      <c r="AA1637" s="63"/>
      <c r="AB1637" s="63"/>
      <c r="AC1637" s="63"/>
    </row>
    <row r="1638" spans="1:29" x14ac:dyDescent="0.25">
      <c r="A1638" s="108">
        <v>46036</v>
      </c>
      <c r="B1638" s="109">
        <v>111</v>
      </c>
      <c r="C1638" s="49" t="s">
        <v>19</v>
      </c>
      <c r="D1638" s="110" t="str">
        <f>IF(ISBLANK($B1638),"",IFERROR(VLOOKUP($B1638,ESTOQUE!$B$2:$D$97168,3,FALSE),"Produto não cadastrado"))</f>
        <v>LUVA DE VAQUETA MARROM</v>
      </c>
      <c r="E1638" s="99" t="str">
        <f>_xlfn.XLOOKUP(B1638,ESTOQUE!B:B,ESTOQUE!G:G,"",0)</f>
        <v>PAR</v>
      </c>
      <c r="F1638" s="99">
        <v>2</v>
      </c>
      <c r="G1638" s="146"/>
      <c r="H1638" s="146"/>
      <c r="I1638" s="147"/>
      <c r="J1638" s="147"/>
      <c r="K1638" s="63"/>
      <c r="L1638" s="63"/>
      <c r="M1638" s="63"/>
      <c r="N1638" s="63"/>
      <c r="O1638" s="63"/>
      <c r="P1638" s="63"/>
      <c r="Q1638" s="63"/>
      <c r="R1638" s="63"/>
      <c r="S1638" s="63"/>
      <c r="T1638" s="63"/>
      <c r="U1638" s="63"/>
      <c r="V1638" s="63"/>
      <c r="W1638" s="63"/>
      <c r="X1638" s="63"/>
      <c r="Y1638" s="63"/>
      <c r="Z1638" s="63"/>
      <c r="AA1638" s="63"/>
      <c r="AB1638" s="63"/>
      <c r="AC1638" s="63"/>
    </row>
    <row r="1639" spans="1:29" x14ac:dyDescent="0.25">
      <c r="A1639" s="108">
        <v>46036</v>
      </c>
      <c r="B1639" s="109">
        <v>114</v>
      </c>
      <c r="C1639" s="49" t="s">
        <v>19</v>
      </c>
      <c r="D1639" s="110" t="str">
        <f>IF(ISBLANK($B1639),"",IFERROR(VLOOKUP($B1639,ESTOQUE!$B$2:$D$97168,3,FALSE),"Produto não cadastrado"))</f>
        <v xml:space="preserve">LUVA LATEX NITRILICA </v>
      </c>
      <c r="E1639" s="99" t="str">
        <f>_xlfn.XLOOKUP(B1639,ESTOQUE!B:B,ESTOQUE!G:G,"",0)</f>
        <v>PAR</v>
      </c>
      <c r="F1639" s="99">
        <v>3</v>
      </c>
      <c r="G1639" s="146"/>
      <c r="H1639" s="146"/>
      <c r="I1639" s="147"/>
      <c r="J1639" s="147"/>
      <c r="K1639" s="63"/>
      <c r="L1639" s="63"/>
      <c r="M1639" s="63"/>
      <c r="N1639" s="63"/>
      <c r="O1639" s="63"/>
      <c r="P1639" s="63"/>
      <c r="Q1639" s="63"/>
      <c r="R1639" s="63"/>
      <c r="S1639" s="63"/>
      <c r="T1639" s="63"/>
      <c r="U1639" s="63"/>
      <c r="V1639" s="63"/>
      <c r="W1639" s="63"/>
      <c r="X1639" s="63"/>
      <c r="Y1639" s="63"/>
      <c r="Z1639" s="63"/>
      <c r="AA1639" s="63"/>
      <c r="AB1639" s="63"/>
      <c r="AC1639" s="63"/>
    </row>
    <row r="1640" spans="1:29" x14ac:dyDescent="0.25">
      <c r="A1640" s="108">
        <v>46036</v>
      </c>
      <c r="B1640" s="109">
        <v>207</v>
      </c>
      <c r="C1640" s="49" t="s">
        <v>19</v>
      </c>
      <c r="D1640" s="110" t="str">
        <f>IF(ISBLANK($B1640),"",IFERROR(VLOOKUP($B1640,ESTOQUE!$B$2:$D$97168,3,FALSE),"Produto não cadastrado"))</f>
        <v>LUVA POLIESTER ANTICORTE BANHADA PU TAM 9</v>
      </c>
      <c r="E1640" s="99" t="str">
        <f>_xlfn.XLOOKUP(B1640,ESTOQUE!B:B,ESTOQUE!G:G,"",0)</f>
        <v>PAR</v>
      </c>
      <c r="F1640" s="99">
        <v>9</v>
      </c>
      <c r="G1640" s="146"/>
      <c r="H1640" s="146"/>
      <c r="I1640" s="147"/>
      <c r="J1640" s="147"/>
      <c r="K1640" s="63"/>
      <c r="L1640" s="63"/>
      <c r="M1640" s="63"/>
      <c r="N1640" s="63"/>
      <c r="O1640" s="63"/>
      <c r="P1640" s="63"/>
      <c r="Q1640" s="63"/>
      <c r="R1640" s="63"/>
      <c r="S1640" s="63"/>
      <c r="T1640" s="63"/>
      <c r="U1640" s="63"/>
      <c r="V1640" s="63"/>
      <c r="W1640" s="63"/>
      <c r="X1640" s="63"/>
      <c r="Y1640" s="63"/>
      <c r="Z1640" s="63"/>
      <c r="AA1640" s="63"/>
      <c r="AB1640" s="63"/>
      <c r="AC1640" s="63"/>
    </row>
    <row r="1641" spans="1:29" x14ac:dyDescent="0.25">
      <c r="A1641" s="108">
        <v>46036</v>
      </c>
      <c r="B1641" s="109">
        <v>192</v>
      </c>
      <c r="C1641" s="49" t="s">
        <v>19</v>
      </c>
      <c r="D1641" s="110" t="str">
        <f>IF(ISBLANK($B1641),"",IFERROR(VLOOKUP($B1641,ESTOQUE!$B$2:$D$97168,3,FALSE),"Produto não cadastrado"))</f>
        <v>LUVA QUIMICA ( 2 OU 3)</v>
      </c>
      <c r="E1641" s="99" t="str">
        <f>_xlfn.XLOOKUP(B1641,ESTOQUE!B:B,ESTOQUE!G:G,"",0)</f>
        <v>UND</v>
      </c>
      <c r="F1641" s="99">
        <v>1</v>
      </c>
      <c r="G1641" s="146"/>
      <c r="H1641" s="146"/>
      <c r="I1641" s="147"/>
      <c r="J1641" s="147"/>
      <c r="K1641" s="63"/>
      <c r="L1641" s="63"/>
      <c r="M1641" s="63"/>
      <c r="N1641" s="63"/>
      <c r="O1641" s="63"/>
      <c r="P1641" s="63"/>
      <c r="Q1641" s="63"/>
      <c r="R1641" s="63"/>
      <c r="S1641" s="63"/>
      <c r="T1641" s="63"/>
      <c r="U1641" s="63"/>
      <c r="V1641" s="63"/>
      <c r="W1641" s="63"/>
      <c r="X1641" s="63"/>
      <c r="Y1641" s="63"/>
      <c r="Z1641" s="63"/>
      <c r="AA1641" s="63"/>
      <c r="AB1641" s="63"/>
      <c r="AC1641" s="63"/>
    </row>
    <row r="1642" spans="1:29" x14ac:dyDescent="0.25">
      <c r="A1642" s="108">
        <v>46036</v>
      </c>
      <c r="B1642" s="109">
        <v>118</v>
      </c>
      <c r="C1642" s="49" t="s">
        <v>19</v>
      </c>
      <c r="D1642" s="110" t="str">
        <f>IF(ISBLANK($B1642),"",IFERROR(VLOOKUP($B1642,ESTOQUE!$B$2:$D$97168,3,FALSE),"Produto não cadastrado"))</f>
        <v>MACACÃO DE PROTEÇÃO TYVEK</v>
      </c>
      <c r="E1642" s="99" t="str">
        <f>_xlfn.XLOOKUP(B1642,ESTOQUE!B:B,ESTOQUE!G:G,"",0)</f>
        <v>UND</v>
      </c>
      <c r="F1642" s="99">
        <v>1</v>
      </c>
      <c r="G1642" s="146"/>
      <c r="H1642" s="146"/>
      <c r="I1642" s="147"/>
      <c r="J1642" s="147"/>
      <c r="K1642" s="63"/>
      <c r="L1642" s="63"/>
      <c r="M1642" s="63"/>
      <c r="N1642" s="63"/>
      <c r="O1642" s="63"/>
      <c r="P1642" s="63"/>
      <c r="Q1642" s="63"/>
      <c r="R1642" s="63"/>
      <c r="S1642" s="63"/>
      <c r="T1642" s="63"/>
      <c r="U1642" s="63"/>
      <c r="V1642" s="63"/>
      <c r="W1642" s="63"/>
      <c r="X1642" s="63"/>
      <c r="Y1642" s="63"/>
      <c r="Z1642" s="63"/>
      <c r="AA1642" s="63"/>
      <c r="AB1642" s="63"/>
      <c r="AC1642" s="63"/>
    </row>
    <row r="1643" spans="1:29" x14ac:dyDescent="0.25">
      <c r="A1643" s="108">
        <v>46036</v>
      </c>
      <c r="B1643" s="109">
        <v>144</v>
      </c>
      <c r="C1643" s="49" t="s">
        <v>19</v>
      </c>
      <c r="D1643" s="110" t="str">
        <f>IF(ISBLANK($B1643),"",IFERROR(VLOOKUP($B1643,ESTOQUE!$B$2:$D$97168,3,FALSE),"Produto não cadastrado"))</f>
        <v>MASCARA PFF2-S C/ FILTRO</v>
      </c>
      <c r="E1643" s="99" t="str">
        <f>_xlfn.XLOOKUP(B1643,ESTOQUE!B:B,ESTOQUE!G:G,"",0)</f>
        <v>UND</v>
      </c>
      <c r="F1643" s="99">
        <v>17</v>
      </c>
      <c r="G1643" s="146"/>
      <c r="H1643" s="146"/>
      <c r="I1643" s="147"/>
      <c r="J1643" s="147"/>
      <c r="K1643" s="63"/>
      <c r="L1643" s="63"/>
      <c r="M1643" s="63"/>
      <c r="N1643" s="63"/>
      <c r="O1643" s="63"/>
      <c r="P1643" s="63"/>
      <c r="Q1643" s="63"/>
      <c r="R1643" s="63"/>
      <c r="S1643" s="63"/>
      <c r="T1643" s="63"/>
      <c r="U1643" s="63"/>
      <c r="V1643" s="63"/>
      <c r="W1643" s="63"/>
      <c r="X1643" s="63"/>
      <c r="Y1643" s="63"/>
      <c r="Z1643" s="63"/>
      <c r="AA1643" s="63"/>
      <c r="AB1643" s="63"/>
      <c r="AC1643" s="63"/>
    </row>
    <row r="1644" spans="1:29" x14ac:dyDescent="0.25">
      <c r="A1644" s="108">
        <v>46036</v>
      </c>
      <c r="B1644" s="109">
        <v>124</v>
      </c>
      <c r="C1644" s="49" t="s">
        <v>19</v>
      </c>
      <c r="D1644" s="110" t="str">
        <f>IF(ISBLANK($B1644),"",IFERROR(VLOOKUP($B1644,ESTOQUE!$B$2:$D$97168,3,FALSE),"Produto não cadastrado"))</f>
        <v xml:space="preserve">OCULOS DE PROTEÇÃO INCOLOR </v>
      </c>
      <c r="E1644" s="99" t="str">
        <f>_xlfn.XLOOKUP(B1644,ESTOQUE!B:B,ESTOQUE!G:G,"",0)</f>
        <v>UND</v>
      </c>
      <c r="F1644" s="99">
        <v>22</v>
      </c>
      <c r="G1644" s="146"/>
      <c r="H1644" s="146"/>
      <c r="I1644" s="147"/>
      <c r="J1644" s="147"/>
      <c r="K1644" s="63"/>
      <c r="L1644" s="63"/>
      <c r="M1644" s="63"/>
      <c r="N1644" s="63"/>
      <c r="O1644" s="63"/>
      <c r="P1644" s="63"/>
      <c r="Q1644" s="63"/>
      <c r="R1644" s="63"/>
      <c r="S1644" s="63"/>
      <c r="T1644" s="63"/>
      <c r="U1644" s="63"/>
      <c r="V1644" s="63"/>
      <c r="W1644" s="63"/>
      <c r="X1644" s="63"/>
      <c r="Y1644" s="63"/>
      <c r="Z1644" s="63"/>
      <c r="AA1644" s="63"/>
      <c r="AB1644" s="63"/>
      <c r="AC1644" s="63"/>
    </row>
    <row r="1645" spans="1:29" x14ac:dyDescent="0.25">
      <c r="A1645" s="108">
        <v>46036</v>
      </c>
      <c r="B1645" s="109">
        <v>130</v>
      </c>
      <c r="C1645" s="49" t="s">
        <v>19</v>
      </c>
      <c r="D1645" s="110" t="str">
        <f>IF(ISBLANK($B1645),"",IFERROR(VLOOKUP($B1645,ESTOQUE!$B$2:$D$97168,3,FALSE),"Produto não cadastrado"))</f>
        <v>PROTETOR AUDITIVO TIPO CONCHA L-300</v>
      </c>
      <c r="E1645" s="99" t="str">
        <f>_xlfn.XLOOKUP(B1645,ESTOQUE!B:B,ESTOQUE!G:G,"",0)</f>
        <v>UND</v>
      </c>
      <c r="F1645" s="99">
        <v>2</v>
      </c>
      <c r="G1645" s="146"/>
      <c r="H1645" s="146"/>
      <c r="I1645" s="147"/>
      <c r="J1645" s="147"/>
      <c r="K1645" s="63"/>
      <c r="L1645" s="63"/>
      <c r="M1645" s="63"/>
      <c r="N1645" s="63"/>
      <c r="O1645" s="63"/>
      <c r="P1645" s="63"/>
      <c r="Q1645" s="63"/>
      <c r="R1645" s="63"/>
      <c r="S1645" s="63"/>
      <c r="T1645" s="63"/>
      <c r="U1645" s="63"/>
      <c r="V1645" s="63"/>
      <c r="W1645" s="63"/>
      <c r="X1645" s="63"/>
      <c r="Y1645" s="63"/>
      <c r="Z1645" s="63"/>
      <c r="AA1645" s="63"/>
      <c r="AB1645" s="63"/>
      <c r="AC1645" s="63"/>
    </row>
    <row r="1646" spans="1:29" x14ac:dyDescent="0.25">
      <c r="A1646" s="108">
        <v>46036</v>
      </c>
      <c r="B1646" s="109">
        <v>137</v>
      </c>
      <c r="C1646" s="49" t="s">
        <v>19</v>
      </c>
      <c r="D1646" s="110" t="str">
        <f>IF(ISBLANK($B1646),"",IFERROR(VLOOKUP($B1646,ESTOQUE!$B$2:$D$97168,3,FALSE),"Produto não cadastrado"))</f>
        <v xml:space="preserve">TOUCA ARABE </v>
      </c>
      <c r="E1646" s="99" t="str">
        <f>_xlfn.XLOOKUP(B1646,ESTOQUE!B:B,ESTOQUE!G:G,"",0)</f>
        <v>UND</v>
      </c>
      <c r="F1646" s="99">
        <v>5</v>
      </c>
      <c r="G1646" s="146"/>
      <c r="H1646" s="146"/>
      <c r="I1646" s="147"/>
      <c r="J1646" s="147"/>
      <c r="K1646" s="63"/>
      <c r="L1646" s="63"/>
      <c r="M1646" s="63"/>
      <c r="N1646" s="63"/>
      <c r="O1646" s="63"/>
      <c r="P1646" s="63"/>
      <c r="Q1646" s="63"/>
      <c r="R1646" s="63"/>
      <c r="S1646" s="63"/>
      <c r="T1646" s="63"/>
      <c r="U1646" s="63"/>
      <c r="V1646" s="63"/>
      <c r="W1646" s="63"/>
      <c r="X1646" s="63"/>
      <c r="Y1646" s="63"/>
      <c r="Z1646" s="63"/>
      <c r="AA1646" s="63"/>
      <c r="AB1646" s="63"/>
      <c r="AC1646" s="63"/>
    </row>
    <row r="1647" spans="1:29" x14ac:dyDescent="0.25">
      <c r="A1647" s="108">
        <v>46037</v>
      </c>
      <c r="B1647" s="109">
        <v>1</v>
      </c>
      <c r="C1647" s="49" t="s">
        <v>19</v>
      </c>
      <c r="D1647" s="110" t="str">
        <f>IF(ISBLANK($B1647),"",IFERROR(VLOOKUP($B1647,ESTOQUE!$B$2:$D$97168,3,FALSE),"Produto não cadastrado"))</f>
        <v>ABAFADOR DE RUIDOS TIPO CONCHA</v>
      </c>
      <c r="E1647" s="99" t="str">
        <f>_xlfn.XLOOKUP(B1647,ESTOQUE!B:B,ESTOQUE!G:G,"",0)</f>
        <v>UND</v>
      </c>
      <c r="F1647" s="99">
        <v>1</v>
      </c>
      <c r="G1647" s="146"/>
      <c r="H1647" s="146"/>
      <c r="I1647" s="147"/>
      <c r="J1647" s="147"/>
      <c r="K1647" s="63"/>
      <c r="L1647" s="63"/>
      <c r="M1647" s="63"/>
      <c r="N1647" s="63"/>
      <c r="O1647" s="63"/>
      <c r="P1647" s="63"/>
      <c r="Q1647" s="63"/>
      <c r="R1647" s="63"/>
      <c r="S1647" s="63"/>
      <c r="T1647" s="63"/>
      <c r="U1647" s="63"/>
      <c r="V1647" s="63"/>
      <c r="W1647" s="63"/>
      <c r="X1647" s="63"/>
      <c r="Y1647" s="63"/>
      <c r="Z1647" s="63"/>
      <c r="AA1647" s="63"/>
      <c r="AB1647" s="63"/>
      <c r="AC1647" s="63"/>
    </row>
    <row r="1648" spans="1:29" x14ac:dyDescent="0.25">
      <c r="A1648" s="108">
        <v>46037</v>
      </c>
      <c r="B1648" s="109">
        <v>30</v>
      </c>
      <c r="C1648" s="49" t="s">
        <v>19</v>
      </c>
      <c r="D1648" s="110" t="str">
        <f>IF(ISBLANK($B1648),"",IFERROR(VLOOKUP($B1648,ESTOQUE!$B$2:$D$97168,3,FALSE),"Produto não cadastrado"))</f>
        <v>BOTINA DE ELETRICISTA Nº 40</v>
      </c>
      <c r="E1648" s="99" t="str">
        <f>_xlfn.XLOOKUP(B1648,ESTOQUE!B:B,ESTOQUE!G:G,"",0)</f>
        <v>PAR</v>
      </c>
      <c r="F1648" s="99">
        <v>2</v>
      </c>
      <c r="G1648" s="146"/>
      <c r="H1648" s="146"/>
      <c r="I1648" s="147"/>
      <c r="J1648" s="147"/>
      <c r="K1648" s="63"/>
      <c r="L1648" s="63"/>
      <c r="M1648" s="63"/>
      <c r="N1648" s="63"/>
      <c r="O1648" s="63"/>
      <c r="P1648" s="63"/>
      <c r="Q1648" s="63"/>
      <c r="R1648" s="63"/>
      <c r="S1648" s="63"/>
      <c r="T1648" s="63"/>
      <c r="U1648" s="63"/>
      <c r="V1648" s="63"/>
      <c r="W1648" s="63"/>
      <c r="X1648" s="63"/>
      <c r="Y1648" s="63"/>
      <c r="Z1648" s="63"/>
      <c r="AA1648" s="63"/>
      <c r="AB1648" s="63"/>
      <c r="AC1648" s="63"/>
    </row>
    <row r="1649" spans="1:29" x14ac:dyDescent="0.25">
      <c r="A1649" s="108">
        <v>46037</v>
      </c>
      <c r="B1649" s="109">
        <v>31</v>
      </c>
      <c r="C1649" s="49" t="s">
        <v>19</v>
      </c>
      <c r="D1649" s="110" t="str">
        <f>IF(ISBLANK($B1649),"",IFERROR(VLOOKUP($B1649,ESTOQUE!$B$2:$D$97168,3,FALSE),"Produto não cadastrado"))</f>
        <v>BOTINA DE ELETRICISTA Nº 41</v>
      </c>
      <c r="E1649" s="99" t="str">
        <f>_xlfn.XLOOKUP(B1649,ESTOQUE!B:B,ESTOQUE!G:G,"",0)</f>
        <v>PAR</v>
      </c>
      <c r="F1649" s="99">
        <v>1</v>
      </c>
      <c r="G1649" s="146"/>
      <c r="H1649" s="146"/>
      <c r="I1649" s="147"/>
      <c r="J1649" s="147"/>
      <c r="K1649" s="63"/>
      <c r="L1649" s="63"/>
      <c r="M1649" s="63"/>
      <c r="N1649" s="63"/>
      <c r="O1649" s="63"/>
      <c r="P1649" s="63"/>
      <c r="Q1649" s="63"/>
      <c r="R1649" s="63"/>
      <c r="S1649" s="63"/>
      <c r="T1649" s="63"/>
      <c r="U1649" s="63"/>
      <c r="V1649" s="63"/>
      <c r="W1649" s="63"/>
      <c r="X1649" s="63"/>
      <c r="Y1649" s="63"/>
      <c r="Z1649" s="63"/>
      <c r="AA1649" s="63"/>
      <c r="AB1649" s="63"/>
      <c r="AC1649" s="63"/>
    </row>
    <row r="1650" spans="1:29" x14ac:dyDescent="0.25">
      <c r="A1650" s="108">
        <v>46037</v>
      </c>
      <c r="B1650" s="109">
        <v>162</v>
      </c>
      <c r="C1650" s="49" t="s">
        <v>19</v>
      </c>
      <c r="D1650" s="110" t="str">
        <f>IF(ISBLANK($B1650),"",IFERROR(VLOOKUP($B1650,ESTOQUE!$B$2:$D$97168,3,FALSE),"Produto não cadastrado"))</f>
        <v>BOTINA DE ELETRICISTA Nº 42</v>
      </c>
      <c r="E1650" s="99" t="str">
        <f>_xlfn.XLOOKUP(B1650,ESTOQUE!B:B,ESTOQUE!G:G,"",0)</f>
        <v>PAR</v>
      </c>
      <c r="F1650" s="99">
        <v>2</v>
      </c>
      <c r="G1650" s="146"/>
      <c r="H1650" s="146"/>
      <c r="I1650" s="147"/>
      <c r="J1650" s="147"/>
      <c r="K1650" s="63"/>
      <c r="L1650" s="63"/>
      <c r="M1650" s="63"/>
      <c r="N1650" s="63"/>
      <c r="O1650" s="63"/>
      <c r="P1650" s="63"/>
      <c r="Q1650" s="63"/>
      <c r="R1650" s="63"/>
      <c r="S1650" s="63"/>
      <c r="T1650" s="63"/>
      <c r="U1650" s="63"/>
      <c r="V1650" s="63"/>
      <c r="W1650" s="63"/>
      <c r="X1650" s="63"/>
      <c r="Y1650" s="63"/>
      <c r="Z1650" s="63"/>
      <c r="AA1650" s="63"/>
      <c r="AB1650" s="63"/>
      <c r="AC1650" s="63"/>
    </row>
    <row r="1651" spans="1:29" x14ac:dyDescent="0.25">
      <c r="A1651" s="108">
        <v>46037</v>
      </c>
      <c r="B1651" s="109">
        <v>36</v>
      </c>
      <c r="C1651" s="49" t="s">
        <v>19</v>
      </c>
      <c r="D1651" s="110" t="str">
        <f>IF(ISBLANK($B1651),"",IFERROR(VLOOKUP($B1651,ESTOQUE!$B$2:$D$97168,3,FALSE),"Produto não cadastrado"))</f>
        <v>BOTINA OP. BICO PVC Nº 38</v>
      </c>
      <c r="E1651" s="99" t="str">
        <f>_xlfn.XLOOKUP(B1651,ESTOQUE!B:B,ESTOQUE!G:G,"",0)</f>
        <v>PAR</v>
      </c>
      <c r="F1651" s="99">
        <v>1</v>
      </c>
      <c r="G1651" s="146"/>
      <c r="H1651" s="146"/>
      <c r="I1651" s="147"/>
      <c r="J1651" s="147"/>
      <c r="K1651" s="63"/>
      <c r="L1651" s="63"/>
      <c r="M1651" s="63"/>
      <c r="N1651" s="63"/>
      <c r="O1651" s="63"/>
      <c r="P1651" s="63"/>
      <c r="Q1651" s="63"/>
      <c r="R1651" s="63"/>
      <c r="S1651" s="63"/>
      <c r="T1651" s="63"/>
      <c r="U1651" s="63"/>
      <c r="V1651" s="63"/>
      <c r="W1651" s="63"/>
      <c r="X1651" s="63"/>
      <c r="Y1651" s="63"/>
      <c r="Z1651" s="63"/>
      <c r="AA1651" s="63"/>
      <c r="AB1651" s="63"/>
      <c r="AC1651" s="63"/>
    </row>
    <row r="1652" spans="1:29" x14ac:dyDescent="0.25">
      <c r="A1652" s="108">
        <v>46037</v>
      </c>
      <c r="B1652" s="109">
        <v>218</v>
      </c>
      <c r="C1652" s="49" t="s">
        <v>19</v>
      </c>
      <c r="D1652" s="110" t="str">
        <f>IF(ISBLANK($B1652),"",IFERROR(VLOOKUP($B1652,ESTOQUE!$B$2:$D$97168,3,FALSE),"Produto não cadastrado"))</f>
        <v>BOTINA SEGURANÇA METATARSO  41</v>
      </c>
      <c r="E1652" s="99" t="str">
        <f>_xlfn.XLOOKUP(B1652,ESTOQUE!B:B,ESTOQUE!G:G,"",0)</f>
        <v>PAR</v>
      </c>
      <c r="F1652" s="99">
        <v>1</v>
      </c>
      <c r="G1652" s="146"/>
      <c r="H1652" s="146"/>
      <c r="I1652" s="147"/>
      <c r="J1652" s="147"/>
      <c r="K1652" s="63"/>
      <c r="L1652" s="63"/>
      <c r="M1652" s="63"/>
      <c r="N1652" s="63"/>
      <c r="O1652" s="63"/>
      <c r="P1652" s="63"/>
      <c r="Q1652" s="63"/>
      <c r="R1652" s="63"/>
      <c r="S1652" s="63"/>
      <c r="T1652" s="63"/>
      <c r="U1652" s="63"/>
      <c r="V1652" s="63"/>
      <c r="W1652" s="63"/>
      <c r="X1652" s="63"/>
      <c r="Y1652" s="63"/>
      <c r="Z1652" s="63"/>
      <c r="AA1652" s="63"/>
      <c r="AB1652" s="63"/>
      <c r="AC1652" s="63"/>
    </row>
    <row r="1653" spans="1:29" x14ac:dyDescent="0.25">
      <c r="A1653" s="108">
        <v>46037</v>
      </c>
      <c r="B1653" s="109">
        <v>46</v>
      </c>
      <c r="C1653" s="49" t="s">
        <v>19</v>
      </c>
      <c r="D1653" s="110" t="str">
        <f>IF(ISBLANK($B1653),"",IFERROR(VLOOKUP($B1653,ESTOQUE!$B$2:$D$97168,3,FALSE),"Produto não cadastrado"))</f>
        <v>CALÇA CINZA OP. C/ FAIXA REFLETIVA TAM: G</v>
      </c>
      <c r="E1653" s="99" t="str">
        <f>_xlfn.XLOOKUP(B1653,ESTOQUE!B:B,ESTOQUE!G:G,"",0)</f>
        <v>UND</v>
      </c>
      <c r="F1653" s="99">
        <v>4</v>
      </c>
      <c r="G1653" s="146"/>
      <c r="H1653" s="146"/>
      <c r="I1653" s="147"/>
      <c r="J1653" s="147"/>
      <c r="K1653" s="63"/>
      <c r="L1653" s="63"/>
      <c r="M1653" s="63"/>
      <c r="N1653" s="63"/>
      <c r="O1653" s="63"/>
      <c r="P1653" s="63"/>
      <c r="Q1653" s="63"/>
      <c r="R1653" s="63"/>
      <c r="S1653" s="63"/>
      <c r="T1653" s="63"/>
      <c r="U1653" s="63"/>
      <c r="V1653" s="63"/>
      <c r="W1653" s="63"/>
      <c r="X1653" s="63"/>
      <c r="Y1653" s="63"/>
      <c r="Z1653" s="63"/>
      <c r="AA1653" s="63"/>
      <c r="AB1653" s="63"/>
      <c r="AC1653" s="63"/>
    </row>
    <row r="1654" spans="1:29" x14ac:dyDescent="0.25">
      <c r="A1654" s="108">
        <v>46037</v>
      </c>
      <c r="B1654" s="109">
        <v>47</v>
      </c>
      <c r="C1654" s="49" t="s">
        <v>19</v>
      </c>
      <c r="D1654" s="110" t="str">
        <f>IF(ISBLANK($B1654),"",IFERROR(VLOOKUP($B1654,ESTOQUE!$B$2:$D$97168,3,FALSE),"Produto não cadastrado"))</f>
        <v>CALÇA CINZA OP. C/ FAIXA REFLETIVA TAM: GG</v>
      </c>
      <c r="E1654" s="99" t="str">
        <f>_xlfn.XLOOKUP(B1654,ESTOQUE!B:B,ESTOQUE!G:G,"",0)</f>
        <v>UND</v>
      </c>
      <c r="F1654" s="99">
        <v>1</v>
      </c>
      <c r="G1654" s="146"/>
      <c r="H1654" s="146"/>
      <c r="I1654" s="147"/>
      <c r="J1654" s="147"/>
      <c r="K1654" s="63"/>
      <c r="L1654" s="63"/>
      <c r="M1654" s="63"/>
      <c r="N1654" s="63"/>
      <c r="O1654" s="63"/>
      <c r="P1654" s="63"/>
      <c r="Q1654" s="63"/>
      <c r="R1654" s="63"/>
      <c r="S1654" s="63"/>
      <c r="T1654" s="63"/>
      <c r="U1654" s="63"/>
      <c r="V1654" s="63"/>
      <c r="W1654" s="63"/>
      <c r="X1654" s="63"/>
      <c r="Y1654" s="63"/>
      <c r="Z1654" s="63"/>
      <c r="AA1654" s="63"/>
      <c r="AB1654" s="63"/>
      <c r="AC1654" s="63"/>
    </row>
    <row r="1655" spans="1:29" x14ac:dyDescent="0.25">
      <c r="A1655" s="108">
        <v>46037</v>
      </c>
      <c r="B1655" s="109">
        <v>48</v>
      </c>
      <c r="C1655" s="49" t="s">
        <v>19</v>
      </c>
      <c r="D1655" s="110" t="str">
        <f>IF(ISBLANK($B1655),"",IFERROR(VLOOKUP($B1655,ESTOQUE!$B$2:$D$97168,3,FALSE),"Produto não cadastrado"))</f>
        <v>CALÇA CINZA OP. C/ FAIXA REFLETIVA TAM: M</v>
      </c>
      <c r="E1655" s="99" t="str">
        <f>_xlfn.XLOOKUP(B1655,ESTOQUE!B:B,ESTOQUE!G:G,"",0)</f>
        <v>UND</v>
      </c>
      <c r="F1655" s="99">
        <v>6</v>
      </c>
      <c r="G1655" s="146"/>
      <c r="H1655" s="146"/>
      <c r="I1655" s="147"/>
      <c r="J1655" s="147"/>
      <c r="K1655" s="63"/>
      <c r="L1655" s="63"/>
      <c r="M1655" s="63"/>
      <c r="N1655" s="63"/>
      <c r="O1655" s="63"/>
      <c r="P1655" s="63"/>
      <c r="Q1655" s="63"/>
      <c r="R1655" s="63"/>
      <c r="S1655" s="63"/>
      <c r="T1655" s="63"/>
      <c r="U1655" s="63"/>
      <c r="V1655" s="63"/>
      <c r="W1655" s="63"/>
      <c r="X1655" s="63"/>
      <c r="Y1655" s="63"/>
      <c r="Z1655" s="63"/>
      <c r="AA1655" s="63"/>
      <c r="AB1655" s="63"/>
      <c r="AC1655" s="63"/>
    </row>
    <row r="1656" spans="1:29" x14ac:dyDescent="0.25">
      <c r="A1656" s="108">
        <v>46037</v>
      </c>
      <c r="B1656" s="109">
        <v>50</v>
      </c>
      <c r="C1656" s="49" t="s">
        <v>19</v>
      </c>
      <c r="D1656" s="110" t="str">
        <f>IF(ISBLANK($B1656),"",IFERROR(VLOOKUP($B1656,ESTOQUE!$B$2:$D$97168,3,FALSE),"Produto não cadastrado"))</f>
        <v>CALÇA CINZA OP. C/ FAIXA REFLETIVA TAM: XG</v>
      </c>
      <c r="E1656" s="99" t="str">
        <f>_xlfn.XLOOKUP(B1656,ESTOQUE!B:B,ESTOQUE!G:G,"",0)</f>
        <v>UND</v>
      </c>
      <c r="F1656" s="99">
        <v>2</v>
      </c>
      <c r="G1656" s="146"/>
      <c r="H1656" s="146"/>
      <c r="I1656" s="147"/>
      <c r="J1656" s="147"/>
      <c r="K1656" s="63"/>
      <c r="L1656" s="63"/>
      <c r="M1656" s="63"/>
      <c r="N1656" s="63"/>
      <c r="O1656" s="63"/>
      <c r="P1656" s="63"/>
      <c r="Q1656" s="63"/>
      <c r="R1656" s="63"/>
      <c r="S1656" s="63"/>
      <c r="T1656" s="63"/>
      <c r="U1656" s="63"/>
      <c r="V1656" s="63"/>
      <c r="W1656" s="63"/>
      <c r="X1656" s="63"/>
      <c r="Y1656" s="63"/>
      <c r="Z1656" s="63"/>
      <c r="AA1656" s="63"/>
      <c r="AB1656" s="63"/>
      <c r="AC1656" s="63"/>
    </row>
    <row r="1657" spans="1:29" x14ac:dyDescent="0.25">
      <c r="A1657" s="108">
        <v>46037</v>
      </c>
      <c r="B1657" s="109">
        <v>67</v>
      </c>
      <c r="C1657" s="49" t="s">
        <v>19</v>
      </c>
      <c r="D1657" s="110" t="str">
        <f>IF(ISBLANK($B1657),"",IFERROR(VLOOKUP($B1657,ESTOQUE!$B$2:$D$97168,3,FALSE),"Produto não cadastrado"))</f>
        <v>CAMISA LARANJA OP. C/ FAIXA REFLETIVA TAM: G</v>
      </c>
      <c r="E1657" s="99" t="str">
        <f>_xlfn.XLOOKUP(B1657,ESTOQUE!B:B,ESTOQUE!G:G,"",0)</f>
        <v>UND</v>
      </c>
      <c r="F1657" s="99">
        <v>3</v>
      </c>
      <c r="G1657" s="146"/>
      <c r="H1657" s="146"/>
      <c r="I1657" s="147"/>
      <c r="J1657" s="147"/>
      <c r="K1657" s="63"/>
      <c r="L1657" s="63"/>
      <c r="M1657" s="63"/>
      <c r="N1657" s="63"/>
      <c r="O1657" s="63"/>
      <c r="P1657" s="63"/>
      <c r="Q1657" s="63"/>
      <c r="R1657" s="63"/>
      <c r="S1657" s="63"/>
      <c r="T1657" s="63"/>
      <c r="U1657" s="63"/>
      <c r="V1657" s="63"/>
      <c r="W1657" s="63"/>
      <c r="X1657" s="63"/>
      <c r="Y1657" s="63"/>
      <c r="Z1657" s="63"/>
      <c r="AA1657" s="63"/>
      <c r="AB1657" s="63"/>
      <c r="AC1657" s="63"/>
    </row>
    <row r="1658" spans="1:29" x14ac:dyDescent="0.25">
      <c r="A1658" s="108">
        <v>46037</v>
      </c>
      <c r="B1658" s="109">
        <v>69</v>
      </c>
      <c r="C1658" s="49" t="s">
        <v>19</v>
      </c>
      <c r="D1658" s="110" t="str">
        <f>IF(ISBLANK($B1658),"",IFERROR(VLOOKUP($B1658,ESTOQUE!$B$2:$D$97168,3,FALSE),"Produto não cadastrado"))</f>
        <v>CAMISA LARANJA OP. C/ FAIXA REFLETIVA TAM: M</v>
      </c>
      <c r="E1658" s="99" t="str">
        <f>_xlfn.XLOOKUP(B1658,ESTOQUE!B:B,ESTOQUE!G:G,"",0)</f>
        <v>UND</v>
      </c>
      <c r="F1658" s="99">
        <v>4</v>
      </c>
      <c r="G1658" s="146"/>
      <c r="H1658" s="146"/>
      <c r="I1658" s="147"/>
      <c r="J1658" s="147"/>
      <c r="K1658" s="63"/>
      <c r="L1658" s="63"/>
      <c r="M1658" s="63"/>
      <c r="N1658" s="63"/>
      <c r="O1658" s="63"/>
      <c r="P1658" s="63"/>
      <c r="Q1658" s="63"/>
      <c r="R1658" s="63"/>
      <c r="S1658" s="63"/>
      <c r="T1658" s="63"/>
      <c r="U1658" s="63"/>
      <c r="V1658" s="63"/>
      <c r="W1658" s="63"/>
      <c r="X1658" s="63"/>
      <c r="Y1658" s="63"/>
      <c r="Z1658" s="63"/>
      <c r="AA1658" s="63"/>
      <c r="AB1658" s="63"/>
      <c r="AC1658" s="63"/>
    </row>
    <row r="1659" spans="1:29" x14ac:dyDescent="0.25">
      <c r="A1659" s="108">
        <v>46037</v>
      </c>
      <c r="B1659" s="109">
        <v>70</v>
      </c>
      <c r="C1659" s="49" t="s">
        <v>19</v>
      </c>
      <c r="D1659" s="110" t="str">
        <f>IF(ISBLANK($B1659),"",IFERROR(VLOOKUP($B1659,ESTOQUE!$B$2:$D$97168,3,FALSE),"Produto não cadastrado"))</f>
        <v>CAMISA LARANJA OP. C/ FAIXA REFLETIVA TAM: P</v>
      </c>
      <c r="E1659" s="99" t="str">
        <f>_xlfn.XLOOKUP(B1659,ESTOQUE!B:B,ESTOQUE!G:G,"",0)</f>
        <v>UND</v>
      </c>
      <c r="F1659" s="99">
        <v>2</v>
      </c>
      <c r="G1659" s="146"/>
      <c r="H1659" s="146"/>
      <c r="I1659" s="147"/>
      <c r="J1659" s="147"/>
      <c r="K1659" s="63"/>
      <c r="L1659" s="63"/>
      <c r="M1659" s="63"/>
      <c r="N1659" s="63"/>
      <c r="O1659" s="63"/>
      <c r="P1659" s="63"/>
      <c r="Q1659" s="63"/>
      <c r="R1659" s="63"/>
      <c r="S1659" s="63"/>
      <c r="T1659" s="63"/>
      <c r="U1659" s="63"/>
      <c r="V1659" s="63"/>
      <c r="W1659" s="63"/>
      <c r="X1659" s="63"/>
      <c r="Y1659" s="63"/>
      <c r="Z1659" s="63"/>
      <c r="AA1659" s="63"/>
      <c r="AB1659" s="63"/>
      <c r="AC1659" s="63"/>
    </row>
    <row r="1660" spans="1:29" x14ac:dyDescent="0.25">
      <c r="A1660" s="108">
        <v>46037</v>
      </c>
      <c r="B1660" s="109">
        <v>96</v>
      </c>
      <c r="C1660" s="49" t="s">
        <v>19</v>
      </c>
      <c r="D1660" s="110" t="str">
        <f>IF(ISBLANK($B1660),"",IFERROR(VLOOKUP($B1660,ESTOQUE!$B$2:$D$97168,3,FALSE),"Produto não cadastrado"))</f>
        <v xml:space="preserve">CINTO DE SEGURANÇA MODELO:C70 </v>
      </c>
      <c r="E1660" s="99" t="str">
        <f>_xlfn.XLOOKUP(B1660,ESTOQUE!B:B,ESTOQUE!G:G,"",0)</f>
        <v>UND</v>
      </c>
      <c r="F1660" s="99">
        <v>1</v>
      </c>
      <c r="G1660" s="146"/>
      <c r="H1660" s="146"/>
      <c r="I1660" s="147"/>
      <c r="J1660" s="147"/>
      <c r="K1660" s="63"/>
      <c r="L1660" s="63"/>
      <c r="M1660" s="63"/>
      <c r="N1660" s="63"/>
      <c r="O1660" s="63"/>
      <c r="P1660" s="63"/>
      <c r="Q1660" s="63"/>
      <c r="R1660" s="63"/>
      <c r="S1660" s="63"/>
      <c r="T1660" s="63"/>
      <c r="U1660" s="63"/>
      <c r="V1660" s="63"/>
      <c r="W1660" s="63"/>
      <c r="X1660" s="63"/>
      <c r="Y1660" s="63"/>
      <c r="Z1660" s="63"/>
      <c r="AA1660" s="63"/>
      <c r="AB1660" s="63"/>
      <c r="AC1660" s="63"/>
    </row>
    <row r="1661" spans="1:29" x14ac:dyDescent="0.25">
      <c r="A1661" s="108">
        <v>46037</v>
      </c>
      <c r="B1661" s="109">
        <v>97</v>
      </c>
      <c r="C1661" s="49" t="s">
        <v>19</v>
      </c>
      <c r="D1661" s="110" t="str">
        <f>IF(ISBLANK($B1661),"",IFERROR(VLOOKUP($B1661,ESTOQUE!$B$2:$D$97168,3,FALSE),"Produto não cadastrado"))</f>
        <v>COLETE REFLETIVO LARANJA M</v>
      </c>
      <c r="E1661" s="99" t="str">
        <f>_xlfn.XLOOKUP(B1661,ESTOQUE!B:B,ESTOQUE!G:G,"",0)</f>
        <v>UND</v>
      </c>
      <c r="F1661" s="99">
        <v>4</v>
      </c>
      <c r="G1661" s="146"/>
      <c r="H1661" s="146"/>
      <c r="I1661" s="147"/>
      <c r="J1661" s="147"/>
      <c r="K1661" s="63"/>
      <c r="L1661" s="63"/>
      <c r="M1661" s="63"/>
      <c r="N1661" s="63"/>
      <c r="O1661" s="63"/>
      <c r="P1661" s="63"/>
      <c r="Q1661" s="63"/>
      <c r="R1661" s="63"/>
      <c r="S1661" s="63"/>
      <c r="T1661" s="63"/>
      <c r="U1661" s="63"/>
      <c r="V1661" s="63"/>
      <c r="W1661" s="63"/>
      <c r="X1661" s="63"/>
      <c r="Y1661" s="63"/>
      <c r="Z1661" s="63"/>
      <c r="AA1661" s="63"/>
      <c r="AB1661" s="63"/>
      <c r="AC1661" s="63"/>
    </row>
    <row r="1662" spans="1:29" x14ac:dyDescent="0.25">
      <c r="A1662" s="108">
        <v>46037</v>
      </c>
      <c r="B1662" s="109">
        <v>111</v>
      </c>
      <c r="C1662" s="49" t="s">
        <v>19</v>
      </c>
      <c r="D1662" s="110" t="str">
        <f>IF(ISBLANK($B1662),"",IFERROR(VLOOKUP($B1662,ESTOQUE!$B$2:$D$97168,3,FALSE),"Produto não cadastrado"))</f>
        <v>LUVA DE VAQUETA MARROM</v>
      </c>
      <c r="E1662" s="99" t="str">
        <f>_xlfn.XLOOKUP(B1662,ESTOQUE!B:B,ESTOQUE!G:G,"",0)</f>
        <v>PAR</v>
      </c>
      <c r="F1662" s="99">
        <v>10</v>
      </c>
      <c r="G1662" s="146"/>
      <c r="H1662" s="146"/>
      <c r="I1662" s="147"/>
      <c r="J1662" s="147"/>
      <c r="K1662" s="63"/>
      <c r="L1662" s="63"/>
      <c r="M1662" s="63"/>
      <c r="N1662" s="63"/>
      <c r="O1662" s="63"/>
      <c r="P1662" s="63"/>
      <c r="Q1662" s="63"/>
      <c r="R1662" s="63"/>
      <c r="S1662" s="63"/>
      <c r="T1662" s="63"/>
      <c r="U1662" s="63"/>
      <c r="V1662" s="63"/>
      <c r="W1662" s="63"/>
      <c r="X1662" s="63"/>
      <c r="Y1662" s="63"/>
      <c r="Z1662" s="63"/>
      <c r="AA1662" s="63"/>
      <c r="AB1662" s="63"/>
      <c r="AC1662" s="63"/>
    </row>
    <row r="1663" spans="1:29" x14ac:dyDescent="0.25">
      <c r="A1663" s="108">
        <v>46037</v>
      </c>
      <c r="B1663" s="109">
        <v>114</v>
      </c>
      <c r="C1663" s="49" t="s">
        <v>19</v>
      </c>
      <c r="D1663" s="110" t="str">
        <f>IF(ISBLANK($B1663),"",IFERROR(VLOOKUP($B1663,ESTOQUE!$B$2:$D$97168,3,FALSE),"Produto não cadastrado"))</f>
        <v xml:space="preserve">LUVA LATEX NITRILICA </v>
      </c>
      <c r="E1663" s="99" t="str">
        <f>_xlfn.XLOOKUP(B1663,ESTOQUE!B:B,ESTOQUE!G:G,"",0)</f>
        <v>PAR</v>
      </c>
      <c r="F1663" s="99">
        <v>33</v>
      </c>
      <c r="G1663" s="146"/>
      <c r="H1663" s="146"/>
      <c r="I1663" s="147"/>
      <c r="J1663" s="147"/>
      <c r="K1663" s="63"/>
      <c r="L1663" s="63"/>
      <c r="M1663" s="63"/>
      <c r="N1663" s="63"/>
      <c r="O1663" s="63"/>
      <c r="P1663" s="63"/>
      <c r="Q1663" s="63"/>
      <c r="R1663" s="63"/>
      <c r="S1663" s="63"/>
      <c r="T1663" s="63"/>
      <c r="U1663" s="63"/>
      <c r="V1663" s="63"/>
      <c r="W1663" s="63"/>
      <c r="X1663" s="63"/>
      <c r="Y1663" s="63"/>
      <c r="Z1663" s="63"/>
      <c r="AA1663" s="63"/>
      <c r="AB1663" s="63"/>
      <c r="AC1663" s="63"/>
    </row>
    <row r="1664" spans="1:29" x14ac:dyDescent="0.25">
      <c r="A1664" s="108">
        <v>46037</v>
      </c>
      <c r="B1664" s="109">
        <v>257</v>
      </c>
      <c r="C1664" s="49" t="s">
        <v>19</v>
      </c>
      <c r="D1664" s="110" t="str">
        <f>IF(ISBLANK($B1664),"",IFERROR(VLOOKUP($B1664,ESTOQUE!$B$2:$D$97168,3,FALSE),"Produto não cadastrado"))</f>
        <v xml:space="preserve">LUVA MULTITATO </v>
      </c>
      <c r="E1664" s="99" t="str">
        <f>_xlfn.XLOOKUP(B1664,ESTOQUE!B:B,ESTOQUE!G:G,"",0)</f>
        <v>UND</v>
      </c>
      <c r="F1664" s="99">
        <v>2</v>
      </c>
      <c r="G1664" s="146"/>
      <c r="H1664" s="146"/>
      <c r="I1664" s="147"/>
      <c r="J1664" s="147"/>
      <c r="K1664" s="63"/>
      <c r="L1664" s="63"/>
      <c r="M1664" s="63"/>
      <c r="N1664" s="63"/>
      <c r="O1664" s="63"/>
      <c r="P1664" s="63"/>
      <c r="Q1664" s="63"/>
      <c r="R1664" s="63"/>
      <c r="S1664" s="63"/>
      <c r="T1664" s="63"/>
      <c r="U1664" s="63"/>
      <c r="V1664" s="63"/>
      <c r="W1664" s="63"/>
      <c r="X1664" s="63"/>
      <c r="Y1664" s="63"/>
      <c r="Z1664" s="63"/>
      <c r="AA1664" s="63"/>
      <c r="AB1664" s="63"/>
      <c r="AC1664" s="63"/>
    </row>
    <row r="1665" spans="1:29" x14ac:dyDescent="0.25">
      <c r="A1665" s="108">
        <v>46037</v>
      </c>
      <c r="B1665" s="109">
        <v>207</v>
      </c>
      <c r="C1665" s="49" t="s">
        <v>19</v>
      </c>
      <c r="D1665" s="110" t="str">
        <f>IF(ISBLANK($B1665),"",IFERROR(VLOOKUP($B1665,ESTOQUE!$B$2:$D$97168,3,FALSE),"Produto não cadastrado"))</f>
        <v>LUVA POLIESTER ANTICORTE BANHADA PU TAM 9</v>
      </c>
      <c r="E1665" s="99" t="str">
        <f>_xlfn.XLOOKUP(B1665,ESTOQUE!B:B,ESTOQUE!G:G,"",0)</f>
        <v>PAR</v>
      </c>
      <c r="F1665" s="99">
        <v>20</v>
      </c>
      <c r="G1665" s="146"/>
      <c r="H1665" s="146"/>
      <c r="I1665" s="147"/>
      <c r="J1665" s="147"/>
      <c r="K1665" s="63"/>
      <c r="L1665" s="63"/>
      <c r="M1665" s="63"/>
      <c r="N1665" s="63"/>
      <c r="O1665" s="63"/>
      <c r="P1665" s="63"/>
      <c r="Q1665" s="63"/>
      <c r="R1665" s="63"/>
      <c r="S1665" s="63"/>
      <c r="T1665" s="63"/>
      <c r="U1665" s="63"/>
      <c r="V1665" s="63"/>
      <c r="W1665" s="63"/>
      <c r="X1665" s="63"/>
      <c r="Y1665" s="63"/>
      <c r="Z1665" s="63"/>
      <c r="AA1665" s="63"/>
      <c r="AB1665" s="63"/>
      <c r="AC1665" s="63"/>
    </row>
    <row r="1666" spans="1:29" x14ac:dyDescent="0.25">
      <c r="A1666" s="108">
        <v>46037</v>
      </c>
      <c r="B1666" s="109">
        <v>118</v>
      </c>
      <c r="C1666" s="49" t="s">
        <v>19</v>
      </c>
      <c r="D1666" s="110" t="str">
        <f>IF(ISBLANK($B1666),"",IFERROR(VLOOKUP($B1666,ESTOQUE!$B$2:$D$97168,3,FALSE),"Produto não cadastrado"))</f>
        <v>MACACÃO DE PROTEÇÃO TYVEK</v>
      </c>
      <c r="E1666" s="99" t="str">
        <f>_xlfn.XLOOKUP(B1666,ESTOQUE!B:B,ESTOQUE!G:G,"",0)</f>
        <v>UND</v>
      </c>
      <c r="F1666" s="99">
        <v>50</v>
      </c>
      <c r="G1666" s="146"/>
      <c r="H1666" s="146"/>
      <c r="I1666" s="147"/>
      <c r="J1666" s="147"/>
      <c r="K1666" s="63"/>
      <c r="L1666" s="63"/>
      <c r="M1666" s="63"/>
      <c r="N1666" s="63"/>
      <c r="O1666" s="63"/>
      <c r="P1666" s="63"/>
      <c r="Q1666" s="63"/>
      <c r="R1666" s="63"/>
      <c r="S1666" s="63"/>
      <c r="T1666" s="63"/>
      <c r="U1666" s="63"/>
      <c r="V1666" s="63"/>
      <c r="W1666" s="63"/>
      <c r="X1666" s="63"/>
      <c r="Y1666" s="63"/>
      <c r="Z1666" s="63"/>
      <c r="AA1666" s="63"/>
      <c r="AB1666" s="63"/>
      <c r="AC1666" s="63"/>
    </row>
    <row r="1667" spans="1:29" x14ac:dyDescent="0.25">
      <c r="A1667" s="108">
        <v>46037</v>
      </c>
      <c r="B1667" s="109">
        <v>144</v>
      </c>
      <c r="C1667" s="49" t="s">
        <v>19</v>
      </c>
      <c r="D1667" s="110" t="str">
        <f>IF(ISBLANK($B1667),"",IFERROR(VLOOKUP($B1667,ESTOQUE!$B$2:$D$97168,3,FALSE),"Produto não cadastrado"))</f>
        <v>MASCARA PFF2-S C/ FILTRO</v>
      </c>
      <c r="E1667" s="99" t="str">
        <f>_xlfn.XLOOKUP(B1667,ESTOQUE!B:B,ESTOQUE!G:G,"",0)</f>
        <v>UND</v>
      </c>
      <c r="F1667" s="99">
        <v>30</v>
      </c>
      <c r="G1667" s="146"/>
      <c r="H1667" s="146"/>
      <c r="I1667" s="147"/>
      <c r="J1667" s="147"/>
      <c r="K1667" s="63"/>
      <c r="L1667" s="63"/>
      <c r="M1667" s="63"/>
      <c r="N1667" s="63"/>
      <c r="O1667" s="63"/>
      <c r="P1667" s="63"/>
      <c r="Q1667" s="63"/>
      <c r="R1667" s="63"/>
      <c r="S1667" s="63"/>
      <c r="T1667" s="63"/>
      <c r="U1667" s="63"/>
      <c r="V1667" s="63"/>
      <c r="W1667" s="63"/>
      <c r="X1667" s="63"/>
      <c r="Y1667" s="63"/>
      <c r="Z1667" s="63"/>
      <c r="AA1667" s="63"/>
      <c r="AB1667" s="63"/>
      <c r="AC1667" s="63"/>
    </row>
    <row r="1668" spans="1:29" x14ac:dyDescent="0.25">
      <c r="A1668" s="108">
        <v>46037</v>
      </c>
      <c r="B1668" s="109">
        <v>124</v>
      </c>
      <c r="C1668" s="49" t="s">
        <v>19</v>
      </c>
      <c r="D1668" s="110" t="str">
        <f>IF(ISBLANK($B1668),"",IFERROR(VLOOKUP($B1668,ESTOQUE!$B$2:$D$97168,3,FALSE),"Produto não cadastrado"))</f>
        <v xml:space="preserve">OCULOS DE PROTEÇÃO INCOLOR </v>
      </c>
      <c r="E1668" s="99" t="str">
        <f>_xlfn.XLOOKUP(B1668,ESTOQUE!B:B,ESTOQUE!G:G,"",0)</f>
        <v>UND</v>
      </c>
      <c r="F1668" s="99">
        <v>16</v>
      </c>
      <c r="G1668" s="146"/>
      <c r="H1668" s="146"/>
      <c r="I1668" s="147"/>
      <c r="J1668" s="147"/>
      <c r="K1668" s="63"/>
      <c r="L1668" s="63"/>
      <c r="M1668" s="63"/>
      <c r="N1668" s="63"/>
      <c r="O1668" s="63"/>
      <c r="P1668" s="63"/>
      <c r="Q1668" s="63"/>
      <c r="R1668" s="63"/>
      <c r="S1668" s="63"/>
      <c r="T1668" s="63"/>
      <c r="U1668" s="63"/>
      <c r="V1668" s="63"/>
      <c r="W1668" s="63"/>
      <c r="X1668" s="63"/>
      <c r="Y1668" s="63"/>
      <c r="Z1668" s="63"/>
      <c r="AA1668" s="63"/>
      <c r="AB1668" s="63"/>
      <c r="AC1668" s="63"/>
    </row>
    <row r="1669" spans="1:29" x14ac:dyDescent="0.25">
      <c r="A1669" s="108">
        <v>46037</v>
      </c>
      <c r="B1669" s="109">
        <v>139</v>
      </c>
      <c r="C1669" s="49" t="s">
        <v>19</v>
      </c>
      <c r="D1669" s="110" t="str">
        <f>IF(ISBLANK($B1669),"",IFERROR(VLOOKUP($B1669,ESTOQUE!$B$2:$D$97168,3,FALSE),"Produto não cadastrado"))</f>
        <v>PROTETOR AURICULAR TIPO PLUG</v>
      </c>
      <c r="E1669" s="99" t="str">
        <f>_xlfn.XLOOKUP(B1669,ESTOQUE!B:B,ESTOQUE!G:G,"",0)</f>
        <v>UND</v>
      </c>
      <c r="F1669" s="99">
        <v>30</v>
      </c>
      <c r="G1669" s="146"/>
      <c r="H1669" s="146"/>
      <c r="I1669" s="147"/>
      <c r="J1669" s="147"/>
      <c r="K1669" s="63"/>
      <c r="L1669" s="63"/>
      <c r="M1669" s="63"/>
      <c r="N1669" s="63"/>
      <c r="O1669" s="63"/>
      <c r="P1669" s="63"/>
      <c r="Q1669" s="63"/>
      <c r="R1669" s="63"/>
      <c r="S1669" s="63"/>
      <c r="T1669" s="63"/>
      <c r="U1669" s="63"/>
      <c r="V1669" s="63"/>
      <c r="W1669" s="63"/>
      <c r="X1669" s="63"/>
      <c r="Y1669" s="63"/>
      <c r="Z1669" s="63"/>
      <c r="AA1669" s="63"/>
      <c r="AB1669" s="63"/>
      <c r="AC1669" s="63"/>
    </row>
    <row r="1670" spans="1:29" x14ac:dyDescent="0.25">
      <c r="A1670" s="108">
        <v>46037</v>
      </c>
      <c r="B1670" s="109">
        <v>231</v>
      </c>
      <c r="C1670" s="49" t="s">
        <v>19</v>
      </c>
      <c r="D1670" s="110" t="str">
        <f>IF(ISBLANK($B1670),"",IFERROR(VLOOKUP($B1670,ESTOQUE!$B$2:$D$97168,3,FALSE),"Produto não cadastrado"))</f>
        <v xml:space="preserve">PROTETOR DE VERGALHÃO </v>
      </c>
      <c r="E1670" s="99" t="str">
        <f>_xlfn.XLOOKUP(B1670,ESTOQUE!B:B,ESTOQUE!G:G,"",0)</f>
        <v>UND</v>
      </c>
      <c r="F1670" s="99">
        <v>500</v>
      </c>
      <c r="G1670" s="146"/>
      <c r="H1670" s="146"/>
      <c r="I1670" s="147"/>
      <c r="J1670" s="147"/>
      <c r="K1670" s="63"/>
      <c r="L1670" s="63"/>
      <c r="M1670" s="63"/>
      <c r="N1670" s="63"/>
      <c r="O1670" s="63"/>
      <c r="P1670" s="63"/>
      <c r="Q1670" s="63"/>
      <c r="R1670" s="63"/>
      <c r="S1670" s="63"/>
      <c r="T1670" s="63"/>
      <c r="U1670" s="63"/>
      <c r="V1670" s="63"/>
      <c r="W1670" s="63"/>
      <c r="X1670" s="63"/>
      <c r="Y1670" s="63"/>
      <c r="Z1670" s="63"/>
      <c r="AA1670" s="63"/>
      <c r="AB1670" s="63"/>
      <c r="AC1670" s="63"/>
    </row>
    <row r="1671" spans="1:29" x14ac:dyDescent="0.25">
      <c r="A1671" s="108">
        <v>46037</v>
      </c>
      <c r="B1671" s="109">
        <v>135</v>
      </c>
      <c r="C1671" s="49" t="s">
        <v>19</v>
      </c>
      <c r="D1671" s="110" t="str">
        <f>IF(ISBLANK($B1671),"",IFERROR(VLOOKUP($B1671,ESTOQUE!$B$2:$D$97168,3,FALSE),"Produto não cadastrado"))</f>
        <v>TALABARTE DUPLO TIPO Y</v>
      </c>
      <c r="E1671" s="99" t="str">
        <f>_xlfn.XLOOKUP(B1671,ESTOQUE!B:B,ESTOQUE!G:G,"",0)</f>
        <v>UND</v>
      </c>
      <c r="F1671" s="99">
        <v>1</v>
      </c>
      <c r="G1671" s="146"/>
      <c r="H1671" s="146"/>
      <c r="I1671" s="147"/>
      <c r="J1671" s="147"/>
      <c r="K1671" s="63"/>
      <c r="L1671" s="63"/>
      <c r="M1671" s="63"/>
      <c r="N1671" s="63"/>
      <c r="O1671" s="63"/>
      <c r="P1671" s="63"/>
      <c r="Q1671" s="63"/>
      <c r="R1671" s="63"/>
      <c r="S1671" s="63"/>
      <c r="T1671" s="63"/>
      <c r="U1671" s="63"/>
      <c r="V1671" s="63"/>
      <c r="W1671" s="63"/>
      <c r="X1671" s="63"/>
      <c r="Y1671" s="63"/>
      <c r="Z1671" s="63"/>
      <c r="AA1671" s="63"/>
      <c r="AB1671" s="63"/>
      <c r="AC1671" s="63"/>
    </row>
    <row r="1672" spans="1:29" x14ac:dyDescent="0.25">
      <c r="A1672" s="108">
        <v>46038</v>
      </c>
      <c r="B1672" s="109">
        <v>126</v>
      </c>
      <c r="C1672" s="49" t="s">
        <v>19</v>
      </c>
      <c r="D1672" s="110" t="str">
        <f>IF(ISBLANK($B1672),"",IFERROR(VLOOKUP($B1672,ESTOQUE!$B$2:$D$97168,3,FALSE),"Produto não cadastrado"))</f>
        <v>OCULOS DE PROTEÇÃO ESCURO</v>
      </c>
      <c r="E1672" s="99" t="str">
        <f>_xlfn.XLOOKUP(B1672,ESTOQUE!B:B,ESTOQUE!G:G,"",0)</f>
        <v>UND</v>
      </c>
      <c r="F1672" s="99">
        <v>274</v>
      </c>
      <c r="G1672" s="146"/>
      <c r="H1672" s="146"/>
      <c r="I1672" s="147"/>
      <c r="J1672" s="147"/>
      <c r="K1672" s="63"/>
      <c r="L1672" s="63"/>
      <c r="M1672" s="63"/>
      <c r="N1672" s="63"/>
      <c r="O1672" s="63"/>
      <c r="P1672" s="63"/>
      <c r="Q1672" s="63"/>
      <c r="R1672" s="63"/>
      <c r="S1672" s="63"/>
      <c r="T1672" s="63"/>
      <c r="U1672" s="63"/>
      <c r="V1672" s="63"/>
      <c r="W1672" s="63"/>
      <c r="X1672" s="63"/>
      <c r="Y1672" s="63"/>
      <c r="Z1672" s="63"/>
      <c r="AA1672" s="63"/>
      <c r="AB1672" s="63"/>
      <c r="AC1672" s="63"/>
    </row>
    <row r="1673" spans="1:29" x14ac:dyDescent="0.25">
      <c r="A1673" s="108">
        <v>46038</v>
      </c>
      <c r="B1673" s="109">
        <v>28</v>
      </c>
      <c r="C1673" s="49" t="s">
        <v>19</v>
      </c>
      <c r="D1673" s="110" t="str">
        <f>IF(ISBLANK($B1673),"",IFERROR(VLOOKUP($B1673,ESTOQUE!$B$2:$D$97168,3,FALSE),"Produto não cadastrado"))</f>
        <v>BOTINA DE ELETRICISTA Nº 38</v>
      </c>
      <c r="E1673" s="99" t="str">
        <f>_xlfn.XLOOKUP(B1673,ESTOQUE!B:B,ESTOQUE!G:G,"",0)</f>
        <v>PAR</v>
      </c>
      <c r="F1673" s="99">
        <v>1</v>
      </c>
      <c r="G1673" s="146"/>
      <c r="H1673" s="146"/>
      <c r="I1673" s="147"/>
      <c r="J1673" s="147"/>
      <c r="K1673" s="63"/>
      <c r="L1673" s="63"/>
      <c r="M1673" s="63"/>
      <c r="N1673" s="63"/>
      <c r="O1673" s="63"/>
      <c r="P1673" s="63"/>
      <c r="Q1673" s="63"/>
      <c r="R1673" s="63"/>
      <c r="S1673" s="63"/>
      <c r="T1673" s="63"/>
      <c r="U1673" s="63"/>
      <c r="V1673" s="63"/>
      <c r="W1673" s="63"/>
      <c r="X1673" s="63"/>
      <c r="Y1673" s="63"/>
      <c r="Z1673" s="63"/>
      <c r="AA1673" s="63"/>
      <c r="AB1673" s="63"/>
      <c r="AC1673" s="63"/>
    </row>
    <row r="1674" spans="1:29" x14ac:dyDescent="0.25">
      <c r="A1674" s="108">
        <v>46038</v>
      </c>
      <c r="B1674" s="109">
        <v>162</v>
      </c>
      <c r="C1674" s="49" t="s">
        <v>19</v>
      </c>
      <c r="D1674" s="110" t="str">
        <f>IF(ISBLANK($B1674),"",IFERROR(VLOOKUP($B1674,ESTOQUE!$B$2:$D$97168,3,FALSE),"Produto não cadastrado"))</f>
        <v>BOTINA DE ELETRICISTA Nº 42</v>
      </c>
      <c r="E1674" s="99" t="str">
        <f>_xlfn.XLOOKUP(B1674,ESTOQUE!B:B,ESTOQUE!G:G,"",0)</f>
        <v>PAR</v>
      </c>
      <c r="F1674" s="99">
        <v>2</v>
      </c>
      <c r="G1674" s="146"/>
      <c r="H1674" s="146"/>
      <c r="I1674" s="147"/>
      <c r="J1674" s="147"/>
      <c r="K1674" s="63"/>
      <c r="L1674" s="63"/>
      <c r="M1674" s="63"/>
      <c r="N1674" s="63"/>
      <c r="O1674" s="63"/>
      <c r="P1674" s="63"/>
      <c r="Q1674" s="63"/>
      <c r="R1674" s="63"/>
      <c r="S1674" s="63"/>
      <c r="T1674" s="63"/>
      <c r="U1674" s="63"/>
      <c r="V1674" s="63"/>
      <c r="W1674" s="63"/>
      <c r="X1674" s="63"/>
      <c r="Y1674" s="63"/>
      <c r="Z1674" s="63"/>
      <c r="AA1674" s="63"/>
      <c r="AB1674" s="63"/>
      <c r="AC1674" s="63"/>
    </row>
    <row r="1675" spans="1:29" x14ac:dyDescent="0.25">
      <c r="A1675" s="108">
        <v>46038</v>
      </c>
      <c r="B1675" s="109">
        <v>46</v>
      </c>
      <c r="C1675" s="49" t="s">
        <v>19</v>
      </c>
      <c r="D1675" s="110" t="str">
        <f>IF(ISBLANK($B1675),"",IFERROR(VLOOKUP($B1675,ESTOQUE!$B$2:$D$97168,3,FALSE),"Produto não cadastrado"))</f>
        <v>CALÇA CINZA OP. C/ FAIXA REFLETIVA TAM: G</v>
      </c>
      <c r="E1675" s="99" t="str">
        <f>_xlfn.XLOOKUP(B1675,ESTOQUE!B:B,ESTOQUE!G:G,"",0)</f>
        <v>UND</v>
      </c>
      <c r="F1675" s="99">
        <v>3</v>
      </c>
      <c r="G1675" s="146"/>
      <c r="H1675" s="146"/>
      <c r="I1675" s="147"/>
      <c r="J1675" s="147"/>
      <c r="K1675" s="63"/>
      <c r="L1675" s="63"/>
      <c r="M1675" s="63"/>
      <c r="N1675" s="63"/>
      <c r="O1675" s="63"/>
      <c r="P1675" s="63"/>
      <c r="Q1675" s="63"/>
      <c r="R1675" s="63"/>
      <c r="S1675" s="63"/>
      <c r="T1675" s="63"/>
      <c r="U1675" s="63"/>
      <c r="V1675" s="63"/>
      <c r="W1675" s="63"/>
      <c r="X1675" s="63"/>
      <c r="Y1675" s="63"/>
      <c r="Z1675" s="63"/>
      <c r="AA1675" s="63"/>
      <c r="AB1675" s="63"/>
      <c r="AC1675" s="63"/>
    </row>
    <row r="1676" spans="1:29" x14ac:dyDescent="0.25">
      <c r="A1676" s="108">
        <v>46038</v>
      </c>
      <c r="B1676" s="109">
        <v>47</v>
      </c>
      <c r="C1676" s="49" t="s">
        <v>19</v>
      </c>
      <c r="D1676" s="110" t="str">
        <f>IF(ISBLANK($B1676),"",IFERROR(VLOOKUP($B1676,ESTOQUE!$B$2:$D$97168,3,FALSE),"Produto não cadastrado"))</f>
        <v>CALÇA CINZA OP. C/ FAIXA REFLETIVA TAM: GG</v>
      </c>
      <c r="E1676" s="99" t="str">
        <f>_xlfn.XLOOKUP(B1676,ESTOQUE!B:B,ESTOQUE!G:G,"",0)</f>
        <v>UND</v>
      </c>
      <c r="F1676" s="99">
        <v>3</v>
      </c>
      <c r="G1676" s="146"/>
      <c r="H1676" s="146"/>
      <c r="I1676" s="147"/>
      <c r="J1676" s="147"/>
      <c r="K1676" s="63"/>
      <c r="L1676" s="63"/>
      <c r="M1676" s="63"/>
      <c r="N1676" s="63"/>
      <c r="O1676" s="63"/>
      <c r="P1676" s="63"/>
      <c r="Q1676" s="63"/>
      <c r="R1676" s="63"/>
      <c r="S1676" s="63"/>
      <c r="T1676" s="63"/>
      <c r="U1676" s="63"/>
      <c r="V1676" s="63"/>
      <c r="W1676" s="63"/>
      <c r="X1676" s="63"/>
      <c r="Y1676" s="63"/>
      <c r="Z1676" s="63"/>
      <c r="AA1676" s="63"/>
      <c r="AB1676" s="63"/>
      <c r="AC1676" s="63"/>
    </row>
    <row r="1677" spans="1:29" x14ac:dyDescent="0.25">
      <c r="A1677" s="108">
        <v>46038</v>
      </c>
      <c r="B1677" s="109">
        <v>48</v>
      </c>
      <c r="C1677" s="49" t="s">
        <v>19</v>
      </c>
      <c r="D1677" s="110" t="str">
        <f>IF(ISBLANK($B1677),"",IFERROR(VLOOKUP($B1677,ESTOQUE!$B$2:$D$97168,3,FALSE),"Produto não cadastrado"))</f>
        <v>CALÇA CINZA OP. C/ FAIXA REFLETIVA TAM: M</v>
      </c>
      <c r="E1677" s="99" t="str">
        <f>_xlfn.XLOOKUP(B1677,ESTOQUE!B:B,ESTOQUE!G:G,"",0)</f>
        <v>UND</v>
      </c>
      <c r="F1677" s="99">
        <v>7</v>
      </c>
      <c r="G1677" s="146"/>
      <c r="H1677" s="146"/>
      <c r="I1677" s="147"/>
      <c r="J1677" s="147"/>
      <c r="K1677" s="63"/>
      <c r="L1677" s="63"/>
      <c r="M1677" s="63"/>
      <c r="N1677" s="63"/>
      <c r="O1677" s="63"/>
      <c r="P1677" s="63"/>
      <c r="Q1677" s="63"/>
      <c r="R1677" s="63"/>
      <c r="S1677" s="63"/>
      <c r="T1677" s="63"/>
      <c r="U1677" s="63"/>
      <c r="V1677" s="63"/>
      <c r="W1677" s="63"/>
      <c r="X1677" s="63"/>
      <c r="Y1677" s="63"/>
      <c r="Z1677" s="63"/>
      <c r="AA1677" s="63"/>
      <c r="AB1677" s="63"/>
      <c r="AC1677" s="63"/>
    </row>
    <row r="1678" spans="1:29" x14ac:dyDescent="0.25">
      <c r="A1678" s="108">
        <v>46038</v>
      </c>
      <c r="B1678" s="109">
        <v>49</v>
      </c>
      <c r="C1678" s="49" t="s">
        <v>19</v>
      </c>
      <c r="D1678" s="110" t="str">
        <f>IF(ISBLANK($B1678),"",IFERROR(VLOOKUP($B1678,ESTOQUE!$B$2:$D$97168,3,FALSE),"Produto não cadastrado"))</f>
        <v>CALÇA CINZA OP. C/ FAIXA REFLETIVA TAM: P</v>
      </c>
      <c r="E1678" s="99" t="str">
        <f>_xlfn.XLOOKUP(B1678,ESTOQUE!B:B,ESTOQUE!G:G,"",0)</f>
        <v>UND</v>
      </c>
      <c r="F1678" s="99">
        <v>1</v>
      </c>
      <c r="G1678" s="146"/>
      <c r="H1678" s="146"/>
      <c r="I1678" s="147"/>
      <c r="J1678" s="147"/>
      <c r="K1678" s="63"/>
      <c r="L1678" s="63"/>
      <c r="M1678" s="63"/>
      <c r="N1678" s="63"/>
      <c r="O1678" s="63"/>
      <c r="P1678" s="63"/>
      <c r="Q1678" s="63"/>
      <c r="R1678" s="63"/>
      <c r="S1678" s="63"/>
      <c r="T1678" s="63"/>
      <c r="U1678" s="63"/>
      <c r="V1678" s="63"/>
      <c r="W1678" s="63"/>
      <c r="X1678" s="63"/>
      <c r="Y1678" s="63"/>
      <c r="Z1678" s="63"/>
      <c r="AA1678" s="63"/>
      <c r="AB1678" s="63"/>
      <c r="AC1678" s="63"/>
    </row>
    <row r="1679" spans="1:29" x14ac:dyDescent="0.25">
      <c r="A1679" s="108">
        <v>46038</v>
      </c>
      <c r="B1679" s="109">
        <v>50</v>
      </c>
      <c r="C1679" s="49" t="s">
        <v>19</v>
      </c>
      <c r="D1679" s="110" t="str">
        <f>IF(ISBLANK($B1679),"",IFERROR(VLOOKUP($B1679,ESTOQUE!$B$2:$D$97168,3,FALSE),"Produto não cadastrado"))</f>
        <v>CALÇA CINZA OP. C/ FAIXA REFLETIVA TAM: XG</v>
      </c>
      <c r="E1679" s="99" t="str">
        <f>_xlfn.XLOOKUP(B1679,ESTOQUE!B:B,ESTOQUE!G:G,"",0)</f>
        <v>UND</v>
      </c>
      <c r="F1679" s="99">
        <v>1</v>
      </c>
      <c r="G1679" s="146"/>
      <c r="H1679" s="146"/>
      <c r="I1679" s="147"/>
      <c r="J1679" s="147"/>
      <c r="K1679" s="63"/>
      <c r="L1679" s="63"/>
      <c r="M1679" s="63"/>
      <c r="N1679" s="63"/>
      <c r="O1679" s="63"/>
      <c r="P1679" s="63"/>
      <c r="Q1679" s="63"/>
      <c r="R1679" s="63"/>
      <c r="S1679" s="63"/>
      <c r="T1679" s="63"/>
      <c r="U1679" s="63"/>
      <c r="V1679" s="63"/>
      <c r="W1679" s="63"/>
      <c r="X1679" s="63"/>
      <c r="Y1679" s="63"/>
      <c r="Z1679" s="63"/>
      <c r="AA1679" s="63"/>
      <c r="AB1679" s="63"/>
      <c r="AC1679" s="63"/>
    </row>
    <row r="1680" spans="1:29" x14ac:dyDescent="0.25">
      <c r="A1680" s="108">
        <v>46038</v>
      </c>
      <c r="B1680" s="109">
        <v>67</v>
      </c>
      <c r="C1680" s="49" t="s">
        <v>19</v>
      </c>
      <c r="D1680" s="110" t="str">
        <f>IF(ISBLANK($B1680),"",IFERROR(VLOOKUP($B1680,ESTOQUE!$B$2:$D$97168,3,FALSE),"Produto não cadastrado"))</f>
        <v>CAMISA LARANJA OP. C/ FAIXA REFLETIVA TAM: G</v>
      </c>
      <c r="E1680" s="99" t="str">
        <f>_xlfn.XLOOKUP(B1680,ESTOQUE!B:B,ESTOQUE!G:G,"",0)</f>
        <v>UND</v>
      </c>
      <c r="F1680" s="99">
        <v>5</v>
      </c>
      <c r="G1680" s="146"/>
      <c r="H1680" s="146"/>
      <c r="I1680" s="147"/>
      <c r="J1680" s="147"/>
      <c r="K1680" s="63"/>
      <c r="L1680" s="63"/>
      <c r="M1680" s="63"/>
      <c r="N1680" s="63"/>
      <c r="O1680" s="63"/>
      <c r="P1680" s="63"/>
      <c r="Q1680" s="63"/>
      <c r="R1680" s="63"/>
      <c r="S1680" s="63"/>
      <c r="T1680" s="63"/>
      <c r="U1680" s="63"/>
      <c r="V1680" s="63"/>
      <c r="W1680" s="63"/>
      <c r="X1680" s="63"/>
      <c r="Y1680" s="63"/>
      <c r="Z1680" s="63"/>
      <c r="AA1680" s="63"/>
      <c r="AB1680" s="63"/>
      <c r="AC1680" s="63"/>
    </row>
    <row r="1681" spans="1:29" x14ac:dyDescent="0.25">
      <c r="A1681" s="108">
        <v>46038</v>
      </c>
      <c r="B1681" s="109">
        <v>68</v>
      </c>
      <c r="C1681" s="49" t="s">
        <v>19</v>
      </c>
      <c r="D1681" s="110" t="str">
        <f>IF(ISBLANK($B1681),"",IFERROR(VLOOKUP($B1681,ESTOQUE!$B$2:$D$97168,3,FALSE),"Produto não cadastrado"))</f>
        <v>CAMISA LARANJA OP. C/ FAIXA REFLETIVA TAM: GG</v>
      </c>
      <c r="E1681" s="99" t="str">
        <f>_xlfn.XLOOKUP(B1681,ESTOQUE!B:B,ESTOQUE!G:G,"",0)</f>
        <v>UND</v>
      </c>
      <c r="F1681" s="99">
        <v>1</v>
      </c>
      <c r="G1681" s="146"/>
      <c r="H1681" s="146"/>
      <c r="I1681" s="147"/>
      <c r="J1681" s="147"/>
      <c r="K1681" s="63"/>
      <c r="L1681" s="63"/>
      <c r="M1681" s="63"/>
      <c r="N1681" s="63"/>
      <c r="O1681" s="63"/>
      <c r="P1681" s="63"/>
      <c r="Q1681" s="63"/>
      <c r="R1681" s="63"/>
      <c r="S1681" s="63"/>
      <c r="T1681" s="63"/>
      <c r="U1681" s="63"/>
      <c r="V1681" s="63"/>
      <c r="W1681" s="63"/>
      <c r="X1681" s="63"/>
      <c r="Y1681" s="63"/>
      <c r="Z1681" s="63"/>
      <c r="AA1681" s="63"/>
      <c r="AB1681" s="63"/>
      <c r="AC1681" s="63"/>
    </row>
    <row r="1682" spans="1:29" x14ac:dyDescent="0.25">
      <c r="A1682" s="108">
        <v>46038</v>
      </c>
      <c r="B1682" s="109">
        <v>69</v>
      </c>
      <c r="C1682" s="49" t="s">
        <v>19</v>
      </c>
      <c r="D1682" s="110" t="str">
        <f>IF(ISBLANK($B1682),"",IFERROR(VLOOKUP($B1682,ESTOQUE!$B$2:$D$97168,3,FALSE),"Produto não cadastrado"))</f>
        <v>CAMISA LARANJA OP. C/ FAIXA REFLETIVA TAM: M</v>
      </c>
      <c r="E1682" s="99" t="str">
        <f>_xlfn.XLOOKUP(B1682,ESTOQUE!B:B,ESTOQUE!G:G,"",0)</f>
        <v>UND</v>
      </c>
      <c r="F1682" s="99">
        <v>7</v>
      </c>
      <c r="G1682" s="146"/>
      <c r="H1682" s="146"/>
      <c r="I1682" s="147"/>
      <c r="J1682" s="147"/>
      <c r="K1682" s="63"/>
      <c r="L1682" s="63"/>
      <c r="M1682" s="63"/>
      <c r="N1682" s="63"/>
      <c r="O1682" s="63"/>
      <c r="P1682" s="63"/>
      <c r="Q1682" s="63"/>
      <c r="R1682" s="63"/>
      <c r="S1682" s="63"/>
      <c r="T1682" s="63"/>
      <c r="U1682" s="63"/>
      <c r="V1682" s="63"/>
      <c r="W1682" s="63"/>
      <c r="X1682" s="63"/>
      <c r="Y1682" s="63"/>
      <c r="Z1682" s="63"/>
      <c r="AA1682" s="63"/>
      <c r="AB1682" s="63"/>
      <c r="AC1682" s="63"/>
    </row>
    <row r="1683" spans="1:29" x14ac:dyDescent="0.25">
      <c r="A1683" s="108">
        <v>46038</v>
      </c>
      <c r="B1683" s="109">
        <v>70</v>
      </c>
      <c r="C1683" s="49" t="s">
        <v>19</v>
      </c>
      <c r="D1683" s="110" t="str">
        <f>IF(ISBLANK($B1683),"",IFERROR(VLOOKUP($B1683,ESTOQUE!$B$2:$D$97168,3,FALSE),"Produto não cadastrado"))</f>
        <v>CAMISA LARANJA OP. C/ FAIXA REFLETIVA TAM: P</v>
      </c>
      <c r="E1683" s="99" t="str">
        <f>_xlfn.XLOOKUP(B1683,ESTOQUE!B:B,ESTOQUE!G:G,"",0)</f>
        <v>UND</v>
      </c>
      <c r="F1683" s="99">
        <v>3</v>
      </c>
      <c r="G1683" s="146"/>
      <c r="H1683" s="146"/>
      <c r="I1683" s="147"/>
      <c r="J1683" s="147"/>
      <c r="K1683" s="63"/>
      <c r="L1683" s="63"/>
      <c r="M1683" s="63"/>
      <c r="N1683" s="63"/>
      <c r="O1683" s="63"/>
      <c r="P1683" s="63"/>
      <c r="Q1683" s="63"/>
      <c r="R1683" s="63"/>
      <c r="S1683" s="63"/>
      <c r="T1683" s="63"/>
      <c r="U1683" s="63"/>
      <c r="V1683" s="63"/>
      <c r="W1683" s="63"/>
      <c r="X1683" s="63"/>
      <c r="Y1683" s="63"/>
      <c r="Z1683" s="63"/>
      <c r="AA1683" s="63"/>
      <c r="AB1683" s="63"/>
      <c r="AC1683" s="63"/>
    </row>
    <row r="1684" spans="1:29" x14ac:dyDescent="0.25">
      <c r="A1684" s="108">
        <v>46038</v>
      </c>
      <c r="B1684" s="109">
        <v>71</v>
      </c>
      <c r="C1684" s="49" t="s">
        <v>19</v>
      </c>
      <c r="D1684" s="110" t="str">
        <f>IF(ISBLANK($B1684),"",IFERROR(VLOOKUP($B1684,ESTOQUE!$B$2:$D$97168,3,FALSE),"Produto não cadastrado"))</f>
        <v>CAMISA LARANJA OP. C/ FAIXA REFLETIVA TAM: XG</v>
      </c>
      <c r="E1684" s="99" t="str">
        <f>_xlfn.XLOOKUP(B1684,ESTOQUE!B:B,ESTOQUE!G:G,"",0)</f>
        <v>UND</v>
      </c>
      <c r="F1684" s="99">
        <v>1</v>
      </c>
      <c r="G1684" s="146"/>
      <c r="H1684" s="146"/>
      <c r="I1684" s="147"/>
      <c r="J1684" s="147"/>
      <c r="K1684" s="63"/>
      <c r="L1684" s="63"/>
      <c r="M1684" s="63"/>
      <c r="N1684" s="63"/>
      <c r="O1684" s="63"/>
      <c r="P1684" s="63"/>
      <c r="Q1684" s="63"/>
      <c r="R1684" s="63"/>
      <c r="S1684" s="63"/>
      <c r="T1684" s="63"/>
      <c r="U1684" s="63"/>
      <c r="V1684" s="63"/>
      <c r="W1684" s="63"/>
      <c r="X1684" s="63"/>
      <c r="Y1684" s="63"/>
      <c r="Z1684" s="63"/>
      <c r="AA1684" s="63"/>
      <c r="AB1684" s="63"/>
      <c r="AC1684" s="63"/>
    </row>
    <row r="1685" spans="1:29" x14ac:dyDescent="0.25">
      <c r="A1685" s="108">
        <v>46038</v>
      </c>
      <c r="B1685" s="109">
        <v>73</v>
      </c>
      <c r="C1685" s="49" t="s">
        <v>19</v>
      </c>
      <c r="D1685" s="110" t="str">
        <f>IF(ISBLANK($B1685),"",IFERROR(VLOOKUP($B1685,ESTOQUE!$B$2:$D$97168,3,FALSE),"Produto não cadastrado"))</f>
        <v>CAPA DE CHUVA GG</v>
      </c>
      <c r="E1685" s="99" t="str">
        <f>_xlfn.XLOOKUP(B1685,ESTOQUE!B:B,ESTOQUE!G:G,"",0)</f>
        <v>UND</v>
      </c>
      <c r="F1685" s="99">
        <v>1</v>
      </c>
      <c r="G1685" s="146"/>
      <c r="H1685" s="146"/>
      <c r="I1685" s="147"/>
      <c r="J1685" s="147"/>
      <c r="K1685" s="63"/>
      <c r="L1685" s="63"/>
      <c r="M1685" s="63"/>
      <c r="N1685" s="63"/>
      <c r="O1685" s="63"/>
      <c r="P1685" s="63"/>
      <c r="Q1685" s="63"/>
      <c r="R1685" s="63"/>
      <c r="S1685" s="63"/>
      <c r="T1685" s="63"/>
      <c r="U1685" s="63"/>
      <c r="V1685" s="63"/>
      <c r="W1685" s="63"/>
      <c r="X1685" s="63"/>
      <c r="Y1685" s="63"/>
      <c r="Z1685" s="63"/>
      <c r="AA1685" s="63"/>
      <c r="AB1685" s="63"/>
      <c r="AC1685" s="63"/>
    </row>
    <row r="1686" spans="1:29" x14ac:dyDescent="0.25">
      <c r="A1686" s="108">
        <v>46038</v>
      </c>
      <c r="B1686" s="109">
        <v>96</v>
      </c>
      <c r="C1686" s="49" t="s">
        <v>19</v>
      </c>
      <c r="D1686" s="110" t="str">
        <f>IF(ISBLANK($B1686),"",IFERROR(VLOOKUP($B1686,ESTOQUE!$B$2:$D$97168,3,FALSE),"Produto não cadastrado"))</f>
        <v xml:space="preserve">CINTO DE SEGURANÇA MODELO:C70 </v>
      </c>
      <c r="E1686" s="99" t="str">
        <f>_xlfn.XLOOKUP(B1686,ESTOQUE!B:B,ESTOQUE!G:G,"",0)</f>
        <v>UND</v>
      </c>
      <c r="F1686" s="99">
        <v>70</v>
      </c>
      <c r="G1686" s="146"/>
      <c r="H1686" s="146"/>
      <c r="I1686" s="147"/>
      <c r="J1686" s="147"/>
      <c r="K1686" s="63"/>
      <c r="L1686" s="63"/>
      <c r="M1686" s="63"/>
      <c r="N1686" s="63"/>
      <c r="O1686" s="63"/>
      <c r="P1686" s="63"/>
      <c r="Q1686" s="63"/>
      <c r="R1686" s="63"/>
      <c r="S1686" s="63"/>
      <c r="T1686" s="63"/>
      <c r="U1686" s="63"/>
      <c r="V1686" s="63"/>
      <c r="W1686" s="63"/>
      <c r="X1686" s="63"/>
      <c r="Y1686" s="63"/>
      <c r="Z1686" s="63"/>
      <c r="AA1686" s="63"/>
      <c r="AB1686" s="63"/>
      <c r="AC1686" s="63"/>
    </row>
    <row r="1687" spans="1:29" x14ac:dyDescent="0.25">
      <c r="A1687" s="108">
        <v>46038</v>
      </c>
      <c r="B1687" s="109">
        <v>104</v>
      </c>
      <c r="C1687" s="49" t="s">
        <v>19</v>
      </c>
      <c r="D1687" s="110" t="str">
        <f>IF(ISBLANK($B1687),"",IFERROR(VLOOKUP($B1687,ESTOQUE!$B$2:$D$97168,3,FALSE),"Produto não cadastrado"))</f>
        <v>JARDINEIRA AMARELA BOTA Nº 42</v>
      </c>
      <c r="E1687" s="99" t="str">
        <f>_xlfn.XLOOKUP(B1687,ESTOQUE!B:B,ESTOQUE!G:G,"",0)</f>
        <v>UND</v>
      </c>
      <c r="F1687" s="99">
        <v>1</v>
      </c>
      <c r="G1687" s="146"/>
      <c r="H1687" s="146"/>
      <c r="I1687" s="147"/>
      <c r="J1687" s="147"/>
      <c r="K1687" s="63"/>
      <c r="L1687" s="63"/>
      <c r="M1687" s="63"/>
      <c r="N1687" s="63"/>
      <c r="O1687" s="63"/>
      <c r="P1687" s="63"/>
      <c r="Q1687" s="63"/>
      <c r="R1687" s="63"/>
      <c r="S1687" s="63"/>
      <c r="T1687" s="63"/>
      <c r="U1687" s="63"/>
      <c r="V1687" s="63"/>
      <c r="W1687" s="63"/>
      <c r="X1687" s="63"/>
      <c r="Y1687" s="63"/>
      <c r="Z1687" s="63"/>
      <c r="AA1687" s="63"/>
      <c r="AB1687" s="63"/>
      <c r="AC1687" s="63"/>
    </row>
    <row r="1688" spans="1:29" x14ac:dyDescent="0.25">
      <c r="A1688" s="108">
        <v>46038</v>
      </c>
      <c r="B1688" s="109">
        <v>261</v>
      </c>
      <c r="C1688" s="49" t="s">
        <v>19</v>
      </c>
      <c r="D1688" s="110" t="str">
        <f>IF(ISBLANK($B1688),"",IFERROR(VLOOKUP($B1688,ESTOQUE!$B$2:$D$97168,3,FALSE),"Produto não cadastrado"))</f>
        <v xml:space="preserve">LUVA DE VAQUETA VERDE </v>
      </c>
      <c r="E1688" s="99" t="str">
        <f>_xlfn.XLOOKUP(B1688,ESTOQUE!B:B,ESTOQUE!G:G,"",0)</f>
        <v>PAR</v>
      </c>
      <c r="F1688" s="99">
        <v>55</v>
      </c>
      <c r="G1688" s="146"/>
      <c r="H1688" s="146"/>
      <c r="I1688" s="147"/>
      <c r="J1688" s="147"/>
      <c r="K1688" s="63"/>
      <c r="L1688" s="63"/>
      <c r="M1688" s="63"/>
      <c r="N1688" s="63"/>
      <c r="O1688" s="63"/>
      <c r="P1688" s="63"/>
      <c r="Q1688" s="63"/>
      <c r="R1688" s="63"/>
      <c r="S1688" s="63"/>
      <c r="T1688" s="63"/>
      <c r="U1688" s="63"/>
      <c r="V1688" s="63"/>
      <c r="W1688" s="63"/>
      <c r="X1688" s="63"/>
      <c r="Y1688" s="63"/>
      <c r="Z1688" s="63"/>
      <c r="AA1688" s="63"/>
      <c r="AB1688" s="63"/>
      <c r="AC1688" s="63"/>
    </row>
    <row r="1689" spans="1:29" x14ac:dyDescent="0.25">
      <c r="A1689" s="108">
        <v>46038</v>
      </c>
      <c r="B1689" s="109">
        <v>117</v>
      </c>
      <c r="C1689" s="49" t="s">
        <v>19</v>
      </c>
      <c r="D1689" s="110" t="str">
        <f>IF(ISBLANK($B1689),"",IFERROR(VLOOKUP($B1689,ESTOQUE!$B$2:$D$97168,3,FALSE),"Produto não cadastrado"))</f>
        <v>LUVA PIGMENTADA</v>
      </c>
      <c r="E1689" s="99" t="str">
        <f>_xlfn.XLOOKUP(B1689,ESTOQUE!B:B,ESTOQUE!G:G,"",0)</f>
        <v>PAR</v>
      </c>
      <c r="F1689" s="99">
        <v>1</v>
      </c>
      <c r="G1689" s="146"/>
      <c r="H1689" s="146"/>
      <c r="I1689" s="147"/>
      <c r="J1689" s="147"/>
      <c r="K1689" s="63"/>
      <c r="L1689" s="63"/>
      <c r="M1689" s="63"/>
      <c r="N1689" s="63"/>
      <c r="O1689" s="63"/>
      <c r="P1689" s="63"/>
      <c r="Q1689" s="63"/>
      <c r="R1689" s="63"/>
      <c r="S1689" s="63"/>
      <c r="T1689" s="63"/>
      <c r="U1689" s="63"/>
      <c r="V1689" s="63"/>
      <c r="W1689" s="63"/>
      <c r="X1689" s="63"/>
      <c r="Y1689" s="63"/>
      <c r="Z1689" s="63"/>
      <c r="AA1689" s="63"/>
      <c r="AB1689" s="63"/>
      <c r="AC1689" s="63"/>
    </row>
    <row r="1690" spans="1:29" x14ac:dyDescent="0.25">
      <c r="A1690" s="108">
        <v>46038</v>
      </c>
      <c r="B1690" s="109">
        <v>207</v>
      </c>
      <c r="C1690" s="49" t="s">
        <v>19</v>
      </c>
      <c r="D1690" s="110" t="str">
        <f>IF(ISBLANK($B1690),"",IFERROR(VLOOKUP($B1690,ESTOQUE!$B$2:$D$97168,3,FALSE),"Produto não cadastrado"))</f>
        <v>LUVA POLIESTER ANTICORTE BANHADA PU TAM 9</v>
      </c>
      <c r="E1690" s="99" t="str">
        <f>_xlfn.XLOOKUP(B1690,ESTOQUE!B:B,ESTOQUE!G:G,"",0)</f>
        <v>PAR</v>
      </c>
      <c r="F1690" s="99">
        <v>2</v>
      </c>
      <c r="G1690" s="146"/>
      <c r="H1690" s="146"/>
      <c r="I1690" s="147"/>
      <c r="J1690" s="147"/>
      <c r="K1690" s="63"/>
      <c r="L1690" s="63"/>
      <c r="M1690" s="63"/>
      <c r="N1690" s="63"/>
      <c r="O1690" s="63"/>
      <c r="P1690" s="63"/>
      <c r="Q1690" s="63"/>
      <c r="R1690" s="63"/>
      <c r="S1690" s="63"/>
      <c r="T1690" s="63"/>
      <c r="U1690" s="63"/>
      <c r="V1690" s="63"/>
      <c r="W1690" s="63"/>
      <c r="X1690" s="63"/>
      <c r="Y1690" s="63"/>
      <c r="Z1690" s="63"/>
      <c r="AA1690" s="63"/>
      <c r="AB1690" s="63"/>
      <c r="AC1690" s="63"/>
    </row>
    <row r="1691" spans="1:29" x14ac:dyDescent="0.25">
      <c r="A1691" s="108">
        <v>46038</v>
      </c>
      <c r="B1691" s="109">
        <v>192</v>
      </c>
      <c r="C1691" s="49" t="s">
        <v>19</v>
      </c>
      <c r="D1691" s="110" t="str">
        <f>IF(ISBLANK($B1691),"",IFERROR(VLOOKUP($B1691,ESTOQUE!$B$2:$D$97168,3,FALSE),"Produto não cadastrado"))</f>
        <v>LUVA QUIMICA ( 2 OU 3)</v>
      </c>
      <c r="E1691" s="99" t="str">
        <f>_xlfn.XLOOKUP(B1691,ESTOQUE!B:B,ESTOQUE!G:G,"",0)</f>
        <v>UND</v>
      </c>
      <c r="F1691" s="99">
        <v>1</v>
      </c>
      <c r="G1691" s="146"/>
      <c r="H1691" s="146"/>
      <c r="I1691" s="147"/>
      <c r="J1691" s="147"/>
      <c r="K1691" s="63"/>
      <c r="L1691" s="63"/>
      <c r="M1691" s="63"/>
      <c r="N1691" s="63"/>
      <c r="O1691" s="63"/>
      <c r="P1691" s="63"/>
      <c r="Q1691" s="63"/>
      <c r="R1691" s="63"/>
      <c r="S1691" s="63"/>
      <c r="T1691" s="63"/>
      <c r="U1691" s="63"/>
      <c r="V1691" s="63"/>
      <c r="W1691" s="63"/>
      <c r="X1691" s="63"/>
      <c r="Y1691" s="63"/>
      <c r="Z1691" s="63"/>
      <c r="AA1691" s="63"/>
      <c r="AB1691" s="63"/>
      <c r="AC1691" s="63"/>
    </row>
    <row r="1692" spans="1:29" x14ac:dyDescent="0.25">
      <c r="A1692" s="108">
        <v>46038</v>
      </c>
      <c r="B1692" s="109">
        <v>118</v>
      </c>
      <c r="C1692" s="49" t="s">
        <v>19</v>
      </c>
      <c r="D1692" s="110" t="str">
        <f>IF(ISBLANK($B1692),"",IFERROR(VLOOKUP($B1692,ESTOQUE!$B$2:$D$97168,3,FALSE),"Produto não cadastrado"))</f>
        <v>MACACÃO DE PROTEÇÃO TYVEK</v>
      </c>
      <c r="E1692" s="99" t="str">
        <f>_xlfn.XLOOKUP(B1692,ESTOQUE!B:B,ESTOQUE!G:G,"",0)</f>
        <v>UND</v>
      </c>
      <c r="F1692" s="99">
        <v>25</v>
      </c>
      <c r="G1692" s="146"/>
      <c r="H1692" s="146"/>
      <c r="I1692" s="147"/>
      <c r="J1692" s="147"/>
      <c r="K1692" s="63"/>
      <c r="L1692" s="63"/>
      <c r="M1692" s="63"/>
      <c r="N1692" s="63"/>
      <c r="O1692" s="63"/>
      <c r="P1692" s="63"/>
      <c r="Q1692" s="63"/>
      <c r="R1692" s="63"/>
      <c r="S1692" s="63"/>
      <c r="T1692" s="63"/>
      <c r="U1692" s="63"/>
      <c r="V1692" s="63"/>
      <c r="W1692" s="63"/>
      <c r="X1692" s="63"/>
      <c r="Y1692" s="63"/>
      <c r="Z1692" s="63"/>
      <c r="AA1692" s="63"/>
      <c r="AB1692" s="63"/>
      <c r="AC1692" s="63"/>
    </row>
    <row r="1693" spans="1:29" x14ac:dyDescent="0.25">
      <c r="A1693" s="108">
        <v>46038</v>
      </c>
      <c r="B1693" s="109">
        <v>144</v>
      </c>
      <c r="C1693" s="49" t="s">
        <v>19</v>
      </c>
      <c r="D1693" s="110" t="str">
        <f>IF(ISBLANK($B1693),"",IFERROR(VLOOKUP($B1693,ESTOQUE!$B$2:$D$97168,3,FALSE),"Produto não cadastrado"))</f>
        <v>MASCARA PFF2-S C/ FILTRO</v>
      </c>
      <c r="E1693" s="99" t="str">
        <f>_xlfn.XLOOKUP(B1693,ESTOQUE!B:B,ESTOQUE!G:G,"",0)</f>
        <v>UND</v>
      </c>
      <c r="F1693" s="99">
        <v>26</v>
      </c>
      <c r="G1693" s="146"/>
      <c r="H1693" s="146"/>
      <c r="I1693" s="147"/>
      <c r="J1693" s="147"/>
      <c r="K1693" s="63"/>
      <c r="L1693" s="63"/>
      <c r="M1693" s="63"/>
      <c r="N1693" s="63"/>
      <c r="O1693" s="63"/>
      <c r="P1693" s="63"/>
      <c r="Q1693" s="63"/>
      <c r="R1693" s="63"/>
      <c r="S1693" s="63"/>
      <c r="T1693" s="63"/>
      <c r="U1693" s="63"/>
      <c r="V1693" s="63"/>
      <c r="W1693" s="63"/>
      <c r="X1693" s="63"/>
      <c r="Y1693" s="63"/>
      <c r="Z1693" s="63"/>
      <c r="AA1693" s="63"/>
      <c r="AB1693" s="63"/>
      <c r="AC1693" s="63"/>
    </row>
    <row r="1694" spans="1:29" x14ac:dyDescent="0.25">
      <c r="A1694" s="108">
        <v>46038</v>
      </c>
      <c r="B1694" s="109">
        <v>124</v>
      </c>
      <c r="C1694" s="49" t="s">
        <v>19</v>
      </c>
      <c r="D1694" s="110" t="str">
        <f>IF(ISBLANK($B1694),"",IFERROR(VLOOKUP($B1694,ESTOQUE!$B$2:$D$97168,3,FALSE),"Produto não cadastrado"))</f>
        <v xml:space="preserve">OCULOS DE PROTEÇÃO INCOLOR </v>
      </c>
      <c r="E1694" s="99" t="str">
        <f>_xlfn.XLOOKUP(B1694,ESTOQUE!B:B,ESTOQUE!G:G,"",0)</f>
        <v>UND</v>
      </c>
      <c r="F1694" s="99">
        <v>67</v>
      </c>
      <c r="G1694" s="146"/>
      <c r="H1694" s="146"/>
      <c r="I1694" s="147"/>
      <c r="J1694" s="147"/>
      <c r="K1694" s="63"/>
      <c r="L1694" s="63"/>
      <c r="M1694" s="63"/>
      <c r="N1694" s="63"/>
      <c r="O1694" s="63"/>
      <c r="P1694" s="63"/>
      <c r="Q1694" s="63"/>
      <c r="R1694" s="63"/>
      <c r="S1694" s="63"/>
      <c r="T1694" s="63"/>
      <c r="U1694" s="63"/>
      <c r="V1694" s="63"/>
      <c r="W1694" s="63"/>
      <c r="X1694" s="63"/>
      <c r="Y1694" s="63"/>
      <c r="Z1694" s="63"/>
      <c r="AA1694" s="63"/>
      <c r="AB1694" s="63"/>
      <c r="AC1694" s="63"/>
    </row>
    <row r="1695" spans="1:29" x14ac:dyDescent="0.25">
      <c r="A1695" s="108">
        <v>46038</v>
      </c>
      <c r="B1695" s="109">
        <v>224</v>
      </c>
      <c r="C1695" s="49" t="s">
        <v>19</v>
      </c>
      <c r="D1695" s="110" t="str">
        <f>IF(ISBLANK($B1695),"",IFERROR(VLOOKUP($B1695,ESTOQUE!$B$2:$D$97168,3,FALSE),"Produto não cadastrado"))</f>
        <v>OCULOS OPERACIONAL SOBRE POR ESCURO</v>
      </c>
      <c r="E1695" s="99" t="str">
        <f>_xlfn.XLOOKUP(B1695,ESTOQUE!B:B,ESTOQUE!G:G,"",0)</f>
        <v>UND</v>
      </c>
      <c r="F1695" s="99">
        <v>1</v>
      </c>
      <c r="G1695" s="146"/>
      <c r="H1695" s="146"/>
      <c r="I1695" s="147"/>
      <c r="J1695" s="147"/>
      <c r="K1695" s="63"/>
      <c r="L1695" s="63"/>
      <c r="M1695" s="63"/>
      <c r="N1695" s="63"/>
      <c r="O1695" s="63"/>
      <c r="P1695" s="63"/>
      <c r="Q1695" s="63"/>
      <c r="R1695" s="63"/>
      <c r="S1695" s="63"/>
      <c r="T1695" s="63"/>
      <c r="U1695" s="63"/>
      <c r="V1695" s="63"/>
      <c r="W1695" s="63"/>
      <c r="X1695" s="63"/>
      <c r="Y1695" s="63"/>
      <c r="Z1695" s="63"/>
      <c r="AA1695" s="63"/>
      <c r="AB1695" s="63"/>
      <c r="AC1695" s="63"/>
    </row>
    <row r="1696" spans="1:29" x14ac:dyDescent="0.25">
      <c r="A1696" s="108">
        <v>46038</v>
      </c>
      <c r="B1696" s="109">
        <v>139</v>
      </c>
      <c r="C1696" s="49" t="s">
        <v>19</v>
      </c>
      <c r="D1696" s="110" t="str">
        <f>IF(ISBLANK($B1696),"",IFERROR(VLOOKUP($B1696,ESTOQUE!$B$2:$D$97168,3,FALSE),"Produto não cadastrado"))</f>
        <v>PROTETOR AURICULAR TIPO PLUG</v>
      </c>
      <c r="E1696" s="99" t="str">
        <f>_xlfn.XLOOKUP(B1696,ESTOQUE!B:B,ESTOQUE!G:G,"",0)</f>
        <v>UND</v>
      </c>
      <c r="F1696" s="99">
        <v>2</v>
      </c>
      <c r="G1696" s="146"/>
      <c r="H1696" s="146"/>
      <c r="I1696" s="147"/>
      <c r="J1696" s="147"/>
      <c r="K1696" s="63"/>
      <c r="L1696" s="63"/>
      <c r="M1696" s="63"/>
      <c r="N1696" s="63"/>
      <c r="O1696" s="63"/>
      <c r="P1696" s="63"/>
      <c r="Q1696" s="63"/>
      <c r="R1696" s="63"/>
      <c r="S1696" s="63"/>
      <c r="T1696" s="63"/>
      <c r="U1696" s="63"/>
      <c r="V1696" s="63"/>
      <c r="W1696" s="63"/>
      <c r="X1696" s="63"/>
      <c r="Y1696" s="63"/>
      <c r="Z1696" s="63"/>
      <c r="AA1696" s="63"/>
      <c r="AB1696" s="63"/>
      <c r="AC1696" s="63"/>
    </row>
    <row r="1697" spans="1:29" x14ac:dyDescent="0.25">
      <c r="A1697" s="108">
        <v>46038</v>
      </c>
      <c r="B1697" s="109">
        <v>135</v>
      </c>
      <c r="C1697" s="49" t="s">
        <v>19</v>
      </c>
      <c r="D1697" s="110" t="str">
        <f>IF(ISBLANK($B1697),"",IFERROR(VLOOKUP($B1697,ESTOQUE!$B$2:$D$97168,3,FALSE),"Produto não cadastrado"))</f>
        <v>TALABARTE DUPLO TIPO Y</v>
      </c>
      <c r="E1697" s="99" t="str">
        <f>_xlfn.XLOOKUP(B1697,ESTOQUE!B:B,ESTOQUE!G:G,"",0)</f>
        <v>UND</v>
      </c>
      <c r="F1697" s="99">
        <v>3</v>
      </c>
      <c r="G1697" s="146"/>
      <c r="H1697" s="146"/>
      <c r="I1697" s="147"/>
      <c r="J1697" s="147"/>
      <c r="K1697" s="63"/>
      <c r="L1697" s="63"/>
      <c r="M1697" s="63"/>
      <c r="N1697" s="63"/>
      <c r="O1697" s="63"/>
      <c r="P1697" s="63"/>
      <c r="Q1697" s="63"/>
      <c r="R1697" s="63"/>
      <c r="S1697" s="63"/>
      <c r="T1697" s="63"/>
      <c r="U1697" s="63"/>
      <c r="V1697" s="63"/>
      <c r="W1697" s="63"/>
      <c r="X1697" s="63"/>
      <c r="Y1697" s="63"/>
      <c r="Z1697" s="63"/>
      <c r="AA1697" s="63"/>
      <c r="AB1697" s="63"/>
      <c r="AC1697" s="63"/>
    </row>
    <row r="1698" spans="1:29" x14ac:dyDescent="0.25">
      <c r="A1698" s="108">
        <v>46038</v>
      </c>
      <c r="B1698" s="109">
        <v>137</v>
      </c>
      <c r="C1698" s="49" t="s">
        <v>19</v>
      </c>
      <c r="D1698" s="110" t="str">
        <f>IF(ISBLANK($B1698),"",IFERROR(VLOOKUP($B1698,ESTOQUE!$B$2:$D$97168,3,FALSE),"Produto não cadastrado"))</f>
        <v xml:space="preserve">TOUCA ARABE </v>
      </c>
      <c r="E1698" s="99" t="str">
        <f>_xlfn.XLOOKUP(B1698,ESTOQUE!B:B,ESTOQUE!G:G,"",0)</f>
        <v>UND</v>
      </c>
      <c r="F1698" s="99">
        <v>7</v>
      </c>
      <c r="G1698" s="146"/>
      <c r="H1698" s="146"/>
      <c r="I1698" s="147"/>
      <c r="J1698" s="147"/>
      <c r="K1698" s="63"/>
      <c r="L1698" s="63"/>
      <c r="M1698" s="63"/>
      <c r="N1698" s="63"/>
      <c r="O1698" s="63"/>
      <c r="P1698" s="63"/>
      <c r="Q1698" s="63"/>
      <c r="R1698" s="63"/>
      <c r="S1698" s="63"/>
      <c r="T1698" s="63"/>
      <c r="U1698" s="63"/>
      <c r="V1698" s="63"/>
      <c r="W1698" s="63"/>
      <c r="X1698" s="63"/>
      <c r="Y1698" s="63"/>
      <c r="Z1698" s="63"/>
      <c r="AA1698" s="63"/>
      <c r="AB1698" s="63"/>
      <c r="AC1698" s="63"/>
    </row>
    <row r="1699" spans="1:29" x14ac:dyDescent="0.25">
      <c r="A1699" s="108">
        <v>46039</v>
      </c>
      <c r="B1699" s="109">
        <v>31</v>
      </c>
      <c r="C1699" s="49" t="s">
        <v>19</v>
      </c>
      <c r="D1699" s="110" t="str">
        <f>IF(ISBLANK($B1699),"",IFERROR(VLOOKUP($B1699,ESTOQUE!$B$2:$D$97168,3,FALSE),"Produto não cadastrado"))</f>
        <v>BOTINA DE ELETRICISTA Nº 41</v>
      </c>
      <c r="E1699" s="99" t="str">
        <f>_xlfn.XLOOKUP(B1699,ESTOQUE!B:B,ESTOQUE!G:G,"",0)</f>
        <v>PAR</v>
      </c>
      <c r="F1699" s="99">
        <v>1</v>
      </c>
      <c r="G1699" s="146"/>
      <c r="H1699" s="146"/>
      <c r="I1699" s="147"/>
      <c r="J1699" s="147"/>
      <c r="K1699" s="63"/>
      <c r="L1699" s="63"/>
      <c r="M1699" s="63"/>
      <c r="N1699" s="63"/>
      <c r="O1699" s="63"/>
      <c r="P1699" s="63"/>
      <c r="Q1699" s="63"/>
      <c r="R1699" s="63"/>
      <c r="S1699" s="63"/>
      <c r="T1699" s="63"/>
      <c r="U1699" s="63"/>
      <c r="V1699" s="63"/>
      <c r="W1699" s="63"/>
      <c r="X1699" s="63"/>
      <c r="Y1699" s="63"/>
      <c r="Z1699" s="63"/>
      <c r="AA1699" s="63"/>
      <c r="AB1699" s="63"/>
      <c r="AC1699" s="63"/>
    </row>
    <row r="1700" spans="1:29" x14ac:dyDescent="0.25">
      <c r="A1700" s="108">
        <v>46039</v>
      </c>
      <c r="B1700" s="109">
        <v>162</v>
      </c>
      <c r="C1700" s="49" t="s">
        <v>19</v>
      </c>
      <c r="D1700" s="110" t="str">
        <f>IF(ISBLANK($B1700),"",IFERROR(VLOOKUP($B1700,ESTOQUE!$B$2:$D$97168,3,FALSE),"Produto não cadastrado"))</f>
        <v>BOTINA DE ELETRICISTA Nº 42</v>
      </c>
      <c r="E1700" s="99" t="str">
        <f>_xlfn.XLOOKUP(B1700,ESTOQUE!B:B,ESTOQUE!G:G,"",0)</f>
        <v>PAR</v>
      </c>
      <c r="F1700" s="99">
        <v>2</v>
      </c>
      <c r="G1700" s="146"/>
      <c r="H1700" s="146"/>
      <c r="I1700" s="147"/>
      <c r="J1700" s="147"/>
      <c r="K1700" s="63"/>
      <c r="L1700" s="63"/>
      <c r="M1700" s="63"/>
      <c r="N1700" s="63"/>
      <c r="O1700" s="63"/>
      <c r="P1700" s="63"/>
      <c r="Q1700" s="63"/>
      <c r="R1700" s="63"/>
      <c r="S1700" s="63"/>
      <c r="T1700" s="63"/>
      <c r="U1700" s="63"/>
      <c r="V1700" s="63"/>
      <c r="W1700" s="63"/>
      <c r="X1700" s="63"/>
      <c r="Y1700" s="63"/>
      <c r="Z1700" s="63"/>
      <c r="AA1700" s="63"/>
      <c r="AB1700" s="63"/>
      <c r="AC1700" s="63"/>
    </row>
    <row r="1701" spans="1:29" x14ac:dyDescent="0.25">
      <c r="A1701" s="108">
        <v>46039</v>
      </c>
      <c r="B1701" s="109">
        <v>36</v>
      </c>
      <c r="C1701" s="49" t="s">
        <v>19</v>
      </c>
      <c r="D1701" s="110" t="str">
        <f>IF(ISBLANK($B1701),"",IFERROR(VLOOKUP($B1701,ESTOQUE!$B$2:$D$97168,3,FALSE),"Produto não cadastrado"))</f>
        <v>BOTINA OP. BICO PVC Nº 38</v>
      </c>
      <c r="E1701" s="99" t="str">
        <f>_xlfn.XLOOKUP(B1701,ESTOQUE!B:B,ESTOQUE!G:G,"",0)</f>
        <v>PAR</v>
      </c>
      <c r="F1701" s="99">
        <v>1</v>
      </c>
      <c r="G1701" s="146"/>
      <c r="H1701" s="146"/>
      <c r="I1701" s="147"/>
      <c r="J1701" s="147"/>
      <c r="K1701" s="63"/>
      <c r="L1701" s="63"/>
      <c r="M1701" s="63"/>
      <c r="N1701" s="63"/>
      <c r="O1701" s="63"/>
      <c r="P1701" s="63"/>
      <c r="Q1701" s="63"/>
      <c r="R1701" s="63"/>
      <c r="S1701" s="63"/>
      <c r="T1701" s="63"/>
      <c r="U1701" s="63"/>
      <c r="V1701" s="63"/>
      <c r="W1701" s="63"/>
      <c r="X1701" s="63"/>
      <c r="Y1701" s="63"/>
      <c r="Z1701" s="63"/>
      <c r="AA1701" s="63"/>
      <c r="AB1701" s="63"/>
      <c r="AC1701" s="63"/>
    </row>
    <row r="1702" spans="1:29" x14ac:dyDescent="0.25">
      <c r="A1702" s="108">
        <v>46039</v>
      </c>
      <c r="B1702" s="109">
        <v>46</v>
      </c>
      <c r="C1702" s="49" t="s">
        <v>19</v>
      </c>
      <c r="D1702" s="110" t="str">
        <f>IF(ISBLANK($B1702),"",IFERROR(VLOOKUP($B1702,ESTOQUE!$B$2:$D$97168,3,FALSE),"Produto não cadastrado"))</f>
        <v>CALÇA CINZA OP. C/ FAIXA REFLETIVA TAM: G</v>
      </c>
      <c r="E1702" s="99" t="str">
        <f>_xlfn.XLOOKUP(B1702,ESTOQUE!B:B,ESTOQUE!G:G,"",0)</f>
        <v>UND</v>
      </c>
      <c r="F1702" s="99">
        <v>7</v>
      </c>
      <c r="G1702" s="146"/>
      <c r="H1702" s="146"/>
      <c r="I1702" s="147"/>
      <c r="J1702" s="147"/>
      <c r="K1702" s="63"/>
      <c r="L1702" s="63"/>
      <c r="M1702" s="63"/>
      <c r="N1702" s="63"/>
      <c r="O1702" s="63"/>
      <c r="P1702" s="63"/>
      <c r="Q1702" s="63"/>
      <c r="R1702" s="63"/>
      <c r="S1702" s="63"/>
      <c r="T1702" s="63"/>
      <c r="U1702" s="63"/>
      <c r="V1702" s="63"/>
      <c r="W1702" s="63"/>
      <c r="X1702" s="63"/>
      <c r="Y1702" s="63"/>
      <c r="Z1702" s="63"/>
      <c r="AA1702" s="63"/>
      <c r="AB1702" s="63"/>
      <c r="AC1702" s="63"/>
    </row>
    <row r="1703" spans="1:29" x14ac:dyDescent="0.25">
      <c r="A1703" s="108">
        <v>46039</v>
      </c>
      <c r="B1703" s="109">
        <v>47</v>
      </c>
      <c r="C1703" s="49" t="s">
        <v>19</v>
      </c>
      <c r="D1703" s="110" t="str">
        <f>IF(ISBLANK($B1703),"",IFERROR(VLOOKUP($B1703,ESTOQUE!$B$2:$D$97168,3,FALSE),"Produto não cadastrado"))</f>
        <v>CALÇA CINZA OP. C/ FAIXA REFLETIVA TAM: GG</v>
      </c>
      <c r="E1703" s="99" t="str">
        <f>_xlfn.XLOOKUP(B1703,ESTOQUE!B:B,ESTOQUE!G:G,"",0)</f>
        <v>UND</v>
      </c>
      <c r="F1703" s="99">
        <v>2</v>
      </c>
      <c r="G1703" s="146"/>
      <c r="H1703" s="146"/>
      <c r="I1703" s="147"/>
      <c r="J1703" s="147"/>
      <c r="K1703" s="63"/>
      <c r="L1703" s="63"/>
      <c r="M1703" s="63"/>
      <c r="N1703" s="63"/>
      <c r="O1703" s="63"/>
      <c r="P1703" s="63"/>
      <c r="Q1703" s="63"/>
      <c r="R1703" s="63"/>
      <c r="S1703" s="63"/>
      <c r="T1703" s="63"/>
      <c r="U1703" s="63"/>
      <c r="V1703" s="63"/>
      <c r="W1703" s="63"/>
      <c r="X1703" s="63"/>
      <c r="Y1703" s="63"/>
      <c r="Z1703" s="63"/>
      <c r="AA1703" s="63"/>
      <c r="AB1703" s="63"/>
      <c r="AC1703" s="63"/>
    </row>
    <row r="1704" spans="1:29" x14ac:dyDescent="0.25">
      <c r="A1704" s="108">
        <v>46039</v>
      </c>
      <c r="B1704" s="109">
        <v>48</v>
      </c>
      <c r="C1704" s="49" t="s">
        <v>19</v>
      </c>
      <c r="D1704" s="110" t="str">
        <f>IF(ISBLANK($B1704),"",IFERROR(VLOOKUP($B1704,ESTOQUE!$B$2:$D$97168,3,FALSE),"Produto não cadastrado"))</f>
        <v>CALÇA CINZA OP. C/ FAIXA REFLETIVA TAM: M</v>
      </c>
      <c r="E1704" s="99" t="str">
        <f>_xlfn.XLOOKUP(B1704,ESTOQUE!B:B,ESTOQUE!G:G,"",0)</f>
        <v>UND</v>
      </c>
      <c r="F1704" s="99">
        <v>3</v>
      </c>
      <c r="G1704" s="146"/>
      <c r="H1704" s="146"/>
      <c r="I1704" s="147"/>
      <c r="J1704" s="147"/>
      <c r="K1704" s="63"/>
      <c r="L1704" s="63"/>
      <c r="M1704" s="63"/>
      <c r="N1704" s="63"/>
      <c r="O1704" s="63"/>
      <c r="P1704" s="63"/>
      <c r="Q1704" s="63"/>
      <c r="R1704" s="63"/>
      <c r="S1704" s="63"/>
      <c r="T1704" s="63"/>
      <c r="U1704" s="63"/>
      <c r="V1704" s="63"/>
      <c r="W1704" s="63"/>
      <c r="X1704" s="63"/>
      <c r="Y1704" s="63"/>
      <c r="Z1704" s="63"/>
      <c r="AA1704" s="63"/>
      <c r="AB1704" s="63"/>
      <c r="AC1704" s="63"/>
    </row>
    <row r="1705" spans="1:29" x14ac:dyDescent="0.25">
      <c r="A1705" s="108">
        <v>46039</v>
      </c>
      <c r="B1705" s="109">
        <v>49</v>
      </c>
      <c r="C1705" s="49" t="s">
        <v>19</v>
      </c>
      <c r="D1705" s="110" t="str">
        <f>IF(ISBLANK($B1705),"",IFERROR(VLOOKUP($B1705,ESTOQUE!$B$2:$D$97168,3,FALSE),"Produto não cadastrado"))</f>
        <v>CALÇA CINZA OP. C/ FAIXA REFLETIVA TAM: P</v>
      </c>
      <c r="E1705" s="99" t="str">
        <f>_xlfn.XLOOKUP(B1705,ESTOQUE!B:B,ESTOQUE!G:G,"",0)</f>
        <v>UND</v>
      </c>
      <c r="F1705" s="99">
        <v>2</v>
      </c>
      <c r="G1705" s="146"/>
      <c r="H1705" s="146"/>
      <c r="I1705" s="147"/>
      <c r="J1705" s="147"/>
      <c r="K1705" s="63"/>
      <c r="L1705" s="63"/>
      <c r="M1705" s="63"/>
      <c r="N1705" s="63"/>
      <c r="O1705" s="63"/>
      <c r="P1705" s="63"/>
      <c r="Q1705" s="63"/>
      <c r="R1705" s="63"/>
      <c r="S1705" s="63"/>
      <c r="T1705" s="63"/>
      <c r="U1705" s="63"/>
      <c r="V1705" s="63"/>
      <c r="W1705" s="63"/>
      <c r="X1705" s="63"/>
      <c r="Y1705" s="63"/>
      <c r="Z1705" s="63"/>
      <c r="AA1705" s="63"/>
      <c r="AB1705" s="63"/>
      <c r="AC1705" s="63"/>
    </row>
    <row r="1706" spans="1:29" x14ac:dyDescent="0.25">
      <c r="A1706" s="108">
        <v>46039</v>
      </c>
      <c r="B1706" s="109">
        <v>67</v>
      </c>
      <c r="C1706" s="49" t="s">
        <v>19</v>
      </c>
      <c r="D1706" s="110" t="str">
        <f>IF(ISBLANK($B1706),"",IFERROR(VLOOKUP($B1706,ESTOQUE!$B$2:$D$97168,3,FALSE),"Produto não cadastrado"))</f>
        <v>CAMISA LARANJA OP. C/ FAIXA REFLETIVA TAM: G</v>
      </c>
      <c r="E1706" s="99" t="str">
        <f>_xlfn.XLOOKUP(B1706,ESTOQUE!B:B,ESTOQUE!G:G,"",0)</f>
        <v>UND</v>
      </c>
      <c r="F1706" s="99">
        <v>3</v>
      </c>
      <c r="G1706" s="146"/>
      <c r="H1706" s="146"/>
      <c r="I1706" s="147"/>
      <c r="J1706" s="147"/>
      <c r="K1706" s="63"/>
      <c r="L1706" s="63"/>
      <c r="M1706" s="63"/>
      <c r="N1706" s="63"/>
      <c r="O1706" s="63"/>
      <c r="P1706" s="63"/>
      <c r="Q1706" s="63"/>
      <c r="R1706" s="63"/>
      <c r="S1706" s="63"/>
      <c r="T1706" s="63"/>
      <c r="U1706" s="63"/>
      <c r="V1706" s="63"/>
      <c r="W1706" s="63"/>
      <c r="X1706" s="63"/>
      <c r="Y1706" s="63"/>
      <c r="Z1706" s="63"/>
      <c r="AA1706" s="63"/>
      <c r="AB1706" s="63"/>
      <c r="AC1706" s="63"/>
    </row>
    <row r="1707" spans="1:29" x14ac:dyDescent="0.25">
      <c r="A1707" s="108">
        <v>46039</v>
      </c>
      <c r="B1707" s="109">
        <v>68</v>
      </c>
      <c r="C1707" s="49" t="s">
        <v>19</v>
      </c>
      <c r="D1707" s="110" t="str">
        <f>IF(ISBLANK($B1707),"",IFERROR(VLOOKUP($B1707,ESTOQUE!$B$2:$D$97168,3,FALSE),"Produto não cadastrado"))</f>
        <v>CAMISA LARANJA OP. C/ FAIXA REFLETIVA TAM: GG</v>
      </c>
      <c r="E1707" s="99" t="str">
        <f>_xlfn.XLOOKUP(B1707,ESTOQUE!B:B,ESTOQUE!G:G,"",0)</f>
        <v>UND</v>
      </c>
      <c r="F1707" s="99">
        <v>2</v>
      </c>
      <c r="G1707" s="146"/>
      <c r="H1707" s="146"/>
      <c r="I1707" s="147"/>
      <c r="J1707" s="147"/>
      <c r="K1707" s="63"/>
      <c r="L1707" s="63"/>
      <c r="M1707" s="63"/>
      <c r="N1707" s="63"/>
      <c r="O1707" s="63"/>
      <c r="P1707" s="63"/>
      <c r="Q1707" s="63"/>
      <c r="R1707" s="63"/>
      <c r="S1707" s="63"/>
      <c r="T1707" s="63"/>
      <c r="U1707" s="63"/>
      <c r="V1707" s="63"/>
      <c r="W1707" s="63"/>
      <c r="X1707" s="63"/>
      <c r="Y1707" s="63"/>
      <c r="Z1707" s="63"/>
      <c r="AA1707" s="63"/>
      <c r="AB1707" s="63"/>
      <c r="AC1707" s="63"/>
    </row>
    <row r="1708" spans="1:29" x14ac:dyDescent="0.25">
      <c r="A1708" s="108">
        <v>46039</v>
      </c>
      <c r="B1708" s="109">
        <v>69</v>
      </c>
      <c r="C1708" s="49" t="s">
        <v>19</v>
      </c>
      <c r="D1708" s="110" t="str">
        <f>IF(ISBLANK($B1708),"",IFERROR(VLOOKUP($B1708,ESTOQUE!$B$2:$D$97168,3,FALSE),"Produto não cadastrado"))</f>
        <v>CAMISA LARANJA OP. C/ FAIXA REFLETIVA TAM: M</v>
      </c>
      <c r="E1708" s="99" t="str">
        <f>_xlfn.XLOOKUP(B1708,ESTOQUE!B:B,ESTOQUE!G:G,"",0)</f>
        <v>UND</v>
      </c>
      <c r="F1708" s="99">
        <v>7</v>
      </c>
      <c r="G1708" s="146"/>
      <c r="H1708" s="146"/>
      <c r="I1708" s="147"/>
      <c r="J1708" s="147"/>
      <c r="K1708" s="63"/>
      <c r="L1708" s="63"/>
      <c r="M1708" s="63"/>
      <c r="N1708" s="63"/>
      <c r="O1708" s="63"/>
      <c r="P1708" s="63"/>
      <c r="Q1708" s="63"/>
      <c r="R1708" s="63"/>
      <c r="S1708" s="63"/>
      <c r="T1708" s="63"/>
      <c r="U1708" s="63"/>
      <c r="V1708" s="63"/>
      <c r="W1708" s="63"/>
      <c r="X1708" s="63"/>
      <c r="Y1708" s="63"/>
      <c r="Z1708" s="63"/>
      <c r="AA1708" s="63"/>
      <c r="AB1708" s="63"/>
      <c r="AC1708" s="63"/>
    </row>
    <row r="1709" spans="1:29" x14ac:dyDescent="0.25">
      <c r="A1709" s="108">
        <v>46039</v>
      </c>
      <c r="B1709" s="109">
        <v>189</v>
      </c>
      <c r="C1709" s="49" t="s">
        <v>19</v>
      </c>
      <c r="D1709" s="110" t="str">
        <f>IF(ISBLANK($B1709),"",IFERROR(VLOOKUP($B1709,ESTOQUE!$B$2:$D$97168,3,FALSE),"Produto não cadastrado"))</f>
        <v xml:space="preserve">LUVA DE VAQUETA MISTA </v>
      </c>
      <c r="E1709" s="99" t="str">
        <f>_xlfn.XLOOKUP(B1709,ESTOQUE!B:B,ESTOQUE!G:G,"",0)</f>
        <v>UND</v>
      </c>
      <c r="F1709" s="99">
        <v>1</v>
      </c>
      <c r="G1709" s="146"/>
      <c r="H1709" s="146"/>
      <c r="I1709" s="147"/>
      <c r="J1709" s="147"/>
      <c r="K1709" s="63"/>
      <c r="L1709" s="63"/>
      <c r="M1709" s="63"/>
      <c r="N1709" s="63"/>
      <c r="O1709" s="63"/>
      <c r="P1709" s="63"/>
      <c r="Q1709" s="63"/>
      <c r="R1709" s="63"/>
      <c r="S1709" s="63"/>
      <c r="T1709" s="63"/>
      <c r="U1709" s="63"/>
      <c r="V1709" s="63"/>
      <c r="W1709" s="63"/>
      <c r="X1709" s="63"/>
      <c r="Y1709" s="63"/>
      <c r="Z1709" s="63"/>
      <c r="AA1709" s="63"/>
      <c r="AB1709" s="63"/>
      <c r="AC1709" s="63"/>
    </row>
    <row r="1710" spans="1:29" x14ac:dyDescent="0.25">
      <c r="A1710" s="108">
        <v>46039</v>
      </c>
      <c r="B1710" s="109">
        <v>111</v>
      </c>
      <c r="C1710" s="49" t="s">
        <v>19</v>
      </c>
      <c r="D1710" s="110" t="str">
        <f>IF(ISBLANK($B1710),"",IFERROR(VLOOKUP($B1710,ESTOQUE!$B$2:$D$97168,3,FALSE),"Produto não cadastrado"))</f>
        <v>LUVA DE VAQUETA MARROM</v>
      </c>
      <c r="E1710" s="99" t="str">
        <f>_xlfn.XLOOKUP(B1710,ESTOQUE!B:B,ESTOQUE!G:G,"",0)</f>
        <v>PAR</v>
      </c>
      <c r="F1710" s="99">
        <v>2</v>
      </c>
      <c r="G1710" s="146"/>
      <c r="H1710" s="146"/>
      <c r="I1710" s="147"/>
      <c r="J1710" s="147"/>
      <c r="K1710" s="63"/>
      <c r="L1710" s="63"/>
      <c r="M1710" s="63"/>
      <c r="N1710" s="63"/>
      <c r="O1710" s="63"/>
      <c r="P1710" s="63"/>
      <c r="Q1710" s="63"/>
      <c r="R1710" s="63"/>
      <c r="S1710" s="63"/>
      <c r="T1710" s="63"/>
      <c r="U1710" s="63"/>
      <c r="V1710" s="63"/>
      <c r="W1710" s="63"/>
      <c r="X1710" s="63"/>
      <c r="Y1710" s="63"/>
      <c r="Z1710" s="63"/>
      <c r="AA1710" s="63"/>
      <c r="AB1710" s="63"/>
      <c r="AC1710" s="63"/>
    </row>
    <row r="1711" spans="1:29" x14ac:dyDescent="0.25">
      <c r="A1711" s="108">
        <v>46039</v>
      </c>
      <c r="B1711" s="109">
        <v>117</v>
      </c>
      <c r="C1711" s="49" t="s">
        <v>19</v>
      </c>
      <c r="D1711" s="110" t="str">
        <f>IF(ISBLANK($B1711),"",IFERROR(VLOOKUP($B1711,ESTOQUE!$B$2:$D$97168,3,FALSE),"Produto não cadastrado"))</f>
        <v>LUVA PIGMENTADA</v>
      </c>
      <c r="E1711" s="99" t="str">
        <f>_xlfn.XLOOKUP(B1711,ESTOQUE!B:B,ESTOQUE!G:G,"",0)</f>
        <v>PAR</v>
      </c>
      <c r="F1711" s="99">
        <v>6</v>
      </c>
      <c r="G1711" s="146"/>
      <c r="H1711" s="146"/>
      <c r="I1711" s="147"/>
      <c r="J1711" s="147"/>
      <c r="K1711" s="63"/>
      <c r="L1711" s="63"/>
      <c r="M1711" s="63"/>
      <c r="N1711" s="63"/>
      <c r="O1711" s="63"/>
      <c r="P1711" s="63"/>
      <c r="Q1711" s="63"/>
      <c r="R1711" s="63"/>
      <c r="S1711" s="63"/>
      <c r="T1711" s="63"/>
      <c r="U1711" s="63"/>
      <c r="V1711" s="63"/>
      <c r="W1711" s="63"/>
      <c r="X1711" s="63"/>
      <c r="Y1711" s="63"/>
      <c r="Z1711" s="63"/>
      <c r="AA1711" s="63"/>
      <c r="AB1711" s="63"/>
      <c r="AC1711" s="63"/>
    </row>
    <row r="1712" spans="1:29" x14ac:dyDescent="0.25">
      <c r="A1712" s="108">
        <v>46039</v>
      </c>
      <c r="B1712" s="109">
        <v>118</v>
      </c>
      <c r="C1712" s="49" t="s">
        <v>19</v>
      </c>
      <c r="D1712" s="110" t="str">
        <f>IF(ISBLANK($B1712),"",IFERROR(VLOOKUP($B1712,ESTOQUE!$B$2:$D$97168,3,FALSE),"Produto não cadastrado"))</f>
        <v>MACACÃO DE PROTEÇÃO TYVEK</v>
      </c>
      <c r="E1712" s="99" t="str">
        <f>_xlfn.XLOOKUP(B1712,ESTOQUE!B:B,ESTOQUE!G:G,"",0)</f>
        <v>UND</v>
      </c>
      <c r="F1712" s="99">
        <v>2</v>
      </c>
      <c r="G1712" s="146"/>
      <c r="H1712" s="146"/>
      <c r="I1712" s="147"/>
      <c r="J1712" s="147"/>
      <c r="K1712" s="63"/>
      <c r="L1712" s="63"/>
      <c r="M1712" s="63"/>
      <c r="N1712" s="63"/>
      <c r="O1712" s="63"/>
      <c r="P1712" s="63"/>
      <c r="Q1712" s="63"/>
      <c r="R1712" s="63"/>
      <c r="S1712" s="63"/>
      <c r="T1712" s="63"/>
      <c r="U1712" s="63"/>
      <c r="V1712" s="63"/>
      <c r="W1712" s="63"/>
      <c r="X1712" s="63"/>
      <c r="Y1712" s="63"/>
      <c r="Z1712" s="63"/>
      <c r="AA1712" s="63"/>
      <c r="AB1712" s="63"/>
      <c r="AC1712" s="63"/>
    </row>
    <row r="1713" spans="1:29" x14ac:dyDescent="0.25">
      <c r="A1713" s="108">
        <v>46039</v>
      </c>
      <c r="B1713" s="109">
        <v>144</v>
      </c>
      <c r="C1713" s="49" t="s">
        <v>19</v>
      </c>
      <c r="D1713" s="110" t="str">
        <f>IF(ISBLANK($B1713),"",IFERROR(VLOOKUP($B1713,ESTOQUE!$B$2:$D$97168,3,FALSE),"Produto não cadastrado"))</f>
        <v>MASCARA PFF2-S C/ FILTRO</v>
      </c>
      <c r="E1713" s="99" t="str">
        <f>_xlfn.XLOOKUP(B1713,ESTOQUE!B:B,ESTOQUE!G:G,"",0)</f>
        <v>UND</v>
      </c>
      <c r="F1713" s="99">
        <v>316</v>
      </c>
      <c r="G1713" s="146"/>
      <c r="H1713" s="146"/>
      <c r="I1713" s="147"/>
      <c r="J1713" s="147"/>
      <c r="K1713" s="63"/>
      <c r="L1713" s="63"/>
      <c r="M1713" s="63"/>
      <c r="N1713" s="63"/>
      <c r="O1713" s="63"/>
      <c r="P1713" s="63"/>
      <c r="Q1713" s="63"/>
      <c r="R1713" s="63"/>
      <c r="S1713" s="63"/>
      <c r="T1713" s="63"/>
      <c r="U1713" s="63"/>
      <c r="V1713" s="63"/>
      <c r="W1713" s="63"/>
      <c r="X1713" s="63"/>
      <c r="Y1713" s="63"/>
      <c r="Z1713" s="63"/>
      <c r="AA1713" s="63"/>
      <c r="AB1713" s="63"/>
      <c r="AC1713" s="63"/>
    </row>
    <row r="1714" spans="1:29" x14ac:dyDescent="0.25">
      <c r="A1714" s="108">
        <v>46039</v>
      </c>
      <c r="B1714" s="109">
        <v>124</v>
      </c>
      <c r="C1714" s="49" t="s">
        <v>19</v>
      </c>
      <c r="D1714" s="110" t="str">
        <f>IF(ISBLANK($B1714),"",IFERROR(VLOOKUP($B1714,ESTOQUE!$B$2:$D$97168,3,FALSE),"Produto não cadastrado"))</f>
        <v xml:space="preserve">OCULOS DE PROTEÇÃO INCOLOR </v>
      </c>
      <c r="E1714" s="99" t="str">
        <f>_xlfn.XLOOKUP(B1714,ESTOQUE!B:B,ESTOQUE!G:G,"",0)</f>
        <v>UND</v>
      </c>
      <c r="F1714" s="99">
        <v>5</v>
      </c>
      <c r="G1714" s="146"/>
      <c r="H1714" s="146"/>
      <c r="I1714" s="147"/>
      <c r="J1714" s="147"/>
      <c r="K1714" s="63"/>
      <c r="L1714" s="63"/>
      <c r="M1714" s="63"/>
      <c r="N1714" s="63"/>
      <c r="O1714" s="63"/>
      <c r="P1714" s="63"/>
      <c r="Q1714" s="63"/>
      <c r="R1714" s="63"/>
      <c r="S1714" s="63"/>
      <c r="T1714" s="63"/>
      <c r="U1714" s="63"/>
      <c r="V1714" s="63"/>
      <c r="W1714" s="63"/>
      <c r="X1714" s="63"/>
      <c r="Y1714" s="63"/>
      <c r="Z1714" s="63"/>
      <c r="AA1714" s="63"/>
      <c r="AB1714" s="63"/>
      <c r="AC1714" s="63"/>
    </row>
    <row r="1715" spans="1:29" x14ac:dyDescent="0.25">
      <c r="A1715" s="108">
        <v>46039</v>
      </c>
      <c r="B1715" s="109">
        <v>224</v>
      </c>
      <c r="C1715" s="49" t="s">
        <v>19</v>
      </c>
      <c r="D1715" s="110" t="str">
        <f>IF(ISBLANK($B1715),"",IFERROR(VLOOKUP($B1715,ESTOQUE!$B$2:$D$97168,3,FALSE),"Produto não cadastrado"))</f>
        <v>OCULOS OPERACIONAL SOBRE POR ESCURO</v>
      </c>
      <c r="E1715" s="99" t="str">
        <f>_xlfn.XLOOKUP(B1715,ESTOQUE!B:B,ESTOQUE!G:G,"",0)</f>
        <v>UND</v>
      </c>
      <c r="F1715" s="99">
        <v>1</v>
      </c>
      <c r="G1715" s="146"/>
      <c r="H1715" s="146"/>
      <c r="I1715" s="147"/>
      <c r="J1715" s="147"/>
      <c r="K1715" s="63"/>
      <c r="L1715" s="63"/>
      <c r="M1715" s="63"/>
      <c r="N1715" s="63"/>
      <c r="O1715" s="63"/>
      <c r="P1715" s="63"/>
      <c r="Q1715" s="63"/>
      <c r="R1715" s="63"/>
      <c r="S1715" s="63"/>
      <c r="T1715" s="63"/>
      <c r="U1715" s="63"/>
      <c r="V1715" s="63"/>
      <c r="W1715" s="63"/>
      <c r="X1715" s="63"/>
      <c r="Y1715" s="63"/>
      <c r="Z1715" s="63"/>
      <c r="AA1715" s="63"/>
      <c r="AB1715" s="63"/>
      <c r="AC1715" s="63"/>
    </row>
    <row r="1716" spans="1:29" x14ac:dyDescent="0.25">
      <c r="A1716" s="108">
        <v>46039</v>
      </c>
      <c r="B1716" s="109">
        <v>139</v>
      </c>
      <c r="C1716" s="49" t="s">
        <v>19</v>
      </c>
      <c r="D1716" s="110" t="str">
        <f>IF(ISBLANK($B1716),"",IFERROR(VLOOKUP($B1716,ESTOQUE!$B$2:$D$97168,3,FALSE),"Produto não cadastrado"))</f>
        <v>PROTETOR AURICULAR TIPO PLUG</v>
      </c>
      <c r="E1716" s="99" t="str">
        <f>_xlfn.XLOOKUP(B1716,ESTOQUE!B:B,ESTOQUE!G:G,"",0)</f>
        <v>UND</v>
      </c>
      <c r="F1716" s="99">
        <v>4</v>
      </c>
      <c r="G1716" s="146"/>
      <c r="H1716" s="146"/>
      <c r="I1716" s="147"/>
      <c r="J1716" s="147"/>
      <c r="K1716" s="63"/>
      <c r="L1716" s="63"/>
      <c r="M1716" s="63"/>
      <c r="N1716" s="63"/>
      <c r="O1716" s="63"/>
      <c r="P1716" s="63"/>
      <c r="Q1716" s="63"/>
      <c r="R1716" s="63"/>
      <c r="S1716" s="63"/>
      <c r="T1716" s="63"/>
      <c r="U1716" s="63"/>
      <c r="V1716" s="63"/>
      <c r="W1716" s="63"/>
      <c r="X1716" s="63"/>
      <c r="Y1716" s="63"/>
      <c r="Z1716" s="63"/>
      <c r="AA1716" s="63"/>
      <c r="AB1716" s="63"/>
      <c r="AC1716" s="63"/>
    </row>
    <row r="1717" spans="1:29" x14ac:dyDescent="0.25">
      <c r="A1717" s="108">
        <v>46042</v>
      </c>
      <c r="B1717" s="109">
        <v>190</v>
      </c>
      <c r="C1717" s="49" t="s">
        <v>19</v>
      </c>
      <c r="D1717" s="110" t="str">
        <f>IF(ISBLANK($B1717),"",IFERROR(VLOOKUP($B1717,ESTOQUE!$B$2:$D$97168,3,FALSE),"Produto não cadastrado"))</f>
        <v>AVENTAL DE RASPA TAM 120X60</v>
      </c>
      <c r="E1717" s="99" t="str">
        <f>_xlfn.XLOOKUP(B1717,ESTOQUE!B:B,ESTOQUE!G:G,"",0)</f>
        <v>UND</v>
      </c>
      <c r="F1717" s="99">
        <v>3</v>
      </c>
      <c r="G1717" s="146"/>
      <c r="H1717" s="146"/>
      <c r="I1717" s="147"/>
      <c r="J1717" s="147"/>
      <c r="K1717" s="63"/>
      <c r="L1717" s="63"/>
      <c r="M1717" s="63"/>
      <c r="N1717" s="63"/>
      <c r="O1717" s="63"/>
      <c r="P1717" s="63"/>
      <c r="Q1717" s="63"/>
      <c r="R1717" s="63"/>
      <c r="S1717" s="63"/>
      <c r="T1717" s="63"/>
      <c r="U1717" s="63"/>
      <c r="V1717" s="63"/>
      <c r="W1717" s="63"/>
      <c r="X1717" s="63"/>
      <c r="Y1717" s="63"/>
      <c r="Z1717" s="63"/>
      <c r="AA1717" s="63"/>
      <c r="AB1717" s="63"/>
      <c r="AC1717" s="63"/>
    </row>
    <row r="1718" spans="1:29" x14ac:dyDescent="0.25">
      <c r="A1718" s="108">
        <v>46042</v>
      </c>
      <c r="B1718" s="109">
        <v>11</v>
      </c>
      <c r="C1718" s="49" t="s">
        <v>19</v>
      </c>
      <c r="D1718" s="110" t="str">
        <f>IF(ISBLANK($B1718),"",IFERROR(VLOOKUP($B1718,ESTOQUE!$B$2:$D$97168,3,FALSE),"Produto não cadastrado"))</f>
        <v>BOTA PVC CANO LONGO Nº 43</v>
      </c>
      <c r="E1718" s="99" t="str">
        <f>_xlfn.XLOOKUP(B1718,ESTOQUE!B:B,ESTOQUE!G:G,"",0)</f>
        <v>PAR</v>
      </c>
      <c r="F1718" s="99">
        <v>1</v>
      </c>
      <c r="G1718" s="146"/>
      <c r="H1718" s="146"/>
      <c r="I1718" s="147"/>
      <c r="J1718" s="147"/>
      <c r="K1718" s="63"/>
      <c r="L1718" s="63"/>
      <c r="M1718" s="63"/>
      <c r="N1718" s="63"/>
      <c r="O1718" s="63"/>
      <c r="P1718" s="63"/>
      <c r="Q1718" s="63"/>
      <c r="R1718" s="63"/>
      <c r="S1718" s="63"/>
      <c r="T1718" s="63"/>
      <c r="U1718" s="63"/>
      <c r="V1718" s="63"/>
      <c r="W1718" s="63"/>
      <c r="X1718" s="63"/>
      <c r="Y1718" s="63"/>
      <c r="Z1718" s="63"/>
      <c r="AA1718" s="63"/>
      <c r="AB1718" s="63"/>
      <c r="AC1718" s="63"/>
    </row>
    <row r="1719" spans="1:29" x14ac:dyDescent="0.25">
      <c r="A1719" s="108">
        <v>46042</v>
      </c>
      <c r="B1719" s="109">
        <v>31</v>
      </c>
      <c r="C1719" s="49" t="s">
        <v>19</v>
      </c>
      <c r="D1719" s="110" t="str">
        <f>IF(ISBLANK($B1719),"",IFERROR(VLOOKUP($B1719,ESTOQUE!$B$2:$D$97168,3,FALSE),"Produto não cadastrado"))</f>
        <v>BOTINA DE ELETRICISTA Nº 41</v>
      </c>
      <c r="E1719" s="99" t="str">
        <f>_xlfn.XLOOKUP(B1719,ESTOQUE!B:B,ESTOQUE!G:G,"",0)</f>
        <v>PAR</v>
      </c>
      <c r="F1719" s="99">
        <v>1</v>
      </c>
      <c r="G1719" s="146"/>
      <c r="H1719" s="146"/>
      <c r="I1719" s="147"/>
      <c r="J1719" s="147"/>
      <c r="K1719" s="63"/>
      <c r="L1719" s="63"/>
      <c r="M1719" s="63"/>
      <c r="N1719" s="63"/>
      <c r="O1719" s="63"/>
      <c r="P1719" s="63"/>
      <c r="Q1719" s="63"/>
      <c r="R1719" s="63"/>
      <c r="S1719" s="63"/>
      <c r="T1719" s="63"/>
      <c r="U1719" s="63"/>
      <c r="V1719" s="63"/>
      <c r="W1719" s="63"/>
      <c r="X1719" s="63"/>
      <c r="Y1719" s="63"/>
      <c r="Z1719" s="63"/>
      <c r="AA1719" s="63"/>
      <c r="AB1719" s="63"/>
      <c r="AC1719" s="63"/>
    </row>
    <row r="1720" spans="1:29" x14ac:dyDescent="0.25">
      <c r="A1720" s="108">
        <v>46042</v>
      </c>
      <c r="B1720" s="109">
        <v>162</v>
      </c>
      <c r="C1720" s="49" t="s">
        <v>19</v>
      </c>
      <c r="D1720" s="110" t="str">
        <f>IF(ISBLANK($B1720),"",IFERROR(VLOOKUP($B1720,ESTOQUE!$B$2:$D$97168,3,FALSE),"Produto não cadastrado"))</f>
        <v>BOTINA DE ELETRICISTA Nº 42</v>
      </c>
      <c r="E1720" s="99" t="str">
        <f>_xlfn.XLOOKUP(B1720,ESTOQUE!B:B,ESTOQUE!G:G,"",0)</f>
        <v>PAR</v>
      </c>
      <c r="F1720" s="99">
        <v>1</v>
      </c>
      <c r="G1720" s="146"/>
      <c r="H1720" s="146"/>
      <c r="I1720" s="147"/>
      <c r="J1720" s="147"/>
      <c r="K1720" s="63"/>
      <c r="L1720" s="63"/>
      <c r="M1720" s="63"/>
      <c r="N1720" s="63"/>
      <c r="O1720" s="63"/>
      <c r="P1720" s="63"/>
      <c r="Q1720" s="63"/>
      <c r="R1720" s="63"/>
      <c r="S1720" s="63"/>
      <c r="T1720" s="63"/>
      <c r="U1720" s="63"/>
      <c r="V1720" s="63"/>
      <c r="W1720" s="63"/>
      <c r="X1720" s="63"/>
      <c r="Y1720" s="63"/>
      <c r="Z1720" s="63"/>
      <c r="AA1720" s="63"/>
      <c r="AB1720" s="63"/>
      <c r="AC1720" s="63"/>
    </row>
    <row r="1721" spans="1:29" x14ac:dyDescent="0.25">
      <c r="A1721" s="108">
        <v>46042</v>
      </c>
      <c r="B1721" s="109">
        <v>41</v>
      </c>
      <c r="C1721" s="49" t="s">
        <v>19</v>
      </c>
      <c r="D1721" s="110" t="str">
        <f>IF(ISBLANK($B1721),"",IFERROR(VLOOKUP($B1721,ESTOQUE!$B$2:$D$97168,3,FALSE),"Produto não cadastrado"))</f>
        <v>BOTINA OP. BICO PVC Nº 43</v>
      </c>
      <c r="E1721" s="99" t="str">
        <f>_xlfn.XLOOKUP(B1721,ESTOQUE!B:B,ESTOQUE!G:G,"",0)</f>
        <v>PAR</v>
      </c>
      <c r="F1721" s="99">
        <v>2</v>
      </c>
      <c r="G1721" s="146"/>
      <c r="H1721" s="146"/>
      <c r="I1721" s="147"/>
      <c r="J1721" s="147"/>
      <c r="K1721" s="63"/>
      <c r="L1721" s="63"/>
      <c r="M1721" s="63"/>
      <c r="N1721" s="63"/>
      <c r="O1721" s="63"/>
      <c r="P1721" s="63"/>
      <c r="Q1721" s="63"/>
      <c r="R1721" s="63"/>
      <c r="S1721" s="63"/>
      <c r="T1721" s="63"/>
      <c r="U1721" s="63"/>
      <c r="V1721" s="63"/>
      <c r="W1721" s="63"/>
      <c r="X1721" s="63"/>
      <c r="Y1721" s="63"/>
      <c r="Z1721" s="63"/>
      <c r="AA1721" s="63"/>
      <c r="AB1721" s="63"/>
      <c r="AC1721" s="63"/>
    </row>
    <row r="1722" spans="1:29" x14ac:dyDescent="0.25">
      <c r="A1722" s="108">
        <v>46042</v>
      </c>
      <c r="B1722" s="109">
        <v>46</v>
      </c>
      <c r="C1722" s="49" t="s">
        <v>19</v>
      </c>
      <c r="D1722" s="110" t="str">
        <f>IF(ISBLANK($B1722),"",IFERROR(VLOOKUP($B1722,ESTOQUE!$B$2:$D$97168,3,FALSE),"Produto não cadastrado"))</f>
        <v>CALÇA CINZA OP. C/ FAIXA REFLETIVA TAM: G</v>
      </c>
      <c r="E1722" s="99" t="str">
        <f>_xlfn.XLOOKUP(B1722,ESTOQUE!B:B,ESTOQUE!G:G,"",0)</f>
        <v>UND</v>
      </c>
      <c r="F1722" s="99">
        <v>5</v>
      </c>
      <c r="G1722" s="146"/>
      <c r="H1722" s="146"/>
      <c r="I1722" s="147"/>
      <c r="J1722" s="147"/>
      <c r="K1722" s="63"/>
      <c r="L1722" s="63"/>
      <c r="M1722" s="63"/>
      <c r="N1722" s="63"/>
      <c r="O1722" s="63"/>
      <c r="P1722" s="63"/>
      <c r="Q1722" s="63"/>
      <c r="R1722" s="63"/>
      <c r="S1722" s="63"/>
      <c r="T1722" s="63"/>
      <c r="U1722" s="63"/>
      <c r="V1722" s="63"/>
      <c r="W1722" s="63"/>
      <c r="X1722" s="63"/>
      <c r="Y1722" s="63"/>
      <c r="Z1722" s="63"/>
      <c r="AA1722" s="63"/>
      <c r="AB1722" s="63"/>
      <c r="AC1722" s="63"/>
    </row>
    <row r="1723" spans="1:29" x14ac:dyDescent="0.25">
      <c r="A1723" s="108">
        <v>46042</v>
      </c>
      <c r="B1723" s="109">
        <v>48</v>
      </c>
      <c r="C1723" s="49" t="s">
        <v>19</v>
      </c>
      <c r="D1723" s="110" t="str">
        <f>IF(ISBLANK($B1723),"",IFERROR(VLOOKUP($B1723,ESTOQUE!$B$2:$D$97168,3,FALSE),"Produto não cadastrado"))</f>
        <v>CALÇA CINZA OP. C/ FAIXA REFLETIVA TAM: M</v>
      </c>
      <c r="E1723" s="99" t="str">
        <f>_xlfn.XLOOKUP(B1723,ESTOQUE!B:B,ESTOQUE!G:G,"",0)</f>
        <v>UND</v>
      </c>
      <c r="F1723" s="99">
        <v>2</v>
      </c>
      <c r="G1723" s="146"/>
      <c r="H1723" s="146"/>
      <c r="I1723" s="147"/>
      <c r="J1723" s="147"/>
      <c r="K1723" s="63"/>
      <c r="L1723" s="63"/>
      <c r="M1723" s="63"/>
      <c r="N1723" s="63"/>
      <c r="O1723" s="63"/>
      <c r="P1723" s="63"/>
      <c r="Q1723" s="63"/>
      <c r="R1723" s="63"/>
      <c r="S1723" s="63"/>
      <c r="T1723" s="63"/>
      <c r="U1723" s="63"/>
      <c r="V1723" s="63"/>
      <c r="W1723" s="63"/>
      <c r="X1723" s="63"/>
      <c r="Y1723" s="63"/>
      <c r="Z1723" s="63"/>
      <c r="AA1723" s="63"/>
      <c r="AB1723" s="63"/>
      <c r="AC1723" s="63"/>
    </row>
    <row r="1724" spans="1:29" x14ac:dyDescent="0.25">
      <c r="A1724" s="108">
        <v>46042</v>
      </c>
      <c r="B1724" s="109">
        <v>67</v>
      </c>
      <c r="C1724" s="49" t="s">
        <v>19</v>
      </c>
      <c r="D1724" s="110" t="str">
        <f>IF(ISBLANK($B1724),"",IFERROR(VLOOKUP($B1724,ESTOQUE!$B$2:$D$97168,3,FALSE),"Produto não cadastrado"))</f>
        <v>CAMISA LARANJA OP. C/ FAIXA REFLETIVA TAM: G</v>
      </c>
      <c r="E1724" s="99" t="str">
        <f>_xlfn.XLOOKUP(B1724,ESTOQUE!B:B,ESTOQUE!G:G,"",0)</f>
        <v>UND</v>
      </c>
      <c r="F1724" s="99">
        <v>3</v>
      </c>
      <c r="G1724" s="146"/>
      <c r="H1724" s="146"/>
      <c r="I1724" s="147"/>
      <c r="J1724" s="147"/>
      <c r="K1724" s="63"/>
      <c r="L1724" s="63"/>
      <c r="M1724" s="63"/>
      <c r="N1724" s="63"/>
      <c r="O1724" s="63"/>
      <c r="P1724" s="63"/>
      <c r="Q1724" s="63"/>
      <c r="R1724" s="63"/>
      <c r="S1724" s="63"/>
      <c r="T1724" s="63"/>
      <c r="U1724" s="63"/>
      <c r="V1724" s="63"/>
      <c r="W1724" s="63"/>
      <c r="X1724" s="63"/>
      <c r="Y1724" s="63"/>
      <c r="Z1724" s="63"/>
      <c r="AA1724" s="63"/>
      <c r="AB1724" s="63"/>
      <c r="AC1724" s="63"/>
    </row>
    <row r="1725" spans="1:29" x14ac:dyDescent="0.25">
      <c r="A1725" s="108">
        <v>46042</v>
      </c>
      <c r="B1725" s="109">
        <v>68</v>
      </c>
      <c r="C1725" s="49" t="s">
        <v>19</v>
      </c>
      <c r="D1725" s="110" t="str">
        <f>IF(ISBLANK($B1725),"",IFERROR(VLOOKUP($B1725,ESTOQUE!$B$2:$D$97168,3,FALSE),"Produto não cadastrado"))</f>
        <v>CAMISA LARANJA OP. C/ FAIXA REFLETIVA TAM: GG</v>
      </c>
      <c r="E1725" s="99" t="str">
        <f>_xlfn.XLOOKUP(B1725,ESTOQUE!B:B,ESTOQUE!G:G,"",0)</f>
        <v>UND</v>
      </c>
      <c r="F1725" s="99">
        <v>1</v>
      </c>
      <c r="G1725" s="146"/>
      <c r="H1725" s="146"/>
      <c r="I1725" s="147"/>
      <c r="J1725" s="147"/>
      <c r="K1725" s="63"/>
      <c r="L1725" s="63"/>
      <c r="M1725" s="63"/>
      <c r="N1725" s="63"/>
      <c r="O1725" s="63"/>
      <c r="P1725" s="63"/>
      <c r="Q1725" s="63"/>
      <c r="R1725" s="63"/>
      <c r="S1725" s="63"/>
      <c r="T1725" s="63"/>
      <c r="U1725" s="63"/>
      <c r="V1725" s="63"/>
      <c r="W1725" s="63"/>
      <c r="X1725" s="63"/>
      <c r="Y1725" s="63"/>
      <c r="Z1725" s="63"/>
      <c r="AA1725" s="63"/>
      <c r="AB1725" s="63"/>
      <c r="AC1725" s="63"/>
    </row>
    <row r="1726" spans="1:29" x14ac:dyDescent="0.25">
      <c r="A1726" s="108">
        <v>46042</v>
      </c>
      <c r="B1726" s="109">
        <v>97</v>
      </c>
      <c r="C1726" s="49" t="s">
        <v>19</v>
      </c>
      <c r="D1726" s="110" t="str">
        <f>IF(ISBLANK($B1726),"",IFERROR(VLOOKUP($B1726,ESTOQUE!$B$2:$D$97168,3,FALSE),"Produto não cadastrado"))</f>
        <v>COLETE REFLETIVO LARANJA M</v>
      </c>
      <c r="E1726" s="99" t="str">
        <f>_xlfn.XLOOKUP(B1726,ESTOQUE!B:B,ESTOQUE!G:G,"",0)</f>
        <v>UND</v>
      </c>
      <c r="F1726" s="99">
        <v>1</v>
      </c>
      <c r="G1726" s="146"/>
      <c r="H1726" s="146"/>
      <c r="I1726" s="147"/>
      <c r="J1726" s="147"/>
      <c r="K1726" s="63"/>
      <c r="L1726" s="63"/>
      <c r="M1726" s="63"/>
      <c r="N1726" s="63"/>
      <c r="O1726" s="63"/>
      <c r="P1726" s="63"/>
      <c r="Q1726" s="63"/>
      <c r="R1726" s="63"/>
      <c r="S1726" s="63"/>
      <c r="T1726" s="63"/>
      <c r="U1726" s="63"/>
      <c r="V1726" s="63"/>
      <c r="W1726" s="63"/>
      <c r="X1726" s="63"/>
      <c r="Y1726" s="63"/>
      <c r="Z1726" s="63"/>
      <c r="AA1726" s="63"/>
      <c r="AB1726" s="63"/>
      <c r="AC1726" s="63"/>
    </row>
    <row r="1727" spans="1:29" x14ac:dyDescent="0.25">
      <c r="A1727" s="108">
        <v>46042</v>
      </c>
      <c r="B1727" s="109">
        <v>259</v>
      </c>
      <c r="C1727" s="49" t="s">
        <v>19</v>
      </c>
      <c r="D1727" s="110" t="str">
        <f>IF(ISBLANK($B1727),"",IFERROR(VLOOKUP($B1727,ESTOQUE!$B$2:$D$97168,3,FALSE),"Produto não cadastrado"))</f>
        <v>CORDA TORCIDA DE RÁFIA PP 12mm</v>
      </c>
      <c r="E1727" s="99" t="str">
        <f>_xlfn.XLOOKUP(B1727,ESTOQUE!B:B,ESTOQUE!G:G,"",0)</f>
        <v>M</v>
      </c>
      <c r="F1727" s="99">
        <v>140</v>
      </c>
      <c r="G1727" s="146"/>
      <c r="H1727" s="146"/>
      <c r="I1727" s="147"/>
      <c r="J1727" s="147"/>
      <c r="K1727" s="63"/>
      <c r="L1727" s="63"/>
      <c r="M1727" s="63"/>
      <c r="N1727" s="63"/>
      <c r="O1727" s="63"/>
      <c r="P1727" s="63"/>
      <c r="Q1727" s="63"/>
      <c r="R1727" s="63"/>
      <c r="S1727" s="63"/>
      <c r="T1727" s="63"/>
      <c r="U1727" s="63"/>
      <c r="V1727" s="63"/>
      <c r="W1727" s="63"/>
      <c r="X1727" s="63"/>
      <c r="Y1727" s="63"/>
      <c r="Z1727" s="63"/>
      <c r="AA1727" s="63"/>
      <c r="AB1727" s="63"/>
      <c r="AC1727" s="63"/>
    </row>
    <row r="1728" spans="1:29" x14ac:dyDescent="0.25">
      <c r="A1728" s="108">
        <v>46042</v>
      </c>
      <c r="B1728" s="109">
        <v>104</v>
      </c>
      <c r="C1728" s="49" t="s">
        <v>19</v>
      </c>
      <c r="D1728" s="110" t="str">
        <f>IF(ISBLANK($B1728),"",IFERROR(VLOOKUP($B1728,ESTOQUE!$B$2:$D$97168,3,FALSE),"Produto não cadastrado"))</f>
        <v>JARDINEIRA AMARELA BOTA Nº 42</v>
      </c>
      <c r="E1728" s="99" t="str">
        <f>_xlfn.XLOOKUP(B1728,ESTOQUE!B:B,ESTOQUE!G:G,"",0)</f>
        <v>UND</v>
      </c>
      <c r="F1728" s="99">
        <v>3</v>
      </c>
      <c r="G1728" s="146"/>
      <c r="H1728" s="146"/>
      <c r="I1728" s="147"/>
      <c r="J1728" s="147"/>
      <c r="K1728" s="63"/>
      <c r="L1728" s="63"/>
      <c r="M1728" s="63"/>
      <c r="N1728" s="63"/>
      <c r="O1728" s="63"/>
      <c r="P1728" s="63"/>
      <c r="Q1728" s="63"/>
      <c r="R1728" s="63"/>
      <c r="S1728" s="63"/>
      <c r="T1728" s="63"/>
      <c r="U1728" s="63"/>
      <c r="V1728" s="63"/>
      <c r="W1728" s="63"/>
      <c r="X1728" s="63"/>
      <c r="Y1728" s="63"/>
      <c r="Z1728" s="63"/>
      <c r="AA1728" s="63"/>
      <c r="AB1728" s="63"/>
      <c r="AC1728" s="63"/>
    </row>
    <row r="1729" spans="1:29" x14ac:dyDescent="0.25">
      <c r="A1729" s="108">
        <v>46042</v>
      </c>
      <c r="B1729" s="109">
        <v>110</v>
      </c>
      <c r="C1729" s="49" t="s">
        <v>19</v>
      </c>
      <c r="D1729" s="110" t="str">
        <f>IF(ISBLANK($B1729),"",IFERROR(VLOOKUP($B1729,ESTOQUE!$B$2:$D$97168,3,FALSE),"Produto não cadastrado"))</f>
        <v>LUVA DE RASPA CANO LONGO</v>
      </c>
      <c r="E1729" s="99" t="str">
        <f>_xlfn.XLOOKUP(B1729,ESTOQUE!B:B,ESTOQUE!G:G,"",0)</f>
        <v>PAR</v>
      </c>
      <c r="F1729" s="99">
        <v>24</v>
      </c>
      <c r="G1729" s="146"/>
      <c r="H1729" s="146"/>
      <c r="I1729" s="147"/>
      <c r="J1729" s="147"/>
      <c r="K1729" s="63"/>
      <c r="L1729" s="63"/>
      <c r="M1729" s="63"/>
      <c r="N1729" s="63"/>
      <c r="O1729" s="63"/>
      <c r="P1729" s="63"/>
      <c r="Q1729" s="63"/>
      <c r="R1729" s="63"/>
      <c r="S1729" s="63"/>
      <c r="T1729" s="63"/>
      <c r="U1729" s="63"/>
      <c r="V1729" s="63"/>
      <c r="W1729" s="63"/>
      <c r="X1729" s="63"/>
      <c r="Y1729" s="63"/>
      <c r="Z1729" s="63"/>
      <c r="AA1729" s="63"/>
      <c r="AB1729" s="63"/>
      <c r="AC1729" s="63"/>
    </row>
    <row r="1730" spans="1:29" x14ac:dyDescent="0.25">
      <c r="A1730" s="108">
        <v>46042</v>
      </c>
      <c r="B1730" s="109">
        <v>207</v>
      </c>
      <c r="C1730" s="49" t="s">
        <v>19</v>
      </c>
      <c r="D1730" s="110" t="str">
        <f>IF(ISBLANK($B1730),"",IFERROR(VLOOKUP($B1730,ESTOQUE!$B$2:$D$97168,3,FALSE),"Produto não cadastrado"))</f>
        <v>LUVA POLIESTER ANTICORTE BANHADA PU TAM 9</v>
      </c>
      <c r="E1730" s="99" t="str">
        <f>_xlfn.XLOOKUP(B1730,ESTOQUE!B:B,ESTOQUE!G:G,"",0)</f>
        <v>PAR</v>
      </c>
      <c r="F1730" s="99">
        <v>1</v>
      </c>
      <c r="G1730" s="146"/>
      <c r="H1730" s="146"/>
      <c r="I1730" s="147"/>
      <c r="J1730" s="147"/>
      <c r="K1730" s="63"/>
      <c r="L1730" s="63"/>
      <c r="M1730" s="63"/>
      <c r="N1730" s="63"/>
      <c r="O1730" s="63"/>
      <c r="P1730" s="63"/>
      <c r="Q1730" s="63"/>
      <c r="R1730" s="63"/>
      <c r="S1730" s="63"/>
      <c r="T1730" s="63"/>
      <c r="U1730" s="63"/>
      <c r="V1730" s="63"/>
      <c r="W1730" s="63"/>
      <c r="X1730" s="63"/>
      <c r="Y1730" s="63"/>
      <c r="Z1730" s="63"/>
      <c r="AA1730" s="63"/>
      <c r="AB1730" s="63"/>
      <c r="AC1730" s="63"/>
    </row>
    <row r="1731" spans="1:29" x14ac:dyDescent="0.25">
      <c r="A1731" s="108">
        <v>46042</v>
      </c>
      <c r="B1731" s="109">
        <v>118</v>
      </c>
      <c r="C1731" s="49" t="s">
        <v>19</v>
      </c>
      <c r="D1731" s="110" t="str">
        <f>IF(ISBLANK($B1731),"",IFERROR(VLOOKUP($B1731,ESTOQUE!$B$2:$D$97168,3,FALSE),"Produto não cadastrado"))</f>
        <v>MACACÃO DE PROTEÇÃO TYVEK</v>
      </c>
      <c r="E1731" s="99" t="str">
        <f>_xlfn.XLOOKUP(B1731,ESTOQUE!B:B,ESTOQUE!G:G,"",0)</f>
        <v>UND</v>
      </c>
      <c r="F1731" s="99">
        <v>3</v>
      </c>
      <c r="G1731" s="146"/>
      <c r="H1731" s="146"/>
      <c r="I1731" s="147"/>
      <c r="J1731" s="147"/>
      <c r="K1731" s="63"/>
      <c r="L1731" s="63"/>
      <c r="M1731" s="63"/>
      <c r="N1731" s="63"/>
      <c r="O1731" s="63"/>
      <c r="P1731" s="63"/>
      <c r="Q1731" s="63"/>
      <c r="R1731" s="63"/>
      <c r="S1731" s="63"/>
      <c r="T1731" s="63"/>
      <c r="U1731" s="63"/>
      <c r="V1731" s="63"/>
      <c r="W1731" s="63"/>
      <c r="X1731" s="63"/>
      <c r="Y1731" s="63"/>
      <c r="Z1731" s="63"/>
      <c r="AA1731" s="63"/>
      <c r="AB1731" s="63"/>
      <c r="AC1731" s="63"/>
    </row>
    <row r="1732" spans="1:29" x14ac:dyDescent="0.25">
      <c r="A1732" s="108">
        <v>46042</v>
      </c>
      <c r="B1732" s="109">
        <v>144</v>
      </c>
      <c r="C1732" s="49" t="s">
        <v>19</v>
      </c>
      <c r="D1732" s="110" t="str">
        <f>IF(ISBLANK($B1732),"",IFERROR(VLOOKUP($B1732,ESTOQUE!$B$2:$D$97168,3,FALSE),"Produto não cadastrado"))</f>
        <v>MASCARA PFF2-S C/ FILTRO</v>
      </c>
      <c r="E1732" s="99" t="str">
        <f>_xlfn.XLOOKUP(B1732,ESTOQUE!B:B,ESTOQUE!G:G,"",0)</f>
        <v>UND</v>
      </c>
      <c r="F1732" s="99">
        <v>31</v>
      </c>
      <c r="G1732" s="146"/>
      <c r="H1732" s="146"/>
      <c r="I1732" s="147"/>
      <c r="J1732" s="147"/>
      <c r="K1732" s="63"/>
      <c r="L1732" s="63"/>
      <c r="M1732" s="63"/>
      <c r="N1732" s="63"/>
      <c r="O1732" s="63"/>
      <c r="P1732" s="63"/>
      <c r="Q1732" s="63"/>
      <c r="R1732" s="63"/>
      <c r="S1732" s="63"/>
      <c r="T1732" s="63"/>
      <c r="U1732" s="63"/>
      <c r="V1732" s="63"/>
      <c r="W1732" s="63"/>
      <c r="X1732" s="63"/>
      <c r="Y1732" s="63"/>
      <c r="Z1732" s="63"/>
      <c r="AA1732" s="63"/>
      <c r="AB1732" s="63"/>
      <c r="AC1732" s="63"/>
    </row>
    <row r="1733" spans="1:29" x14ac:dyDescent="0.25">
      <c r="A1733" s="108">
        <v>46042</v>
      </c>
      <c r="B1733" s="109">
        <v>124</v>
      </c>
      <c r="C1733" s="49" t="s">
        <v>19</v>
      </c>
      <c r="D1733" s="110" t="str">
        <f>IF(ISBLANK($B1733),"",IFERROR(VLOOKUP($B1733,ESTOQUE!$B$2:$D$97168,3,FALSE),"Produto não cadastrado"))</f>
        <v xml:space="preserve">OCULOS DE PROTEÇÃO INCOLOR </v>
      </c>
      <c r="E1733" s="99" t="str">
        <f>_xlfn.XLOOKUP(B1733,ESTOQUE!B:B,ESTOQUE!G:G,"",0)</f>
        <v>UND</v>
      </c>
      <c r="F1733" s="99">
        <v>1</v>
      </c>
      <c r="G1733" s="146"/>
      <c r="H1733" s="146"/>
      <c r="I1733" s="147"/>
      <c r="J1733" s="147"/>
      <c r="K1733" s="63"/>
      <c r="L1733" s="63"/>
      <c r="M1733" s="63"/>
      <c r="N1733" s="63"/>
      <c r="O1733" s="63"/>
      <c r="P1733" s="63"/>
      <c r="Q1733" s="63"/>
      <c r="R1733" s="63"/>
      <c r="S1733" s="63"/>
      <c r="T1733" s="63"/>
      <c r="U1733" s="63"/>
      <c r="V1733" s="63"/>
      <c r="W1733" s="63"/>
      <c r="X1733" s="63"/>
      <c r="Y1733" s="63"/>
      <c r="Z1733" s="63"/>
      <c r="AA1733" s="63"/>
      <c r="AB1733" s="63"/>
      <c r="AC1733" s="63"/>
    </row>
    <row r="1734" spans="1:29" x14ac:dyDescent="0.25">
      <c r="A1734" s="108">
        <v>46042</v>
      </c>
      <c r="B1734" s="109">
        <v>130</v>
      </c>
      <c r="C1734" s="49" t="s">
        <v>19</v>
      </c>
      <c r="D1734" s="110" t="str">
        <f>IF(ISBLANK($B1734),"",IFERROR(VLOOKUP($B1734,ESTOQUE!$B$2:$D$97168,3,FALSE),"Produto não cadastrado"))</f>
        <v>PROTETOR AUDITIVO TIPO CONCHA L-300</v>
      </c>
      <c r="E1734" s="99" t="str">
        <f>_xlfn.XLOOKUP(B1734,ESTOQUE!B:B,ESTOQUE!G:G,"",0)</f>
        <v>UND</v>
      </c>
      <c r="F1734" s="99">
        <v>1</v>
      </c>
      <c r="G1734" s="146"/>
      <c r="H1734" s="146"/>
      <c r="I1734" s="147"/>
      <c r="J1734" s="147"/>
      <c r="K1734" s="63"/>
      <c r="L1734" s="63"/>
      <c r="M1734" s="63"/>
      <c r="N1734" s="63"/>
      <c r="O1734" s="63"/>
      <c r="P1734" s="63"/>
      <c r="Q1734" s="63"/>
      <c r="R1734" s="63"/>
      <c r="S1734" s="63"/>
      <c r="T1734" s="63"/>
      <c r="U1734" s="63"/>
      <c r="V1734" s="63"/>
      <c r="W1734" s="63"/>
      <c r="X1734" s="63"/>
      <c r="Y1734" s="63"/>
      <c r="Z1734" s="63"/>
      <c r="AA1734" s="63"/>
      <c r="AB1734" s="63"/>
      <c r="AC1734" s="63"/>
    </row>
    <row r="1735" spans="1:29" x14ac:dyDescent="0.25">
      <c r="A1735" s="108">
        <v>46042</v>
      </c>
      <c r="B1735" s="109">
        <v>234</v>
      </c>
      <c r="C1735" s="49" t="s">
        <v>19</v>
      </c>
      <c r="D1735" s="110" t="str">
        <f>IF(ISBLANK($B1735),"",IFERROR(VLOOKUP($B1735,ESTOQUE!$B$2:$D$97168,3,FALSE),"Produto não cadastrado"))</f>
        <v>CONE PLASTICOR DE SINALIZACAO 75cm</v>
      </c>
      <c r="E1735" s="99" t="str">
        <f>_xlfn.XLOOKUP(B1735,ESTOQUE!B:B,ESTOQUE!G:G,"",0)</f>
        <v>UND</v>
      </c>
      <c r="F1735" s="99">
        <v>15</v>
      </c>
      <c r="G1735" s="146"/>
      <c r="H1735" s="146"/>
      <c r="I1735" s="147"/>
      <c r="J1735" s="147"/>
      <c r="K1735" s="63"/>
      <c r="L1735" s="63"/>
      <c r="M1735" s="63"/>
      <c r="N1735" s="63"/>
      <c r="O1735" s="63"/>
      <c r="P1735" s="63"/>
      <c r="Q1735" s="63"/>
      <c r="R1735" s="63"/>
      <c r="S1735" s="63"/>
      <c r="T1735" s="63"/>
      <c r="U1735" s="63"/>
      <c r="V1735" s="63"/>
      <c r="W1735" s="63"/>
      <c r="X1735" s="63"/>
      <c r="Y1735" s="63"/>
      <c r="Z1735" s="63"/>
      <c r="AA1735" s="63"/>
      <c r="AB1735" s="63"/>
      <c r="AC1735" s="63"/>
    </row>
    <row r="1736" spans="1:29" x14ac:dyDescent="0.25">
      <c r="A1736" s="108">
        <v>46043</v>
      </c>
      <c r="B1736" s="109">
        <v>173</v>
      </c>
      <c r="C1736" s="49" t="s">
        <v>19</v>
      </c>
      <c r="D1736" s="110" t="str">
        <f>IF(ISBLANK($B1736),"",IFERROR(VLOOKUP($B1736,ESTOQUE!$B$2:$D$97168,3,FALSE),"Produto não cadastrado"))</f>
        <v>BOTA PVC CANO CURTO Nº 42</v>
      </c>
      <c r="E1736" s="99" t="str">
        <f>_xlfn.XLOOKUP(B1736,ESTOQUE!B:B,ESTOQUE!G:G,"",0)</f>
        <v>PAR</v>
      </c>
      <c r="F1736" s="99">
        <v>5</v>
      </c>
      <c r="G1736" s="146"/>
      <c r="H1736" s="146"/>
      <c r="I1736" s="147"/>
      <c r="J1736" s="147"/>
      <c r="K1736" s="63"/>
      <c r="L1736" s="63"/>
      <c r="M1736" s="63"/>
      <c r="N1736" s="63"/>
      <c r="O1736" s="63"/>
      <c r="P1736" s="63"/>
      <c r="Q1736" s="63"/>
      <c r="R1736" s="63"/>
      <c r="S1736" s="63"/>
      <c r="T1736" s="63"/>
      <c r="U1736" s="63"/>
      <c r="V1736" s="63"/>
      <c r="W1736" s="63"/>
      <c r="X1736" s="63"/>
      <c r="Y1736" s="63"/>
      <c r="Z1736" s="63"/>
      <c r="AA1736" s="63"/>
      <c r="AB1736" s="63"/>
      <c r="AC1736" s="63"/>
    </row>
    <row r="1737" spans="1:29" x14ac:dyDescent="0.25">
      <c r="A1737" s="108">
        <v>46043</v>
      </c>
      <c r="B1737" s="109">
        <v>8</v>
      </c>
      <c r="C1737" s="49" t="s">
        <v>19</v>
      </c>
      <c r="D1737" s="110" t="str">
        <f>IF(ISBLANK($B1737),"",IFERROR(VLOOKUP($B1737,ESTOQUE!$B$2:$D$97168,3,FALSE),"Produto não cadastrado"))</f>
        <v>BOTA PVC CANO LONGO Nº 40</v>
      </c>
      <c r="E1737" s="99" t="str">
        <f>_xlfn.XLOOKUP(B1737,ESTOQUE!B:B,ESTOQUE!G:G,"",0)</f>
        <v>PAR</v>
      </c>
      <c r="F1737" s="99">
        <v>4</v>
      </c>
      <c r="G1737" s="146"/>
      <c r="H1737" s="146"/>
      <c r="I1737" s="147"/>
      <c r="J1737" s="147"/>
      <c r="K1737" s="63"/>
      <c r="L1737" s="63"/>
      <c r="M1737" s="63"/>
      <c r="N1737" s="63"/>
      <c r="O1737" s="63"/>
      <c r="P1737" s="63"/>
      <c r="Q1737" s="63"/>
      <c r="R1737" s="63"/>
      <c r="S1737" s="63"/>
      <c r="T1737" s="63"/>
      <c r="U1737" s="63"/>
      <c r="V1737" s="63"/>
      <c r="W1737" s="63"/>
      <c r="X1737" s="63"/>
      <c r="Y1737" s="63"/>
      <c r="Z1737" s="63"/>
      <c r="AA1737" s="63"/>
      <c r="AB1737" s="63"/>
      <c r="AC1737" s="63"/>
    </row>
    <row r="1738" spans="1:29" x14ac:dyDescent="0.25">
      <c r="A1738" s="108">
        <v>46043</v>
      </c>
      <c r="B1738" s="109">
        <v>13</v>
      </c>
      <c r="C1738" s="49" t="s">
        <v>19</v>
      </c>
      <c r="D1738" s="110" t="str">
        <f>IF(ISBLANK($B1738),"",IFERROR(VLOOKUP($B1738,ESTOQUE!$B$2:$D$97168,3,FALSE),"Produto não cadastrado"))</f>
        <v>BOTA PVC CANO LONGO Nº 45</v>
      </c>
      <c r="E1738" s="99" t="str">
        <f>_xlfn.XLOOKUP(B1738,ESTOQUE!B:B,ESTOQUE!G:G,"",0)</f>
        <v>PAR</v>
      </c>
      <c r="F1738" s="99">
        <v>2</v>
      </c>
      <c r="G1738" s="146"/>
      <c r="H1738" s="146"/>
      <c r="I1738" s="147"/>
      <c r="J1738" s="147"/>
      <c r="K1738" s="63"/>
      <c r="L1738" s="63"/>
      <c r="M1738" s="63"/>
      <c r="N1738" s="63"/>
      <c r="O1738" s="63"/>
      <c r="P1738" s="63"/>
      <c r="Q1738" s="63"/>
      <c r="R1738" s="63"/>
      <c r="S1738" s="63"/>
      <c r="T1738" s="63"/>
      <c r="U1738" s="63"/>
      <c r="V1738" s="63"/>
      <c r="W1738" s="63"/>
      <c r="X1738" s="63"/>
      <c r="Y1738" s="63"/>
      <c r="Z1738" s="63"/>
      <c r="AA1738" s="63"/>
      <c r="AB1738" s="63"/>
      <c r="AC1738" s="63"/>
    </row>
    <row r="1739" spans="1:29" x14ac:dyDescent="0.25">
      <c r="A1739" s="108">
        <v>46043</v>
      </c>
      <c r="B1739" s="109">
        <v>35</v>
      </c>
      <c r="C1739" s="49" t="s">
        <v>19</v>
      </c>
      <c r="D1739" s="110" t="str">
        <f>IF(ISBLANK($B1739),"",IFERROR(VLOOKUP($B1739,ESTOQUE!$B$2:$D$97168,3,FALSE),"Produto não cadastrado"))</f>
        <v>BOTINA OP. BICO PVC Nº 37</v>
      </c>
      <c r="E1739" s="99" t="str">
        <f>_xlfn.XLOOKUP(B1739,ESTOQUE!B:B,ESTOQUE!G:G,"",0)</f>
        <v>PAR</v>
      </c>
      <c r="F1739" s="99">
        <v>7</v>
      </c>
      <c r="G1739" s="146"/>
      <c r="H1739" s="146"/>
      <c r="I1739" s="147"/>
      <c r="J1739" s="147"/>
      <c r="K1739" s="63"/>
      <c r="L1739" s="63"/>
      <c r="M1739" s="63"/>
      <c r="N1739" s="63"/>
      <c r="O1739" s="63"/>
      <c r="P1739" s="63"/>
      <c r="Q1739" s="63"/>
      <c r="R1739" s="63"/>
      <c r="S1739" s="63"/>
      <c r="T1739" s="63"/>
      <c r="U1739" s="63"/>
      <c r="V1739" s="63"/>
      <c r="W1739" s="63"/>
      <c r="X1739" s="63"/>
      <c r="Y1739" s="63"/>
      <c r="Z1739" s="63"/>
      <c r="AA1739" s="63"/>
      <c r="AB1739" s="63"/>
      <c r="AC1739" s="63"/>
    </row>
    <row r="1740" spans="1:29" x14ac:dyDescent="0.25">
      <c r="A1740" s="108">
        <v>46043</v>
      </c>
      <c r="B1740" s="109">
        <v>42</v>
      </c>
      <c r="C1740" s="49" t="s">
        <v>19</v>
      </c>
      <c r="D1740" s="110" t="str">
        <f>IF(ISBLANK($B1740),"",IFERROR(VLOOKUP($B1740,ESTOQUE!$B$2:$D$97168,3,FALSE),"Produto não cadastrado"))</f>
        <v>BOTINA OP. BICO PVC Nº 44</v>
      </c>
      <c r="E1740" s="99" t="str">
        <f>_xlfn.XLOOKUP(B1740,ESTOQUE!B:B,ESTOQUE!G:G,"",0)</f>
        <v>PAR</v>
      </c>
      <c r="F1740" s="99">
        <v>25</v>
      </c>
      <c r="G1740" s="146"/>
      <c r="H1740" s="146"/>
      <c r="I1740" s="147"/>
      <c r="J1740" s="147"/>
      <c r="K1740" s="63"/>
      <c r="L1740" s="63"/>
      <c r="M1740" s="63"/>
      <c r="N1740" s="63"/>
      <c r="O1740" s="63"/>
      <c r="P1740" s="63"/>
      <c r="Q1740" s="63"/>
      <c r="R1740" s="63"/>
      <c r="S1740" s="63"/>
      <c r="T1740" s="63"/>
      <c r="U1740" s="63"/>
      <c r="V1740" s="63"/>
      <c r="W1740" s="63"/>
      <c r="X1740" s="63"/>
      <c r="Y1740" s="63"/>
      <c r="Z1740" s="63"/>
      <c r="AA1740" s="63"/>
      <c r="AB1740" s="63"/>
      <c r="AC1740" s="63"/>
    </row>
    <row r="1741" spans="1:29" x14ac:dyDescent="0.25">
      <c r="A1741" s="108">
        <v>46043</v>
      </c>
      <c r="B1741" s="109">
        <v>73</v>
      </c>
      <c r="C1741" s="49" t="s">
        <v>19</v>
      </c>
      <c r="D1741" s="110" t="str">
        <f>IF(ISBLANK($B1741),"",IFERROR(VLOOKUP($B1741,ESTOQUE!$B$2:$D$97168,3,FALSE),"Produto não cadastrado"))</f>
        <v>CAPA DE CHUVA GG</v>
      </c>
      <c r="E1741" s="99" t="str">
        <f>_xlfn.XLOOKUP(B1741,ESTOQUE!B:B,ESTOQUE!G:G,"",0)</f>
        <v>UND</v>
      </c>
      <c r="F1741" s="99">
        <v>200</v>
      </c>
      <c r="G1741" s="146"/>
      <c r="H1741" s="146"/>
      <c r="I1741" s="147"/>
      <c r="J1741" s="147"/>
      <c r="K1741" s="63"/>
      <c r="L1741" s="63"/>
      <c r="M1741" s="63"/>
      <c r="N1741" s="63"/>
      <c r="O1741" s="63"/>
      <c r="P1741" s="63"/>
      <c r="Q1741" s="63"/>
      <c r="R1741" s="63"/>
      <c r="S1741" s="63"/>
      <c r="T1741" s="63"/>
      <c r="U1741" s="63"/>
      <c r="V1741" s="63"/>
      <c r="W1741" s="63"/>
      <c r="X1741" s="63"/>
      <c r="Y1741" s="63"/>
      <c r="Z1741" s="63"/>
      <c r="AA1741" s="63"/>
      <c r="AB1741" s="63"/>
      <c r="AC1741" s="63"/>
    </row>
    <row r="1742" spans="1:29" x14ac:dyDescent="0.25">
      <c r="A1742" s="108">
        <v>46043</v>
      </c>
      <c r="B1742" s="109">
        <v>77</v>
      </c>
      <c r="C1742" s="49" t="s">
        <v>19</v>
      </c>
      <c r="D1742" s="110" t="str">
        <f>IF(ISBLANK($B1742),"",IFERROR(VLOOKUP($B1742,ESTOQUE!$B$2:$D$97168,3,FALSE),"Produto não cadastrado"))</f>
        <v>CAPACETE CAMPER CINZA</v>
      </c>
      <c r="E1742" s="99" t="str">
        <f>_xlfn.XLOOKUP(B1742,ESTOQUE!B:B,ESTOQUE!G:G,"",0)</f>
        <v>UND</v>
      </c>
      <c r="F1742" s="99">
        <v>1</v>
      </c>
      <c r="G1742" s="146"/>
      <c r="H1742" s="146"/>
      <c r="I1742" s="147"/>
      <c r="J1742" s="147"/>
      <c r="K1742" s="63"/>
      <c r="L1742" s="63"/>
      <c r="M1742" s="63"/>
      <c r="N1742" s="63"/>
      <c r="O1742" s="63"/>
      <c r="P1742" s="63"/>
      <c r="Q1742" s="63"/>
      <c r="R1742" s="63"/>
      <c r="S1742" s="63"/>
      <c r="T1742" s="63"/>
      <c r="U1742" s="63"/>
      <c r="V1742" s="63"/>
      <c r="W1742" s="63"/>
      <c r="X1742" s="63"/>
      <c r="Y1742" s="63"/>
      <c r="Z1742" s="63"/>
      <c r="AA1742" s="63"/>
      <c r="AB1742" s="63"/>
      <c r="AC1742" s="63"/>
    </row>
    <row r="1743" spans="1:29" x14ac:dyDescent="0.25">
      <c r="A1743" s="108">
        <v>46043</v>
      </c>
      <c r="B1743" s="109">
        <v>81</v>
      </c>
      <c r="C1743" s="49" t="s">
        <v>19</v>
      </c>
      <c r="D1743" s="110" t="str">
        <f>IF(ISBLANK($B1743),"",IFERROR(VLOOKUP($B1743,ESTOQUE!$B$2:$D$97168,3,FALSE),"Produto não cadastrado"))</f>
        <v>CAPACETE LIBUS BRANCO</v>
      </c>
      <c r="E1743" s="99" t="str">
        <f>_xlfn.XLOOKUP(B1743,ESTOQUE!B:B,ESTOQUE!G:G,"",0)</f>
        <v>UND</v>
      </c>
      <c r="F1743" s="99">
        <v>1</v>
      </c>
      <c r="G1743" s="146"/>
      <c r="H1743" s="146"/>
      <c r="I1743" s="147"/>
      <c r="J1743" s="147"/>
      <c r="K1743" s="63"/>
      <c r="L1743" s="63"/>
      <c r="M1743" s="63"/>
      <c r="N1743" s="63"/>
      <c r="O1743" s="63"/>
      <c r="P1743" s="63"/>
      <c r="Q1743" s="63"/>
      <c r="R1743" s="63"/>
      <c r="S1743" s="63"/>
      <c r="T1743" s="63"/>
      <c r="U1743" s="63"/>
      <c r="V1743" s="63"/>
      <c r="W1743" s="63"/>
      <c r="X1743" s="63"/>
      <c r="Y1743" s="63"/>
      <c r="Z1743" s="63"/>
      <c r="AA1743" s="63"/>
      <c r="AB1743" s="63"/>
      <c r="AC1743" s="63"/>
    </row>
    <row r="1744" spans="1:29" x14ac:dyDescent="0.25">
      <c r="A1744" s="108">
        <v>46043</v>
      </c>
      <c r="B1744" s="109">
        <v>83</v>
      </c>
      <c r="C1744" s="49" t="s">
        <v>19</v>
      </c>
      <c r="D1744" s="110" t="str">
        <f>IF(ISBLANK($B1744),"",IFERROR(VLOOKUP($B1744,ESTOQUE!$B$2:$D$97168,3,FALSE),"Produto não cadastrado"))</f>
        <v>CAPACETE LIBUS LARANJA</v>
      </c>
      <c r="E1744" s="99" t="str">
        <f>_xlfn.XLOOKUP(B1744,ESTOQUE!B:B,ESTOQUE!G:G,"",0)</f>
        <v>UND</v>
      </c>
      <c r="F1744" s="99">
        <v>1</v>
      </c>
      <c r="G1744" s="146"/>
      <c r="H1744" s="146"/>
      <c r="I1744" s="147"/>
      <c r="J1744" s="147"/>
      <c r="K1744" s="63"/>
      <c r="L1744" s="63"/>
      <c r="M1744" s="63"/>
      <c r="N1744" s="63"/>
      <c r="O1744" s="63"/>
      <c r="P1744" s="63"/>
      <c r="Q1744" s="63"/>
      <c r="R1744" s="63"/>
      <c r="S1744" s="63"/>
      <c r="T1744" s="63"/>
      <c r="U1744" s="63"/>
      <c r="V1744" s="63"/>
      <c r="W1744" s="63"/>
      <c r="X1744" s="63"/>
      <c r="Y1744" s="63"/>
      <c r="Z1744" s="63"/>
      <c r="AA1744" s="63"/>
      <c r="AB1744" s="63"/>
      <c r="AC1744" s="63"/>
    </row>
    <row r="1745" spans="1:29" x14ac:dyDescent="0.25">
      <c r="A1745" s="108">
        <v>46043</v>
      </c>
      <c r="B1745" s="109">
        <v>87</v>
      </c>
      <c r="C1745" s="49" t="s">
        <v>19</v>
      </c>
      <c r="D1745" s="110" t="str">
        <f>IF(ISBLANK($B1745),"",IFERROR(VLOOKUP($B1745,ESTOQUE!$B$2:$D$97168,3,FALSE),"Produto não cadastrado"))</f>
        <v>CAPACETE PLASTCOR AMARELO</v>
      </c>
      <c r="E1745" s="99" t="str">
        <f>_xlfn.XLOOKUP(B1745,ESTOQUE!B:B,ESTOQUE!G:G,"",0)</f>
        <v>UND</v>
      </c>
      <c r="F1745" s="99">
        <v>1</v>
      </c>
      <c r="G1745" s="146"/>
      <c r="H1745" s="146"/>
      <c r="I1745" s="147"/>
      <c r="J1745" s="147"/>
      <c r="K1745" s="63"/>
      <c r="L1745" s="63"/>
      <c r="M1745" s="63"/>
      <c r="N1745" s="63"/>
      <c r="O1745" s="63"/>
      <c r="P1745" s="63"/>
      <c r="Q1745" s="63"/>
      <c r="R1745" s="63"/>
      <c r="S1745" s="63"/>
      <c r="T1745" s="63"/>
      <c r="U1745" s="63"/>
      <c r="V1745" s="63"/>
      <c r="W1745" s="63"/>
      <c r="X1745" s="63"/>
      <c r="Y1745" s="63"/>
      <c r="Z1745" s="63"/>
      <c r="AA1745" s="63"/>
      <c r="AB1745" s="63"/>
      <c r="AC1745" s="63"/>
    </row>
    <row r="1746" spans="1:29" x14ac:dyDescent="0.25">
      <c r="A1746" s="108">
        <v>46043</v>
      </c>
      <c r="B1746" s="109">
        <v>91</v>
      </c>
      <c r="C1746" s="49" t="s">
        <v>19</v>
      </c>
      <c r="D1746" s="110" t="str">
        <f>IF(ISBLANK($B1746),"",IFERROR(VLOOKUP($B1746,ESTOQUE!$B$2:$D$97168,3,FALSE),"Produto não cadastrado"))</f>
        <v>CAPACETE PLASTCOR ROXO</v>
      </c>
      <c r="E1746" s="99" t="str">
        <f>_xlfn.XLOOKUP(B1746,ESTOQUE!B:B,ESTOQUE!G:G,"",0)</f>
        <v>UND</v>
      </c>
      <c r="F1746" s="99">
        <v>1</v>
      </c>
      <c r="G1746" s="146"/>
      <c r="H1746" s="146"/>
      <c r="I1746" s="147"/>
      <c r="J1746" s="147"/>
      <c r="K1746" s="63"/>
      <c r="L1746" s="63"/>
      <c r="M1746" s="63"/>
      <c r="N1746" s="63"/>
      <c r="O1746" s="63"/>
      <c r="P1746" s="63"/>
      <c r="Q1746" s="63"/>
      <c r="R1746" s="63"/>
      <c r="S1746" s="63"/>
      <c r="T1746" s="63"/>
      <c r="U1746" s="63"/>
      <c r="V1746" s="63"/>
      <c r="W1746" s="63"/>
      <c r="X1746" s="63"/>
      <c r="Y1746" s="63"/>
      <c r="Z1746" s="63"/>
      <c r="AA1746" s="63"/>
      <c r="AB1746" s="63"/>
      <c r="AC1746" s="63"/>
    </row>
    <row r="1747" spans="1:29" x14ac:dyDescent="0.25">
      <c r="A1747" s="108">
        <v>46043</v>
      </c>
      <c r="B1747" s="109">
        <v>96</v>
      </c>
      <c r="C1747" s="49" t="s">
        <v>19</v>
      </c>
      <c r="D1747" s="110" t="str">
        <f>IF(ISBLANK($B1747),"",IFERROR(VLOOKUP($B1747,ESTOQUE!$B$2:$D$97168,3,FALSE),"Produto não cadastrado"))</f>
        <v xml:space="preserve">CINTO DE SEGURANÇA MODELO:C70 </v>
      </c>
      <c r="E1747" s="99" t="str">
        <f>_xlfn.XLOOKUP(B1747,ESTOQUE!B:B,ESTOQUE!G:G,"",0)</f>
        <v>UND</v>
      </c>
      <c r="F1747" s="99">
        <v>12</v>
      </c>
      <c r="G1747" s="146"/>
      <c r="H1747" s="146"/>
      <c r="I1747" s="147"/>
      <c r="J1747" s="147"/>
      <c r="K1747" s="63"/>
      <c r="L1747" s="63"/>
      <c r="M1747" s="63"/>
      <c r="N1747" s="63"/>
      <c r="O1747" s="63"/>
      <c r="P1747" s="63"/>
      <c r="Q1747" s="63"/>
      <c r="R1747" s="63"/>
      <c r="S1747" s="63"/>
      <c r="T1747" s="63"/>
      <c r="U1747" s="63"/>
      <c r="V1747" s="63"/>
      <c r="W1747" s="63"/>
      <c r="X1747" s="63"/>
      <c r="Y1747" s="63"/>
      <c r="Z1747" s="63"/>
      <c r="AA1747" s="63"/>
      <c r="AB1747" s="63"/>
      <c r="AC1747" s="63"/>
    </row>
    <row r="1748" spans="1:29" x14ac:dyDescent="0.25">
      <c r="A1748" s="108">
        <v>46043</v>
      </c>
      <c r="B1748" s="109">
        <v>161</v>
      </c>
      <c r="C1748" s="49" t="s">
        <v>19</v>
      </c>
      <c r="D1748" s="110" t="str">
        <f>IF(ISBLANK($B1748),"",IFERROR(VLOOKUP($B1748,ESTOQUE!$B$2:$D$97168,3,FALSE),"Produto não cadastrado"))</f>
        <v>JUGULAR</v>
      </c>
      <c r="E1748" s="99" t="str">
        <f>_xlfn.XLOOKUP(B1748,ESTOQUE!B:B,ESTOQUE!G:G,"",0)</f>
        <v>UND</v>
      </c>
      <c r="F1748" s="99">
        <v>4</v>
      </c>
      <c r="G1748" s="146"/>
      <c r="H1748" s="146"/>
      <c r="I1748" s="147"/>
      <c r="J1748" s="147"/>
      <c r="K1748" s="63"/>
      <c r="L1748" s="63"/>
      <c r="M1748" s="63"/>
      <c r="N1748" s="63"/>
      <c r="O1748" s="63"/>
      <c r="P1748" s="63"/>
      <c r="Q1748" s="63"/>
      <c r="R1748" s="63"/>
      <c r="S1748" s="63"/>
      <c r="T1748" s="63"/>
      <c r="U1748" s="63"/>
      <c r="V1748" s="63"/>
      <c r="W1748" s="63"/>
      <c r="X1748" s="63"/>
      <c r="Y1748" s="63"/>
      <c r="Z1748" s="63"/>
      <c r="AA1748" s="63"/>
      <c r="AB1748" s="63"/>
      <c r="AC1748" s="63"/>
    </row>
    <row r="1749" spans="1:29" x14ac:dyDescent="0.25">
      <c r="A1749" s="108">
        <v>46043</v>
      </c>
      <c r="B1749" s="109">
        <v>207</v>
      </c>
      <c r="C1749" s="49" t="s">
        <v>19</v>
      </c>
      <c r="D1749" s="110" t="str">
        <f>IF(ISBLANK($B1749),"",IFERROR(VLOOKUP($B1749,ESTOQUE!$B$2:$D$97168,3,FALSE),"Produto não cadastrado"))</f>
        <v>LUVA POLIESTER ANTICORTE BANHADA PU TAM 9</v>
      </c>
      <c r="E1749" s="99" t="str">
        <f>_xlfn.XLOOKUP(B1749,ESTOQUE!B:B,ESTOQUE!G:G,"",0)</f>
        <v>PAR</v>
      </c>
      <c r="F1749" s="99">
        <v>157</v>
      </c>
      <c r="G1749" s="146"/>
      <c r="H1749" s="146"/>
      <c r="I1749" s="147"/>
      <c r="J1749" s="147"/>
      <c r="K1749" s="63"/>
      <c r="L1749" s="63"/>
      <c r="M1749" s="63"/>
      <c r="N1749" s="63"/>
      <c r="O1749" s="63"/>
      <c r="P1749" s="63"/>
      <c r="Q1749" s="63"/>
      <c r="R1749" s="63"/>
      <c r="S1749" s="63"/>
      <c r="T1749" s="63"/>
      <c r="U1749" s="63"/>
      <c r="V1749" s="63"/>
      <c r="W1749" s="63"/>
      <c r="X1749" s="63"/>
      <c r="Y1749" s="63"/>
      <c r="Z1749" s="63"/>
      <c r="AA1749" s="63"/>
      <c r="AB1749" s="63"/>
      <c r="AC1749" s="63"/>
    </row>
    <row r="1750" spans="1:29" x14ac:dyDescent="0.25">
      <c r="A1750" s="108">
        <v>46043</v>
      </c>
      <c r="B1750" s="109">
        <v>224</v>
      </c>
      <c r="C1750" s="49" t="s">
        <v>19</v>
      </c>
      <c r="D1750" s="110" t="str">
        <f>IF(ISBLANK($B1750),"",IFERROR(VLOOKUP($B1750,ESTOQUE!$B$2:$D$97168,3,FALSE),"Produto não cadastrado"))</f>
        <v>OCULOS OPERACIONAL SOBRE POR ESCURO</v>
      </c>
      <c r="E1750" s="99" t="str">
        <f>_xlfn.XLOOKUP(B1750,ESTOQUE!B:B,ESTOQUE!G:G,"",0)</f>
        <v>UND</v>
      </c>
      <c r="F1750" s="99">
        <v>25</v>
      </c>
      <c r="G1750" s="146"/>
      <c r="H1750" s="146"/>
      <c r="I1750" s="147"/>
      <c r="J1750" s="147"/>
      <c r="K1750" s="63"/>
      <c r="L1750" s="63"/>
      <c r="M1750" s="63"/>
      <c r="N1750" s="63"/>
      <c r="O1750" s="63"/>
      <c r="P1750" s="63"/>
      <c r="Q1750" s="63"/>
      <c r="R1750" s="63"/>
      <c r="S1750" s="63"/>
      <c r="T1750" s="63"/>
      <c r="U1750" s="63"/>
      <c r="V1750" s="63"/>
      <c r="W1750" s="63"/>
      <c r="X1750" s="63"/>
      <c r="Y1750" s="63"/>
      <c r="Z1750" s="63"/>
      <c r="AA1750" s="63"/>
      <c r="AB1750" s="63"/>
      <c r="AC1750" s="63"/>
    </row>
    <row r="1751" spans="1:29" x14ac:dyDescent="0.25">
      <c r="A1751" s="108">
        <v>46043</v>
      </c>
      <c r="B1751" s="109">
        <v>130</v>
      </c>
      <c r="C1751" s="49" t="s">
        <v>19</v>
      </c>
      <c r="D1751" s="110" t="str">
        <f>IF(ISBLANK($B1751),"",IFERROR(VLOOKUP($B1751,ESTOQUE!$B$2:$D$97168,3,FALSE),"Produto não cadastrado"))</f>
        <v>PROTETOR AUDITIVO TIPO CONCHA L-300</v>
      </c>
      <c r="E1751" s="99" t="str">
        <f>_xlfn.XLOOKUP(B1751,ESTOQUE!B:B,ESTOQUE!G:G,"",0)</f>
        <v>UND</v>
      </c>
      <c r="F1751" s="99">
        <v>3</v>
      </c>
      <c r="G1751" s="146"/>
      <c r="H1751" s="146"/>
      <c r="I1751" s="147"/>
      <c r="J1751" s="147"/>
      <c r="K1751" s="63"/>
      <c r="L1751" s="63"/>
      <c r="M1751" s="63"/>
      <c r="N1751" s="63"/>
      <c r="O1751" s="63"/>
      <c r="P1751" s="63"/>
      <c r="Q1751" s="63"/>
      <c r="R1751" s="63"/>
      <c r="S1751" s="63"/>
      <c r="T1751" s="63"/>
      <c r="U1751" s="63"/>
      <c r="V1751" s="63"/>
      <c r="W1751" s="63"/>
      <c r="X1751" s="63"/>
      <c r="Y1751" s="63"/>
      <c r="Z1751" s="63"/>
      <c r="AA1751" s="63"/>
      <c r="AB1751" s="63"/>
      <c r="AC1751" s="63"/>
    </row>
    <row r="1752" spans="1:29" x14ac:dyDescent="0.25">
      <c r="A1752" s="108">
        <v>46043</v>
      </c>
      <c r="B1752" s="109">
        <v>135</v>
      </c>
      <c r="C1752" s="49" t="s">
        <v>19</v>
      </c>
      <c r="D1752" s="110" t="str">
        <f>IF(ISBLANK($B1752),"",IFERROR(VLOOKUP($B1752,ESTOQUE!$B$2:$D$97168,3,FALSE),"Produto não cadastrado"))</f>
        <v>TALABARTE DUPLO TIPO Y</v>
      </c>
      <c r="E1752" s="99" t="str">
        <f>_xlfn.XLOOKUP(B1752,ESTOQUE!B:B,ESTOQUE!G:G,"",0)</f>
        <v>UND</v>
      </c>
      <c r="F1752" s="99">
        <v>99</v>
      </c>
      <c r="G1752" s="146"/>
      <c r="H1752" s="146"/>
      <c r="I1752" s="147"/>
      <c r="J1752" s="147"/>
      <c r="K1752" s="63"/>
      <c r="L1752" s="63"/>
      <c r="M1752" s="63"/>
      <c r="N1752" s="63"/>
      <c r="O1752" s="63"/>
      <c r="P1752" s="63"/>
      <c r="Q1752" s="63"/>
      <c r="R1752" s="63"/>
      <c r="S1752" s="63"/>
      <c r="T1752" s="63"/>
      <c r="U1752" s="63"/>
      <c r="V1752" s="63"/>
      <c r="W1752" s="63"/>
      <c r="X1752" s="63"/>
      <c r="Y1752" s="63"/>
      <c r="Z1752" s="63"/>
      <c r="AA1752" s="63"/>
      <c r="AB1752" s="63"/>
      <c r="AC1752" s="63"/>
    </row>
    <row r="1753" spans="1:29" x14ac:dyDescent="0.25">
      <c r="A1753" s="108">
        <v>46043</v>
      </c>
      <c r="B1753" s="109">
        <v>136</v>
      </c>
      <c r="C1753" s="49" t="s">
        <v>19</v>
      </c>
      <c r="D1753" s="110" t="str">
        <f>IF(ISBLANK($B1753),"",IFERROR(VLOOKUP($B1753,ESTOQUE!$B$2:$D$97168,3,FALSE),"Produto não cadastrado"))</f>
        <v>TAYCO CARTUCHO P/ GASES TGV-500 - MASCARA</v>
      </c>
      <c r="E1753" s="99" t="str">
        <f>_xlfn.XLOOKUP(B1753,ESTOQUE!B:B,ESTOQUE!G:G,"",0)</f>
        <v>UND</v>
      </c>
      <c r="F1753" s="99">
        <v>19</v>
      </c>
      <c r="G1753" s="146"/>
      <c r="H1753" s="146"/>
      <c r="I1753" s="147"/>
      <c r="J1753" s="147"/>
      <c r="K1753" s="63"/>
      <c r="L1753" s="63"/>
      <c r="M1753" s="63"/>
      <c r="N1753" s="63"/>
      <c r="O1753" s="63"/>
      <c r="P1753" s="63"/>
      <c r="Q1753" s="63"/>
      <c r="R1753" s="63"/>
      <c r="S1753" s="63"/>
      <c r="T1753" s="63"/>
      <c r="U1753" s="63"/>
      <c r="V1753" s="63"/>
      <c r="W1753" s="63"/>
      <c r="X1753" s="63"/>
      <c r="Y1753" s="63"/>
      <c r="Z1753" s="63"/>
      <c r="AA1753" s="63"/>
      <c r="AB1753" s="63"/>
      <c r="AC1753" s="63"/>
    </row>
    <row r="1754" spans="1:29" x14ac:dyDescent="0.25">
      <c r="A1754" s="108">
        <v>46043</v>
      </c>
      <c r="B1754" s="109">
        <v>137</v>
      </c>
      <c r="C1754" s="49" t="s">
        <v>19</v>
      </c>
      <c r="D1754" s="110" t="str">
        <f>IF(ISBLANK($B1754),"",IFERROR(VLOOKUP($B1754,ESTOQUE!$B$2:$D$97168,3,FALSE),"Produto não cadastrado"))</f>
        <v xml:space="preserve">TOUCA ARABE </v>
      </c>
      <c r="E1754" s="99" t="str">
        <f>_xlfn.XLOOKUP(B1754,ESTOQUE!B:B,ESTOQUE!G:G,"",0)</f>
        <v>UND</v>
      </c>
      <c r="F1754" s="99">
        <v>5</v>
      </c>
      <c r="G1754" s="146"/>
      <c r="H1754" s="146"/>
      <c r="I1754" s="147"/>
      <c r="J1754" s="147"/>
      <c r="K1754" s="63"/>
      <c r="L1754" s="63"/>
      <c r="M1754" s="63"/>
      <c r="N1754" s="63"/>
      <c r="O1754" s="63"/>
      <c r="P1754" s="63"/>
      <c r="Q1754" s="63"/>
      <c r="R1754" s="63"/>
      <c r="S1754" s="63"/>
      <c r="T1754" s="63"/>
      <c r="U1754" s="63"/>
      <c r="V1754" s="63"/>
      <c r="W1754" s="63"/>
      <c r="X1754" s="63"/>
      <c r="Y1754" s="63"/>
      <c r="Z1754" s="63"/>
      <c r="AA1754" s="63"/>
      <c r="AB1754" s="63"/>
      <c r="AC1754" s="63"/>
    </row>
    <row r="1755" spans="1:29" x14ac:dyDescent="0.25">
      <c r="A1755" s="108">
        <v>46043</v>
      </c>
      <c r="B1755" s="109">
        <v>194</v>
      </c>
      <c r="C1755" s="49" t="s">
        <v>19</v>
      </c>
      <c r="D1755" s="110" t="str">
        <f>IF(ISBLANK($B1755),"",IFERROR(VLOOKUP($B1755,ESTOQUE!$B$2:$D$97168,3,FALSE),"Produto não cadastrado"))</f>
        <v>VISEIRA ACOPLADA</v>
      </c>
      <c r="E1755" s="99" t="str">
        <f>_xlfn.XLOOKUP(B1755,ESTOQUE!B:B,ESTOQUE!G:G,"",0)</f>
        <v>UND</v>
      </c>
      <c r="F1755" s="99">
        <v>2</v>
      </c>
      <c r="G1755" s="146"/>
      <c r="H1755" s="146"/>
      <c r="I1755" s="147"/>
      <c r="J1755" s="147"/>
      <c r="K1755" s="63"/>
      <c r="L1755" s="63"/>
      <c r="M1755" s="63"/>
      <c r="N1755" s="63"/>
      <c r="O1755" s="63"/>
      <c r="P1755" s="63"/>
      <c r="Q1755" s="63"/>
      <c r="R1755" s="63"/>
      <c r="S1755" s="63"/>
      <c r="T1755" s="63"/>
      <c r="U1755" s="63"/>
      <c r="V1755" s="63"/>
      <c r="W1755" s="63"/>
      <c r="X1755" s="63"/>
      <c r="Y1755" s="63"/>
      <c r="Z1755" s="63"/>
      <c r="AA1755" s="63"/>
      <c r="AB1755" s="63"/>
      <c r="AC1755" s="63"/>
    </row>
    <row r="1756" spans="1:29" x14ac:dyDescent="0.25">
      <c r="A1756" s="108">
        <v>46043</v>
      </c>
      <c r="B1756" s="109">
        <v>68</v>
      </c>
      <c r="C1756" s="49" t="s">
        <v>19</v>
      </c>
      <c r="D1756" s="110" t="str">
        <f>IF(ISBLANK($B1756),"",IFERROR(VLOOKUP($B1756,ESTOQUE!$B$2:$D$97168,3,FALSE),"Produto não cadastrado"))</f>
        <v>CAMISA LARANJA OP. C/ FAIXA REFLETIVA TAM: GG</v>
      </c>
      <c r="E1756" s="99" t="str">
        <f>_xlfn.XLOOKUP(B1756,ESTOQUE!B:B,ESTOQUE!G:G,"",0)</f>
        <v>UND</v>
      </c>
      <c r="F1756" s="99">
        <v>4</v>
      </c>
      <c r="G1756" s="146"/>
      <c r="H1756" s="146"/>
      <c r="I1756" s="147"/>
      <c r="J1756" s="147"/>
      <c r="K1756" s="63"/>
      <c r="L1756" s="63"/>
      <c r="M1756" s="63"/>
      <c r="N1756" s="63"/>
      <c r="O1756" s="63"/>
      <c r="P1756" s="63"/>
      <c r="Q1756" s="63"/>
      <c r="R1756" s="63"/>
      <c r="S1756" s="63"/>
      <c r="T1756" s="63"/>
      <c r="U1756" s="63"/>
      <c r="V1756" s="63"/>
      <c r="W1756" s="63"/>
      <c r="X1756" s="63"/>
      <c r="Y1756" s="63"/>
      <c r="Z1756" s="63"/>
      <c r="AA1756" s="63"/>
      <c r="AB1756" s="63"/>
      <c r="AC1756" s="63"/>
    </row>
    <row r="1757" spans="1:29" x14ac:dyDescent="0.25">
      <c r="A1757" s="108">
        <v>46043</v>
      </c>
      <c r="B1757" s="109">
        <v>67</v>
      </c>
      <c r="C1757" s="49" t="s">
        <v>19</v>
      </c>
      <c r="D1757" s="110" t="str">
        <f>IF(ISBLANK($B1757),"",IFERROR(VLOOKUP($B1757,ESTOQUE!$B$2:$D$97168,3,FALSE),"Produto não cadastrado"))</f>
        <v>CAMISA LARANJA OP. C/ FAIXA REFLETIVA TAM: G</v>
      </c>
      <c r="E1757" s="99" t="str">
        <f>_xlfn.XLOOKUP(B1757,ESTOQUE!B:B,ESTOQUE!G:G,"",0)</f>
        <v>UND</v>
      </c>
      <c r="F1757" s="99">
        <v>5</v>
      </c>
      <c r="G1757" s="146"/>
      <c r="H1757" s="146"/>
      <c r="I1757" s="147"/>
      <c r="J1757" s="147"/>
      <c r="K1757" s="63"/>
      <c r="L1757" s="63"/>
      <c r="M1757" s="63"/>
      <c r="N1757" s="63"/>
      <c r="O1757" s="63"/>
      <c r="P1757" s="63"/>
      <c r="Q1757" s="63"/>
      <c r="R1757" s="63"/>
      <c r="S1757" s="63"/>
      <c r="T1757" s="63"/>
      <c r="U1757" s="63"/>
      <c r="V1757" s="63"/>
      <c r="W1757" s="63"/>
      <c r="X1757" s="63"/>
      <c r="Y1757" s="63"/>
      <c r="Z1757" s="63"/>
      <c r="AA1757" s="63"/>
      <c r="AB1757" s="63"/>
      <c r="AC1757" s="63"/>
    </row>
    <row r="1758" spans="1:29" x14ac:dyDescent="0.25">
      <c r="A1758" s="108">
        <v>46043</v>
      </c>
      <c r="B1758" s="109">
        <v>69</v>
      </c>
      <c r="C1758" s="49" t="s">
        <v>19</v>
      </c>
      <c r="D1758" s="110" t="str">
        <f>IF(ISBLANK($B1758),"",IFERROR(VLOOKUP($B1758,ESTOQUE!$B$2:$D$97168,3,FALSE),"Produto não cadastrado"))</f>
        <v>CAMISA LARANJA OP. C/ FAIXA REFLETIVA TAM: M</v>
      </c>
      <c r="E1758" s="99" t="str">
        <f>_xlfn.XLOOKUP(B1758,ESTOQUE!B:B,ESTOQUE!G:G,"",0)</f>
        <v>UND</v>
      </c>
      <c r="F1758" s="99">
        <v>12</v>
      </c>
      <c r="G1758" s="146"/>
      <c r="H1758" s="146"/>
      <c r="I1758" s="147"/>
      <c r="J1758" s="147"/>
      <c r="K1758" s="63"/>
      <c r="L1758" s="63"/>
      <c r="M1758" s="63"/>
      <c r="N1758" s="63"/>
      <c r="O1758" s="63"/>
      <c r="P1758" s="63"/>
      <c r="Q1758" s="63"/>
      <c r="R1758" s="63"/>
      <c r="S1758" s="63"/>
      <c r="T1758" s="63"/>
      <c r="U1758" s="63"/>
      <c r="V1758" s="63"/>
      <c r="W1758" s="63"/>
      <c r="X1758" s="63"/>
      <c r="Y1758" s="63"/>
      <c r="Z1758" s="63"/>
      <c r="AA1758" s="63"/>
      <c r="AB1758" s="63"/>
      <c r="AC1758" s="63"/>
    </row>
    <row r="1759" spans="1:29" x14ac:dyDescent="0.25">
      <c r="A1759" s="108">
        <v>46043</v>
      </c>
      <c r="B1759" s="109">
        <v>70</v>
      </c>
      <c r="C1759" s="49" t="s">
        <v>19</v>
      </c>
      <c r="D1759" s="110" t="str">
        <f>IF(ISBLANK($B1759),"",IFERROR(VLOOKUP($B1759,ESTOQUE!$B$2:$D$97168,3,FALSE),"Produto não cadastrado"))</f>
        <v>CAMISA LARANJA OP. C/ FAIXA REFLETIVA TAM: P</v>
      </c>
      <c r="E1759" s="99" t="str">
        <f>_xlfn.XLOOKUP(B1759,ESTOQUE!B:B,ESTOQUE!G:G,"",0)</f>
        <v>UND</v>
      </c>
      <c r="F1759" s="99">
        <v>8</v>
      </c>
      <c r="G1759" s="146"/>
      <c r="H1759" s="146"/>
      <c r="I1759" s="147"/>
      <c r="J1759" s="147"/>
      <c r="K1759" s="63"/>
      <c r="L1759" s="63"/>
      <c r="M1759" s="63"/>
      <c r="N1759" s="63"/>
      <c r="O1759" s="63"/>
      <c r="P1759" s="63"/>
      <c r="Q1759" s="63"/>
      <c r="R1759" s="63"/>
      <c r="S1759" s="63"/>
      <c r="T1759" s="63"/>
      <c r="U1759" s="63"/>
      <c r="V1759" s="63"/>
      <c r="W1759" s="63"/>
      <c r="X1759" s="63"/>
      <c r="Y1759" s="63"/>
      <c r="Z1759" s="63"/>
      <c r="AA1759" s="63"/>
      <c r="AB1759" s="63"/>
      <c r="AC1759" s="63"/>
    </row>
    <row r="1760" spans="1:29" x14ac:dyDescent="0.25">
      <c r="A1760" s="108">
        <v>46043</v>
      </c>
      <c r="B1760" s="109">
        <v>71</v>
      </c>
      <c r="C1760" s="49" t="s">
        <v>19</v>
      </c>
      <c r="D1760" s="110" t="str">
        <f>IF(ISBLANK($B1760),"",IFERROR(VLOOKUP($B1760,ESTOQUE!$B$2:$D$97168,3,FALSE),"Produto não cadastrado"))</f>
        <v>CAMISA LARANJA OP. C/ FAIXA REFLETIVA TAM: XG</v>
      </c>
      <c r="E1760" s="99" t="str">
        <f>_xlfn.XLOOKUP(B1760,ESTOQUE!B:B,ESTOQUE!G:G,"",0)</f>
        <v>UND</v>
      </c>
      <c r="F1760" s="99">
        <v>10</v>
      </c>
      <c r="G1760" s="146"/>
      <c r="H1760" s="146"/>
      <c r="I1760" s="147"/>
      <c r="J1760" s="147"/>
      <c r="K1760" s="63"/>
      <c r="L1760" s="63"/>
      <c r="M1760" s="63"/>
      <c r="N1760" s="63"/>
      <c r="O1760" s="63"/>
      <c r="P1760" s="63"/>
      <c r="Q1760" s="63"/>
      <c r="R1760" s="63"/>
      <c r="S1760" s="63"/>
      <c r="T1760" s="63"/>
      <c r="U1760" s="63"/>
      <c r="V1760" s="63"/>
      <c r="W1760" s="63"/>
      <c r="X1760" s="63"/>
      <c r="Y1760" s="63"/>
      <c r="Z1760" s="63"/>
      <c r="AA1760" s="63"/>
      <c r="AB1760" s="63"/>
      <c r="AC1760" s="63"/>
    </row>
    <row r="1761" spans="1:29" x14ac:dyDescent="0.25">
      <c r="A1761" s="108">
        <v>46043</v>
      </c>
      <c r="B1761" s="109">
        <v>46</v>
      </c>
      <c r="C1761" s="49" t="s">
        <v>19</v>
      </c>
      <c r="D1761" s="110" t="str">
        <f>IF(ISBLANK($B1761),"",IFERROR(VLOOKUP($B1761,ESTOQUE!$B$2:$D$97168,3,FALSE),"Produto não cadastrado"))</f>
        <v>CALÇA CINZA OP. C/ FAIXA REFLETIVA TAM: G</v>
      </c>
      <c r="E1761" s="99" t="str">
        <f>_xlfn.XLOOKUP(B1761,ESTOQUE!B:B,ESTOQUE!G:G,"",0)</f>
        <v>UND</v>
      </c>
      <c r="F1761" s="99">
        <v>10</v>
      </c>
      <c r="G1761" s="146"/>
      <c r="H1761" s="146"/>
      <c r="I1761" s="147"/>
      <c r="J1761" s="147"/>
      <c r="K1761" s="63"/>
      <c r="L1761" s="63"/>
      <c r="M1761" s="63"/>
      <c r="N1761" s="63"/>
      <c r="O1761" s="63"/>
      <c r="P1761" s="63"/>
      <c r="Q1761" s="63"/>
      <c r="R1761" s="63"/>
      <c r="S1761" s="63"/>
      <c r="T1761" s="63"/>
      <c r="U1761" s="63"/>
      <c r="V1761" s="63"/>
      <c r="W1761" s="63"/>
      <c r="X1761" s="63"/>
      <c r="Y1761" s="63"/>
      <c r="Z1761" s="63"/>
      <c r="AA1761" s="63"/>
      <c r="AB1761" s="63"/>
      <c r="AC1761" s="63"/>
    </row>
    <row r="1762" spans="1:29" x14ac:dyDescent="0.25">
      <c r="A1762" s="108">
        <v>46043</v>
      </c>
      <c r="B1762" s="109">
        <v>47</v>
      </c>
      <c r="C1762" s="49" t="s">
        <v>19</v>
      </c>
      <c r="D1762" s="110" t="str">
        <f>IF(ISBLANK($B1762),"",IFERROR(VLOOKUP($B1762,ESTOQUE!$B$2:$D$97168,3,FALSE),"Produto não cadastrado"))</f>
        <v>CALÇA CINZA OP. C/ FAIXA REFLETIVA TAM: GG</v>
      </c>
      <c r="E1762" s="99" t="str">
        <f>_xlfn.XLOOKUP(B1762,ESTOQUE!B:B,ESTOQUE!G:G,"",0)</f>
        <v>UND</v>
      </c>
      <c r="F1762" s="99">
        <v>5</v>
      </c>
      <c r="G1762" s="146"/>
      <c r="H1762" s="146"/>
      <c r="I1762" s="147"/>
      <c r="J1762" s="147"/>
      <c r="K1762" s="63"/>
      <c r="L1762" s="63"/>
      <c r="M1762" s="63"/>
      <c r="N1762" s="63"/>
      <c r="O1762" s="63"/>
      <c r="P1762" s="63"/>
      <c r="Q1762" s="63"/>
      <c r="R1762" s="63"/>
      <c r="S1762" s="63"/>
      <c r="T1762" s="63"/>
      <c r="U1762" s="63"/>
      <c r="V1762" s="63"/>
      <c r="W1762" s="63"/>
      <c r="X1762" s="63"/>
      <c r="Y1762" s="63"/>
      <c r="Z1762" s="63"/>
      <c r="AA1762" s="63"/>
      <c r="AB1762" s="63"/>
      <c r="AC1762" s="63"/>
    </row>
    <row r="1763" spans="1:29" x14ac:dyDescent="0.25">
      <c r="A1763" s="108">
        <v>46043</v>
      </c>
      <c r="B1763" s="109">
        <v>48</v>
      </c>
      <c r="C1763" s="49" t="s">
        <v>19</v>
      </c>
      <c r="D1763" s="110" t="str">
        <f>IF(ISBLANK($B1763),"",IFERROR(VLOOKUP($B1763,ESTOQUE!$B$2:$D$97168,3,FALSE),"Produto não cadastrado"))</f>
        <v>CALÇA CINZA OP. C/ FAIXA REFLETIVA TAM: M</v>
      </c>
      <c r="E1763" s="99" t="str">
        <f>_xlfn.XLOOKUP(B1763,ESTOQUE!B:B,ESTOQUE!G:G,"",0)</f>
        <v>UND</v>
      </c>
      <c r="F1763" s="99">
        <v>3</v>
      </c>
      <c r="G1763" s="146"/>
      <c r="H1763" s="146"/>
      <c r="I1763" s="147"/>
      <c r="J1763" s="147"/>
      <c r="K1763" s="63"/>
      <c r="L1763" s="63"/>
      <c r="M1763" s="63"/>
      <c r="N1763" s="63"/>
      <c r="O1763" s="63"/>
      <c r="P1763" s="63"/>
      <c r="Q1763" s="63"/>
      <c r="R1763" s="63"/>
      <c r="S1763" s="63"/>
      <c r="T1763" s="63"/>
      <c r="U1763" s="63"/>
      <c r="V1763" s="63"/>
      <c r="W1763" s="63"/>
      <c r="X1763" s="63"/>
      <c r="Y1763" s="63"/>
      <c r="Z1763" s="63"/>
      <c r="AA1763" s="63"/>
      <c r="AB1763" s="63"/>
      <c r="AC1763" s="63"/>
    </row>
    <row r="1764" spans="1:29" x14ac:dyDescent="0.25">
      <c r="A1764" s="108">
        <v>46043</v>
      </c>
      <c r="B1764" s="109">
        <v>49</v>
      </c>
      <c r="C1764" s="49" t="s">
        <v>19</v>
      </c>
      <c r="D1764" s="110" t="str">
        <f>IF(ISBLANK($B1764),"",IFERROR(VLOOKUP($B1764,ESTOQUE!$B$2:$D$97168,3,FALSE),"Produto não cadastrado"))</f>
        <v>CALÇA CINZA OP. C/ FAIXA REFLETIVA TAM: P</v>
      </c>
      <c r="E1764" s="99" t="str">
        <f>_xlfn.XLOOKUP(B1764,ESTOQUE!B:B,ESTOQUE!G:G,"",0)</f>
        <v>UND</v>
      </c>
      <c r="F1764" s="99">
        <v>9</v>
      </c>
      <c r="G1764" s="146"/>
      <c r="H1764" s="146"/>
      <c r="I1764" s="147"/>
      <c r="J1764" s="147"/>
      <c r="K1764" s="63"/>
      <c r="L1764" s="63"/>
      <c r="M1764" s="63"/>
      <c r="N1764" s="63"/>
      <c r="O1764" s="63"/>
      <c r="P1764" s="63"/>
      <c r="Q1764" s="63"/>
      <c r="R1764" s="63"/>
      <c r="S1764" s="63"/>
      <c r="T1764" s="63"/>
      <c r="U1764" s="63"/>
      <c r="V1764" s="63"/>
      <c r="W1764" s="63"/>
      <c r="X1764" s="63"/>
      <c r="Y1764" s="63"/>
      <c r="Z1764" s="63"/>
      <c r="AA1764" s="63"/>
      <c r="AB1764" s="63"/>
      <c r="AC1764" s="63"/>
    </row>
    <row r="1765" spans="1:29" x14ac:dyDescent="0.25">
      <c r="A1765" s="108">
        <v>46043</v>
      </c>
      <c r="B1765" s="109">
        <v>50</v>
      </c>
      <c r="C1765" s="49" t="s">
        <v>19</v>
      </c>
      <c r="D1765" s="110" t="str">
        <f>IF(ISBLANK($B1765),"",IFERROR(VLOOKUP($B1765,ESTOQUE!$B$2:$D$97168,3,FALSE),"Produto não cadastrado"))</f>
        <v>CALÇA CINZA OP. C/ FAIXA REFLETIVA TAM: XG</v>
      </c>
      <c r="E1765" s="99" t="str">
        <f>_xlfn.XLOOKUP(B1765,ESTOQUE!B:B,ESTOQUE!G:G,"",0)</f>
        <v>UND</v>
      </c>
      <c r="F1765" s="99">
        <v>7</v>
      </c>
      <c r="G1765" s="146"/>
      <c r="H1765" s="146"/>
      <c r="I1765" s="147"/>
      <c r="J1765" s="147"/>
      <c r="K1765" s="63"/>
      <c r="L1765" s="63"/>
      <c r="M1765" s="63"/>
      <c r="N1765" s="63"/>
      <c r="O1765" s="63"/>
      <c r="P1765" s="63"/>
      <c r="Q1765" s="63"/>
      <c r="R1765" s="63"/>
      <c r="S1765" s="63"/>
      <c r="T1765" s="63"/>
      <c r="U1765" s="63"/>
      <c r="V1765" s="63"/>
      <c r="W1765" s="63"/>
      <c r="X1765" s="63"/>
      <c r="Y1765" s="63"/>
      <c r="Z1765" s="63"/>
      <c r="AA1765" s="63"/>
      <c r="AB1765" s="63"/>
      <c r="AC1765" s="63"/>
    </row>
    <row r="1766" spans="1:29" x14ac:dyDescent="0.25">
      <c r="A1766" s="143">
        <v>46043</v>
      </c>
      <c r="B1766" s="109">
        <v>29</v>
      </c>
      <c r="C1766" s="49" t="s">
        <v>19</v>
      </c>
      <c r="D1766" s="110" t="str">
        <f>IF(ISBLANK($B1766),"",IFERROR(VLOOKUP($B1766,ESTOQUE!$B$2:$D$97168,3,FALSE),"Produto não cadastrado"))</f>
        <v>BOTINA DE ELETRICISTA Nº 39</v>
      </c>
      <c r="E1766" s="99" t="str">
        <f>_xlfn.XLOOKUP(B1766,ESTOQUE!B:B,ESTOQUE!G:G,"",0)</f>
        <v>PAR</v>
      </c>
      <c r="F1766" s="99">
        <v>1</v>
      </c>
      <c r="G1766" s="146"/>
      <c r="H1766" s="146"/>
      <c r="I1766" s="147"/>
      <c r="J1766" s="147"/>
      <c r="K1766" s="63"/>
      <c r="L1766" s="63"/>
      <c r="M1766" s="63"/>
      <c r="N1766" s="63"/>
      <c r="O1766" s="63"/>
      <c r="P1766" s="63"/>
      <c r="Q1766" s="63"/>
      <c r="R1766" s="63"/>
      <c r="S1766" s="63"/>
      <c r="T1766" s="63"/>
      <c r="U1766" s="63"/>
      <c r="V1766" s="63"/>
      <c r="W1766" s="63"/>
      <c r="X1766" s="63"/>
      <c r="Y1766" s="63"/>
      <c r="Z1766" s="63"/>
      <c r="AA1766" s="63"/>
      <c r="AB1766" s="63"/>
      <c r="AC1766" s="63"/>
    </row>
    <row r="1767" spans="1:29" x14ac:dyDescent="0.25">
      <c r="A1767" s="108">
        <v>46043</v>
      </c>
      <c r="B1767" s="109">
        <v>30</v>
      </c>
      <c r="C1767" s="49" t="s">
        <v>19</v>
      </c>
      <c r="D1767" s="110" t="str">
        <f>IF(ISBLANK($B1767),"",IFERROR(VLOOKUP($B1767,ESTOQUE!$B$2:$D$97168,3,FALSE),"Produto não cadastrado"))</f>
        <v>BOTINA DE ELETRICISTA Nº 40</v>
      </c>
      <c r="E1767" s="99" t="str">
        <f>_xlfn.XLOOKUP(B1767,ESTOQUE!B:B,ESTOQUE!G:G,"",0)</f>
        <v>PAR</v>
      </c>
      <c r="F1767" s="99">
        <v>1</v>
      </c>
      <c r="G1767" s="146"/>
      <c r="H1767" s="146"/>
      <c r="I1767" s="147"/>
      <c r="J1767" s="147"/>
      <c r="K1767" s="63"/>
      <c r="L1767" s="63"/>
      <c r="M1767" s="63"/>
      <c r="N1767" s="63"/>
      <c r="O1767" s="63"/>
      <c r="P1767" s="63"/>
      <c r="Q1767" s="63"/>
      <c r="R1767" s="63"/>
      <c r="S1767" s="63"/>
      <c r="T1767" s="63"/>
      <c r="U1767" s="63"/>
      <c r="V1767" s="63"/>
      <c r="W1767" s="63"/>
      <c r="X1767" s="63"/>
      <c r="Y1767" s="63"/>
      <c r="Z1767" s="63"/>
      <c r="AA1767" s="63"/>
      <c r="AB1767" s="63"/>
      <c r="AC1767" s="63"/>
    </row>
    <row r="1768" spans="1:29" x14ac:dyDescent="0.25">
      <c r="A1768" s="108">
        <v>46043</v>
      </c>
      <c r="B1768" s="109">
        <v>219</v>
      </c>
      <c r="C1768" s="49" t="s">
        <v>19</v>
      </c>
      <c r="D1768" s="110" t="str">
        <f>IF(ISBLANK($B1768),"",IFERROR(VLOOKUP($B1768,ESTOQUE!$B$2:$D$97168,3,FALSE),"Produto não cadastrado"))</f>
        <v>BOTINA SEGURANÇA METATARSO  42</v>
      </c>
      <c r="E1768" s="99" t="str">
        <f>_xlfn.XLOOKUP(B1768,ESTOQUE!B:B,ESTOQUE!G:G,"",0)</f>
        <v>PAR</v>
      </c>
      <c r="F1768" s="99">
        <v>1</v>
      </c>
      <c r="G1768" s="146"/>
      <c r="H1768" s="146"/>
      <c r="I1768" s="147"/>
      <c r="J1768" s="147"/>
      <c r="K1768" s="63"/>
      <c r="L1768" s="63"/>
      <c r="M1768" s="63"/>
      <c r="N1768" s="63"/>
      <c r="O1768" s="63"/>
      <c r="P1768" s="63"/>
      <c r="Q1768" s="63"/>
      <c r="R1768" s="63"/>
      <c r="S1768" s="63"/>
      <c r="T1768" s="63"/>
      <c r="U1768" s="63"/>
      <c r="V1768" s="63"/>
      <c r="W1768" s="63"/>
      <c r="X1768" s="63"/>
      <c r="Y1768" s="63"/>
      <c r="Z1768" s="63"/>
      <c r="AA1768" s="63"/>
      <c r="AB1768" s="63"/>
      <c r="AC1768" s="63"/>
    </row>
    <row r="1769" spans="1:29" x14ac:dyDescent="0.25">
      <c r="A1769" s="108">
        <v>46043</v>
      </c>
      <c r="B1769" s="109">
        <v>222</v>
      </c>
      <c r="C1769" s="49" t="s">
        <v>19</v>
      </c>
      <c r="D1769" s="110" t="str">
        <f>IF(ISBLANK($B1769),"",IFERROR(VLOOKUP($B1769,ESTOQUE!$B$2:$D$97168,3,FALSE),"Produto não cadastrado"))</f>
        <v>BOTINA SEGURANÇA METATARSO  45</v>
      </c>
      <c r="E1769" s="99" t="str">
        <f>_xlfn.XLOOKUP(B1769,ESTOQUE!B:B,ESTOQUE!G:G,"",0)</f>
        <v>PAR</v>
      </c>
      <c r="F1769" s="99">
        <v>1</v>
      </c>
      <c r="G1769" s="146"/>
      <c r="H1769" s="146"/>
      <c r="I1769" s="147"/>
      <c r="J1769" s="147"/>
      <c r="K1769" s="63"/>
      <c r="L1769" s="63"/>
      <c r="M1769" s="63"/>
      <c r="N1769" s="63"/>
      <c r="O1769" s="63"/>
      <c r="P1769" s="63"/>
      <c r="Q1769" s="63"/>
      <c r="R1769" s="63"/>
      <c r="S1769" s="63"/>
      <c r="T1769" s="63"/>
      <c r="U1769" s="63"/>
      <c r="V1769" s="63"/>
      <c r="W1769" s="63"/>
      <c r="X1769" s="63"/>
      <c r="Y1769" s="63"/>
      <c r="Z1769" s="63"/>
      <c r="AA1769" s="63"/>
      <c r="AB1769" s="63"/>
      <c r="AC1769" s="63"/>
    </row>
    <row r="1770" spans="1:29" x14ac:dyDescent="0.25">
      <c r="A1770" s="108">
        <v>46043</v>
      </c>
      <c r="B1770" s="109">
        <v>46</v>
      </c>
      <c r="C1770" s="49" t="s">
        <v>19</v>
      </c>
      <c r="D1770" s="110" t="str">
        <f>IF(ISBLANK($B1770),"",IFERROR(VLOOKUP($B1770,ESTOQUE!$B$2:$D$97168,3,FALSE),"Produto não cadastrado"))</f>
        <v>CALÇA CINZA OP. C/ FAIXA REFLETIVA TAM: G</v>
      </c>
      <c r="E1770" s="99" t="str">
        <f>_xlfn.XLOOKUP(B1770,ESTOQUE!B:B,ESTOQUE!G:G,"",0)</f>
        <v>UND</v>
      </c>
      <c r="F1770" s="99">
        <v>10</v>
      </c>
      <c r="G1770" s="146"/>
      <c r="H1770" s="146"/>
      <c r="I1770" s="147"/>
      <c r="J1770" s="147"/>
      <c r="K1770" s="63"/>
      <c r="L1770" s="63"/>
      <c r="M1770" s="63"/>
      <c r="N1770" s="63"/>
      <c r="O1770" s="63"/>
      <c r="P1770" s="63"/>
      <c r="Q1770" s="63"/>
      <c r="R1770" s="63"/>
      <c r="S1770" s="63"/>
      <c r="T1770" s="63"/>
      <c r="U1770" s="63"/>
      <c r="V1770" s="63"/>
      <c r="W1770" s="63"/>
      <c r="X1770" s="63"/>
      <c r="Y1770" s="63"/>
      <c r="Z1770" s="63"/>
      <c r="AA1770" s="63"/>
      <c r="AB1770" s="63"/>
      <c r="AC1770" s="63"/>
    </row>
    <row r="1771" spans="1:29" x14ac:dyDescent="0.25">
      <c r="A1771" s="108">
        <v>46043</v>
      </c>
      <c r="B1771" s="109">
        <v>48</v>
      </c>
      <c r="C1771" s="49" t="s">
        <v>19</v>
      </c>
      <c r="D1771" s="110" t="str">
        <f>IF(ISBLANK($B1771),"",IFERROR(VLOOKUP($B1771,ESTOQUE!$B$2:$D$97168,3,FALSE),"Produto não cadastrado"))</f>
        <v>CALÇA CINZA OP. C/ FAIXA REFLETIVA TAM: M</v>
      </c>
      <c r="E1771" s="99" t="str">
        <f>_xlfn.XLOOKUP(B1771,ESTOQUE!B:B,ESTOQUE!G:G,"",0)</f>
        <v>UND</v>
      </c>
      <c r="F1771" s="99">
        <v>4</v>
      </c>
      <c r="G1771" s="146"/>
      <c r="H1771" s="146"/>
      <c r="I1771" s="147"/>
      <c r="J1771" s="147"/>
      <c r="K1771" s="63"/>
      <c r="L1771" s="63"/>
      <c r="M1771" s="63"/>
      <c r="N1771" s="63"/>
      <c r="O1771" s="63"/>
      <c r="P1771" s="63"/>
      <c r="Q1771" s="63"/>
      <c r="R1771" s="63"/>
      <c r="S1771" s="63"/>
      <c r="T1771" s="63"/>
      <c r="U1771" s="63"/>
      <c r="V1771" s="63"/>
      <c r="W1771" s="63"/>
      <c r="X1771" s="63"/>
      <c r="Y1771" s="63"/>
      <c r="Z1771" s="63"/>
      <c r="AA1771" s="63"/>
      <c r="AB1771" s="63"/>
      <c r="AC1771" s="63"/>
    </row>
    <row r="1772" spans="1:29" x14ac:dyDescent="0.25">
      <c r="A1772" s="108">
        <v>46043</v>
      </c>
      <c r="B1772" s="109">
        <v>67</v>
      </c>
      <c r="C1772" s="49" t="s">
        <v>19</v>
      </c>
      <c r="D1772" s="110" t="str">
        <f>IF(ISBLANK($B1772),"",IFERROR(VLOOKUP($B1772,ESTOQUE!$B$2:$D$97168,3,FALSE),"Produto não cadastrado"))</f>
        <v>CAMISA LARANJA OP. C/ FAIXA REFLETIVA TAM: G</v>
      </c>
      <c r="E1772" s="99" t="str">
        <f>_xlfn.XLOOKUP(B1772,ESTOQUE!B:B,ESTOQUE!G:G,"",0)</f>
        <v>UND</v>
      </c>
      <c r="F1772" s="99">
        <v>6</v>
      </c>
      <c r="G1772" s="146"/>
      <c r="H1772" s="146"/>
      <c r="I1772" s="147"/>
      <c r="J1772" s="147"/>
      <c r="K1772" s="63"/>
      <c r="L1772" s="63"/>
      <c r="M1772" s="63"/>
      <c r="N1772" s="63"/>
      <c r="O1772" s="63"/>
      <c r="P1772" s="63"/>
      <c r="Q1772" s="63"/>
      <c r="R1772" s="63"/>
      <c r="S1772" s="63"/>
      <c r="T1772" s="63"/>
      <c r="U1772" s="63"/>
      <c r="V1772" s="63"/>
      <c r="W1772" s="63"/>
      <c r="X1772" s="63"/>
      <c r="Y1772" s="63"/>
      <c r="Z1772" s="63"/>
      <c r="AA1772" s="63"/>
      <c r="AB1772" s="63"/>
      <c r="AC1772" s="63"/>
    </row>
    <row r="1773" spans="1:29" x14ac:dyDescent="0.25">
      <c r="A1773" s="108">
        <v>46043</v>
      </c>
      <c r="B1773" s="109">
        <v>68</v>
      </c>
      <c r="C1773" s="49" t="s">
        <v>19</v>
      </c>
      <c r="D1773" s="110" t="str">
        <f>IF(ISBLANK($B1773),"",IFERROR(VLOOKUP($B1773,ESTOQUE!$B$2:$D$97168,3,FALSE),"Produto não cadastrado"))</f>
        <v>CAMISA LARANJA OP. C/ FAIXA REFLETIVA TAM: GG</v>
      </c>
      <c r="E1773" s="99" t="str">
        <f>_xlfn.XLOOKUP(B1773,ESTOQUE!B:B,ESTOQUE!G:G,"",0)</f>
        <v>UND</v>
      </c>
      <c r="F1773" s="99">
        <v>5</v>
      </c>
      <c r="G1773" s="146"/>
      <c r="H1773" s="146"/>
      <c r="I1773" s="147"/>
      <c r="J1773" s="147"/>
      <c r="K1773" s="63"/>
      <c r="L1773" s="63"/>
      <c r="M1773" s="63"/>
      <c r="N1773" s="63"/>
      <c r="O1773" s="63"/>
      <c r="P1773" s="63"/>
      <c r="Q1773" s="63"/>
      <c r="R1773" s="63"/>
      <c r="S1773" s="63"/>
      <c r="T1773" s="63"/>
      <c r="U1773" s="63"/>
      <c r="V1773" s="63"/>
      <c r="W1773" s="63"/>
      <c r="X1773" s="63"/>
      <c r="Y1773" s="63"/>
      <c r="Z1773" s="63"/>
      <c r="AA1773" s="63"/>
      <c r="AB1773" s="63"/>
      <c r="AC1773" s="63"/>
    </row>
    <row r="1774" spans="1:29" x14ac:dyDescent="0.25">
      <c r="A1774" s="108">
        <v>46043</v>
      </c>
      <c r="B1774" s="109">
        <v>69</v>
      </c>
      <c r="C1774" s="49" t="s">
        <v>19</v>
      </c>
      <c r="D1774" s="110" t="str">
        <f>IF(ISBLANK($B1774),"",IFERROR(VLOOKUP($B1774,ESTOQUE!$B$2:$D$97168,3,FALSE),"Produto não cadastrado"))</f>
        <v>CAMISA LARANJA OP. C/ FAIXA REFLETIVA TAM: M</v>
      </c>
      <c r="E1774" s="99" t="str">
        <f>_xlfn.XLOOKUP(B1774,ESTOQUE!B:B,ESTOQUE!G:G,"",0)</f>
        <v>UND</v>
      </c>
      <c r="F1774" s="99">
        <v>6</v>
      </c>
      <c r="G1774" s="146"/>
      <c r="H1774" s="146"/>
      <c r="I1774" s="147"/>
      <c r="J1774" s="147"/>
      <c r="K1774" s="63"/>
      <c r="L1774" s="63"/>
      <c r="M1774" s="63"/>
      <c r="N1774" s="63"/>
      <c r="O1774" s="63"/>
      <c r="P1774" s="63"/>
      <c r="Q1774" s="63"/>
      <c r="R1774" s="63"/>
      <c r="S1774" s="63"/>
      <c r="T1774" s="63"/>
      <c r="U1774" s="63"/>
      <c r="V1774" s="63"/>
      <c r="W1774" s="63"/>
      <c r="X1774" s="63"/>
      <c r="Y1774" s="63"/>
      <c r="Z1774" s="63"/>
      <c r="AA1774" s="63"/>
      <c r="AB1774" s="63"/>
      <c r="AC1774" s="63"/>
    </row>
    <row r="1775" spans="1:29" x14ac:dyDescent="0.25">
      <c r="A1775" s="108">
        <v>46043</v>
      </c>
      <c r="B1775" s="109">
        <v>111</v>
      </c>
      <c r="C1775" s="49" t="s">
        <v>19</v>
      </c>
      <c r="D1775" s="110" t="str">
        <f>IF(ISBLANK($B1775),"",IFERROR(VLOOKUP($B1775,ESTOQUE!$B$2:$D$97168,3,FALSE),"Produto não cadastrado"))</f>
        <v>LUVA DE VAQUETA MARROM</v>
      </c>
      <c r="E1775" s="99" t="str">
        <f>_xlfn.XLOOKUP(B1775,ESTOQUE!B:B,ESTOQUE!G:G,"",0)</f>
        <v>PAR</v>
      </c>
      <c r="F1775" s="99">
        <v>3</v>
      </c>
      <c r="G1775" s="146"/>
      <c r="H1775" s="146"/>
      <c r="I1775" s="147"/>
      <c r="J1775" s="147"/>
      <c r="K1775" s="63"/>
      <c r="L1775" s="63"/>
      <c r="M1775" s="63"/>
      <c r="N1775" s="63"/>
      <c r="O1775" s="63"/>
      <c r="P1775" s="63"/>
      <c r="Q1775" s="63"/>
      <c r="R1775" s="63"/>
      <c r="S1775" s="63"/>
      <c r="T1775" s="63"/>
      <c r="U1775" s="63"/>
      <c r="V1775" s="63"/>
      <c r="W1775" s="63"/>
      <c r="X1775" s="63"/>
      <c r="Y1775" s="63"/>
      <c r="Z1775" s="63"/>
      <c r="AA1775" s="63"/>
      <c r="AB1775" s="63"/>
      <c r="AC1775" s="63"/>
    </row>
    <row r="1776" spans="1:29" x14ac:dyDescent="0.25">
      <c r="A1776" s="108">
        <v>46043</v>
      </c>
      <c r="B1776" s="109">
        <v>114</v>
      </c>
      <c r="C1776" s="49" t="s">
        <v>19</v>
      </c>
      <c r="D1776" s="110" t="str">
        <f>IF(ISBLANK($B1776),"",IFERROR(VLOOKUP($B1776,ESTOQUE!$B$2:$D$97168,3,FALSE),"Produto não cadastrado"))</f>
        <v xml:space="preserve">LUVA LATEX NITRILICA </v>
      </c>
      <c r="E1776" s="99" t="str">
        <f>_xlfn.XLOOKUP(B1776,ESTOQUE!B:B,ESTOQUE!G:G,"",0)</f>
        <v>PAR</v>
      </c>
      <c r="F1776" s="99">
        <v>24</v>
      </c>
      <c r="G1776" s="146"/>
      <c r="H1776" s="146"/>
      <c r="I1776" s="147"/>
      <c r="J1776" s="147"/>
      <c r="K1776" s="63"/>
      <c r="L1776" s="63"/>
      <c r="M1776" s="63"/>
      <c r="N1776" s="63"/>
      <c r="O1776" s="63"/>
      <c r="P1776" s="63"/>
      <c r="Q1776" s="63"/>
      <c r="R1776" s="63"/>
      <c r="S1776" s="63"/>
      <c r="T1776" s="63"/>
      <c r="U1776" s="63"/>
      <c r="V1776" s="63"/>
      <c r="W1776" s="63"/>
      <c r="X1776" s="63"/>
      <c r="Y1776" s="63"/>
      <c r="Z1776" s="63"/>
      <c r="AA1776" s="63"/>
      <c r="AB1776" s="63"/>
      <c r="AC1776" s="63"/>
    </row>
    <row r="1777" spans="1:29" x14ac:dyDescent="0.25">
      <c r="A1777" s="108">
        <v>46043</v>
      </c>
      <c r="B1777" s="109">
        <v>117</v>
      </c>
      <c r="C1777" s="49" t="s">
        <v>19</v>
      </c>
      <c r="D1777" s="110" t="str">
        <f>IF(ISBLANK($B1777),"",IFERROR(VLOOKUP($B1777,ESTOQUE!$B$2:$D$97168,3,FALSE),"Produto não cadastrado"))</f>
        <v>LUVA PIGMENTADA</v>
      </c>
      <c r="E1777" s="99" t="str">
        <f>_xlfn.XLOOKUP(B1777,ESTOQUE!B:B,ESTOQUE!G:G,"",0)</f>
        <v>PAR</v>
      </c>
      <c r="F1777" s="99">
        <v>25</v>
      </c>
      <c r="G1777" s="146"/>
      <c r="H1777" s="146"/>
      <c r="I1777" s="147"/>
      <c r="J1777" s="147"/>
      <c r="K1777" s="63"/>
      <c r="L1777" s="63"/>
      <c r="M1777" s="63"/>
      <c r="N1777" s="63"/>
      <c r="O1777" s="63"/>
      <c r="P1777" s="63"/>
      <c r="Q1777" s="63"/>
      <c r="R1777" s="63"/>
      <c r="S1777" s="63"/>
      <c r="T1777" s="63"/>
      <c r="U1777" s="63"/>
      <c r="V1777" s="63"/>
      <c r="W1777" s="63"/>
      <c r="X1777" s="63"/>
      <c r="Y1777" s="63"/>
      <c r="Z1777" s="63"/>
      <c r="AA1777" s="63"/>
      <c r="AB1777" s="63"/>
      <c r="AC1777" s="63"/>
    </row>
    <row r="1778" spans="1:29" x14ac:dyDescent="0.25">
      <c r="A1778" s="108">
        <v>46043</v>
      </c>
      <c r="B1778" s="109">
        <v>207</v>
      </c>
      <c r="C1778" s="49" t="s">
        <v>19</v>
      </c>
      <c r="D1778" s="110" t="str">
        <f>IF(ISBLANK($B1778),"",IFERROR(VLOOKUP($B1778,ESTOQUE!$B$2:$D$97168,3,FALSE),"Produto não cadastrado"))</f>
        <v>LUVA POLIESTER ANTICORTE BANHADA PU TAM 9</v>
      </c>
      <c r="E1778" s="99" t="str">
        <f>_xlfn.XLOOKUP(B1778,ESTOQUE!B:B,ESTOQUE!G:G,"",0)</f>
        <v>PAR</v>
      </c>
      <c r="F1778" s="99">
        <v>17</v>
      </c>
      <c r="G1778" s="146"/>
      <c r="H1778" s="146"/>
      <c r="I1778" s="147"/>
      <c r="J1778" s="147"/>
      <c r="K1778" s="63"/>
      <c r="L1778" s="63"/>
      <c r="M1778" s="63"/>
      <c r="N1778" s="63"/>
      <c r="O1778" s="63"/>
      <c r="P1778" s="63"/>
      <c r="Q1778" s="63"/>
      <c r="R1778" s="63"/>
      <c r="S1778" s="63"/>
      <c r="T1778" s="63"/>
      <c r="U1778" s="63"/>
      <c r="V1778" s="63"/>
      <c r="W1778" s="63"/>
      <c r="X1778" s="63"/>
      <c r="Y1778" s="63"/>
      <c r="Z1778" s="63"/>
      <c r="AA1778" s="63"/>
      <c r="AB1778" s="63"/>
      <c r="AC1778" s="63"/>
    </row>
    <row r="1779" spans="1:29" x14ac:dyDescent="0.25">
      <c r="A1779" s="108">
        <v>46043</v>
      </c>
      <c r="B1779" s="109">
        <v>118</v>
      </c>
      <c r="C1779" s="49" t="s">
        <v>19</v>
      </c>
      <c r="D1779" s="110" t="str">
        <f>IF(ISBLANK($B1779),"",IFERROR(VLOOKUP($B1779,ESTOQUE!$B$2:$D$97168,3,FALSE),"Produto não cadastrado"))</f>
        <v>MACACÃO DE PROTEÇÃO TYVEK</v>
      </c>
      <c r="E1779" s="99" t="str">
        <f>_xlfn.XLOOKUP(B1779,ESTOQUE!B:B,ESTOQUE!G:G,"",0)</f>
        <v>UND</v>
      </c>
      <c r="F1779" s="99">
        <v>25</v>
      </c>
      <c r="G1779" s="146"/>
      <c r="H1779" s="146"/>
      <c r="I1779" s="147"/>
      <c r="J1779" s="147"/>
      <c r="K1779" s="63"/>
      <c r="L1779" s="63"/>
      <c r="M1779" s="63"/>
      <c r="N1779" s="63"/>
      <c r="O1779" s="63"/>
      <c r="P1779" s="63"/>
      <c r="Q1779" s="63"/>
      <c r="R1779" s="63"/>
      <c r="S1779" s="63"/>
      <c r="T1779" s="63"/>
      <c r="U1779" s="63"/>
      <c r="V1779" s="63"/>
      <c r="W1779" s="63"/>
      <c r="X1779" s="63"/>
      <c r="Y1779" s="63"/>
      <c r="Z1779" s="63"/>
      <c r="AA1779" s="63"/>
      <c r="AB1779" s="63"/>
      <c r="AC1779" s="63"/>
    </row>
    <row r="1780" spans="1:29" x14ac:dyDescent="0.25">
      <c r="A1780" s="108">
        <v>46043</v>
      </c>
      <c r="B1780" s="109">
        <v>125</v>
      </c>
      <c r="C1780" s="49" t="s">
        <v>19</v>
      </c>
      <c r="D1780" s="110" t="str">
        <f>IF(ISBLANK($B1780),"",IFERROR(VLOOKUP($B1780,ESTOQUE!$B$2:$D$97168,3,FALSE),"Produto não cadastrado"))</f>
        <v xml:space="preserve">MASCARA DE SOLDA AUTOMATICA </v>
      </c>
      <c r="E1780" s="99" t="str">
        <f>_xlfn.XLOOKUP(B1780,ESTOQUE!B:B,ESTOQUE!G:G,"",0)</f>
        <v>UND</v>
      </c>
      <c r="F1780" s="99">
        <v>1</v>
      </c>
      <c r="G1780" s="146"/>
      <c r="H1780" s="146"/>
      <c r="I1780" s="147"/>
      <c r="J1780" s="147"/>
      <c r="K1780" s="63"/>
      <c r="L1780" s="63"/>
      <c r="M1780" s="63"/>
      <c r="N1780" s="63"/>
      <c r="O1780" s="63"/>
      <c r="P1780" s="63"/>
      <c r="Q1780" s="63"/>
      <c r="R1780" s="63"/>
      <c r="S1780" s="63"/>
      <c r="T1780" s="63"/>
      <c r="U1780" s="63"/>
      <c r="V1780" s="63"/>
      <c r="W1780" s="63"/>
      <c r="X1780" s="63"/>
      <c r="Y1780" s="63"/>
      <c r="Z1780" s="63"/>
      <c r="AA1780" s="63"/>
      <c r="AB1780" s="63"/>
      <c r="AC1780" s="63"/>
    </row>
    <row r="1781" spans="1:29" x14ac:dyDescent="0.25">
      <c r="A1781" s="108">
        <v>46043</v>
      </c>
      <c r="B1781" s="109">
        <v>124</v>
      </c>
      <c r="C1781" s="49" t="s">
        <v>19</v>
      </c>
      <c r="D1781" s="110" t="str">
        <f>IF(ISBLANK($B1781),"",IFERROR(VLOOKUP($B1781,ESTOQUE!$B$2:$D$97168,3,FALSE),"Produto não cadastrado"))</f>
        <v xml:space="preserve">OCULOS DE PROTEÇÃO INCOLOR </v>
      </c>
      <c r="E1781" s="99" t="str">
        <f>_xlfn.XLOOKUP(B1781,ESTOQUE!B:B,ESTOQUE!G:G,"",0)</f>
        <v>UND</v>
      </c>
      <c r="F1781" s="99">
        <v>15</v>
      </c>
      <c r="G1781" s="146"/>
      <c r="H1781" s="146"/>
      <c r="I1781" s="147"/>
      <c r="J1781" s="147"/>
      <c r="K1781" s="63"/>
      <c r="L1781" s="63"/>
      <c r="M1781" s="63"/>
      <c r="N1781" s="63"/>
      <c r="O1781" s="63"/>
      <c r="P1781" s="63"/>
      <c r="Q1781" s="63"/>
      <c r="R1781" s="63"/>
      <c r="S1781" s="63"/>
      <c r="T1781" s="63"/>
      <c r="U1781" s="63"/>
      <c r="V1781" s="63"/>
      <c r="W1781" s="63"/>
      <c r="X1781" s="63"/>
      <c r="Y1781" s="63"/>
      <c r="Z1781" s="63"/>
      <c r="AA1781" s="63"/>
      <c r="AB1781" s="63"/>
      <c r="AC1781" s="63"/>
    </row>
    <row r="1782" spans="1:29" x14ac:dyDescent="0.25">
      <c r="A1782" s="108">
        <v>46043</v>
      </c>
      <c r="B1782" s="109">
        <v>139</v>
      </c>
      <c r="C1782" s="49" t="s">
        <v>19</v>
      </c>
      <c r="D1782" s="110" t="str">
        <f>IF(ISBLANK($B1782),"",IFERROR(VLOOKUP($B1782,ESTOQUE!$B$2:$D$97168,3,FALSE),"Produto não cadastrado"))</f>
        <v>PROTETOR AURICULAR TIPO PLUG</v>
      </c>
      <c r="E1782" s="99" t="str">
        <f>_xlfn.XLOOKUP(B1782,ESTOQUE!B:B,ESTOQUE!G:G,"",0)</f>
        <v>UND</v>
      </c>
      <c r="F1782" s="99">
        <v>10</v>
      </c>
      <c r="G1782" s="146"/>
      <c r="H1782" s="146"/>
      <c r="I1782" s="147"/>
      <c r="J1782" s="147"/>
      <c r="K1782" s="63"/>
      <c r="L1782" s="63"/>
      <c r="M1782" s="63"/>
      <c r="N1782" s="63"/>
      <c r="O1782" s="63"/>
      <c r="P1782" s="63"/>
      <c r="Q1782" s="63"/>
      <c r="R1782" s="63"/>
      <c r="S1782" s="63"/>
      <c r="T1782" s="63"/>
      <c r="U1782" s="63"/>
      <c r="V1782" s="63"/>
      <c r="W1782" s="63"/>
      <c r="X1782" s="63"/>
      <c r="Y1782" s="63"/>
      <c r="Z1782" s="63"/>
      <c r="AA1782" s="63"/>
      <c r="AB1782" s="63"/>
      <c r="AC1782" s="63"/>
    </row>
    <row r="1783" spans="1:29" x14ac:dyDescent="0.25">
      <c r="A1783" s="108">
        <v>46044</v>
      </c>
      <c r="B1783" s="109">
        <v>190</v>
      </c>
      <c r="C1783" s="49" t="s">
        <v>19</v>
      </c>
      <c r="D1783" s="110" t="str">
        <f>IF(ISBLANK($B1783),"",IFERROR(VLOOKUP($B1783,ESTOQUE!$B$2:$D$97168,3,FALSE),"Produto não cadastrado"))</f>
        <v>AVENTAL DE RASPA TAM 120X60</v>
      </c>
      <c r="E1783" s="99" t="str">
        <f>_xlfn.XLOOKUP(B1783,ESTOQUE!B:B,ESTOQUE!G:G,"",0)</f>
        <v>UND</v>
      </c>
      <c r="F1783" s="99">
        <v>5</v>
      </c>
      <c r="G1783" s="146"/>
      <c r="H1783" s="146"/>
      <c r="I1783" s="147"/>
      <c r="J1783" s="147"/>
      <c r="K1783" s="63"/>
      <c r="L1783" s="63"/>
      <c r="M1783" s="63"/>
      <c r="N1783" s="63"/>
      <c r="O1783" s="63"/>
      <c r="P1783" s="63"/>
      <c r="Q1783" s="63"/>
      <c r="R1783" s="63"/>
      <c r="S1783" s="63"/>
      <c r="T1783" s="63"/>
      <c r="U1783" s="63"/>
      <c r="V1783" s="63"/>
      <c r="W1783" s="63"/>
      <c r="X1783" s="63"/>
      <c r="Y1783" s="63"/>
      <c r="Z1783" s="63"/>
      <c r="AA1783" s="63"/>
      <c r="AB1783" s="63"/>
      <c r="AC1783" s="63"/>
    </row>
    <row r="1784" spans="1:29" x14ac:dyDescent="0.25">
      <c r="A1784" s="108">
        <v>46044</v>
      </c>
      <c r="B1784" s="109">
        <v>29</v>
      </c>
      <c r="C1784" s="49" t="s">
        <v>19</v>
      </c>
      <c r="D1784" s="110" t="str">
        <f>IF(ISBLANK($B1784),"",IFERROR(VLOOKUP($B1784,ESTOQUE!$B$2:$D$97168,3,FALSE),"Produto não cadastrado"))</f>
        <v>BOTINA DE ELETRICISTA Nº 39</v>
      </c>
      <c r="E1784" s="99" t="str">
        <f>_xlfn.XLOOKUP(B1784,ESTOQUE!B:B,ESTOQUE!G:G,"",0)</f>
        <v>PAR</v>
      </c>
      <c r="F1784" s="99">
        <v>1</v>
      </c>
      <c r="G1784" s="146"/>
      <c r="H1784" s="146"/>
      <c r="I1784" s="147"/>
      <c r="J1784" s="147"/>
      <c r="K1784" s="63"/>
      <c r="L1784" s="63"/>
      <c r="M1784" s="63"/>
      <c r="N1784" s="63"/>
      <c r="O1784" s="63"/>
      <c r="P1784" s="63"/>
      <c r="Q1784" s="63"/>
      <c r="R1784" s="63"/>
      <c r="S1784" s="63"/>
      <c r="T1784" s="63"/>
      <c r="U1784" s="63"/>
      <c r="V1784" s="63"/>
      <c r="W1784" s="63"/>
      <c r="X1784" s="63"/>
      <c r="Y1784" s="63"/>
      <c r="Z1784" s="63"/>
      <c r="AA1784" s="63"/>
      <c r="AB1784" s="63"/>
      <c r="AC1784" s="63"/>
    </row>
    <row r="1785" spans="1:29" x14ac:dyDescent="0.25">
      <c r="A1785" s="108">
        <v>46044</v>
      </c>
      <c r="B1785" s="109">
        <v>31</v>
      </c>
      <c r="C1785" s="49" t="s">
        <v>19</v>
      </c>
      <c r="D1785" s="110" t="str">
        <f>IF(ISBLANK($B1785),"",IFERROR(VLOOKUP($B1785,ESTOQUE!$B$2:$D$97168,3,FALSE),"Produto não cadastrado"))</f>
        <v>BOTINA DE ELETRICISTA Nº 41</v>
      </c>
      <c r="E1785" s="99" t="str">
        <f>_xlfn.XLOOKUP(B1785,ESTOQUE!B:B,ESTOQUE!G:G,"",0)</f>
        <v>PAR</v>
      </c>
      <c r="F1785" s="99">
        <v>3</v>
      </c>
      <c r="G1785" s="146"/>
      <c r="H1785" s="146"/>
      <c r="I1785" s="147"/>
      <c r="J1785" s="147"/>
      <c r="K1785" s="63"/>
      <c r="L1785" s="63"/>
      <c r="M1785" s="63"/>
      <c r="N1785" s="63"/>
      <c r="O1785" s="63"/>
      <c r="P1785" s="63"/>
      <c r="Q1785" s="63"/>
      <c r="R1785" s="63"/>
      <c r="S1785" s="63"/>
      <c r="T1785" s="63"/>
      <c r="U1785" s="63"/>
      <c r="V1785" s="63"/>
      <c r="W1785" s="63"/>
      <c r="X1785" s="63"/>
      <c r="Y1785" s="63"/>
      <c r="Z1785" s="63"/>
      <c r="AA1785" s="63"/>
      <c r="AB1785" s="63"/>
      <c r="AC1785" s="63"/>
    </row>
    <row r="1786" spans="1:29" x14ac:dyDescent="0.25">
      <c r="A1786" s="108">
        <v>46044</v>
      </c>
      <c r="B1786" s="109">
        <v>46</v>
      </c>
      <c r="C1786" s="49" t="s">
        <v>19</v>
      </c>
      <c r="D1786" s="110" t="str">
        <f>IF(ISBLANK($B1786),"",IFERROR(VLOOKUP($B1786,ESTOQUE!$B$2:$D$97168,3,FALSE),"Produto não cadastrado"))</f>
        <v>CALÇA CINZA OP. C/ FAIXA REFLETIVA TAM: G</v>
      </c>
      <c r="E1786" s="99" t="str">
        <f>_xlfn.XLOOKUP(B1786,ESTOQUE!B:B,ESTOQUE!G:G,"",0)</f>
        <v>UND</v>
      </c>
      <c r="F1786" s="99">
        <v>4</v>
      </c>
      <c r="G1786" s="146"/>
      <c r="H1786" s="146"/>
      <c r="I1786" s="147"/>
      <c r="J1786" s="147"/>
      <c r="K1786" s="63"/>
      <c r="L1786" s="63"/>
      <c r="M1786" s="63"/>
      <c r="N1786" s="63"/>
      <c r="O1786" s="63"/>
      <c r="P1786" s="63"/>
      <c r="Q1786" s="63"/>
      <c r="R1786" s="63"/>
      <c r="S1786" s="63"/>
      <c r="T1786" s="63"/>
      <c r="U1786" s="63"/>
      <c r="V1786" s="63"/>
      <c r="W1786" s="63"/>
      <c r="X1786" s="63"/>
      <c r="Y1786" s="63"/>
      <c r="Z1786" s="63"/>
      <c r="AA1786" s="63"/>
      <c r="AB1786" s="63"/>
      <c r="AC1786" s="63"/>
    </row>
    <row r="1787" spans="1:29" x14ac:dyDescent="0.25">
      <c r="A1787" s="108">
        <v>46044</v>
      </c>
      <c r="B1787" s="109">
        <v>48</v>
      </c>
      <c r="C1787" s="49" t="s">
        <v>19</v>
      </c>
      <c r="D1787" s="110" t="str">
        <f>IF(ISBLANK($B1787),"",IFERROR(VLOOKUP($B1787,ESTOQUE!$B$2:$D$97168,3,FALSE),"Produto não cadastrado"))</f>
        <v>CALÇA CINZA OP. C/ FAIXA REFLETIVA TAM: M</v>
      </c>
      <c r="E1787" s="99" t="str">
        <f>_xlfn.XLOOKUP(B1787,ESTOQUE!B:B,ESTOQUE!G:G,"",0)</f>
        <v>UND</v>
      </c>
      <c r="F1787" s="99">
        <v>4</v>
      </c>
      <c r="G1787" s="146"/>
      <c r="H1787" s="146"/>
      <c r="I1787" s="147"/>
      <c r="J1787" s="147"/>
      <c r="K1787" s="63"/>
      <c r="L1787" s="63"/>
      <c r="M1787" s="63"/>
      <c r="N1787" s="63"/>
      <c r="O1787" s="63"/>
      <c r="P1787" s="63"/>
      <c r="Q1787" s="63"/>
      <c r="R1787" s="63"/>
      <c r="S1787" s="63"/>
      <c r="T1787" s="63"/>
      <c r="U1787" s="63"/>
      <c r="V1787" s="63"/>
      <c r="W1787" s="63"/>
      <c r="X1787" s="63"/>
      <c r="Y1787" s="63"/>
      <c r="Z1787" s="63"/>
      <c r="AA1787" s="63"/>
      <c r="AB1787" s="63"/>
      <c r="AC1787" s="63"/>
    </row>
    <row r="1788" spans="1:29" x14ac:dyDescent="0.25">
      <c r="A1788" s="108">
        <v>46044</v>
      </c>
      <c r="B1788" s="109">
        <v>49</v>
      </c>
      <c r="C1788" s="49" t="s">
        <v>19</v>
      </c>
      <c r="D1788" s="110" t="str">
        <f>IF(ISBLANK($B1788),"",IFERROR(VLOOKUP($B1788,ESTOQUE!$B$2:$D$97168,3,FALSE),"Produto não cadastrado"))</f>
        <v>CALÇA CINZA OP. C/ FAIXA REFLETIVA TAM: P</v>
      </c>
      <c r="E1788" s="99" t="str">
        <f>_xlfn.XLOOKUP(B1788,ESTOQUE!B:B,ESTOQUE!G:G,"",0)</f>
        <v>UND</v>
      </c>
      <c r="F1788" s="99">
        <v>3</v>
      </c>
      <c r="G1788" s="146"/>
      <c r="H1788" s="146"/>
      <c r="I1788" s="147"/>
      <c r="J1788" s="147"/>
      <c r="K1788" s="63"/>
      <c r="L1788" s="63"/>
      <c r="M1788" s="63"/>
      <c r="N1788" s="63"/>
      <c r="O1788" s="63"/>
      <c r="P1788" s="63"/>
      <c r="Q1788" s="63"/>
      <c r="R1788" s="63"/>
      <c r="S1788" s="63"/>
      <c r="T1788" s="63"/>
      <c r="U1788" s="63"/>
      <c r="V1788" s="63"/>
      <c r="W1788" s="63"/>
      <c r="X1788" s="63"/>
      <c r="Y1788" s="63"/>
      <c r="Z1788" s="63"/>
      <c r="AA1788" s="63"/>
      <c r="AB1788" s="63"/>
      <c r="AC1788" s="63"/>
    </row>
    <row r="1789" spans="1:29" x14ac:dyDescent="0.25">
      <c r="A1789" s="108">
        <v>46044</v>
      </c>
      <c r="B1789" s="109">
        <v>67</v>
      </c>
      <c r="C1789" s="49" t="s">
        <v>19</v>
      </c>
      <c r="D1789" s="110" t="str">
        <f>IF(ISBLANK($B1789),"",IFERROR(VLOOKUP($B1789,ESTOQUE!$B$2:$D$97168,3,FALSE),"Produto não cadastrado"))</f>
        <v>CAMISA LARANJA OP. C/ FAIXA REFLETIVA TAM: G</v>
      </c>
      <c r="E1789" s="99" t="str">
        <f>_xlfn.XLOOKUP(B1789,ESTOQUE!B:B,ESTOQUE!G:G,"",0)</f>
        <v>UND</v>
      </c>
      <c r="F1789" s="99">
        <v>2</v>
      </c>
      <c r="G1789" s="146"/>
      <c r="H1789" s="146"/>
      <c r="I1789" s="147"/>
      <c r="J1789" s="147"/>
      <c r="K1789" s="63"/>
      <c r="L1789" s="63"/>
      <c r="M1789" s="63"/>
      <c r="N1789" s="63"/>
      <c r="O1789" s="63"/>
      <c r="P1789" s="63"/>
      <c r="Q1789" s="63"/>
      <c r="R1789" s="63"/>
      <c r="S1789" s="63"/>
      <c r="T1789" s="63"/>
      <c r="U1789" s="63"/>
      <c r="V1789" s="63"/>
      <c r="W1789" s="63"/>
      <c r="X1789" s="63"/>
      <c r="Y1789" s="63"/>
      <c r="Z1789" s="63"/>
      <c r="AA1789" s="63"/>
      <c r="AB1789" s="63"/>
      <c r="AC1789" s="63"/>
    </row>
    <row r="1790" spans="1:29" x14ac:dyDescent="0.25">
      <c r="A1790" s="108">
        <v>46044</v>
      </c>
      <c r="B1790" s="109">
        <v>69</v>
      </c>
      <c r="C1790" s="49" t="s">
        <v>19</v>
      </c>
      <c r="D1790" s="110" t="str">
        <f>IF(ISBLANK($B1790),"",IFERROR(VLOOKUP($B1790,ESTOQUE!$B$2:$D$97168,3,FALSE),"Produto não cadastrado"))</f>
        <v>CAMISA LARANJA OP. C/ FAIXA REFLETIVA TAM: M</v>
      </c>
      <c r="E1790" s="99" t="str">
        <f>_xlfn.XLOOKUP(B1790,ESTOQUE!B:B,ESTOQUE!G:G,"",0)</f>
        <v>UND</v>
      </c>
      <c r="F1790" s="99">
        <v>3</v>
      </c>
      <c r="G1790" s="146"/>
      <c r="H1790" s="146"/>
      <c r="I1790" s="147"/>
      <c r="J1790" s="147"/>
      <c r="K1790" s="63"/>
      <c r="L1790" s="63"/>
      <c r="M1790" s="63"/>
      <c r="N1790" s="63"/>
      <c r="O1790" s="63"/>
      <c r="P1790" s="63"/>
      <c r="Q1790" s="63"/>
      <c r="R1790" s="63"/>
      <c r="S1790" s="63"/>
      <c r="T1790" s="63"/>
      <c r="U1790" s="63"/>
      <c r="V1790" s="63"/>
      <c r="W1790" s="63"/>
      <c r="X1790" s="63"/>
      <c r="Y1790" s="63"/>
      <c r="Z1790" s="63"/>
      <c r="AA1790" s="63"/>
      <c r="AB1790" s="63"/>
      <c r="AC1790" s="63"/>
    </row>
    <row r="1791" spans="1:29" x14ac:dyDescent="0.25">
      <c r="A1791" s="108">
        <v>46044</v>
      </c>
      <c r="B1791" s="109">
        <v>70</v>
      </c>
      <c r="C1791" s="49" t="s">
        <v>19</v>
      </c>
      <c r="D1791" s="110" t="str">
        <f>IF(ISBLANK($B1791),"",IFERROR(VLOOKUP($B1791,ESTOQUE!$B$2:$D$97168,3,FALSE),"Produto não cadastrado"))</f>
        <v>CAMISA LARANJA OP. C/ FAIXA REFLETIVA TAM: P</v>
      </c>
      <c r="E1791" s="99" t="str">
        <f>_xlfn.XLOOKUP(B1791,ESTOQUE!B:B,ESTOQUE!G:G,"",0)</f>
        <v>UND</v>
      </c>
      <c r="F1791" s="99">
        <v>1</v>
      </c>
      <c r="G1791" s="146"/>
      <c r="H1791" s="146"/>
      <c r="I1791" s="147"/>
      <c r="J1791" s="147"/>
      <c r="K1791" s="63"/>
      <c r="L1791" s="63"/>
      <c r="M1791" s="63"/>
      <c r="N1791" s="63"/>
      <c r="O1791" s="63"/>
      <c r="P1791" s="63"/>
      <c r="Q1791" s="63"/>
      <c r="R1791" s="63"/>
      <c r="S1791" s="63"/>
      <c r="T1791" s="63"/>
      <c r="U1791" s="63"/>
      <c r="V1791" s="63"/>
      <c r="W1791" s="63"/>
      <c r="X1791" s="63"/>
      <c r="Y1791" s="63"/>
      <c r="Z1791" s="63"/>
      <c r="AA1791" s="63"/>
      <c r="AB1791" s="63"/>
      <c r="AC1791" s="63"/>
    </row>
    <row r="1792" spans="1:29" x14ac:dyDescent="0.25">
      <c r="A1792" s="108">
        <v>46044</v>
      </c>
      <c r="B1792" s="109">
        <v>98</v>
      </c>
      <c r="C1792" s="49" t="s">
        <v>19</v>
      </c>
      <c r="D1792" s="110" t="str">
        <f>IF(ISBLANK($B1792),"",IFERROR(VLOOKUP($B1792,ESTOQUE!$B$2:$D$97168,3,FALSE),"Produto não cadastrado"))</f>
        <v>COLETE REFLETIVO LARANJA XGG</v>
      </c>
      <c r="E1792" s="99" t="str">
        <f>_xlfn.XLOOKUP(B1792,ESTOQUE!B:B,ESTOQUE!G:G,"",0)</f>
        <v>UND</v>
      </c>
      <c r="F1792" s="99">
        <v>1</v>
      </c>
      <c r="G1792" s="146"/>
      <c r="H1792" s="146"/>
      <c r="I1792" s="147"/>
      <c r="J1792" s="147"/>
      <c r="K1792" s="63"/>
      <c r="L1792" s="63"/>
      <c r="M1792" s="63"/>
      <c r="N1792" s="63"/>
      <c r="O1792" s="63"/>
      <c r="P1792" s="63"/>
      <c r="Q1792" s="63"/>
      <c r="R1792" s="63"/>
      <c r="S1792" s="63"/>
      <c r="T1792" s="63"/>
      <c r="U1792" s="63"/>
      <c r="V1792" s="63"/>
      <c r="W1792" s="63"/>
      <c r="X1792" s="63"/>
      <c r="Y1792" s="63"/>
      <c r="Z1792" s="63"/>
      <c r="AA1792" s="63"/>
      <c r="AB1792" s="63"/>
      <c r="AC1792" s="63"/>
    </row>
    <row r="1793" spans="1:29" x14ac:dyDescent="0.25">
      <c r="A1793" s="108">
        <v>46044</v>
      </c>
      <c r="B1793" s="109">
        <v>161</v>
      </c>
      <c r="C1793" s="49" t="s">
        <v>19</v>
      </c>
      <c r="D1793" s="110" t="str">
        <f>IF(ISBLANK($B1793),"",IFERROR(VLOOKUP($B1793,ESTOQUE!$B$2:$D$97168,3,FALSE),"Produto não cadastrado"))</f>
        <v>JUGULAR</v>
      </c>
      <c r="E1793" s="99" t="str">
        <f>_xlfn.XLOOKUP(B1793,ESTOQUE!B:B,ESTOQUE!G:G,"",0)</f>
        <v>UND</v>
      </c>
      <c r="F1793" s="99">
        <v>10</v>
      </c>
      <c r="G1793" s="146"/>
      <c r="H1793" s="146"/>
      <c r="I1793" s="147"/>
      <c r="J1793" s="147"/>
      <c r="K1793" s="63"/>
      <c r="L1793" s="63"/>
      <c r="M1793" s="63"/>
      <c r="N1793" s="63"/>
      <c r="O1793" s="63"/>
      <c r="P1793" s="63"/>
      <c r="Q1793" s="63"/>
      <c r="R1793" s="63"/>
      <c r="S1793" s="63"/>
      <c r="T1793" s="63"/>
      <c r="U1793" s="63"/>
      <c r="V1793" s="63"/>
      <c r="W1793" s="63"/>
      <c r="X1793" s="63"/>
      <c r="Y1793" s="63"/>
      <c r="Z1793" s="63"/>
      <c r="AA1793" s="63"/>
      <c r="AB1793" s="63"/>
      <c r="AC1793" s="63"/>
    </row>
    <row r="1794" spans="1:29" x14ac:dyDescent="0.25">
      <c r="A1794" s="108">
        <v>46044</v>
      </c>
      <c r="B1794" s="109">
        <v>110</v>
      </c>
      <c r="C1794" s="49" t="s">
        <v>19</v>
      </c>
      <c r="D1794" s="110" t="str">
        <f>IF(ISBLANK($B1794),"",IFERROR(VLOOKUP($B1794,ESTOQUE!$B$2:$D$97168,3,FALSE),"Produto não cadastrado"))</f>
        <v>LUVA DE RASPA CANO LONGO</v>
      </c>
      <c r="E1794" s="99" t="str">
        <f>_xlfn.XLOOKUP(B1794,ESTOQUE!B:B,ESTOQUE!G:G,"",0)</f>
        <v>PAR</v>
      </c>
      <c r="F1794" s="99">
        <v>1</v>
      </c>
      <c r="G1794" s="146"/>
      <c r="H1794" s="146"/>
      <c r="I1794" s="147"/>
      <c r="J1794" s="147"/>
      <c r="K1794" s="63"/>
      <c r="L1794" s="63"/>
      <c r="M1794" s="63"/>
      <c r="N1794" s="63"/>
      <c r="O1794" s="63"/>
      <c r="P1794" s="63"/>
      <c r="Q1794" s="63"/>
      <c r="R1794" s="63"/>
      <c r="S1794" s="63"/>
      <c r="T1794" s="63"/>
      <c r="U1794" s="63"/>
      <c r="V1794" s="63"/>
      <c r="W1794" s="63"/>
      <c r="X1794" s="63"/>
      <c r="Y1794" s="63"/>
      <c r="Z1794" s="63"/>
      <c r="AA1794" s="63"/>
      <c r="AB1794" s="63"/>
      <c r="AC1794" s="63"/>
    </row>
    <row r="1795" spans="1:29" x14ac:dyDescent="0.25">
      <c r="A1795" s="108">
        <v>46044</v>
      </c>
      <c r="B1795" s="109">
        <v>111</v>
      </c>
      <c r="C1795" s="49" t="s">
        <v>19</v>
      </c>
      <c r="D1795" s="110" t="str">
        <f>IF(ISBLANK($B1795),"",IFERROR(VLOOKUP($B1795,ESTOQUE!$B$2:$D$97168,3,FALSE),"Produto não cadastrado"))</f>
        <v>LUVA DE VAQUETA MARROM</v>
      </c>
      <c r="E1795" s="99" t="str">
        <f>_xlfn.XLOOKUP(B1795,ESTOQUE!B:B,ESTOQUE!G:G,"",0)</f>
        <v>PAR</v>
      </c>
      <c r="F1795" s="99">
        <v>11</v>
      </c>
      <c r="G1795" s="146"/>
      <c r="H1795" s="146"/>
      <c r="I1795" s="147"/>
      <c r="J1795" s="147"/>
      <c r="K1795" s="63"/>
      <c r="L1795" s="63"/>
      <c r="M1795" s="63"/>
      <c r="N1795" s="63"/>
      <c r="O1795" s="63"/>
      <c r="P1795" s="63"/>
      <c r="Q1795" s="63"/>
      <c r="R1795" s="63"/>
      <c r="S1795" s="63"/>
      <c r="T1795" s="63"/>
      <c r="U1795" s="63"/>
      <c r="V1795" s="63"/>
      <c r="W1795" s="63"/>
      <c r="X1795" s="63"/>
      <c r="Y1795" s="63"/>
      <c r="Z1795" s="63"/>
      <c r="AA1795" s="63"/>
      <c r="AB1795" s="63"/>
      <c r="AC1795" s="63"/>
    </row>
    <row r="1796" spans="1:29" x14ac:dyDescent="0.25">
      <c r="A1796" s="108">
        <v>46044</v>
      </c>
      <c r="B1796" s="109">
        <v>257</v>
      </c>
      <c r="C1796" s="49" t="s">
        <v>19</v>
      </c>
      <c r="D1796" s="110" t="str">
        <f>IF(ISBLANK($B1796),"",IFERROR(VLOOKUP($B1796,ESTOQUE!$B$2:$D$97168,3,FALSE),"Produto não cadastrado"))</f>
        <v xml:space="preserve">LUVA MULTITATO </v>
      </c>
      <c r="E1796" s="99" t="str">
        <f>_xlfn.XLOOKUP(B1796,ESTOQUE!B:B,ESTOQUE!G:G,"",0)</f>
        <v>UND</v>
      </c>
      <c r="F1796" s="99">
        <v>5</v>
      </c>
      <c r="G1796" s="146"/>
      <c r="H1796" s="146"/>
      <c r="I1796" s="147"/>
      <c r="J1796" s="147"/>
      <c r="K1796" s="63"/>
      <c r="L1796" s="63"/>
      <c r="M1796" s="63"/>
      <c r="N1796" s="63"/>
      <c r="O1796" s="63"/>
      <c r="P1796" s="63"/>
      <c r="Q1796" s="63"/>
      <c r="R1796" s="63"/>
      <c r="S1796" s="63"/>
      <c r="T1796" s="63"/>
      <c r="U1796" s="63"/>
      <c r="V1796" s="63"/>
      <c r="W1796" s="63"/>
      <c r="X1796" s="63"/>
      <c r="Y1796" s="63"/>
      <c r="Z1796" s="63"/>
      <c r="AA1796" s="63"/>
      <c r="AB1796" s="63"/>
      <c r="AC1796" s="63"/>
    </row>
    <row r="1797" spans="1:29" x14ac:dyDescent="0.25">
      <c r="A1797" s="108">
        <v>46044</v>
      </c>
      <c r="B1797" s="109">
        <v>117</v>
      </c>
      <c r="C1797" s="49" t="s">
        <v>19</v>
      </c>
      <c r="D1797" s="110" t="str">
        <f>IF(ISBLANK($B1797),"",IFERROR(VLOOKUP($B1797,ESTOQUE!$B$2:$D$97168,3,FALSE),"Produto não cadastrado"))</f>
        <v>LUVA PIGMENTADA</v>
      </c>
      <c r="E1797" s="99" t="str">
        <f>_xlfn.XLOOKUP(B1797,ESTOQUE!B:B,ESTOQUE!G:G,"",0)</f>
        <v>PAR</v>
      </c>
      <c r="F1797" s="99">
        <v>17</v>
      </c>
      <c r="G1797" s="146"/>
      <c r="H1797" s="146"/>
      <c r="I1797" s="147"/>
      <c r="J1797" s="147"/>
      <c r="K1797" s="63"/>
      <c r="L1797" s="63"/>
      <c r="M1797" s="63"/>
      <c r="N1797" s="63"/>
      <c r="O1797" s="63"/>
      <c r="P1797" s="63"/>
      <c r="Q1797" s="63"/>
      <c r="R1797" s="63"/>
      <c r="S1797" s="63"/>
      <c r="T1797" s="63"/>
      <c r="U1797" s="63"/>
      <c r="V1797" s="63"/>
      <c r="W1797" s="63"/>
      <c r="X1797" s="63"/>
      <c r="Y1797" s="63"/>
      <c r="Z1797" s="63"/>
      <c r="AA1797" s="63"/>
      <c r="AB1797" s="63"/>
      <c r="AC1797" s="63"/>
    </row>
    <row r="1798" spans="1:29" x14ac:dyDescent="0.25">
      <c r="A1798" s="108">
        <v>46044</v>
      </c>
      <c r="B1798" s="109">
        <v>207</v>
      </c>
      <c r="C1798" s="49" t="s">
        <v>19</v>
      </c>
      <c r="D1798" s="110" t="str">
        <f>IF(ISBLANK($B1798),"",IFERROR(VLOOKUP($B1798,ESTOQUE!$B$2:$D$97168,3,FALSE),"Produto não cadastrado"))</f>
        <v>LUVA POLIESTER ANTICORTE BANHADA PU TAM 9</v>
      </c>
      <c r="E1798" s="99" t="str">
        <f>_xlfn.XLOOKUP(B1798,ESTOQUE!B:B,ESTOQUE!G:G,"",0)</f>
        <v>PAR</v>
      </c>
      <c r="F1798" s="99">
        <v>14</v>
      </c>
      <c r="G1798" s="146"/>
      <c r="H1798" s="146"/>
      <c r="I1798" s="147"/>
      <c r="J1798" s="147"/>
      <c r="K1798" s="63"/>
      <c r="L1798" s="63"/>
      <c r="M1798" s="63"/>
      <c r="N1798" s="63"/>
      <c r="O1798" s="63"/>
      <c r="P1798" s="63"/>
      <c r="Q1798" s="63"/>
      <c r="R1798" s="63"/>
      <c r="S1798" s="63"/>
      <c r="T1798" s="63"/>
      <c r="U1798" s="63"/>
      <c r="V1798" s="63"/>
      <c r="W1798" s="63"/>
      <c r="X1798" s="63"/>
      <c r="Y1798" s="63"/>
      <c r="Z1798" s="63"/>
      <c r="AA1798" s="63"/>
      <c r="AB1798" s="63"/>
      <c r="AC1798" s="63"/>
    </row>
    <row r="1799" spans="1:29" x14ac:dyDescent="0.25">
      <c r="A1799" s="108">
        <v>46044</v>
      </c>
      <c r="B1799" s="109">
        <v>144</v>
      </c>
      <c r="C1799" s="49" t="s">
        <v>19</v>
      </c>
      <c r="D1799" s="110" t="str">
        <f>IF(ISBLANK($B1799),"",IFERROR(VLOOKUP($B1799,ESTOQUE!$B$2:$D$97168,3,FALSE),"Produto não cadastrado"))</f>
        <v>MASCARA PFF2-S C/ FILTRO</v>
      </c>
      <c r="E1799" s="99" t="str">
        <f>_xlfn.XLOOKUP(B1799,ESTOQUE!B:B,ESTOQUE!G:G,"",0)</f>
        <v>UND</v>
      </c>
      <c r="F1799" s="99">
        <v>5</v>
      </c>
      <c r="G1799" s="146"/>
      <c r="H1799" s="146"/>
      <c r="I1799" s="147"/>
      <c r="J1799" s="147"/>
      <c r="K1799" s="63"/>
      <c r="L1799" s="63"/>
      <c r="M1799" s="63"/>
      <c r="N1799" s="63"/>
      <c r="O1799" s="63"/>
      <c r="P1799" s="63"/>
      <c r="Q1799" s="63"/>
      <c r="R1799" s="63"/>
      <c r="S1799" s="63"/>
      <c r="T1799" s="63"/>
      <c r="U1799" s="63"/>
      <c r="V1799" s="63"/>
      <c r="W1799" s="63"/>
      <c r="X1799" s="63"/>
      <c r="Y1799" s="63"/>
      <c r="Z1799" s="63"/>
      <c r="AA1799" s="63"/>
      <c r="AB1799" s="63"/>
      <c r="AC1799" s="63"/>
    </row>
    <row r="1800" spans="1:29" x14ac:dyDescent="0.25">
      <c r="A1800" s="108">
        <v>46044</v>
      </c>
      <c r="B1800" s="109">
        <v>124</v>
      </c>
      <c r="C1800" s="49" t="s">
        <v>19</v>
      </c>
      <c r="D1800" s="110" t="str">
        <f>IF(ISBLANK($B1800),"",IFERROR(VLOOKUP($B1800,ESTOQUE!$B$2:$D$97168,3,FALSE),"Produto não cadastrado"))</f>
        <v xml:space="preserve">OCULOS DE PROTEÇÃO INCOLOR </v>
      </c>
      <c r="E1800" s="99" t="str">
        <f>_xlfn.XLOOKUP(B1800,ESTOQUE!B:B,ESTOQUE!G:G,"",0)</f>
        <v>UND</v>
      </c>
      <c r="F1800" s="99">
        <v>17</v>
      </c>
      <c r="G1800" s="146"/>
      <c r="H1800" s="146"/>
      <c r="I1800" s="147"/>
      <c r="J1800" s="147"/>
      <c r="K1800" s="63"/>
      <c r="L1800" s="63"/>
      <c r="M1800" s="63"/>
      <c r="N1800" s="63"/>
      <c r="O1800" s="63"/>
      <c r="P1800" s="63"/>
      <c r="Q1800" s="63"/>
      <c r="R1800" s="63"/>
      <c r="S1800" s="63"/>
      <c r="T1800" s="63"/>
      <c r="U1800" s="63"/>
      <c r="V1800" s="63"/>
      <c r="W1800" s="63"/>
      <c r="X1800" s="63"/>
      <c r="Y1800" s="63"/>
      <c r="Z1800" s="63"/>
      <c r="AA1800" s="63"/>
      <c r="AB1800" s="63"/>
      <c r="AC1800" s="63"/>
    </row>
    <row r="1801" spans="1:29" x14ac:dyDescent="0.25">
      <c r="A1801" s="108">
        <v>46044</v>
      </c>
      <c r="B1801" s="109">
        <v>139</v>
      </c>
      <c r="C1801" s="49" t="s">
        <v>19</v>
      </c>
      <c r="D1801" s="110" t="str">
        <f>IF(ISBLANK($B1801),"",IFERROR(VLOOKUP($B1801,ESTOQUE!$B$2:$D$97168,3,FALSE),"Produto não cadastrado"))</f>
        <v>PROTETOR AURICULAR TIPO PLUG</v>
      </c>
      <c r="E1801" s="99" t="str">
        <f>_xlfn.XLOOKUP(B1801,ESTOQUE!B:B,ESTOQUE!G:G,"",0)</f>
        <v>UND</v>
      </c>
      <c r="F1801" s="99">
        <v>1</v>
      </c>
      <c r="G1801" s="146"/>
      <c r="H1801" s="146"/>
      <c r="I1801" s="147"/>
      <c r="J1801" s="147"/>
      <c r="K1801" s="63"/>
      <c r="L1801" s="63"/>
      <c r="M1801" s="63"/>
      <c r="N1801" s="63"/>
      <c r="O1801" s="63"/>
      <c r="P1801" s="63"/>
      <c r="Q1801" s="63"/>
      <c r="R1801" s="63"/>
      <c r="S1801" s="63"/>
      <c r="T1801" s="63"/>
      <c r="U1801" s="63"/>
      <c r="V1801" s="63"/>
      <c r="W1801" s="63"/>
      <c r="X1801" s="63"/>
      <c r="Y1801" s="63"/>
      <c r="Z1801" s="63"/>
      <c r="AA1801" s="63"/>
      <c r="AB1801" s="63"/>
      <c r="AC1801" s="63"/>
    </row>
    <row r="1802" spans="1:29" x14ac:dyDescent="0.25">
      <c r="A1802" s="108">
        <v>46045</v>
      </c>
      <c r="B1802" s="109">
        <v>190</v>
      </c>
      <c r="C1802" s="49" t="s">
        <v>19</v>
      </c>
      <c r="D1802" s="110" t="str">
        <f>IF(ISBLANK($B1802),"",IFERROR(VLOOKUP($B1802,ESTOQUE!$B$2:$D$97168,3,FALSE),"Produto não cadastrado"))</f>
        <v>AVENTAL DE RASPA TAM 120X60</v>
      </c>
      <c r="E1802" s="99" t="str">
        <f>_xlfn.XLOOKUP(B1802,ESTOQUE!B:B,ESTOQUE!G:G,"",0)</f>
        <v>UND</v>
      </c>
      <c r="F1802" s="99">
        <v>1</v>
      </c>
      <c r="G1802" s="146"/>
      <c r="H1802" s="146"/>
      <c r="I1802" s="147"/>
      <c r="J1802" s="147"/>
      <c r="K1802" s="63"/>
      <c r="L1802" s="63"/>
      <c r="M1802" s="63"/>
      <c r="N1802" s="63"/>
      <c r="O1802" s="63"/>
      <c r="P1802" s="63"/>
      <c r="Q1802" s="63"/>
      <c r="R1802" s="63"/>
      <c r="S1802" s="63"/>
      <c r="T1802" s="63"/>
      <c r="U1802" s="63"/>
      <c r="V1802" s="63"/>
      <c r="W1802" s="63"/>
      <c r="X1802" s="63"/>
      <c r="Y1802" s="63"/>
      <c r="Z1802" s="63"/>
      <c r="AA1802" s="63"/>
      <c r="AB1802" s="63"/>
      <c r="AC1802" s="63"/>
    </row>
    <row r="1803" spans="1:29" x14ac:dyDescent="0.25">
      <c r="A1803" s="108">
        <v>46045</v>
      </c>
      <c r="B1803" s="109">
        <v>173</v>
      </c>
      <c r="C1803" s="49" t="s">
        <v>19</v>
      </c>
      <c r="D1803" s="110" t="str">
        <f>IF(ISBLANK($B1803),"",IFERROR(VLOOKUP($B1803,ESTOQUE!$B$2:$D$97168,3,FALSE),"Produto não cadastrado"))</f>
        <v>BOTA PVC CANO CURTO Nº 42</v>
      </c>
      <c r="E1803" s="99" t="str">
        <f>_xlfn.XLOOKUP(B1803,ESTOQUE!B:B,ESTOQUE!G:G,"",0)</f>
        <v>PAR</v>
      </c>
      <c r="F1803" s="99">
        <v>1</v>
      </c>
      <c r="G1803" s="146"/>
      <c r="H1803" s="146"/>
      <c r="I1803" s="147"/>
      <c r="J1803" s="147"/>
      <c r="K1803" s="63"/>
      <c r="L1803" s="63"/>
      <c r="M1803" s="63"/>
      <c r="N1803" s="63"/>
      <c r="O1803" s="63"/>
      <c r="P1803" s="63"/>
      <c r="Q1803" s="63"/>
      <c r="R1803" s="63"/>
      <c r="S1803" s="63"/>
      <c r="T1803" s="63"/>
      <c r="U1803" s="63"/>
      <c r="V1803" s="63"/>
      <c r="W1803" s="63"/>
      <c r="X1803" s="63"/>
      <c r="Y1803" s="63"/>
      <c r="Z1803" s="63"/>
      <c r="AA1803" s="63"/>
      <c r="AB1803" s="63"/>
      <c r="AC1803" s="63"/>
    </row>
    <row r="1804" spans="1:29" x14ac:dyDescent="0.25">
      <c r="A1804" s="108">
        <v>46045</v>
      </c>
      <c r="B1804" s="109">
        <v>174</v>
      </c>
      <c r="C1804" s="49" t="s">
        <v>19</v>
      </c>
      <c r="D1804" s="110" t="str">
        <f>IF(ISBLANK($B1804),"",IFERROR(VLOOKUP($B1804,ESTOQUE!$B$2:$D$97168,3,FALSE),"Produto não cadastrado"))</f>
        <v>BOTA PVC CANO CURTO Nº 43</v>
      </c>
      <c r="E1804" s="99" t="str">
        <f>_xlfn.XLOOKUP(B1804,ESTOQUE!B:B,ESTOQUE!G:G,"",0)</f>
        <v>PAR</v>
      </c>
      <c r="F1804" s="99">
        <v>1</v>
      </c>
      <c r="G1804" s="146"/>
      <c r="H1804" s="146"/>
      <c r="I1804" s="147"/>
      <c r="J1804" s="147"/>
      <c r="K1804" s="63"/>
      <c r="L1804" s="63"/>
      <c r="M1804" s="63"/>
      <c r="N1804" s="63"/>
      <c r="O1804" s="63"/>
      <c r="P1804" s="63"/>
      <c r="Q1804" s="63"/>
      <c r="R1804" s="63"/>
      <c r="S1804" s="63"/>
      <c r="T1804" s="63"/>
      <c r="U1804" s="63"/>
      <c r="V1804" s="63"/>
      <c r="W1804" s="63"/>
      <c r="X1804" s="63"/>
      <c r="Y1804" s="63"/>
      <c r="Z1804" s="63"/>
      <c r="AA1804" s="63"/>
      <c r="AB1804" s="63"/>
      <c r="AC1804" s="63"/>
    </row>
    <row r="1805" spans="1:29" x14ac:dyDescent="0.25">
      <c r="A1805" s="108">
        <v>46045</v>
      </c>
      <c r="B1805" s="109">
        <v>8</v>
      </c>
      <c r="C1805" s="49" t="s">
        <v>19</v>
      </c>
      <c r="D1805" s="110" t="str">
        <f>IF(ISBLANK($B1805),"",IFERROR(VLOOKUP($B1805,ESTOQUE!$B$2:$D$97168,3,FALSE),"Produto não cadastrado"))</f>
        <v>BOTA PVC CANO LONGO Nº 40</v>
      </c>
      <c r="E1805" s="99" t="str">
        <f>_xlfn.XLOOKUP(B1805,ESTOQUE!B:B,ESTOQUE!G:G,"",0)</f>
        <v>PAR</v>
      </c>
      <c r="F1805" s="99">
        <v>2</v>
      </c>
      <c r="G1805" s="146"/>
      <c r="H1805" s="146"/>
      <c r="I1805" s="147"/>
      <c r="J1805" s="147"/>
      <c r="K1805" s="63"/>
      <c r="L1805" s="63"/>
      <c r="M1805" s="63"/>
      <c r="N1805" s="63"/>
      <c r="O1805" s="63"/>
      <c r="P1805" s="63"/>
      <c r="Q1805" s="63"/>
      <c r="R1805" s="63"/>
      <c r="S1805" s="63"/>
      <c r="T1805" s="63"/>
      <c r="U1805" s="63"/>
      <c r="V1805" s="63"/>
      <c r="W1805" s="63"/>
      <c r="X1805" s="63"/>
      <c r="Y1805" s="63"/>
      <c r="Z1805" s="63"/>
      <c r="AA1805" s="63"/>
      <c r="AB1805" s="63"/>
      <c r="AC1805" s="63"/>
    </row>
    <row r="1806" spans="1:29" x14ac:dyDescent="0.25">
      <c r="A1806" s="108">
        <v>46045</v>
      </c>
      <c r="B1806" s="109">
        <v>46</v>
      </c>
      <c r="C1806" s="49" t="s">
        <v>19</v>
      </c>
      <c r="D1806" s="110" t="str">
        <f>IF(ISBLANK($B1806),"",IFERROR(VLOOKUP($B1806,ESTOQUE!$B$2:$D$97168,3,FALSE),"Produto não cadastrado"))</f>
        <v>CALÇA CINZA OP. C/ FAIXA REFLETIVA TAM: G</v>
      </c>
      <c r="E1806" s="99" t="str">
        <f>_xlfn.XLOOKUP(B1806,ESTOQUE!B:B,ESTOQUE!G:G,"",0)</f>
        <v>UND</v>
      </c>
      <c r="F1806" s="99">
        <v>1</v>
      </c>
      <c r="G1806" s="146"/>
      <c r="H1806" s="146"/>
      <c r="I1806" s="147"/>
      <c r="J1806" s="147"/>
      <c r="K1806" s="63"/>
      <c r="L1806" s="63"/>
      <c r="M1806" s="63"/>
      <c r="N1806" s="63"/>
      <c r="O1806" s="63"/>
      <c r="P1806" s="63"/>
      <c r="Q1806" s="63"/>
      <c r="R1806" s="63"/>
      <c r="S1806" s="63"/>
      <c r="T1806" s="63"/>
      <c r="U1806" s="63"/>
      <c r="V1806" s="63"/>
      <c r="W1806" s="63"/>
      <c r="X1806" s="63"/>
      <c r="Y1806" s="63"/>
      <c r="Z1806" s="63"/>
      <c r="AA1806" s="63"/>
      <c r="AB1806" s="63"/>
      <c r="AC1806" s="63"/>
    </row>
    <row r="1807" spans="1:29" x14ac:dyDescent="0.25">
      <c r="A1807" s="108">
        <v>46045</v>
      </c>
      <c r="B1807" s="109">
        <v>47</v>
      </c>
      <c r="C1807" s="49" t="s">
        <v>19</v>
      </c>
      <c r="D1807" s="110" t="str">
        <f>IF(ISBLANK($B1807),"",IFERROR(VLOOKUP($B1807,ESTOQUE!$B$2:$D$97168,3,FALSE),"Produto não cadastrado"))</f>
        <v>CALÇA CINZA OP. C/ FAIXA REFLETIVA TAM: GG</v>
      </c>
      <c r="E1807" s="99" t="str">
        <f>_xlfn.XLOOKUP(B1807,ESTOQUE!B:B,ESTOQUE!G:G,"",0)</f>
        <v>UND</v>
      </c>
      <c r="F1807" s="99">
        <v>2</v>
      </c>
      <c r="G1807" s="146"/>
      <c r="H1807" s="146"/>
      <c r="I1807" s="147"/>
      <c r="J1807" s="147"/>
      <c r="K1807" s="63"/>
      <c r="L1807" s="63"/>
      <c r="M1807" s="63"/>
      <c r="N1807" s="63"/>
      <c r="O1807" s="63"/>
      <c r="P1807" s="63"/>
      <c r="Q1807" s="63"/>
      <c r="R1807" s="63"/>
      <c r="S1807" s="63"/>
      <c r="T1807" s="63"/>
      <c r="U1807" s="63"/>
      <c r="V1807" s="63"/>
      <c r="W1807" s="63"/>
      <c r="X1807" s="63"/>
      <c r="Y1807" s="63"/>
      <c r="Z1807" s="63"/>
      <c r="AA1807" s="63"/>
      <c r="AB1807" s="63"/>
      <c r="AC1807" s="63"/>
    </row>
    <row r="1808" spans="1:29" x14ac:dyDescent="0.25">
      <c r="A1808" s="108">
        <v>46045</v>
      </c>
      <c r="B1808" s="109">
        <v>48</v>
      </c>
      <c r="C1808" s="49" t="s">
        <v>19</v>
      </c>
      <c r="D1808" s="110" t="str">
        <f>IF(ISBLANK($B1808),"",IFERROR(VLOOKUP($B1808,ESTOQUE!$B$2:$D$97168,3,FALSE),"Produto não cadastrado"))</f>
        <v>CALÇA CINZA OP. C/ FAIXA REFLETIVA TAM: M</v>
      </c>
      <c r="E1808" s="99" t="str">
        <f>_xlfn.XLOOKUP(B1808,ESTOQUE!B:B,ESTOQUE!G:G,"",0)</f>
        <v>UND</v>
      </c>
      <c r="F1808" s="99">
        <v>1</v>
      </c>
      <c r="G1808" s="146"/>
      <c r="H1808" s="146"/>
      <c r="I1808" s="147"/>
      <c r="J1808" s="147"/>
      <c r="K1808" s="63"/>
      <c r="L1808" s="63"/>
      <c r="M1808" s="63"/>
      <c r="N1808" s="63"/>
      <c r="O1808" s="63"/>
      <c r="P1808" s="63"/>
      <c r="Q1808" s="63"/>
      <c r="R1808" s="63"/>
      <c r="S1808" s="63"/>
      <c r="T1808" s="63"/>
      <c r="U1808" s="63"/>
      <c r="V1808" s="63"/>
      <c r="W1808" s="63"/>
      <c r="X1808" s="63"/>
      <c r="Y1808" s="63"/>
      <c r="Z1808" s="63"/>
      <c r="AA1808" s="63"/>
      <c r="AB1808" s="63"/>
      <c r="AC1808" s="63"/>
    </row>
    <row r="1809" spans="1:29" x14ac:dyDescent="0.25">
      <c r="A1809" s="108">
        <v>46045</v>
      </c>
      <c r="B1809" s="109">
        <v>49</v>
      </c>
      <c r="C1809" s="49" t="s">
        <v>19</v>
      </c>
      <c r="D1809" s="110" t="str">
        <f>IF(ISBLANK($B1809),"",IFERROR(VLOOKUP($B1809,ESTOQUE!$B$2:$D$97168,3,FALSE),"Produto não cadastrado"))</f>
        <v>CALÇA CINZA OP. C/ FAIXA REFLETIVA TAM: P</v>
      </c>
      <c r="E1809" s="99" t="str">
        <f>_xlfn.XLOOKUP(B1809,ESTOQUE!B:B,ESTOQUE!G:G,"",0)</f>
        <v>UND</v>
      </c>
      <c r="F1809" s="99">
        <v>3</v>
      </c>
      <c r="G1809" s="146"/>
      <c r="H1809" s="146"/>
      <c r="I1809" s="147"/>
      <c r="J1809" s="147"/>
      <c r="K1809" s="63"/>
      <c r="L1809" s="63"/>
      <c r="M1809" s="63"/>
      <c r="N1809" s="63"/>
      <c r="O1809" s="63"/>
      <c r="P1809" s="63"/>
      <c r="Q1809" s="63"/>
      <c r="R1809" s="63"/>
      <c r="S1809" s="63"/>
      <c r="T1809" s="63"/>
      <c r="U1809" s="63"/>
      <c r="V1809" s="63"/>
      <c r="W1809" s="63"/>
      <c r="X1809" s="63"/>
      <c r="Y1809" s="63"/>
      <c r="Z1809" s="63"/>
      <c r="AA1809" s="63"/>
      <c r="AB1809" s="63"/>
      <c r="AC1809" s="63"/>
    </row>
    <row r="1810" spans="1:29" x14ac:dyDescent="0.25">
      <c r="A1810" s="108">
        <v>46045</v>
      </c>
      <c r="B1810" s="109">
        <v>50</v>
      </c>
      <c r="C1810" s="49" t="s">
        <v>19</v>
      </c>
      <c r="D1810" s="110" t="str">
        <f>IF(ISBLANK($B1810),"",IFERROR(VLOOKUP($B1810,ESTOQUE!$B$2:$D$97168,3,FALSE),"Produto não cadastrado"))</f>
        <v>CALÇA CINZA OP. C/ FAIXA REFLETIVA TAM: XG</v>
      </c>
      <c r="E1810" s="99" t="str">
        <f>_xlfn.XLOOKUP(B1810,ESTOQUE!B:B,ESTOQUE!G:G,"",0)</f>
        <v>UND</v>
      </c>
      <c r="F1810" s="99">
        <v>1</v>
      </c>
      <c r="G1810" s="146"/>
      <c r="H1810" s="146"/>
      <c r="I1810" s="147"/>
      <c r="J1810" s="147"/>
      <c r="K1810" s="63"/>
      <c r="L1810" s="63"/>
      <c r="M1810" s="63"/>
      <c r="N1810" s="63"/>
      <c r="O1810" s="63"/>
      <c r="P1810" s="63"/>
      <c r="Q1810" s="63"/>
      <c r="R1810" s="63"/>
      <c r="S1810" s="63"/>
      <c r="T1810" s="63"/>
      <c r="U1810" s="63"/>
      <c r="V1810" s="63"/>
      <c r="W1810" s="63"/>
      <c r="X1810" s="63"/>
      <c r="Y1810" s="63"/>
      <c r="Z1810" s="63"/>
      <c r="AA1810" s="63"/>
      <c r="AB1810" s="63"/>
      <c r="AC1810" s="63"/>
    </row>
    <row r="1811" spans="1:29" x14ac:dyDescent="0.25">
      <c r="A1811" s="108">
        <v>46045</v>
      </c>
      <c r="B1811" s="109">
        <v>67</v>
      </c>
      <c r="C1811" s="49" t="s">
        <v>19</v>
      </c>
      <c r="D1811" s="110" t="str">
        <f>IF(ISBLANK($B1811),"",IFERROR(VLOOKUP($B1811,ESTOQUE!$B$2:$D$97168,3,FALSE),"Produto não cadastrado"))</f>
        <v>CAMISA LARANJA OP. C/ FAIXA REFLETIVA TAM: G</v>
      </c>
      <c r="E1811" s="99" t="str">
        <f>_xlfn.XLOOKUP(B1811,ESTOQUE!B:B,ESTOQUE!G:G,"",0)</f>
        <v>UND</v>
      </c>
      <c r="F1811" s="99">
        <v>1</v>
      </c>
      <c r="G1811" s="146"/>
      <c r="H1811" s="146"/>
      <c r="I1811" s="147"/>
      <c r="J1811" s="147"/>
      <c r="K1811" s="63"/>
      <c r="L1811" s="63"/>
      <c r="M1811" s="63"/>
      <c r="N1811" s="63"/>
      <c r="O1811" s="63"/>
      <c r="P1811" s="63"/>
      <c r="Q1811" s="63"/>
      <c r="R1811" s="63"/>
      <c r="S1811" s="63"/>
      <c r="T1811" s="63"/>
      <c r="U1811" s="63"/>
      <c r="V1811" s="63"/>
      <c r="W1811" s="63"/>
      <c r="X1811" s="63"/>
      <c r="Y1811" s="63"/>
      <c r="Z1811" s="63"/>
      <c r="AA1811" s="63"/>
      <c r="AB1811" s="63"/>
      <c r="AC1811" s="63"/>
    </row>
    <row r="1812" spans="1:29" x14ac:dyDescent="0.25">
      <c r="A1812" s="108">
        <v>46045</v>
      </c>
      <c r="B1812" s="109">
        <v>69</v>
      </c>
      <c r="C1812" s="49" t="s">
        <v>19</v>
      </c>
      <c r="D1812" s="110" t="str">
        <f>IF(ISBLANK($B1812),"",IFERROR(VLOOKUP($B1812,ESTOQUE!$B$2:$D$97168,3,FALSE),"Produto não cadastrado"))</f>
        <v>CAMISA LARANJA OP. C/ FAIXA REFLETIVA TAM: M</v>
      </c>
      <c r="E1812" s="99" t="str">
        <f>_xlfn.XLOOKUP(B1812,ESTOQUE!B:B,ESTOQUE!G:G,"",0)</f>
        <v>UND</v>
      </c>
      <c r="F1812" s="99">
        <v>3</v>
      </c>
      <c r="G1812" s="146"/>
      <c r="H1812" s="146"/>
      <c r="I1812" s="147"/>
      <c r="J1812" s="147"/>
      <c r="K1812" s="63"/>
      <c r="L1812" s="63"/>
      <c r="M1812" s="63"/>
      <c r="N1812" s="63"/>
      <c r="O1812" s="63"/>
      <c r="P1812" s="63"/>
      <c r="Q1812" s="63"/>
      <c r="R1812" s="63"/>
      <c r="S1812" s="63"/>
      <c r="T1812" s="63"/>
      <c r="U1812" s="63"/>
      <c r="V1812" s="63"/>
      <c r="W1812" s="63"/>
      <c r="X1812" s="63"/>
      <c r="Y1812" s="63"/>
      <c r="Z1812" s="63"/>
      <c r="AA1812" s="63"/>
      <c r="AB1812" s="63"/>
      <c r="AC1812" s="63"/>
    </row>
    <row r="1813" spans="1:29" x14ac:dyDescent="0.25">
      <c r="A1813" s="108">
        <v>46045</v>
      </c>
      <c r="B1813" s="109">
        <v>266</v>
      </c>
      <c r="C1813" s="49" t="s">
        <v>19</v>
      </c>
      <c r="D1813" s="110" t="str">
        <f>IF(ISBLANK($B1813),"",IFERROR(VLOOKUP($B1813,ESTOQUE!$B$2:$D$97168,3,FALSE),"Produto não cadastrado"))</f>
        <v>CINTO DE SEGURANÇA ATHENAS TAM:2</v>
      </c>
      <c r="E1813" s="99" t="str">
        <f>_xlfn.XLOOKUP(B1813,ESTOQUE!B:B,ESTOQUE!G:G,"",0)</f>
        <v>UND</v>
      </c>
      <c r="F1813" s="99">
        <v>1</v>
      </c>
      <c r="G1813" s="146"/>
      <c r="H1813" s="146"/>
      <c r="I1813" s="147"/>
      <c r="J1813" s="147"/>
      <c r="K1813" s="63"/>
      <c r="L1813" s="63"/>
      <c r="M1813" s="63"/>
      <c r="N1813" s="63"/>
      <c r="O1813" s="63"/>
      <c r="P1813" s="63"/>
      <c r="Q1813" s="63"/>
      <c r="R1813" s="63"/>
      <c r="S1813" s="63"/>
      <c r="T1813" s="63"/>
      <c r="U1813" s="63"/>
      <c r="V1813" s="63"/>
      <c r="W1813" s="63"/>
      <c r="X1813" s="63"/>
      <c r="Y1813" s="63"/>
      <c r="Z1813" s="63"/>
      <c r="AA1813" s="63"/>
      <c r="AB1813" s="63"/>
      <c r="AC1813" s="63"/>
    </row>
    <row r="1814" spans="1:29" x14ac:dyDescent="0.25">
      <c r="A1814" s="108">
        <v>46045</v>
      </c>
      <c r="B1814" s="109">
        <v>101</v>
      </c>
      <c r="C1814" s="49" t="s">
        <v>19</v>
      </c>
      <c r="D1814" s="110" t="str">
        <f>IF(ISBLANK($B1814),"",IFERROR(VLOOKUP($B1814,ESTOQUE!$B$2:$D$97168,3,FALSE),"Produto não cadastrado"))</f>
        <v>JARDINEIRA AMARELA BOTA Nº 39</v>
      </c>
      <c r="E1814" s="99" t="str">
        <f>_xlfn.XLOOKUP(B1814,ESTOQUE!B:B,ESTOQUE!G:G,"",0)</f>
        <v>UND</v>
      </c>
      <c r="F1814" s="99">
        <v>1</v>
      </c>
      <c r="G1814" s="146"/>
      <c r="H1814" s="146"/>
      <c r="I1814" s="147"/>
      <c r="J1814" s="147"/>
      <c r="K1814" s="63"/>
      <c r="L1814" s="63"/>
      <c r="M1814" s="63"/>
      <c r="N1814" s="63"/>
      <c r="O1814" s="63"/>
      <c r="P1814" s="63"/>
      <c r="Q1814" s="63"/>
      <c r="R1814" s="63"/>
      <c r="S1814" s="63"/>
      <c r="T1814" s="63"/>
      <c r="U1814" s="63"/>
      <c r="V1814" s="63"/>
      <c r="W1814" s="63"/>
      <c r="X1814" s="63"/>
      <c r="Y1814" s="63"/>
      <c r="Z1814" s="63"/>
      <c r="AA1814" s="63"/>
      <c r="AB1814" s="63"/>
      <c r="AC1814" s="63"/>
    </row>
    <row r="1815" spans="1:29" x14ac:dyDescent="0.25">
      <c r="A1815" s="108">
        <v>46045</v>
      </c>
      <c r="B1815" s="109">
        <v>207</v>
      </c>
      <c r="C1815" s="49" t="s">
        <v>19</v>
      </c>
      <c r="D1815" s="110" t="str">
        <f>IF(ISBLANK($B1815),"",IFERROR(VLOOKUP($B1815,ESTOQUE!$B$2:$D$97168,3,FALSE),"Produto não cadastrado"))</f>
        <v>LUVA POLIESTER ANTICORTE BANHADA PU TAM 9</v>
      </c>
      <c r="E1815" s="99" t="str">
        <f>_xlfn.XLOOKUP(B1815,ESTOQUE!B:B,ESTOQUE!G:G,"",0)</f>
        <v>PAR</v>
      </c>
      <c r="F1815" s="99">
        <v>4</v>
      </c>
      <c r="G1815" s="146"/>
      <c r="H1815" s="146"/>
      <c r="I1815" s="147"/>
      <c r="J1815" s="147"/>
      <c r="K1815" s="63"/>
      <c r="L1815" s="63"/>
      <c r="M1815" s="63"/>
      <c r="N1815" s="63"/>
      <c r="O1815" s="63"/>
      <c r="P1815" s="63"/>
      <c r="Q1815" s="63"/>
      <c r="R1815" s="63"/>
      <c r="S1815" s="63"/>
      <c r="T1815" s="63"/>
      <c r="U1815" s="63"/>
      <c r="V1815" s="63"/>
      <c r="W1815" s="63"/>
      <c r="X1815" s="63"/>
      <c r="Y1815" s="63"/>
      <c r="Z1815" s="63"/>
      <c r="AA1815" s="63"/>
      <c r="AB1815" s="63"/>
      <c r="AC1815" s="63"/>
    </row>
    <row r="1816" spans="1:29" x14ac:dyDescent="0.25">
      <c r="A1816" s="108">
        <v>46045</v>
      </c>
      <c r="B1816" s="109">
        <v>116</v>
      </c>
      <c r="C1816" s="49" t="s">
        <v>19</v>
      </c>
      <c r="D1816" s="110" t="str">
        <f>IF(ISBLANK($B1816),"",IFERROR(VLOOKUP($B1816,ESTOQUE!$B$2:$D$97168,3,FALSE),"Produto não cadastrado"))</f>
        <v>LUVA PVC LINEA - CANO LONGO</v>
      </c>
      <c r="E1816" s="99" t="str">
        <f>_xlfn.XLOOKUP(B1816,ESTOQUE!B:B,ESTOQUE!G:G,"",0)</f>
        <v>PAR</v>
      </c>
      <c r="F1816" s="99">
        <v>1</v>
      </c>
      <c r="G1816" s="146"/>
      <c r="H1816" s="146"/>
      <c r="I1816" s="147"/>
      <c r="J1816" s="147"/>
      <c r="K1816" s="63"/>
      <c r="L1816" s="63"/>
      <c r="M1816" s="63"/>
      <c r="N1816" s="63"/>
      <c r="O1816" s="63"/>
      <c r="P1816" s="63"/>
      <c r="Q1816" s="63"/>
      <c r="R1816" s="63"/>
      <c r="S1816" s="63"/>
      <c r="T1816" s="63"/>
      <c r="U1816" s="63"/>
      <c r="V1816" s="63"/>
      <c r="W1816" s="63"/>
      <c r="X1816" s="63"/>
      <c r="Y1816" s="63"/>
      <c r="Z1816" s="63"/>
      <c r="AA1816" s="63"/>
      <c r="AB1816" s="63"/>
      <c r="AC1816" s="63"/>
    </row>
    <row r="1817" spans="1:29" x14ac:dyDescent="0.25">
      <c r="A1817" s="108">
        <v>46045</v>
      </c>
      <c r="B1817" s="109">
        <v>144</v>
      </c>
      <c r="C1817" s="49" t="s">
        <v>19</v>
      </c>
      <c r="D1817" s="110" t="str">
        <f>IF(ISBLANK($B1817),"",IFERROR(VLOOKUP($B1817,ESTOQUE!$B$2:$D$97168,3,FALSE),"Produto não cadastrado"))</f>
        <v>MASCARA PFF2-S C/ FILTRO</v>
      </c>
      <c r="E1817" s="99" t="str">
        <f>_xlfn.XLOOKUP(B1817,ESTOQUE!B:B,ESTOQUE!G:G,"",0)</f>
        <v>UND</v>
      </c>
      <c r="F1817" s="99">
        <v>4</v>
      </c>
      <c r="G1817" s="146"/>
      <c r="H1817" s="146"/>
      <c r="I1817" s="147"/>
      <c r="J1817" s="147"/>
      <c r="K1817" s="63"/>
      <c r="L1817" s="63"/>
      <c r="M1817" s="63"/>
      <c r="N1817" s="63"/>
      <c r="O1817" s="63"/>
      <c r="P1817" s="63"/>
      <c r="Q1817" s="63"/>
      <c r="R1817" s="63"/>
      <c r="S1817" s="63"/>
      <c r="T1817" s="63"/>
      <c r="U1817" s="63"/>
      <c r="V1817" s="63"/>
      <c r="W1817" s="63"/>
      <c r="X1817" s="63"/>
      <c r="Y1817" s="63"/>
      <c r="Z1817" s="63"/>
      <c r="AA1817" s="63"/>
      <c r="AB1817" s="63"/>
      <c r="AC1817" s="63"/>
    </row>
    <row r="1818" spans="1:29" x14ac:dyDescent="0.25">
      <c r="A1818" s="108">
        <v>46045</v>
      </c>
      <c r="B1818" s="109">
        <v>124</v>
      </c>
      <c r="C1818" s="49" t="s">
        <v>19</v>
      </c>
      <c r="D1818" s="110" t="str">
        <f>IF(ISBLANK($B1818),"",IFERROR(VLOOKUP($B1818,ESTOQUE!$B$2:$D$97168,3,FALSE),"Produto não cadastrado"))</f>
        <v xml:space="preserve">OCULOS DE PROTEÇÃO INCOLOR </v>
      </c>
      <c r="E1818" s="99" t="str">
        <f>_xlfn.XLOOKUP(B1818,ESTOQUE!B:B,ESTOQUE!G:G,"",0)</f>
        <v>UND</v>
      </c>
      <c r="F1818" s="99">
        <v>1</v>
      </c>
      <c r="G1818" s="146"/>
      <c r="H1818" s="146"/>
      <c r="I1818" s="147"/>
      <c r="J1818" s="147"/>
      <c r="K1818" s="63"/>
      <c r="L1818" s="63"/>
      <c r="M1818" s="63"/>
      <c r="N1818" s="63"/>
      <c r="O1818" s="63"/>
      <c r="P1818" s="63"/>
      <c r="Q1818" s="63"/>
      <c r="R1818" s="63"/>
      <c r="S1818" s="63"/>
      <c r="T1818" s="63"/>
      <c r="U1818" s="63"/>
      <c r="V1818" s="63"/>
      <c r="W1818" s="63"/>
      <c r="X1818" s="63"/>
      <c r="Y1818" s="63"/>
      <c r="Z1818" s="63"/>
      <c r="AA1818" s="63"/>
      <c r="AB1818" s="63"/>
      <c r="AC1818" s="63"/>
    </row>
    <row r="1819" spans="1:29" x14ac:dyDescent="0.25">
      <c r="A1819" s="108">
        <v>46045</v>
      </c>
      <c r="B1819" s="109">
        <v>135</v>
      </c>
      <c r="C1819" s="49" t="s">
        <v>19</v>
      </c>
      <c r="D1819" s="110" t="str">
        <f>IF(ISBLANK($B1819),"",IFERROR(VLOOKUP($B1819,ESTOQUE!$B$2:$D$97168,3,FALSE),"Produto não cadastrado"))</f>
        <v>TALABARTE DUPLO TIPO Y</v>
      </c>
      <c r="E1819" s="99" t="str">
        <f>_xlfn.XLOOKUP(B1819,ESTOQUE!B:B,ESTOQUE!G:G,"",0)</f>
        <v>UND</v>
      </c>
      <c r="F1819" s="99">
        <v>1</v>
      </c>
      <c r="G1819" s="146"/>
      <c r="H1819" s="146"/>
      <c r="I1819" s="147"/>
      <c r="J1819" s="147"/>
      <c r="K1819" s="63"/>
      <c r="L1819" s="63"/>
      <c r="M1819" s="63"/>
      <c r="N1819" s="63"/>
      <c r="O1819" s="63"/>
      <c r="P1819" s="63"/>
      <c r="Q1819" s="63"/>
      <c r="R1819" s="63"/>
      <c r="S1819" s="63"/>
      <c r="T1819" s="63"/>
      <c r="U1819" s="63"/>
      <c r="V1819" s="63"/>
      <c r="W1819" s="63"/>
      <c r="X1819" s="63"/>
      <c r="Y1819" s="63"/>
      <c r="Z1819" s="63"/>
      <c r="AA1819" s="63"/>
      <c r="AB1819" s="63"/>
      <c r="AC1819" s="63"/>
    </row>
    <row r="1820" spans="1:29" x14ac:dyDescent="0.25">
      <c r="A1820" s="108">
        <v>46046</v>
      </c>
      <c r="B1820" s="109">
        <v>10</v>
      </c>
      <c r="C1820" s="49" t="s">
        <v>19</v>
      </c>
      <c r="D1820" s="110" t="str">
        <f>IF(ISBLANK($B1820),"",IFERROR(VLOOKUP($B1820,ESTOQUE!$B$2:$D$97168,3,FALSE),"Produto não cadastrado"))</f>
        <v>BOTA PVC CANO LONGO Nº 42</v>
      </c>
      <c r="E1820" s="99" t="str">
        <f>_xlfn.XLOOKUP(B1820,ESTOQUE!B:B,ESTOQUE!G:G,"",0)</f>
        <v>PAR</v>
      </c>
      <c r="F1820" s="99">
        <v>1</v>
      </c>
      <c r="G1820" s="146"/>
      <c r="H1820" s="146"/>
      <c r="I1820" s="147"/>
      <c r="J1820" s="147"/>
      <c r="K1820" s="63"/>
      <c r="L1820" s="63"/>
      <c r="M1820" s="63"/>
      <c r="N1820" s="63"/>
      <c r="O1820" s="63"/>
      <c r="P1820" s="63"/>
      <c r="Q1820" s="63"/>
      <c r="R1820" s="63"/>
      <c r="S1820" s="63"/>
      <c r="T1820" s="63"/>
      <c r="U1820" s="63"/>
      <c r="V1820" s="63"/>
      <c r="W1820" s="63"/>
      <c r="X1820" s="63"/>
      <c r="Y1820" s="63"/>
      <c r="Z1820" s="63"/>
      <c r="AA1820" s="63"/>
      <c r="AB1820" s="63"/>
      <c r="AC1820" s="63"/>
    </row>
    <row r="1821" spans="1:29" x14ac:dyDescent="0.25">
      <c r="A1821" s="108">
        <v>46046</v>
      </c>
      <c r="B1821" s="109">
        <v>31</v>
      </c>
      <c r="C1821" s="49" t="s">
        <v>19</v>
      </c>
      <c r="D1821" s="110" t="str">
        <f>IF(ISBLANK($B1821),"",IFERROR(VLOOKUP($B1821,ESTOQUE!$B$2:$D$97168,3,FALSE),"Produto não cadastrado"))</f>
        <v>BOTINA DE ELETRICISTA Nº 41</v>
      </c>
      <c r="E1821" s="99" t="str">
        <f>_xlfn.XLOOKUP(B1821,ESTOQUE!B:B,ESTOQUE!G:G,"",0)</f>
        <v>PAR</v>
      </c>
      <c r="F1821" s="99">
        <v>1</v>
      </c>
      <c r="G1821" s="146"/>
      <c r="H1821" s="146"/>
      <c r="I1821" s="147"/>
      <c r="J1821" s="147"/>
      <c r="K1821" s="63"/>
      <c r="L1821" s="63"/>
      <c r="M1821" s="63"/>
      <c r="N1821" s="63"/>
      <c r="O1821" s="63"/>
      <c r="P1821" s="63"/>
      <c r="Q1821" s="63"/>
      <c r="R1821" s="63"/>
      <c r="S1821" s="63"/>
      <c r="T1821" s="63"/>
      <c r="U1821" s="63"/>
      <c r="V1821" s="63"/>
      <c r="W1821" s="63"/>
      <c r="X1821" s="63"/>
      <c r="Y1821" s="63"/>
      <c r="Z1821" s="63"/>
      <c r="AA1821" s="63"/>
      <c r="AB1821" s="63"/>
      <c r="AC1821" s="63"/>
    </row>
    <row r="1822" spans="1:29" x14ac:dyDescent="0.25">
      <c r="A1822" s="108">
        <v>46046</v>
      </c>
      <c r="B1822" s="109">
        <v>41</v>
      </c>
      <c r="C1822" s="49" t="s">
        <v>19</v>
      </c>
      <c r="D1822" s="110" t="str">
        <f>IF(ISBLANK($B1822),"",IFERROR(VLOOKUP($B1822,ESTOQUE!$B$2:$D$97168,3,FALSE),"Produto não cadastrado"))</f>
        <v>BOTINA OP. BICO PVC Nº 43</v>
      </c>
      <c r="E1822" s="99" t="str">
        <f>_xlfn.XLOOKUP(B1822,ESTOQUE!B:B,ESTOQUE!G:G,"",0)</f>
        <v>PAR</v>
      </c>
      <c r="F1822" s="99">
        <v>2</v>
      </c>
      <c r="G1822" s="146"/>
      <c r="H1822" s="146"/>
      <c r="I1822" s="147"/>
      <c r="J1822" s="147"/>
      <c r="K1822" s="63"/>
      <c r="L1822" s="63"/>
      <c r="M1822" s="63"/>
      <c r="N1822" s="63"/>
      <c r="O1822" s="63"/>
      <c r="P1822" s="63"/>
      <c r="Q1822" s="63"/>
      <c r="R1822" s="63"/>
      <c r="S1822" s="63"/>
      <c r="T1822" s="63"/>
      <c r="U1822" s="63"/>
      <c r="V1822" s="63"/>
      <c r="W1822" s="63"/>
      <c r="X1822" s="63"/>
      <c r="Y1822" s="63"/>
      <c r="Z1822" s="63"/>
      <c r="AA1822" s="63"/>
      <c r="AB1822" s="63"/>
      <c r="AC1822" s="63"/>
    </row>
    <row r="1823" spans="1:29" x14ac:dyDescent="0.25">
      <c r="A1823" s="108">
        <v>46046</v>
      </c>
      <c r="B1823" s="109">
        <v>46</v>
      </c>
      <c r="C1823" s="49" t="s">
        <v>19</v>
      </c>
      <c r="D1823" s="110" t="str">
        <f>IF(ISBLANK($B1823),"",IFERROR(VLOOKUP($B1823,ESTOQUE!$B$2:$D$97168,3,FALSE),"Produto não cadastrado"))</f>
        <v>CALÇA CINZA OP. C/ FAIXA REFLETIVA TAM: G</v>
      </c>
      <c r="E1823" s="99" t="str">
        <f>_xlfn.XLOOKUP(B1823,ESTOQUE!B:B,ESTOQUE!G:G,"",0)</f>
        <v>UND</v>
      </c>
      <c r="F1823" s="99">
        <v>5</v>
      </c>
      <c r="G1823" s="146"/>
      <c r="H1823" s="146"/>
      <c r="I1823" s="147"/>
      <c r="J1823" s="147"/>
      <c r="K1823" s="63"/>
      <c r="L1823" s="63"/>
      <c r="M1823" s="63"/>
      <c r="N1823" s="63"/>
      <c r="O1823" s="63"/>
      <c r="P1823" s="63"/>
      <c r="Q1823" s="63"/>
      <c r="R1823" s="63"/>
      <c r="S1823" s="63"/>
      <c r="T1823" s="63"/>
      <c r="U1823" s="63"/>
      <c r="V1823" s="63"/>
      <c r="W1823" s="63"/>
      <c r="X1823" s="63"/>
      <c r="Y1823" s="63"/>
      <c r="Z1823" s="63"/>
      <c r="AA1823" s="63"/>
      <c r="AB1823" s="63"/>
      <c r="AC1823" s="63"/>
    </row>
    <row r="1824" spans="1:29" x14ac:dyDescent="0.25">
      <c r="A1824" s="108">
        <v>46046</v>
      </c>
      <c r="B1824" s="109">
        <v>48</v>
      </c>
      <c r="C1824" s="49" t="s">
        <v>19</v>
      </c>
      <c r="D1824" s="110" t="str">
        <f>IF(ISBLANK($B1824),"",IFERROR(VLOOKUP($B1824,ESTOQUE!$B$2:$D$97168,3,FALSE),"Produto não cadastrado"))</f>
        <v>CALÇA CINZA OP. C/ FAIXA REFLETIVA TAM: M</v>
      </c>
      <c r="E1824" s="99" t="str">
        <f>_xlfn.XLOOKUP(B1824,ESTOQUE!B:B,ESTOQUE!G:G,"",0)</f>
        <v>UND</v>
      </c>
      <c r="F1824" s="99">
        <v>4</v>
      </c>
      <c r="G1824" s="146"/>
      <c r="H1824" s="146"/>
      <c r="I1824" s="147"/>
      <c r="J1824" s="147"/>
      <c r="K1824" s="63"/>
      <c r="L1824" s="63"/>
      <c r="M1824" s="63"/>
      <c r="N1824" s="63"/>
      <c r="O1824" s="63"/>
      <c r="P1824" s="63"/>
      <c r="Q1824" s="63"/>
      <c r="R1824" s="63"/>
      <c r="S1824" s="63"/>
      <c r="T1824" s="63"/>
      <c r="U1824" s="63"/>
      <c r="V1824" s="63"/>
      <c r="W1824" s="63"/>
      <c r="X1824" s="63"/>
      <c r="Y1824" s="63"/>
      <c r="Z1824" s="63"/>
      <c r="AA1824" s="63"/>
      <c r="AB1824" s="63"/>
      <c r="AC1824" s="63"/>
    </row>
    <row r="1825" spans="1:29" x14ac:dyDescent="0.25">
      <c r="A1825" s="108">
        <v>46046</v>
      </c>
      <c r="B1825" s="109">
        <v>49</v>
      </c>
      <c r="C1825" s="49" t="s">
        <v>19</v>
      </c>
      <c r="D1825" s="110" t="str">
        <f>IF(ISBLANK($B1825),"",IFERROR(VLOOKUP($B1825,ESTOQUE!$B$2:$D$97168,3,FALSE),"Produto não cadastrado"))</f>
        <v>CALÇA CINZA OP. C/ FAIXA REFLETIVA TAM: P</v>
      </c>
      <c r="E1825" s="99" t="str">
        <f>_xlfn.XLOOKUP(B1825,ESTOQUE!B:B,ESTOQUE!G:G,"",0)</f>
        <v>UND</v>
      </c>
      <c r="F1825" s="99">
        <v>4</v>
      </c>
      <c r="G1825" s="146"/>
      <c r="H1825" s="146"/>
      <c r="I1825" s="147"/>
      <c r="J1825" s="147"/>
      <c r="K1825" s="63"/>
      <c r="L1825" s="63"/>
      <c r="M1825" s="63"/>
      <c r="N1825" s="63"/>
      <c r="O1825" s="63"/>
      <c r="P1825" s="63"/>
      <c r="Q1825" s="63"/>
      <c r="R1825" s="63"/>
      <c r="S1825" s="63"/>
      <c r="T1825" s="63"/>
      <c r="U1825" s="63"/>
      <c r="V1825" s="63"/>
      <c r="W1825" s="63"/>
      <c r="X1825" s="63"/>
      <c r="Y1825" s="63"/>
      <c r="Z1825" s="63"/>
      <c r="AA1825" s="63"/>
      <c r="AB1825" s="63"/>
      <c r="AC1825" s="63"/>
    </row>
    <row r="1826" spans="1:29" x14ac:dyDescent="0.25">
      <c r="A1826" s="108">
        <v>46046</v>
      </c>
      <c r="B1826" s="109">
        <v>67</v>
      </c>
      <c r="C1826" s="49" t="s">
        <v>19</v>
      </c>
      <c r="D1826" s="110" t="str">
        <f>IF(ISBLANK($B1826),"",IFERROR(VLOOKUP($B1826,ESTOQUE!$B$2:$D$97168,3,FALSE),"Produto não cadastrado"))</f>
        <v>CAMISA LARANJA OP. C/ FAIXA REFLETIVA TAM: G</v>
      </c>
      <c r="E1826" s="99" t="str">
        <f>_xlfn.XLOOKUP(B1826,ESTOQUE!B:B,ESTOQUE!G:G,"",0)</f>
        <v>UND</v>
      </c>
      <c r="F1826" s="99">
        <v>4</v>
      </c>
      <c r="G1826" s="146"/>
      <c r="H1826" s="146"/>
      <c r="I1826" s="147"/>
      <c r="J1826" s="147"/>
      <c r="K1826" s="63"/>
      <c r="L1826" s="63"/>
      <c r="M1826" s="63"/>
      <c r="N1826" s="63"/>
      <c r="O1826" s="63"/>
      <c r="P1826" s="63"/>
      <c r="Q1826" s="63"/>
      <c r="R1826" s="63"/>
      <c r="S1826" s="63"/>
      <c r="T1826" s="63"/>
      <c r="U1826" s="63"/>
      <c r="V1826" s="63"/>
      <c r="W1826" s="63"/>
      <c r="X1826" s="63"/>
      <c r="Y1826" s="63"/>
      <c r="Z1826" s="63"/>
      <c r="AA1826" s="63"/>
      <c r="AB1826" s="63"/>
      <c r="AC1826" s="63"/>
    </row>
    <row r="1827" spans="1:29" x14ac:dyDescent="0.25">
      <c r="A1827" s="108">
        <v>46046</v>
      </c>
      <c r="B1827" s="109">
        <v>69</v>
      </c>
      <c r="C1827" s="49" t="s">
        <v>19</v>
      </c>
      <c r="D1827" s="110" t="str">
        <f>IF(ISBLANK($B1827),"",IFERROR(VLOOKUP($B1827,ESTOQUE!$B$2:$D$97168,3,FALSE),"Produto não cadastrado"))</f>
        <v>CAMISA LARANJA OP. C/ FAIXA REFLETIVA TAM: M</v>
      </c>
      <c r="E1827" s="99" t="str">
        <f>_xlfn.XLOOKUP(B1827,ESTOQUE!B:B,ESTOQUE!G:G,"",0)</f>
        <v>UND</v>
      </c>
      <c r="F1827" s="99">
        <v>3</v>
      </c>
      <c r="G1827" s="146"/>
      <c r="H1827" s="146"/>
      <c r="I1827" s="147"/>
      <c r="J1827" s="147"/>
      <c r="K1827" s="63"/>
      <c r="L1827" s="63"/>
      <c r="M1827" s="63"/>
      <c r="N1827" s="63"/>
      <c r="O1827" s="63"/>
      <c r="P1827" s="63"/>
      <c r="Q1827" s="63"/>
      <c r="R1827" s="63"/>
      <c r="S1827" s="63"/>
      <c r="T1827" s="63"/>
      <c r="U1827" s="63"/>
      <c r="V1827" s="63"/>
      <c r="W1827" s="63"/>
      <c r="X1827" s="63"/>
      <c r="Y1827" s="63"/>
      <c r="Z1827" s="63"/>
      <c r="AA1827" s="63"/>
      <c r="AB1827" s="63"/>
      <c r="AC1827" s="63"/>
    </row>
    <row r="1828" spans="1:29" x14ac:dyDescent="0.25">
      <c r="A1828" s="108">
        <v>46046</v>
      </c>
      <c r="B1828" s="109">
        <v>70</v>
      </c>
      <c r="C1828" s="49" t="s">
        <v>19</v>
      </c>
      <c r="D1828" s="110" t="str">
        <f>IF(ISBLANK($B1828),"",IFERROR(VLOOKUP($B1828,ESTOQUE!$B$2:$D$97168,3,FALSE),"Produto não cadastrado"))</f>
        <v>CAMISA LARANJA OP. C/ FAIXA REFLETIVA TAM: P</v>
      </c>
      <c r="E1828" s="99" t="str">
        <f>_xlfn.XLOOKUP(B1828,ESTOQUE!B:B,ESTOQUE!G:G,"",0)</f>
        <v>UND</v>
      </c>
      <c r="F1828" s="99">
        <v>1</v>
      </c>
      <c r="G1828" s="146"/>
      <c r="H1828" s="146"/>
      <c r="I1828" s="147"/>
      <c r="J1828" s="147"/>
      <c r="K1828" s="63"/>
      <c r="L1828" s="63"/>
      <c r="M1828" s="63"/>
      <c r="N1828" s="63"/>
      <c r="O1828" s="63"/>
      <c r="P1828" s="63"/>
      <c r="Q1828" s="63"/>
      <c r="R1828" s="63"/>
      <c r="S1828" s="63"/>
      <c r="T1828" s="63"/>
      <c r="U1828" s="63"/>
      <c r="V1828" s="63"/>
      <c r="W1828" s="63"/>
      <c r="X1828" s="63"/>
      <c r="Y1828" s="63"/>
      <c r="Z1828" s="63"/>
      <c r="AA1828" s="63"/>
      <c r="AB1828" s="63"/>
      <c r="AC1828" s="63"/>
    </row>
    <row r="1829" spans="1:29" x14ac:dyDescent="0.25">
      <c r="A1829" s="108">
        <v>46046</v>
      </c>
      <c r="B1829" s="109">
        <v>95</v>
      </c>
      <c r="C1829" s="49" t="s">
        <v>19</v>
      </c>
      <c r="D1829" s="110" t="str">
        <f>IF(ISBLANK($B1829),"",IFERROR(VLOOKUP($B1829,ESTOQUE!$B$2:$D$97168,3,FALSE),"Produto não cadastrado"))</f>
        <v>CARNEIRA P/ CAPACETE LIBUS</v>
      </c>
      <c r="E1829" s="99" t="str">
        <f>_xlfn.XLOOKUP(B1829,ESTOQUE!B:B,ESTOQUE!G:G,"",0)</f>
        <v>UND</v>
      </c>
      <c r="F1829" s="99">
        <v>1</v>
      </c>
      <c r="G1829" s="146"/>
      <c r="H1829" s="146"/>
      <c r="I1829" s="147"/>
      <c r="J1829" s="147"/>
      <c r="K1829" s="63"/>
      <c r="L1829" s="63"/>
      <c r="M1829" s="63"/>
      <c r="N1829" s="63"/>
      <c r="O1829" s="63"/>
      <c r="P1829" s="63"/>
      <c r="Q1829" s="63"/>
      <c r="R1829" s="63"/>
      <c r="S1829" s="63"/>
      <c r="T1829" s="63"/>
      <c r="U1829" s="63"/>
      <c r="V1829" s="63"/>
      <c r="W1829" s="63"/>
      <c r="X1829" s="63"/>
      <c r="Y1829" s="63"/>
      <c r="Z1829" s="63"/>
      <c r="AA1829" s="63"/>
      <c r="AB1829" s="63"/>
      <c r="AC1829" s="63"/>
    </row>
    <row r="1830" spans="1:29" x14ac:dyDescent="0.25">
      <c r="A1830" s="108">
        <v>46046</v>
      </c>
      <c r="B1830" s="109">
        <v>97</v>
      </c>
      <c r="C1830" s="49" t="s">
        <v>19</v>
      </c>
      <c r="D1830" s="110" t="str">
        <f>IF(ISBLANK($B1830),"",IFERROR(VLOOKUP($B1830,ESTOQUE!$B$2:$D$97168,3,FALSE),"Produto não cadastrado"))</f>
        <v>COLETE REFLETIVO LARANJA M</v>
      </c>
      <c r="E1830" s="99" t="str">
        <f>_xlfn.XLOOKUP(B1830,ESTOQUE!B:B,ESTOQUE!G:G,"",0)</f>
        <v>UND</v>
      </c>
      <c r="F1830" s="99">
        <v>2</v>
      </c>
      <c r="G1830" s="146"/>
      <c r="H1830" s="146"/>
      <c r="I1830" s="147"/>
      <c r="J1830" s="147"/>
      <c r="K1830" s="63"/>
      <c r="L1830" s="63"/>
      <c r="M1830" s="63"/>
      <c r="N1830" s="63"/>
      <c r="O1830" s="63"/>
      <c r="P1830" s="63"/>
      <c r="Q1830" s="63"/>
      <c r="R1830" s="63"/>
      <c r="S1830" s="63"/>
      <c r="T1830" s="63"/>
      <c r="U1830" s="63"/>
      <c r="V1830" s="63"/>
      <c r="W1830" s="63"/>
      <c r="X1830" s="63"/>
      <c r="Y1830" s="63"/>
      <c r="Z1830" s="63"/>
      <c r="AA1830" s="63"/>
      <c r="AB1830" s="63"/>
      <c r="AC1830" s="63"/>
    </row>
    <row r="1831" spans="1:29" x14ac:dyDescent="0.25">
      <c r="A1831" s="108">
        <v>46046</v>
      </c>
      <c r="B1831" s="109">
        <v>141</v>
      </c>
      <c r="C1831" s="49" t="s">
        <v>19</v>
      </c>
      <c r="D1831" s="110" t="str">
        <f>IF(ISBLANK($B1831),"",IFERROR(VLOOKUP($B1831,ESTOQUE!$B$2:$D$97168,3,FALSE),"Produto não cadastrado"))</f>
        <v xml:space="preserve">LUVA DE VAQUETA </v>
      </c>
      <c r="E1831" s="99" t="str">
        <f>_xlfn.XLOOKUP(B1831,ESTOQUE!B:B,ESTOQUE!G:G,"",0)</f>
        <v>PAR</v>
      </c>
      <c r="F1831" s="99">
        <v>2</v>
      </c>
      <c r="G1831" s="146"/>
      <c r="H1831" s="146"/>
      <c r="I1831" s="147"/>
      <c r="J1831" s="147"/>
      <c r="K1831" s="63"/>
      <c r="L1831" s="63"/>
      <c r="M1831" s="63"/>
      <c r="N1831" s="63"/>
      <c r="O1831" s="63"/>
      <c r="P1831" s="63"/>
      <c r="Q1831" s="63"/>
      <c r="R1831" s="63"/>
      <c r="S1831" s="63"/>
      <c r="T1831" s="63"/>
      <c r="U1831" s="63"/>
      <c r="V1831" s="63"/>
      <c r="W1831" s="63"/>
      <c r="X1831" s="63"/>
      <c r="Y1831" s="63"/>
      <c r="Z1831" s="63"/>
      <c r="AA1831" s="63"/>
      <c r="AB1831" s="63"/>
      <c r="AC1831" s="63"/>
    </row>
    <row r="1832" spans="1:29" x14ac:dyDescent="0.25">
      <c r="A1832" s="108">
        <v>46046</v>
      </c>
      <c r="B1832" s="109">
        <v>111</v>
      </c>
      <c r="C1832" s="49" t="s">
        <v>19</v>
      </c>
      <c r="D1832" s="110" t="str">
        <f>IF(ISBLANK($B1832),"",IFERROR(VLOOKUP($B1832,ESTOQUE!$B$2:$D$97168,3,FALSE),"Produto não cadastrado"))</f>
        <v>LUVA DE VAQUETA MARROM</v>
      </c>
      <c r="E1832" s="99" t="str">
        <f>_xlfn.XLOOKUP(B1832,ESTOQUE!B:B,ESTOQUE!G:G,"",0)</f>
        <v>PAR</v>
      </c>
      <c r="F1832" s="99">
        <v>2</v>
      </c>
      <c r="G1832" s="146"/>
      <c r="H1832" s="146"/>
      <c r="I1832" s="147"/>
      <c r="J1832" s="147"/>
      <c r="K1832" s="63"/>
      <c r="L1832" s="63"/>
      <c r="M1832" s="63"/>
      <c r="N1832" s="63"/>
      <c r="O1832" s="63"/>
      <c r="P1832" s="63"/>
      <c r="Q1832" s="63"/>
      <c r="R1832" s="63"/>
      <c r="S1832" s="63"/>
      <c r="T1832" s="63"/>
      <c r="U1832" s="63"/>
      <c r="V1832" s="63"/>
      <c r="W1832" s="63"/>
      <c r="X1832" s="63"/>
      <c r="Y1832" s="63"/>
      <c r="Z1832" s="63"/>
      <c r="AA1832" s="63"/>
      <c r="AB1832" s="63"/>
      <c r="AC1832" s="63"/>
    </row>
    <row r="1833" spans="1:29" x14ac:dyDescent="0.25">
      <c r="A1833" s="108">
        <v>46046</v>
      </c>
      <c r="B1833" s="109">
        <v>117</v>
      </c>
      <c r="C1833" s="49" t="s">
        <v>19</v>
      </c>
      <c r="D1833" s="110" t="str">
        <f>IF(ISBLANK($B1833),"",IFERROR(VLOOKUP($B1833,ESTOQUE!$B$2:$D$97168,3,FALSE),"Produto não cadastrado"))</f>
        <v>LUVA PIGMENTADA</v>
      </c>
      <c r="E1833" s="99" t="str">
        <f>_xlfn.XLOOKUP(B1833,ESTOQUE!B:B,ESTOQUE!G:G,"",0)</f>
        <v>PAR</v>
      </c>
      <c r="F1833" s="99">
        <v>49</v>
      </c>
      <c r="G1833" s="146"/>
      <c r="H1833" s="146"/>
      <c r="I1833" s="147"/>
      <c r="J1833" s="147"/>
      <c r="K1833" s="63"/>
      <c r="L1833" s="63"/>
      <c r="M1833" s="63"/>
      <c r="N1833" s="63"/>
      <c r="O1833" s="63"/>
      <c r="P1833" s="63"/>
      <c r="Q1833" s="63"/>
      <c r="R1833" s="63"/>
      <c r="S1833" s="63"/>
      <c r="T1833" s="63"/>
      <c r="U1833" s="63"/>
      <c r="V1833" s="63"/>
      <c r="W1833" s="63"/>
      <c r="X1833" s="63"/>
      <c r="Y1833" s="63"/>
      <c r="Z1833" s="63"/>
      <c r="AA1833" s="63"/>
      <c r="AB1833" s="63"/>
      <c r="AC1833" s="63"/>
    </row>
    <row r="1834" spans="1:29" x14ac:dyDescent="0.25">
      <c r="A1834" s="108">
        <v>46046</v>
      </c>
      <c r="B1834" s="109">
        <v>116</v>
      </c>
      <c r="C1834" s="49" t="s">
        <v>19</v>
      </c>
      <c r="D1834" s="110" t="str">
        <f>IF(ISBLANK($B1834),"",IFERROR(VLOOKUP($B1834,ESTOQUE!$B$2:$D$97168,3,FALSE),"Produto não cadastrado"))</f>
        <v>LUVA PVC LINEA - CANO LONGO</v>
      </c>
      <c r="E1834" s="99" t="str">
        <f>_xlfn.XLOOKUP(B1834,ESTOQUE!B:B,ESTOQUE!G:G,"",0)</f>
        <v>PAR</v>
      </c>
      <c r="F1834" s="99">
        <v>1</v>
      </c>
      <c r="G1834" s="146"/>
      <c r="H1834" s="146"/>
      <c r="I1834" s="147"/>
      <c r="J1834" s="147"/>
      <c r="K1834" s="63"/>
      <c r="L1834" s="63"/>
      <c r="M1834" s="63"/>
      <c r="N1834" s="63"/>
      <c r="O1834" s="63"/>
      <c r="P1834" s="63"/>
      <c r="Q1834" s="63"/>
      <c r="R1834" s="63"/>
      <c r="S1834" s="63"/>
      <c r="T1834" s="63"/>
      <c r="U1834" s="63"/>
      <c r="V1834" s="63"/>
      <c r="W1834" s="63"/>
      <c r="X1834" s="63"/>
      <c r="Y1834" s="63"/>
      <c r="Z1834" s="63"/>
      <c r="AA1834" s="63"/>
      <c r="AB1834" s="63"/>
      <c r="AC1834" s="63"/>
    </row>
    <row r="1835" spans="1:29" x14ac:dyDescent="0.25">
      <c r="A1835" s="108">
        <v>46046</v>
      </c>
      <c r="B1835" s="109">
        <v>144</v>
      </c>
      <c r="C1835" s="49" t="s">
        <v>19</v>
      </c>
      <c r="D1835" s="110" t="str">
        <f>IF(ISBLANK($B1835),"",IFERROR(VLOOKUP($B1835,ESTOQUE!$B$2:$D$97168,3,FALSE),"Produto não cadastrado"))</f>
        <v>MASCARA PFF2-S C/ FILTRO</v>
      </c>
      <c r="E1835" s="99" t="str">
        <f>_xlfn.XLOOKUP(B1835,ESTOQUE!B:B,ESTOQUE!G:G,"",0)</f>
        <v>UND</v>
      </c>
      <c r="F1835" s="99">
        <v>3</v>
      </c>
      <c r="G1835" s="146"/>
      <c r="H1835" s="146"/>
      <c r="I1835" s="147"/>
      <c r="J1835" s="147"/>
      <c r="K1835" s="63"/>
      <c r="L1835" s="63"/>
      <c r="M1835" s="63"/>
      <c r="N1835" s="63"/>
      <c r="O1835" s="63"/>
      <c r="P1835" s="63"/>
      <c r="Q1835" s="63"/>
      <c r="R1835" s="63"/>
      <c r="S1835" s="63"/>
      <c r="T1835" s="63"/>
      <c r="U1835" s="63"/>
      <c r="V1835" s="63"/>
      <c r="W1835" s="63"/>
      <c r="X1835" s="63"/>
      <c r="Y1835" s="63"/>
      <c r="Z1835" s="63"/>
      <c r="AA1835" s="63"/>
      <c r="AB1835" s="63"/>
      <c r="AC1835" s="63"/>
    </row>
    <row r="1836" spans="1:29" x14ac:dyDescent="0.25">
      <c r="A1836" s="108">
        <v>46046</v>
      </c>
      <c r="B1836" s="109">
        <v>124</v>
      </c>
      <c r="C1836" s="49" t="s">
        <v>19</v>
      </c>
      <c r="D1836" s="110" t="str">
        <f>IF(ISBLANK($B1836),"",IFERROR(VLOOKUP($B1836,ESTOQUE!$B$2:$D$97168,3,FALSE),"Produto não cadastrado"))</f>
        <v xml:space="preserve">OCULOS DE PROTEÇÃO INCOLOR </v>
      </c>
      <c r="E1836" s="99" t="str">
        <f>_xlfn.XLOOKUP(B1836,ESTOQUE!B:B,ESTOQUE!G:G,"",0)</f>
        <v>UND</v>
      </c>
      <c r="F1836" s="99">
        <v>22</v>
      </c>
      <c r="G1836" s="146"/>
      <c r="H1836" s="146"/>
      <c r="I1836" s="147"/>
      <c r="J1836" s="147"/>
      <c r="K1836" s="63"/>
      <c r="L1836" s="63"/>
      <c r="M1836" s="63"/>
      <c r="N1836" s="63"/>
      <c r="O1836" s="63"/>
      <c r="P1836" s="63"/>
      <c r="Q1836" s="63"/>
      <c r="R1836" s="63"/>
      <c r="S1836" s="63"/>
      <c r="T1836" s="63"/>
      <c r="U1836" s="63"/>
      <c r="V1836" s="63"/>
      <c r="W1836" s="63"/>
      <c r="X1836" s="63"/>
      <c r="Y1836" s="63"/>
      <c r="Z1836" s="63"/>
      <c r="AA1836" s="63"/>
      <c r="AB1836" s="63"/>
      <c r="AC1836" s="63"/>
    </row>
    <row r="1837" spans="1:29" x14ac:dyDescent="0.25">
      <c r="A1837" s="108">
        <v>46046</v>
      </c>
      <c r="B1837" s="109">
        <v>139</v>
      </c>
      <c r="C1837" s="49" t="s">
        <v>19</v>
      </c>
      <c r="D1837" s="149" t="str">
        <f>IF(ISBLANK($B1837),"",IFERROR(VLOOKUP($B1837,ESTOQUE!$B$2:$D$97168,3,FALSE),"Produto não cadastrado"))</f>
        <v>PROTETOR AURICULAR TIPO PLUG</v>
      </c>
      <c r="E1837" s="99" t="str">
        <f>_xlfn.XLOOKUP(B1837,ESTOQUE!B:B,ESTOQUE!G:G,"",0)</f>
        <v>UND</v>
      </c>
      <c r="F1837" s="99">
        <v>1</v>
      </c>
      <c r="G1837" s="146"/>
      <c r="H1837" s="146"/>
      <c r="I1837" s="147"/>
      <c r="J1837" s="147"/>
      <c r="K1837" s="63"/>
      <c r="L1837" s="63"/>
      <c r="M1837" s="63"/>
      <c r="N1837" s="63"/>
      <c r="O1837" s="63"/>
      <c r="P1837" s="63"/>
      <c r="Q1837" s="63"/>
      <c r="R1837" s="63"/>
      <c r="S1837" s="63"/>
      <c r="T1837" s="63"/>
      <c r="U1837" s="63"/>
      <c r="V1837" s="63"/>
      <c r="W1837" s="63"/>
      <c r="X1837" s="63"/>
      <c r="Y1837" s="63"/>
      <c r="Z1837" s="63"/>
      <c r="AA1837" s="63"/>
      <c r="AB1837" s="63"/>
      <c r="AC1837" s="63"/>
    </row>
    <row r="1838" spans="1:29" x14ac:dyDescent="0.25">
      <c r="A1838" s="108">
        <v>46046</v>
      </c>
      <c r="B1838" s="109">
        <v>135</v>
      </c>
      <c r="C1838" s="49" t="s">
        <v>19</v>
      </c>
      <c r="D1838" s="110" t="str">
        <f>IF(ISBLANK($B1838),"",IFERROR(VLOOKUP($B1838,ESTOQUE!$B$2:$D$97168,3,FALSE),"Produto não cadastrado"))</f>
        <v>TALABARTE DUPLO TIPO Y</v>
      </c>
      <c r="E1838" s="99" t="str">
        <f>_xlfn.XLOOKUP(B1838,ESTOQUE!B:B,ESTOQUE!G:G,"",0)</f>
        <v>UND</v>
      </c>
      <c r="F1838" s="99">
        <v>1</v>
      </c>
      <c r="G1838" s="146"/>
      <c r="H1838" s="146"/>
      <c r="I1838" s="147"/>
      <c r="J1838" s="147"/>
      <c r="K1838" s="63"/>
      <c r="L1838" s="63"/>
      <c r="M1838" s="63"/>
      <c r="N1838" s="63"/>
      <c r="O1838" s="63"/>
      <c r="P1838" s="63"/>
      <c r="Q1838" s="63"/>
      <c r="R1838" s="63"/>
      <c r="S1838" s="63"/>
      <c r="T1838" s="63"/>
      <c r="U1838" s="63"/>
      <c r="V1838" s="63"/>
      <c r="W1838" s="63"/>
      <c r="X1838" s="63"/>
      <c r="Y1838" s="63"/>
      <c r="Z1838" s="63"/>
      <c r="AA1838" s="63"/>
      <c r="AB1838" s="63"/>
      <c r="AC1838" s="63"/>
    </row>
    <row r="1839" spans="1:29" x14ac:dyDescent="0.25">
      <c r="A1839" s="108">
        <v>46047</v>
      </c>
      <c r="B1839" s="109">
        <v>30</v>
      </c>
      <c r="C1839" s="49" t="s">
        <v>19</v>
      </c>
      <c r="D1839" s="110" t="str">
        <f>IF(ISBLANK($B1839),"",IFERROR(VLOOKUP($B1839,ESTOQUE!$B$2:$D$97168,3,FALSE),"Produto não cadastrado"))</f>
        <v>BOTINA DE ELETRICISTA Nº 40</v>
      </c>
      <c r="E1839" s="99" t="str">
        <f>_xlfn.XLOOKUP(B1839,ESTOQUE!B:B,ESTOQUE!G:G,"",0)</f>
        <v>PAR</v>
      </c>
      <c r="F1839" s="99">
        <v>1</v>
      </c>
      <c r="G1839" s="146"/>
      <c r="H1839" s="146"/>
      <c r="I1839" s="147"/>
      <c r="J1839" s="147"/>
      <c r="K1839" s="63"/>
      <c r="L1839" s="63"/>
      <c r="M1839" s="63"/>
      <c r="N1839" s="63"/>
      <c r="O1839" s="63"/>
      <c r="P1839" s="63"/>
      <c r="Q1839" s="63"/>
      <c r="R1839" s="63"/>
      <c r="S1839" s="63"/>
      <c r="T1839" s="63"/>
      <c r="U1839" s="63"/>
      <c r="V1839" s="63"/>
      <c r="W1839" s="63"/>
      <c r="X1839" s="63"/>
      <c r="Y1839" s="63"/>
      <c r="Z1839" s="63"/>
      <c r="AA1839" s="63"/>
      <c r="AB1839" s="63"/>
      <c r="AC1839" s="63"/>
    </row>
    <row r="1840" spans="1:29" x14ac:dyDescent="0.25">
      <c r="A1840" s="108">
        <v>46047</v>
      </c>
      <c r="B1840" s="109">
        <v>46</v>
      </c>
      <c r="C1840" s="49" t="s">
        <v>19</v>
      </c>
      <c r="D1840" s="110" t="str">
        <f>IF(ISBLANK($B1840),"",IFERROR(VLOOKUP($B1840,ESTOQUE!$B$2:$D$97168,3,FALSE),"Produto não cadastrado"))</f>
        <v>CALÇA CINZA OP. C/ FAIXA REFLETIVA TAM: G</v>
      </c>
      <c r="E1840" s="99" t="str">
        <f>_xlfn.XLOOKUP(B1840,ESTOQUE!B:B,ESTOQUE!G:G,"",0)</f>
        <v>UND</v>
      </c>
      <c r="F1840" s="99">
        <v>1</v>
      </c>
      <c r="G1840" s="146"/>
      <c r="H1840" s="146"/>
      <c r="I1840" s="147"/>
      <c r="J1840" s="147"/>
      <c r="K1840" s="63"/>
      <c r="L1840" s="63"/>
      <c r="M1840" s="63"/>
      <c r="N1840" s="63"/>
      <c r="O1840" s="63"/>
      <c r="P1840" s="63"/>
      <c r="Q1840" s="63"/>
      <c r="R1840" s="63"/>
      <c r="S1840" s="63"/>
      <c r="T1840" s="63"/>
      <c r="U1840" s="63"/>
      <c r="V1840" s="63"/>
      <c r="W1840" s="63"/>
      <c r="X1840" s="63"/>
      <c r="Y1840" s="63"/>
      <c r="Z1840" s="63"/>
      <c r="AA1840" s="63"/>
      <c r="AB1840" s="63"/>
      <c r="AC1840" s="63"/>
    </row>
    <row r="1841" spans="1:29" x14ac:dyDescent="0.25">
      <c r="A1841" s="108">
        <v>46047</v>
      </c>
      <c r="B1841" s="109">
        <v>47</v>
      </c>
      <c r="C1841" s="49" t="s">
        <v>19</v>
      </c>
      <c r="D1841" s="110" t="str">
        <f>IF(ISBLANK($B1841),"",IFERROR(VLOOKUP($B1841,ESTOQUE!$B$2:$D$97168,3,FALSE),"Produto não cadastrado"))</f>
        <v>CALÇA CINZA OP. C/ FAIXA REFLETIVA TAM: GG</v>
      </c>
      <c r="E1841" s="99" t="str">
        <f>_xlfn.XLOOKUP(B1841,ESTOQUE!B:B,ESTOQUE!G:G,"",0)</f>
        <v>UND</v>
      </c>
      <c r="F1841" s="99">
        <v>1</v>
      </c>
      <c r="G1841" s="146"/>
      <c r="H1841" s="146"/>
      <c r="I1841" s="147"/>
      <c r="J1841" s="147"/>
      <c r="K1841" s="63"/>
      <c r="L1841" s="63"/>
      <c r="M1841" s="63"/>
      <c r="N1841" s="63"/>
      <c r="O1841" s="63"/>
      <c r="P1841" s="63"/>
      <c r="Q1841" s="63"/>
      <c r="R1841" s="63"/>
      <c r="S1841" s="63"/>
      <c r="T1841" s="63"/>
      <c r="U1841" s="63"/>
      <c r="V1841" s="63"/>
      <c r="W1841" s="63"/>
      <c r="X1841" s="63"/>
      <c r="Y1841" s="63"/>
      <c r="Z1841" s="63"/>
      <c r="AA1841" s="63"/>
      <c r="AB1841" s="63"/>
      <c r="AC1841" s="63"/>
    </row>
    <row r="1842" spans="1:29" x14ac:dyDescent="0.25">
      <c r="A1842" s="108">
        <v>46047</v>
      </c>
      <c r="B1842" s="109">
        <v>49</v>
      </c>
      <c r="C1842" s="49" t="s">
        <v>19</v>
      </c>
      <c r="D1842" s="110" t="str">
        <f>IF(ISBLANK($B1842),"",IFERROR(VLOOKUP($B1842,ESTOQUE!$B$2:$D$97168,3,FALSE),"Produto não cadastrado"))</f>
        <v>CALÇA CINZA OP. C/ FAIXA REFLETIVA TAM: P</v>
      </c>
      <c r="E1842" s="99" t="str">
        <f>_xlfn.XLOOKUP(B1842,ESTOQUE!B:B,ESTOQUE!G:G,"",0)</f>
        <v>UND</v>
      </c>
      <c r="F1842" s="99">
        <v>1</v>
      </c>
      <c r="G1842" s="146"/>
      <c r="H1842" s="146"/>
      <c r="I1842" s="147"/>
      <c r="J1842" s="147"/>
      <c r="K1842" s="63"/>
      <c r="L1842" s="63"/>
      <c r="M1842" s="63"/>
      <c r="N1842" s="63"/>
      <c r="O1842" s="63"/>
      <c r="P1842" s="63"/>
      <c r="Q1842" s="63"/>
      <c r="R1842" s="63"/>
      <c r="S1842" s="63"/>
      <c r="T1842" s="63"/>
      <c r="U1842" s="63"/>
      <c r="V1842" s="63"/>
      <c r="W1842" s="63"/>
      <c r="X1842" s="63"/>
      <c r="Y1842" s="63"/>
      <c r="Z1842" s="63"/>
      <c r="AA1842" s="63"/>
      <c r="AB1842" s="63"/>
      <c r="AC1842" s="63"/>
    </row>
    <row r="1843" spans="1:29" x14ac:dyDescent="0.25">
      <c r="A1843" s="108">
        <v>46047</v>
      </c>
      <c r="B1843" s="109">
        <v>67</v>
      </c>
      <c r="C1843" s="49" t="s">
        <v>19</v>
      </c>
      <c r="D1843" s="110" t="str">
        <f>IF(ISBLANK($B1843),"",IFERROR(VLOOKUP($B1843,ESTOQUE!$B$2:$D$97168,3,FALSE),"Produto não cadastrado"))</f>
        <v>CAMISA LARANJA OP. C/ FAIXA REFLETIVA TAM: G</v>
      </c>
      <c r="E1843" s="99" t="str">
        <f>_xlfn.XLOOKUP(B1843,ESTOQUE!B:B,ESTOQUE!G:G,"",0)</f>
        <v>UND</v>
      </c>
      <c r="F1843" s="99">
        <v>2</v>
      </c>
      <c r="G1843" s="146"/>
      <c r="H1843" s="146"/>
      <c r="I1843" s="147"/>
      <c r="J1843" s="147"/>
      <c r="K1843" s="63"/>
      <c r="L1843" s="63"/>
      <c r="M1843" s="63"/>
      <c r="N1843" s="63"/>
      <c r="O1843" s="63"/>
      <c r="P1843" s="63"/>
      <c r="Q1843" s="63"/>
      <c r="R1843" s="63"/>
      <c r="S1843" s="63"/>
      <c r="T1843" s="63"/>
      <c r="U1843" s="63"/>
      <c r="V1843" s="63"/>
      <c r="W1843" s="63"/>
      <c r="X1843" s="63"/>
      <c r="Y1843" s="63"/>
      <c r="Z1843" s="63"/>
      <c r="AA1843" s="63"/>
      <c r="AB1843" s="63"/>
      <c r="AC1843" s="63"/>
    </row>
    <row r="1844" spans="1:29" x14ac:dyDescent="0.25">
      <c r="A1844" s="108">
        <v>46047</v>
      </c>
      <c r="B1844" s="109">
        <v>73</v>
      </c>
      <c r="C1844" s="49" t="s">
        <v>19</v>
      </c>
      <c r="D1844" s="110" t="str">
        <f>IF(ISBLANK($B1844),"",IFERROR(VLOOKUP($B1844,ESTOQUE!$B$2:$D$97168,3,FALSE),"Produto não cadastrado"))</f>
        <v>CAPA DE CHUVA GG</v>
      </c>
      <c r="E1844" s="99" t="str">
        <f>_xlfn.XLOOKUP(B1844,ESTOQUE!B:B,ESTOQUE!G:G,"",0)</f>
        <v>UND</v>
      </c>
      <c r="F1844" s="99">
        <v>1</v>
      </c>
      <c r="G1844" s="146"/>
      <c r="H1844" s="146"/>
      <c r="I1844" s="147"/>
      <c r="J1844" s="147"/>
      <c r="K1844" s="63"/>
      <c r="L1844" s="63"/>
      <c r="M1844" s="63"/>
      <c r="N1844" s="63"/>
      <c r="O1844" s="63"/>
      <c r="P1844" s="63"/>
      <c r="Q1844" s="63"/>
      <c r="R1844" s="63"/>
      <c r="S1844" s="63"/>
      <c r="T1844" s="63"/>
      <c r="U1844" s="63"/>
      <c r="V1844" s="63"/>
      <c r="W1844" s="63"/>
      <c r="X1844" s="63"/>
      <c r="Y1844" s="63"/>
      <c r="Z1844" s="63"/>
      <c r="AA1844" s="63"/>
      <c r="AB1844" s="63"/>
      <c r="AC1844" s="63"/>
    </row>
    <row r="1845" spans="1:29" x14ac:dyDescent="0.25">
      <c r="A1845" s="108">
        <v>46047</v>
      </c>
      <c r="B1845" s="109">
        <v>111</v>
      </c>
      <c r="C1845" s="49" t="s">
        <v>19</v>
      </c>
      <c r="D1845" s="110" t="str">
        <f>IF(ISBLANK($B1845),"",IFERROR(VLOOKUP($B1845,ESTOQUE!$B$2:$D$97168,3,FALSE),"Produto não cadastrado"))</f>
        <v>LUVA DE VAQUETA MARROM</v>
      </c>
      <c r="E1845" s="99" t="str">
        <f>_xlfn.XLOOKUP(B1845,ESTOQUE!B:B,ESTOQUE!G:G,"",0)</f>
        <v>PAR</v>
      </c>
      <c r="F1845" s="99">
        <v>1</v>
      </c>
      <c r="G1845" s="146"/>
      <c r="H1845" s="146"/>
      <c r="I1845" s="147"/>
      <c r="J1845" s="147"/>
      <c r="K1845" s="63"/>
      <c r="L1845" s="63"/>
      <c r="M1845" s="63"/>
      <c r="N1845" s="63"/>
      <c r="O1845" s="63"/>
      <c r="P1845" s="63"/>
      <c r="Q1845" s="63"/>
      <c r="R1845" s="63"/>
      <c r="S1845" s="63"/>
      <c r="T1845" s="63"/>
      <c r="U1845" s="63"/>
      <c r="V1845" s="63"/>
      <c r="W1845" s="63"/>
      <c r="X1845" s="63"/>
      <c r="Y1845" s="63"/>
      <c r="Z1845" s="63"/>
      <c r="AA1845" s="63"/>
      <c r="AB1845" s="63"/>
      <c r="AC1845" s="63"/>
    </row>
    <row r="1846" spans="1:29" x14ac:dyDescent="0.25">
      <c r="A1846" s="108">
        <v>46047</v>
      </c>
      <c r="B1846" s="109">
        <v>117</v>
      </c>
      <c r="C1846" s="49" t="s">
        <v>19</v>
      </c>
      <c r="D1846" s="110" t="str">
        <f>IF(ISBLANK($B1846),"",IFERROR(VLOOKUP($B1846,ESTOQUE!$B$2:$D$97168,3,FALSE),"Produto não cadastrado"))</f>
        <v>LUVA PIGMENTADA</v>
      </c>
      <c r="E1846" s="99" t="str">
        <f>_xlfn.XLOOKUP(B1846,ESTOQUE!B:B,ESTOQUE!G:G,"",0)</f>
        <v>PAR</v>
      </c>
      <c r="F1846" s="99">
        <v>1</v>
      </c>
      <c r="G1846" s="146"/>
      <c r="H1846" s="146"/>
      <c r="I1846" s="147"/>
      <c r="J1846" s="147"/>
      <c r="K1846" s="63"/>
      <c r="L1846" s="63"/>
      <c r="M1846" s="63"/>
      <c r="N1846" s="63"/>
      <c r="O1846" s="63"/>
      <c r="P1846" s="63"/>
      <c r="Q1846" s="63"/>
      <c r="R1846" s="63"/>
      <c r="S1846" s="63"/>
      <c r="T1846" s="63"/>
      <c r="U1846" s="63"/>
      <c r="V1846" s="63"/>
      <c r="W1846" s="63"/>
      <c r="X1846" s="63"/>
      <c r="Y1846" s="63"/>
      <c r="Z1846" s="63"/>
      <c r="AA1846" s="63"/>
      <c r="AB1846" s="63"/>
      <c r="AC1846" s="63"/>
    </row>
    <row r="1847" spans="1:29" x14ac:dyDescent="0.25">
      <c r="A1847" s="108">
        <v>46047</v>
      </c>
      <c r="B1847" s="109">
        <v>124</v>
      </c>
      <c r="C1847" s="49" t="s">
        <v>19</v>
      </c>
      <c r="D1847" s="110" t="str">
        <f>IF(ISBLANK($B1847),"",IFERROR(VLOOKUP($B1847,ESTOQUE!$B$2:$D$97168,3,FALSE),"Produto não cadastrado"))</f>
        <v xml:space="preserve">OCULOS DE PROTEÇÃO INCOLOR </v>
      </c>
      <c r="E1847" s="99" t="str">
        <f>_xlfn.XLOOKUP(B1847,ESTOQUE!B:B,ESTOQUE!G:G,"",0)</f>
        <v>UND</v>
      </c>
      <c r="F1847" s="99">
        <v>22</v>
      </c>
      <c r="G1847" s="146"/>
      <c r="H1847" s="146"/>
      <c r="I1847" s="147"/>
      <c r="J1847" s="147"/>
      <c r="K1847" s="63"/>
      <c r="L1847" s="63"/>
      <c r="M1847" s="63"/>
      <c r="N1847" s="63"/>
      <c r="O1847" s="63"/>
      <c r="P1847" s="63"/>
      <c r="Q1847" s="63"/>
      <c r="R1847" s="63"/>
      <c r="S1847" s="63"/>
      <c r="T1847" s="63"/>
      <c r="U1847" s="63"/>
      <c r="V1847" s="63"/>
      <c r="W1847" s="63"/>
      <c r="X1847" s="63"/>
      <c r="Y1847" s="63"/>
      <c r="Z1847" s="63"/>
      <c r="AA1847" s="63"/>
      <c r="AB1847" s="63"/>
      <c r="AC1847" s="63"/>
    </row>
    <row r="1848" spans="1:29" x14ac:dyDescent="0.25">
      <c r="A1848" s="108">
        <v>46047</v>
      </c>
      <c r="B1848" s="109">
        <v>128</v>
      </c>
      <c r="C1848" s="49" t="s">
        <v>19</v>
      </c>
      <c r="D1848" s="110" t="str">
        <f>IF(ISBLANK($B1848),"",IFERROR(VLOOKUP($B1848,ESTOQUE!$B$2:$D$97168,3,FALSE),"Produto não cadastrado"))</f>
        <v>PERNEIRA PVC C/ VELCRO</v>
      </c>
      <c r="E1848" s="99" t="str">
        <f>_xlfn.XLOOKUP(B1848,ESTOQUE!B:B,ESTOQUE!G:G,"",0)</f>
        <v>PAR</v>
      </c>
      <c r="F1848" s="99">
        <v>2</v>
      </c>
      <c r="G1848" s="146"/>
      <c r="H1848" s="146"/>
      <c r="I1848" s="147"/>
      <c r="J1848" s="147"/>
      <c r="K1848" s="63"/>
      <c r="L1848" s="63"/>
      <c r="M1848" s="63"/>
      <c r="N1848" s="63"/>
      <c r="O1848" s="63"/>
      <c r="P1848" s="63"/>
      <c r="Q1848" s="63"/>
      <c r="R1848" s="63"/>
      <c r="S1848" s="63"/>
      <c r="T1848" s="63"/>
      <c r="U1848" s="63"/>
      <c r="V1848" s="63"/>
      <c r="W1848" s="63"/>
      <c r="X1848" s="63"/>
      <c r="Y1848" s="63"/>
      <c r="Z1848" s="63"/>
      <c r="AA1848" s="63"/>
      <c r="AB1848" s="63"/>
      <c r="AC1848" s="63"/>
    </row>
    <row r="1849" spans="1:29" x14ac:dyDescent="0.25">
      <c r="A1849" s="108">
        <v>46048</v>
      </c>
      <c r="B1849" s="109">
        <v>7</v>
      </c>
      <c r="C1849" s="49" t="s">
        <v>19</v>
      </c>
      <c r="D1849" s="110" t="str">
        <f>IF(ISBLANK($B1849),"",IFERROR(VLOOKUP($B1849,ESTOQUE!$B$2:$D$97168,3,FALSE),"Produto não cadastrado"))</f>
        <v>BOTA PVC CANO LONGO Nº 39</v>
      </c>
      <c r="E1849" s="99" t="str">
        <f>_xlfn.XLOOKUP(B1849,ESTOQUE!B:B,ESTOQUE!G:G,"",0)</f>
        <v>PAR</v>
      </c>
      <c r="F1849" s="99">
        <v>1</v>
      </c>
      <c r="G1849" s="146"/>
      <c r="H1849" s="146"/>
      <c r="I1849" s="147"/>
      <c r="J1849" s="147"/>
      <c r="K1849" s="63"/>
      <c r="L1849" s="63"/>
      <c r="M1849" s="63"/>
      <c r="N1849" s="63"/>
      <c r="O1849" s="63"/>
      <c r="P1849" s="63"/>
      <c r="Q1849" s="63"/>
      <c r="R1849" s="63"/>
      <c r="S1849" s="63"/>
      <c r="T1849" s="63"/>
      <c r="U1849" s="63"/>
      <c r="V1849" s="63"/>
      <c r="W1849" s="63"/>
      <c r="X1849" s="63"/>
      <c r="Y1849" s="63"/>
      <c r="Z1849" s="63"/>
      <c r="AA1849" s="63"/>
      <c r="AB1849" s="63"/>
      <c r="AC1849" s="63"/>
    </row>
    <row r="1850" spans="1:29" x14ac:dyDescent="0.25">
      <c r="A1850" s="108">
        <v>46048</v>
      </c>
      <c r="B1850" s="109">
        <v>31</v>
      </c>
      <c r="C1850" s="49" t="s">
        <v>19</v>
      </c>
      <c r="D1850" s="110" t="str">
        <f>IF(ISBLANK($B1850),"",IFERROR(VLOOKUP($B1850,ESTOQUE!$B$2:$D$97168,3,FALSE),"Produto não cadastrado"))</f>
        <v>BOTINA DE ELETRICISTA Nº 41</v>
      </c>
      <c r="E1850" s="99" t="str">
        <f>_xlfn.XLOOKUP(B1850,ESTOQUE!B:B,ESTOQUE!G:G,"",0)</f>
        <v>PAR</v>
      </c>
      <c r="F1850" s="99">
        <v>1</v>
      </c>
      <c r="G1850" s="146"/>
      <c r="H1850" s="146"/>
      <c r="I1850" s="147"/>
      <c r="J1850" s="147"/>
      <c r="K1850" s="63"/>
      <c r="L1850" s="63"/>
      <c r="M1850" s="63"/>
      <c r="N1850" s="63"/>
      <c r="O1850" s="63"/>
      <c r="P1850" s="63"/>
      <c r="Q1850" s="63"/>
      <c r="R1850" s="63"/>
      <c r="S1850" s="63"/>
      <c r="T1850" s="63"/>
      <c r="U1850" s="63"/>
      <c r="V1850" s="63"/>
      <c r="W1850" s="63"/>
      <c r="X1850" s="63"/>
      <c r="Y1850" s="63"/>
      <c r="Z1850" s="63"/>
      <c r="AA1850" s="63"/>
      <c r="AB1850" s="63"/>
      <c r="AC1850" s="63"/>
    </row>
    <row r="1851" spans="1:29" x14ac:dyDescent="0.25">
      <c r="A1851" s="108">
        <v>46048</v>
      </c>
      <c r="B1851" s="109">
        <v>47</v>
      </c>
      <c r="C1851" s="49" t="s">
        <v>19</v>
      </c>
      <c r="D1851" s="110" t="str">
        <f>IF(ISBLANK($B1851),"",IFERROR(VLOOKUP($B1851,ESTOQUE!$B$2:$D$97168,3,FALSE),"Produto não cadastrado"))</f>
        <v>CALÇA CINZA OP. C/ FAIXA REFLETIVA TAM: GG</v>
      </c>
      <c r="E1851" s="99" t="str">
        <f>_xlfn.XLOOKUP(B1851,ESTOQUE!B:B,ESTOQUE!G:G,"",0)</f>
        <v>UND</v>
      </c>
      <c r="F1851" s="99">
        <v>2</v>
      </c>
      <c r="G1851" s="146"/>
      <c r="H1851" s="146"/>
      <c r="I1851" s="147"/>
      <c r="J1851" s="147"/>
      <c r="K1851" s="63"/>
      <c r="L1851" s="63"/>
      <c r="M1851" s="63"/>
      <c r="N1851" s="63"/>
      <c r="O1851" s="63"/>
      <c r="P1851" s="63"/>
      <c r="Q1851" s="63"/>
      <c r="R1851" s="63"/>
      <c r="S1851" s="63"/>
      <c r="T1851" s="63"/>
      <c r="U1851" s="63"/>
      <c r="V1851" s="63"/>
      <c r="W1851" s="63"/>
      <c r="X1851" s="63"/>
      <c r="Y1851" s="63"/>
      <c r="Z1851" s="63"/>
      <c r="AA1851" s="63"/>
      <c r="AB1851" s="63"/>
      <c r="AC1851" s="63"/>
    </row>
    <row r="1852" spans="1:29" x14ac:dyDescent="0.25">
      <c r="A1852" s="108">
        <v>46048</v>
      </c>
      <c r="B1852" s="109">
        <v>48</v>
      </c>
      <c r="C1852" s="49" t="s">
        <v>19</v>
      </c>
      <c r="D1852" s="110" t="str">
        <f>IF(ISBLANK($B1852),"",IFERROR(VLOOKUP($B1852,ESTOQUE!$B$2:$D$97168,3,FALSE),"Produto não cadastrado"))</f>
        <v>CALÇA CINZA OP. C/ FAIXA REFLETIVA TAM: M</v>
      </c>
      <c r="E1852" s="99" t="str">
        <f>_xlfn.XLOOKUP(B1852,ESTOQUE!B:B,ESTOQUE!G:G,"",0)</f>
        <v>UND</v>
      </c>
      <c r="F1852" s="99">
        <v>4</v>
      </c>
      <c r="G1852" s="146"/>
      <c r="H1852" s="146"/>
      <c r="I1852" s="147"/>
      <c r="J1852" s="147"/>
      <c r="K1852" s="63"/>
      <c r="L1852" s="63"/>
      <c r="M1852" s="63"/>
      <c r="N1852" s="63"/>
      <c r="O1852" s="63"/>
      <c r="P1852" s="63"/>
      <c r="Q1852" s="63"/>
      <c r="R1852" s="63"/>
      <c r="S1852" s="63"/>
      <c r="T1852" s="63"/>
      <c r="U1852" s="63"/>
      <c r="V1852" s="63"/>
      <c r="W1852" s="63"/>
      <c r="X1852" s="63"/>
      <c r="Y1852" s="63"/>
      <c r="Z1852" s="63"/>
      <c r="AA1852" s="63"/>
      <c r="AB1852" s="63"/>
      <c r="AC1852" s="63"/>
    </row>
    <row r="1853" spans="1:29" x14ac:dyDescent="0.25">
      <c r="A1853" s="108">
        <v>46048</v>
      </c>
      <c r="B1853" s="109">
        <v>49</v>
      </c>
      <c r="C1853" s="49" t="s">
        <v>19</v>
      </c>
      <c r="D1853" s="110" t="str">
        <f>IF(ISBLANK($B1853),"",IFERROR(VLOOKUP($B1853,ESTOQUE!$B$2:$D$97168,3,FALSE),"Produto não cadastrado"))</f>
        <v>CALÇA CINZA OP. C/ FAIXA REFLETIVA TAM: P</v>
      </c>
      <c r="E1853" s="99" t="str">
        <f>_xlfn.XLOOKUP(B1853,ESTOQUE!B:B,ESTOQUE!G:G,"",0)</f>
        <v>UND</v>
      </c>
      <c r="F1853" s="99">
        <v>2</v>
      </c>
      <c r="G1853" s="146"/>
      <c r="H1853" s="146"/>
      <c r="I1853" s="147"/>
      <c r="J1853" s="147"/>
      <c r="K1853" s="63"/>
      <c r="L1853" s="63"/>
      <c r="M1853" s="63"/>
      <c r="N1853" s="63"/>
      <c r="O1853" s="63"/>
      <c r="P1853" s="63"/>
      <c r="Q1853" s="63"/>
      <c r="R1853" s="63"/>
      <c r="S1853" s="63"/>
      <c r="T1853" s="63"/>
      <c r="U1853" s="63"/>
      <c r="V1853" s="63"/>
      <c r="W1853" s="63"/>
      <c r="X1853" s="63"/>
      <c r="Y1853" s="63"/>
      <c r="Z1853" s="63"/>
      <c r="AA1853" s="63"/>
      <c r="AB1853" s="63"/>
      <c r="AC1853" s="63"/>
    </row>
    <row r="1854" spans="1:29" x14ac:dyDescent="0.25">
      <c r="A1854" s="108">
        <v>46048</v>
      </c>
      <c r="B1854" s="109">
        <v>67</v>
      </c>
      <c r="C1854" s="49" t="s">
        <v>19</v>
      </c>
      <c r="D1854" s="110" t="str">
        <f>IF(ISBLANK($B1854),"",IFERROR(VLOOKUP($B1854,ESTOQUE!$B$2:$D$97168,3,FALSE),"Produto não cadastrado"))</f>
        <v>CAMISA LARANJA OP. C/ FAIXA REFLETIVA TAM: G</v>
      </c>
      <c r="E1854" s="99" t="str">
        <f>_xlfn.XLOOKUP(B1854,ESTOQUE!B:B,ESTOQUE!G:G,"",0)</f>
        <v>UND</v>
      </c>
      <c r="F1854" s="99">
        <v>1</v>
      </c>
      <c r="G1854" s="146"/>
      <c r="H1854" s="146"/>
      <c r="I1854" s="147"/>
      <c r="J1854" s="147"/>
      <c r="K1854" s="63"/>
      <c r="L1854" s="63"/>
      <c r="M1854" s="63"/>
      <c r="N1854" s="63"/>
      <c r="O1854" s="63"/>
      <c r="P1854" s="63"/>
      <c r="Q1854" s="63"/>
      <c r="R1854" s="63"/>
      <c r="S1854" s="63"/>
      <c r="T1854" s="63"/>
      <c r="U1854" s="63"/>
      <c r="V1854" s="63"/>
      <c r="W1854" s="63"/>
      <c r="X1854" s="63"/>
      <c r="Y1854" s="63"/>
      <c r="Z1854" s="63"/>
      <c r="AA1854" s="63"/>
      <c r="AB1854" s="63"/>
      <c r="AC1854" s="63"/>
    </row>
    <row r="1855" spans="1:29" x14ac:dyDescent="0.25">
      <c r="A1855" s="108">
        <v>46048</v>
      </c>
      <c r="B1855" s="109">
        <v>68</v>
      </c>
      <c r="C1855" s="49" t="s">
        <v>19</v>
      </c>
      <c r="D1855" s="110" t="str">
        <f>IF(ISBLANK($B1855),"",IFERROR(VLOOKUP($B1855,ESTOQUE!$B$2:$D$97168,3,FALSE),"Produto não cadastrado"))</f>
        <v>CAMISA LARANJA OP. C/ FAIXA REFLETIVA TAM: GG</v>
      </c>
      <c r="E1855" s="99" t="str">
        <f>_xlfn.XLOOKUP(B1855,ESTOQUE!B:B,ESTOQUE!G:G,"",0)</f>
        <v>UND</v>
      </c>
      <c r="F1855" s="99">
        <v>1</v>
      </c>
      <c r="G1855" s="146"/>
      <c r="H1855" s="146"/>
      <c r="I1855" s="147"/>
      <c r="J1855" s="147"/>
      <c r="K1855" s="63"/>
      <c r="L1855" s="63"/>
      <c r="M1855" s="63"/>
      <c r="N1855" s="63"/>
      <c r="O1855" s="63"/>
      <c r="P1855" s="63"/>
      <c r="Q1855" s="63"/>
      <c r="R1855" s="63"/>
      <c r="S1855" s="63"/>
      <c r="T1855" s="63"/>
      <c r="U1855" s="63"/>
      <c r="V1855" s="63"/>
      <c r="W1855" s="63"/>
      <c r="X1855" s="63"/>
      <c r="Y1855" s="63"/>
      <c r="Z1855" s="63"/>
      <c r="AA1855" s="63"/>
      <c r="AB1855" s="63"/>
      <c r="AC1855" s="63"/>
    </row>
    <row r="1856" spans="1:29" x14ac:dyDescent="0.25">
      <c r="A1856" s="108">
        <v>46048</v>
      </c>
      <c r="B1856" s="109">
        <v>69</v>
      </c>
      <c r="C1856" s="49" t="s">
        <v>19</v>
      </c>
      <c r="D1856" s="110" t="str">
        <f>IF(ISBLANK($B1856),"",IFERROR(VLOOKUP($B1856,ESTOQUE!$B$2:$D$97168,3,FALSE),"Produto não cadastrado"))</f>
        <v>CAMISA LARANJA OP. C/ FAIXA REFLETIVA TAM: M</v>
      </c>
      <c r="E1856" s="99" t="str">
        <f>_xlfn.XLOOKUP(B1856,ESTOQUE!B:B,ESTOQUE!G:G,"",0)</f>
        <v>UND</v>
      </c>
      <c r="F1856" s="99">
        <v>4</v>
      </c>
      <c r="G1856" s="146"/>
      <c r="H1856" s="146"/>
      <c r="I1856" s="147"/>
      <c r="J1856" s="147"/>
      <c r="K1856" s="63"/>
      <c r="L1856" s="63"/>
      <c r="M1856" s="63"/>
      <c r="N1856" s="63"/>
      <c r="O1856" s="63"/>
      <c r="P1856" s="63"/>
      <c r="Q1856" s="63"/>
      <c r="R1856" s="63"/>
      <c r="S1856" s="63"/>
      <c r="T1856" s="63"/>
      <c r="U1856" s="63"/>
      <c r="V1856" s="63"/>
      <c r="W1856" s="63"/>
      <c r="X1856" s="63"/>
      <c r="Y1856" s="63"/>
      <c r="Z1856" s="63"/>
      <c r="AA1856" s="63"/>
      <c r="AB1856" s="63"/>
      <c r="AC1856" s="63"/>
    </row>
    <row r="1857" spans="1:29" x14ac:dyDescent="0.25">
      <c r="A1857" s="108">
        <v>46048</v>
      </c>
      <c r="B1857" s="109">
        <v>70</v>
      </c>
      <c r="C1857" s="49" t="s">
        <v>19</v>
      </c>
      <c r="D1857" s="110" t="str">
        <f>IF(ISBLANK($B1857),"",IFERROR(VLOOKUP($B1857,ESTOQUE!$B$2:$D$97168,3,FALSE),"Produto não cadastrado"))</f>
        <v>CAMISA LARANJA OP. C/ FAIXA REFLETIVA TAM: P</v>
      </c>
      <c r="E1857" s="99" t="str">
        <f>_xlfn.XLOOKUP(B1857,ESTOQUE!B:B,ESTOQUE!G:G,"",0)</f>
        <v>UND</v>
      </c>
      <c r="F1857" s="99">
        <v>1</v>
      </c>
      <c r="G1857" s="146"/>
      <c r="H1857" s="146"/>
      <c r="I1857" s="147"/>
      <c r="J1857" s="147"/>
      <c r="K1857" s="63"/>
      <c r="L1857" s="63"/>
      <c r="M1857" s="63"/>
      <c r="N1857" s="63"/>
      <c r="O1857" s="63"/>
      <c r="P1857" s="63"/>
      <c r="Q1857" s="63"/>
      <c r="R1857" s="63"/>
      <c r="S1857" s="63"/>
      <c r="T1857" s="63"/>
      <c r="U1857" s="63"/>
      <c r="V1857" s="63"/>
      <c r="W1857" s="63"/>
      <c r="X1857" s="63"/>
      <c r="Y1857" s="63"/>
      <c r="Z1857" s="63"/>
      <c r="AA1857" s="63"/>
      <c r="AB1857" s="63"/>
      <c r="AC1857" s="63"/>
    </row>
    <row r="1858" spans="1:29" x14ac:dyDescent="0.25">
      <c r="A1858" s="108">
        <v>46048</v>
      </c>
      <c r="B1858" s="109">
        <v>210</v>
      </c>
      <c r="C1858" s="49" t="s">
        <v>19</v>
      </c>
      <c r="D1858" s="110" t="str">
        <f>IF(ISBLANK($B1858),"",IFERROR(VLOOKUP($B1858,ESTOQUE!$B$2:$D$97168,3,FALSE),"Produto não cadastrado"))</f>
        <v>COLETE REFLETIVO LARANJA G</v>
      </c>
      <c r="E1858" s="99" t="str">
        <f>_xlfn.XLOOKUP(B1858,ESTOQUE!B:B,ESTOQUE!G:G,"",0)</f>
        <v>UND</v>
      </c>
      <c r="F1858" s="99">
        <v>1</v>
      </c>
      <c r="G1858" s="146"/>
      <c r="H1858" s="146"/>
      <c r="I1858" s="147"/>
      <c r="J1858" s="147"/>
      <c r="K1858" s="63"/>
      <c r="L1858" s="63"/>
      <c r="M1858" s="63"/>
      <c r="N1858" s="63"/>
      <c r="O1858" s="63"/>
      <c r="P1858" s="63"/>
      <c r="Q1858" s="63"/>
      <c r="R1858" s="63"/>
      <c r="S1858" s="63"/>
      <c r="T1858" s="63"/>
      <c r="U1858" s="63"/>
      <c r="V1858" s="63"/>
      <c r="W1858" s="63"/>
      <c r="X1858" s="63"/>
      <c r="Y1858" s="63"/>
      <c r="Z1858" s="63"/>
      <c r="AA1858" s="63"/>
      <c r="AB1858" s="63"/>
      <c r="AC1858" s="63"/>
    </row>
    <row r="1859" spans="1:29" x14ac:dyDescent="0.25">
      <c r="A1859" s="108">
        <v>46048</v>
      </c>
      <c r="B1859" s="109">
        <v>97</v>
      </c>
      <c r="C1859" s="49" t="s">
        <v>19</v>
      </c>
      <c r="D1859" s="110" t="str">
        <f>IF(ISBLANK($B1859),"",IFERROR(VLOOKUP($B1859,ESTOQUE!$B$2:$D$97168,3,FALSE),"Produto não cadastrado"))</f>
        <v>COLETE REFLETIVO LARANJA M</v>
      </c>
      <c r="E1859" s="99" t="str">
        <f>_xlfn.XLOOKUP(B1859,ESTOQUE!B:B,ESTOQUE!G:G,"",0)</f>
        <v>UND</v>
      </c>
      <c r="F1859" s="99">
        <v>2</v>
      </c>
      <c r="G1859" s="146"/>
      <c r="H1859" s="146"/>
      <c r="I1859" s="147"/>
      <c r="J1859" s="147"/>
      <c r="K1859" s="63"/>
      <c r="L1859" s="63"/>
      <c r="M1859" s="63"/>
      <c r="N1859" s="63"/>
      <c r="O1859" s="63"/>
      <c r="P1859" s="63"/>
      <c r="Q1859" s="63"/>
      <c r="R1859" s="63"/>
      <c r="S1859" s="63"/>
      <c r="T1859" s="63"/>
      <c r="U1859" s="63"/>
      <c r="V1859" s="63"/>
      <c r="W1859" s="63"/>
      <c r="X1859" s="63"/>
      <c r="Y1859" s="63"/>
      <c r="Z1859" s="63"/>
      <c r="AA1859" s="63"/>
      <c r="AB1859" s="63"/>
      <c r="AC1859" s="63"/>
    </row>
    <row r="1860" spans="1:29" x14ac:dyDescent="0.25">
      <c r="A1860" s="108">
        <v>46048</v>
      </c>
      <c r="B1860" s="109">
        <v>141</v>
      </c>
      <c r="C1860" s="49" t="s">
        <v>19</v>
      </c>
      <c r="D1860" s="110" t="str">
        <f>IF(ISBLANK($B1860),"",IFERROR(VLOOKUP($B1860,ESTOQUE!$B$2:$D$97168,3,FALSE),"Produto não cadastrado"))</f>
        <v xml:space="preserve">LUVA DE VAQUETA </v>
      </c>
      <c r="E1860" s="99" t="str">
        <f>_xlfn.XLOOKUP(B1860,ESTOQUE!B:B,ESTOQUE!G:G,"",0)</f>
        <v>PAR</v>
      </c>
      <c r="F1860" s="99">
        <v>1</v>
      </c>
      <c r="G1860" s="146"/>
      <c r="H1860" s="146"/>
      <c r="I1860" s="147"/>
      <c r="J1860" s="147"/>
      <c r="K1860" s="63"/>
      <c r="L1860" s="63"/>
      <c r="M1860" s="63"/>
      <c r="N1860" s="63"/>
      <c r="O1860" s="63"/>
      <c r="P1860" s="63"/>
      <c r="Q1860" s="63"/>
      <c r="R1860" s="63"/>
      <c r="S1860" s="63"/>
      <c r="T1860" s="63"/>
      <c r="U1860" s="63"/>
      <c r="V1860" s="63"/>
      <c r="W1860" s="63"/>
      <c r="X1860" s="63"/>
      <c r="Y1860" s="63"/>
      <c r="Z1860" s="63"/>
      <c r="AA1860" s="63"/>
      <c r="AB1860" s="63"/>
      <c r="AC1860" s="63"/>
    </row>
    <row r="1861" spans="1:29" x14ac:dyDescent="0.25">
      <c r="A1861" s="108">
        <v>46048</v>
      </c>
      <c r="B1861" s="109">
        <v>111</v>
      </c>
      <c r="C1861" s="49" t="s">
        <v>19</v>
      </c>
      <c r="D1861" s="110" t="str">
        <f>IF(ISBLANK($B1861),"",IFERROR(VLOOKUP($B1861,ESTOQUE!$B$2:$D$97168,3,FALSE),"Produto não cadastrado"))</f>
        <v>LUVA DE VAQUETA MARROM</v>
      </c>
      <c r="E1861" s="99" t="str">
        <f>_xlfn.XLOOKUP(B1861,ESTOQUE!B:B,ESTOQUE!G:G,"",0)</f>
        <v>PAR</v>
      </c>
      <c r="F1861" s="99">
        <v>1</v>
      </c>
      <c r="G1861" s="146"/>
      <c r="H1861" s="146"/>
      <c r="I1861" s="147"/>
      <c r="J1861" s="147"/>
      <c r="K1861" s="63"/>
      <c r="L1861" s="63"/>
      <c r="M1861" s="63"/>
      <c r="N1861" s="63"/>
      <c r="O1861" s="63"/>
      <c r="P1861" s="63"/>
      <c r="Q1861" s="63"/>
      <c r="R1861" s="63"/>
      <c r="S1861" s="63"/>
      <c r="T1861" s="63"/>
      <c r="U1861" s="63"/>
      <c r="V1861" s="63"/>
      <c r="W1861" s="63"/>
      <c r="X1861" s="63"/>
      <c r="Y1861" s="63"/>
      <c r="Z1861" s="63"/>
      <c r="AA1861" s="63"/>
      <c r="AB1861" s="63"/>
      <c r="AC1861" s="63"/>
    </row>
    <row r="1862" spans="1:29" x14ac:dyDescent="0.25">
      <c r="A1862" s="108">
        <v>46048</v>
      </c>
      <c r="B1862" s="109">
        <v>114</v>
      </c>
      <c r="C1862" s="49" t="s">
        <v>19</v>
      </c>
      <c r="D1862" s="110" t="str">
        <f>IF(ISBLANK($B1862),"",IFERROR(VLOOKUP($B1862,ESTOQUE!$B$2:$D$97168,3,FALSE),"Produto não cadastrado"))</f>
        <v xml:space="preserve">LUVA LATEX NITRILICA </v>
      </c>
      <c r="E1862" s="99" t="str">
        <f>_xlfn.XLOOKUP(B1862,ESTOQUE!B:B,ESTOQUE!G:G,"",0)</f>
        <v>PAR</v>
      </c>
      <c r="F1862" s="99">
        <v>3</v>
      </c>
      <c r="G1862" s="146"/>
      <c r="H1862" s="146"/>
      <c r="I1862" s="147"/>
      <c r="J1862" s="147"/>
      <c r="K1862" s="63"/>
      <c r="L1862" s="63"/>
      <c r="M1862" s="63"/>
      <c r="N1862" s="63"/>
      <c r="O1862" s="63"/>
      <c r="P1862" s="63"/>
      <c r="Q1862" s="63"/>
      <c r="R1862" s="63"/>
      <c r="S1862" s="63"/>
      <c r="T1862" s="63"/>
      <c r="U1862" s="63"/>
      <c r="V1862" s="63"/>
      <c r="W1862" s="63"/>
      <c r="X1862" s="63"/>
      <c r="Y1862" s="63"/>
      <c r="Z1862" s="63"/>
      <c r="AA1862" s="63"/>
      <c r="AB1862" s="63"/>
      <c r="AC1862" s="63"/>
    </row>
    <row r="1863" spans="1:29" x14ac:dyDescent="0.25">
      <c r="A1863" s="108">
        <v>46048</v>
      </c>
      <c r="B1863" s="109">
        <v>257</v>
      </c>
      <c r="C1863" s="49" t="s">
        <v>19</v>
      </c>
      <c r="D1863" s="110" t="str">
        <f>IF(ISBLANK($B1863),"",IFERROR(VLOOKUP($B1863,ESTOQUE!$B$2:$D$97168,3,FALSE),"Produto não cadastrado"))</f>
        <v xml:space="preserve">LUVA MULTITATO </v>
      </c>
      <c r="E1863" s="99" t="str">
        <f>_xlfn.XLOOKUP(B1863,ESTOQUE!B:B,ESTOQUE!G:G,"",0)</f>
        <v>UND</v>
      </c>
      <c r="F1863" s="99">
        <v>1</v>
      </c>
      <c r="G1863" s="146"/>
      <c r="H1863" s="146"/>
      <c r="I1863" s="147"/>
      <c r="J1863" s="147"/>
      <c r="K1863" s="63"/>
      <c r="L1863" s="63"/>
      <c r="M1863" s="63"/>
      <c r="N1863" s="63"/>
      <c r="O1863" s="63"/>
      <c r="P1863" s="63"/>
      <c r="Q1863" s="63"/>
      <c r="R1863" s="63"/>
      <c r="S1863" s="63"/>
      <c r="T1863" s="63"/>
      <c r="U1863" s="63"/>
      <c r="V1863" s="63"/>
      <c r="W1863" s="63"/>
      <c r="X1863" s="63"/>
      <c r="Y1863" s="63"/>
      <c r="Z1863" s="63"/>
      <c r="AA1863" s="63"/>
      <c r="AB1863" s="63"/>
      <c r="AC1863" s="63"/>
    </row>
    <row r="1864" spans="1:29" x14ac:dyDescent="0.25">
      <c r="A1864" s="108">
        <v>46048</v>
      </c>
      <c r="B1864" s="109">
        <v>207</v>
      </c>
      <c r="C1864" s="49" t="s">
        <v>19</v>
      </c>
      <c r="D1864" s="110" t="str">
        <f>IF(ISBLANK($B1864),"",IFERROR(VLOOKUP($B1864,ESTOQUE!$B$2:$D$97168,3,FALSE),"Produto não cadastrado"))</f>
        <v>LUVA POLIESTER ANTICORTE BANHADA PU TAM 9</v>
      </c>
      <c r="E1864" s="99" t="str">
        <f>_xlfn.XLOOKUP(B1864,ESTOQUE!B:B,ESTOQUE!G:G,"",0)</f>
        <v>PAR</v>
      </c>
      <c r="F1864" s="99">
        <v>28</v>
      </c>
      <c r="G1864" s="146"/>
      <c r="H1864" s="146"/>
      <c r="I1864" s="147"/>
      <c r="J1864" s="147"/>
      <c r="K1864" s="63"/>
      <c r="L1864" s="63"/>
      <c r="M1864" s="63"/>
      <c r="N1864" s="63"/>
      <c r="O1864" s="63"/>
      <c r="P1864" s="63"/>
      <c r="Q1864" s="63"/>
      <c r="R1864" s="63"/>
      <c r="S1864" s="63"/>
      <c r="T1864" s="63"/>
      <c r="U1864" s="63"/>
      <c r="V1864" s="63"/>
      <c r="W1864" s="63"/>
      <c r="X1864" s="63"/>
      <c r="Y1864" s="63"/>
      <c r="Z1864" s="63"/>
      <c r="AA1864" s="63"/>
      <c r="AB1864" s="63"/>
      <c r="AC1864" s="63"/>
    </row>
    <row r="1865" spans="1:29" x14ac:dyDescent="0.25">
      <c r="A1865" s="108">
        <v>46048</v>
      </c>
      <c r="B1865" s="109">
        <v>144</v>
      </c>
      <c r="C1865" s="49" t="s">
        <v>19</v>
      </c>
      <c r="D1865" s="110" t="str">
        <f>IF(ISBLANK($B1865),"",IFERROR(VLOOKUP($B1865,ESTOQUE!$B$2:$D$97168,3,FALSE),"Produto não cadastrado"))</f>
        <v>MASCARA PFF2-S C/ FILTRO</v>
      </c>
      <c r="E1865" s="99" t="str">
        <f>_xlfn.XLOOKUP(B1865,ESTOQUE!B:B,ESTOQUE!G:G,"",0)</f>
        <v>UND</v>
      </c>
      <c r="F1865" s="99">
        <v>2</v>
      </c>
      <c r="G1865" s="146"/>
      <c r="H1865" s="146"/>
      <c r="I1865" s="147"/>
      <c r="J1865" s="147"/>
      <c r="K1865" s="63"/>
      <c r="L1865" s="63"/>
      <c r="M1865" s="63"/>
      <c r="N1865" s="63"/>
      <c r="O1865" s="63"/>
      <c r="P1865" s="63"/>
      <c r="Q1865" s="63"/>
      <c r="R1865" s="63"/>
      <c r="S1865" s="63"/>
      <c r="T1865" s="63"/>
      <c r="U1865" s="63"/>
      <c r="V1865" s="63"/>
      <c r="W1865" s="63"/>
      <c r="X1865" s="63"/>
      <c r="Y1865" s="63"/>
      <c r="Z1865" s="63"/>
      <c r="AA1865" s="63"/>
      <c r="AB1865" s="63"/>
      <c r="AC1865" s="63"/>
    </row>
    <row r="1866" spans="1:29" x14ac:dyDescent="0.25">
      <c r="A1866" s="108">
        <v>46048</v>
      </c>
      <c r="B1866" s="109">
        <v>124</v>
      </c>
      <c r="C1866" s="49" t="s">
        <v>19</v>
      </c>
      <c r="D1866" s="148" t="str">
        <f>IF(ISBLANK($B1866),"",IFERROR(VLOOKUP($B1866,ESTOQUE!$B$2:$D$97168,3,FALSE),"Produto não cadastrado"))</f>
        <v xml:space="preserve">OCULOS DE PROTEÇÃO INCOLOR </v>
      </c>
      <c r="E1866" s="99" t="str">
        <f>_xlfn.XLOOKUP(B1866,ESTOQUE!B:B,ESTOQUE!G:G,"",0)</f>
        <v>UND</v>
      </c>
      <c r="F1866" s="99">
        <v>23</v>
      </c>
      <c r="G1866" s="146"/>
      <c r="H1866" s="146"/>
      <c r="I1866" s="147"/>
      <c r="J1866" s="147"/>
      <c r="K1866" s="63"/>
      <c r="L1866" s="63"/>
      <c r="M1866" s="63"/>
      <c r="N1866" s="63"/>
      <c r="O1866" s="63"/>
      <c r="P1866" s="63"/>
      <c r="Q1866" s="63"/>
      <c r="R1866" s="63"/>
      <c r="S1866" s="63"/>
      <c r="T1866" s="63"/>
      <c r="U1866" s="63"/>
      <c r="V1866" s="63"/>
      <c r="W1866" s="63"/>
      <c r="X1866" s="63"/>
      <c r="Y1866" s="63"/>
      <c r="Z1866" s="63"/>
      <c r="AA1866" s="63"/>
      <c r="AB1866" s="63"/>
      <c r="AC1866" s="63"/>
    </row>
    <row r="1867" spans="1:29" x14ac:dyDescent="0.25">
      <c r="A1867" s="108">
        <v>46048</v>
      </c>
      <c r="B1867" s="109">
        <v>130</v>
      </c>
      <c r="C1867" s="49" t="s">
        <v>19</v>
      </c>
      <c r="D1867" s="110" t="str">
        <f>IF(ISBLANK($B1867),"",IFERROR(VLOOKUP($B1867,ESTOQUE!$B$2:$D$97168,3,FALSE),"Produto não cadastrado"))</f>
        <v>PROTETOR AUDITIVO TIPO CONCHA L-300</v>
      </c>
      <c r="E1867" s="99" t="str">
        <f>_xlfn.XLOOKUP(B1867,ESTOQUE!B:B,ESTOQUE!G:G,"",0)</f>
        <v>UND</v>
      </c>
      <c r="F1867" s="99">
        <v>1</v>
      </c>
      <c r="G1867" s="146"/>
      <c r="H1867" s="146"/>
      <c r="I1867" s="147"/>
      <c r="J1867" s="147"/>
      <c r="K1867" s="63"/>
      <c r="L1867" s="63"/>
      <c r="M1867" s="63"/>
      <c r="N1867" s="63"/>
      <c r="O1867" s="63"/>
      <c r="P1867" s="63"/>
      <c r="Q1867" s="63"/>
      <c r="R1867" s="63"/>
      <c r="S1867" s="63"/>
      <c r="T1867" s="63"/>
      <c r="U1867" s="63"/>
      <c r="V1867" s="63"/>
      <c r="W1867" s="63"/>
      <c r="X1867" s="63"/>
      <c r="Y1867" s="63"/>
      <c r="Z1867" s="63"/>
      <c r="AA1867" s="63"/>
      <c r="AB1867" s="63"/>
      <c r="AC1867" s="63"/>
    </row>
    <row r="1868" spans="1:29" x14ac:dyDescent="0.25">
      <c r="A1868" s="108">
        <v>46048</v>
      </c>
      <c r="B1868" s="109">
        <v>135</v>
      </c>
      <c r="C1868" s="49" t="s">
        <v>19</v>
      </c>
      <c r="D1868" s="110" t="str">
        <f>IF(ISBLANK($B1868),"",IFERROR(VLOOKUP($B1868,ESTOQUE!$B$2:$D$97168,3,FALSE),"Produto não cadastrado"))</f>
        <v>TALABARTE DUPLO TIPO Y</v>
      </c>
      <c r="E1868" s="99" t="str">
        <f>_xlfn.XLOOKUP(B1868,ESTOQUE!B:B,ESTOQUE!G:G,"",0)</f>
        <v>UND</v>
      </c>
      <c r="F1868" s="99">
        <v>1</v>
      </c>
      <c r="G1868" s="146"/>
      <c r="H1868" s="146"/>
      <c r="I1868" s="147"/>
      <c r="J1868" s="147"/>
      <c r="K1868" s="63"/>
      <c r="L1868" s="63"/>
      <c r="M1868" s="63"/>
      <c r="N1868" s="63"/>
      <c r="O1868" s="63"/>
      <c r="P1868" s="63"/>
      <c r="Q1868" s="63"/>
      <c r="R1868" s="63"/>
      <c r="S1868" s="63"/>
      <c r="T1868" s="63"/>
      <c r="U1868" s="63"/>
      <c r="V1868" s="63"/>
      <c r="W1868" s="63"/>
      <c r="X1868" s="63"/>
      <c r="Y1868" s="63"/>
      <c r="Z1868" s="63"/>
      <c r="AA1868" s="63"/>
      <c r="AB1868" s="63"/>
      <c r="AC1868" s="63"/>
    </row>
    <row r="1869" spans="1:29" x14ac:dyDescent="0.25">
      <c r="A1869" s="108">
        <v>46049</v>
      </c>
      <c r="B1869" s="109">
        <v>172</v>
      </c>
      <c r="C1869" s="49" t="s">
        <v>19</v>
      </c>
      <c r="D1869" s="110" t="str">
        <f>IF(ISBLANK($B1869),"",IFERROR(VLOOKUP($B1869,ESTOQUE!$B$2:$D$97168,3,FALSE),"Produto não cadastrado"))</f>
        <v>BOTA PVC CANO CURTO Nº 41</v>
      </c>
      <c r="E1869" s="99" t="str">
        <f>_xlfn.XLOOKUP(B1869,ESTOQUE!B:B,ESTOQUE!G:G,"",0)</f>
        <v>PAR</v>
      </c>
      <c r="F1869" s="99">
        <v>1</v>
      </c>
      <c r="G1869" s="146"/>
      <c r="H1869" s="146"/>
      <c r="I1869" s="147"/>
      <c r="J1869" s="147"/>
      <c r="K1869" s="63"/>
      <c r="L1869" s="63"/>
      <c r="M1869" s="63"/>
      <c r="N1869" s="63"/>
      <c r="O1869" s="63"/>
      <c r="P1869" s="63"/>
      <c r="Q1869" s="63"/>
      <c r="R1869" s="63"/>
      <c r="S1869" s="63"/>
      <c r="T1869" s="63"/>
      <c r="U1869" s="63"/>
      <c r="V1869" s="63"/>
      <c r="W1869" s="63"/>
      <c r="X1869" s="63"/>
      <c r="Y1869" s="63"/>
      <c r="Z1869" s="63"/>
      <c r="AA1869" s="63"/>
      <c r="AB1869" s="63"/>
      <c r="AC1869" s="63"/>
    </row>
    <row r="1870" spans="1:29" x14ac:dyDescent="0.25">
      <c r="A1870" s="108">
        <v>46049</v>
      </c>
      <c r="B1870" s="109">
        <v>7</v>
      </c>
      <c r="C1870" s="49" t="s">
        <v>19</v>
      </c>
      <c r="D1870" s="110" t="str">
        <f>IF(ISBLANK($B1870),"",IFERROR(VLOOKUP($B1870,ESTOQUE!$B$2:$D$97168,3,FALSE),"Produto não cadastrado"))</f>
        <v>BOTA PVC CANO LONGO Nº 39</v>
      </c>
      <c r="E1870" s="99" t="str">
        <f>_xlfn.XLOOKUP(B1870,ESTOQUE!B:B,ESTOQUE!G:G,"",0)</f>
        <v>PAR</v>
      </c>
      <c r="F1870" s="99">
        <v>1</v>
      </c>
      <c r="G1870" s="146"/>
      <c r="H1870" s="146"/>
      <c r="I1870" s="147"/>
      <c r="J1870" s="147"/>
      <c r="K1870" s="63"/>
      <c r="L1870" s="63"/>
      <c r="M1870" s="63"/>
      <c r="N1870" s="63"/>
      <c r="O1870" s="63"/>
      <c r="P1870" s="63"/>
      <c r="Q1870" s="63"/>
      <c r="R1870" s="63"/>
      <c r="S1870" s="63"/>
      <c r="T1870" s="63"/>
      <c r="U1870" s="63"/>
      <c r="V1870" s="63"/>
      <c r="W1870" s="63"/>
      <c r="X1870" s="63"/>
      <c r="Y1870" s="63"/>
      <c r="Z1870" s="63"/>
      <c r="AA1870" s="63"/>
      <c r="AB1870" s="63"/>
      <c r="AC1870" s="63"/>
    </row>
    <row r="1871" spans="1:29" x14ac:dyDescent="0.25">
      <c r="A1871" s="108">
        <v>46049</v>
      </c>
      <c r="B1871" s="109">
        <v>30</v>
      </c>
      <c r="C1871" s="49" t="s">
        <v>19</v>
      </c>
      <c r="D1871" s="110" t="str">
        <f>IF(ISBLANK($B1871),"",IFERROR(VLOOKUP($B1871,ESTOQUE!$B$2:$D$97168,3,FALSE),"Produto não cadastrado"))</f>
        <v>BOTINA DE ELETRICISTA Nº 40</v>
      </c>
      <c r="E1871" s="99" t="str">
        <f>_xlfn.XLOOKUP(B1871,ESTOQUE!B:B,ESTOQUE!G:G,"",0)</f>
        <v>PAR</v>
      </c>
      <c r="F1871" s="99">
        <v>1</v>
      </c>
      <c r="G1871" s="146"/>
      <c r="H1871" s="146"/>
      <c r="I1871" s="147"/>
      <c r="J1871" s="147"/>
      <c r="K1871" s="63"/>
      <c r="L1871" s="63"/>
      <c r="M1871" s="63"/>
      <c r="N1871" s="63"/>
      <c r="O1871" s="63"/>
      <c r="P1871" s="63"/>
      <c r="Q1871" s="63"/>
      <c r="R1871" s="63"/>
      <c r="S1871" s="63"/>
      <c r="T1871" s="63"/>
      <c r="U1871" s="63"/>
      <c r="V1871" s="63"/>
      <c r="W1871" s="63"/>
      <c r="X1871" s="63"/>
      <c r="Y1871" s="63"/>
      <c r="Z1871" s="63"/>
      <c r="AA1871" s="63"/>
      <c r="AB1871" s="63"/>
      <c r="AC1871" s="63"/>
    </row>
    <row r="1872" spans="1:29" x14ac:dyDescent="0.25">
      <c r="A1872" s="108">
        <v>46049</v>
      </c>
      <c r="B1872" s="109">
        <v>162</v>
      </c>
      <c r="C1872" s="49" t="s">
        <v>19</v>
      </c>
      <c r="D1872" s="110" t="str">
        <f>IF(ISBLANK($B1872),"",IFERROR(VLOOKUP($B1872,ESTOQUE!$B$2:$D$97168,3,FALSE),"Produto não cadastrado"))</f>
        <v>BOTINA DE ELETRICISTA Nº 42</v>
      </c>
      <c r="E1872" s="99" t="str">
        <f>_xlfn.XLOOKUP(B1872,ESTOQUE!B:B,ESTOQUE!G:G,"",0)</f>
        <v>PAR</v>
      </c>
      <c r="F1872" s="99">
        <v>3</v>
      </c>
      <c r="G1872" s="146"/>
      <c r="H1872" s="146"/>
      <c r="I1872" s="147"/>
      <c r="J1872" s="147"/>
      <c r="K1872" s="63"/>
      <c r="L1872" s="63"/>
      <c r="M1872" s="63"/>
      <c r="N1872" s="63"/>
      <c r="O1872" s="63"/>
      <c r="P1872" s="63"/>
      <c r="Q1872" s="63"/>
      <c r="R1872" s="63"/>
      <c r="S1872" s="63"/>
      <c r="T1872" s="63"/>
      <c r="U1872" s="63"/>
      <c r="V1872" s="63"/>
      <c r="W1872" s="63"/>
      <c r="X1872" s="63"/>
      <c r="Y1872" s="63"/>
      <c r="Z1872" s="63"/>
      <c r="AA1872" s="63"/>
      <c r="AB1872" s="63"/>
      <c r="AC1872" s="63"/>
    </row>
    <row r="1873" spans="1:29" x14ac:dyDescent="0.25">
      <c r="A1873" s="108">
        <v>46049</v>
      </c>
      <c r="B1873" s="109">
        <v>37</v>
      </c>
      <c r="C1873" s="49" t="s">
        <v>19</v>
      </c>
      <c r="D1873" s="110" t="str">
        <f>IF(ISBLANK($B1873),"",IFERROR(VLOOKUP($B1873,ESTOQUE!$B$2:$D$97168,3,FALSE),"Produto não cadastrado"))</f>
        <v>BOTINA OP. BICO PVC Nº 39</v>
      </c>
      <c r="E1873" s="99" t="str">
        <f>_xlfn.XLOOKUP(B1873,ESTOQUE!B:B,ESTOQUE!G:G,"",0)</f>
        <v>PAR</v>
      </c>
      <c r="F1873" s="99">
        <v>1</v>
      </c>
      <c r="G1873" s="146"/>
      <c r="H1873" s="146"/>
      <c r="I1873" s="147"/>
      <c r="J1873" s="147"/>
      <c r="K1873" s="63"/>
      <c r="L1873" s="63"/>
      <c r="M1873" s="63"/>
      <c r="N1873" s="63"/>
      <c r="O1873" s="63"/>
      <c r="P1873" s="63"/>
      <c r="Q1873" s="63"/>
      <c r="R1873" s="63"/>
      <c r="S1873" s="63"/>
      <c r="T1873" s="63"/>
      <c r="U1873" s="63"/>
      <c r="V1873" s="63"/>
      <c r="W1873" s="63"/>
      <c r="X1873" s="63"/>
      <c r="Y1873" s="63"/>
      <c r="Z1873" s="63"/>
      <c r="AA1873" s="63"/>
      <c r="AB1873" s="63"/>
      <c r="AC1873" s="63"/>
    </row>
    <row r="1874" spans="1:29" x14ac:dyDescent="0.25">
      <c r="A1874" s="108">
        <v>46049</v>
      </c>
      <c r="B1874" s="109">
        <v>39</v>
      </c>
      <c r="C1874" s="49" t="s">
        <v>19</v>
      </c>
      <c r="D1874" s="110" t="str">
        <f>IF(ISBLANK($B1874),"",IFERROR(VLOOKUP($B1874,ESTOQUE!$B$2:$D$97168,3,FALSE),"Produto não cadastrado"))</f>
        <v>BOTINA OP. BICO PVC Nº 41</v>
      </c>
      <c r="E1874" s="99" t="str">
        <f>_xlfn.XLOOKUP(B1874,ESTOQUE!B:B,ESTOQUE!G:G,"",0)</f>
        <v>PAR</v>
      </c>
      <c r="F1874" s="99">
        <v>2</v>
      </c>
      <c r="G1874" s="146"/>
      <c r="H1874" s="146"/>
      <c r="I1874" s="147"/>
      <c r="J1874" s="147"/>
      <c r="K1874" s="63"/>
      <c r="L1874" s="63"/>
      <c r="M1874" s="63"/>
      <c r="N1874" s="63"/>
      <c r="O1874" s="63"/>
      <c r="P1874" s="63"/>
      <c r="Q1874" s="63"/>
      <c r="R1874" s="63"/>
      <c r="S1874" s="63"/>
      <c r="T1874" s="63"/>
      <c r="U1874" s="63"/>
      <c r="V1874" s="63"/>
      <c r="W1874" s="63"/>
      <c r="X1874" s="63"/>
      <c r="Y1874" s="63"/>
      <c r="Z1874" s="63"/>
      <c r="AA1874" s="63"/>
      <c r="AB1874" s="63"/>
      <c r="AC1874" s="63"/>
    </row>
    <row r="1875" spans="1:29" x14ac:dyDescent="0.25">
      <c r="A1875" s="108">
        <v>46049</v>
      </c>
      <c r="B1875" s="109">
        <v>46</v>
      </c>
      <c r="C1875" s="49" t="s">
        <v>19</v>
      </c>
      <c r="D1875" s="110" t="str">
        <f>IF(ISBLANK($B1875),"",IFERROR(VLOOKUP($B1875,ESTOQUE!$B$2:$D$97168,3,FALSE),"Produto não cadastrado"))</f>
        <v>CALÇA CINZA OP. C/ FAIXA REFLETIVA TAM: G</v>
      </c>
      <c r="E1875" s="99" t="str">
        <f>_xlfn.XLOOKUP(B1875,ESTOQUE!B:B,ESTOQUE!G:G,"",0)</f>
        <v>UND</v>
      </c>
      <c r="F1875" s="99">
        <v>9</v>
      </c>
      <c r="G1875" s="146"/>
      <c r="H1875" s="146"/>
      <c r="I1875" s="147"/>
      <c r="J1875" s="147"/>
      <c r="K1875" s="63"/>
      <c r="L1875" s="63"/>
      <c r="M1875" s="63"/>
      <c r="N1875" s="63"/>
      <c r="O1875" s="63"/>
      <c r="P1875" s="63"/>
      <c r="Q1875" s="63"/>
      <c r="R1875" s="63"/>
      <c r="S1875" s="63"/>
      <c r="T1875" s="63"/>
      <c r="U1875" s="63"/>
      <c r="V1875" s="63"/>
      <c r="W1875" s="63"/>
      <c r="X1875" s="63"/>
      <c r="Y1875" s="63"/>
      <c r="Z1875" s="63"/>
      <c r="AA1875" s="63"/>
      <c r="AB1875" s="63"/>
      <c r="AC1875" s="63"/>
    </row>
    <row r="1876" spans="1:29" x14ac:dyDescent="0.25">
      <c r="A1876" s="108">
        <v>46049</v>
      </c>
      <c r="B1876" s="109">
        <v>47</v>
      </c>
      <c r="C1876" s="49" t="s">
        <v>19</v>
      </c>
      <c r="D1876" s="110" t="str">
        <f>IF(ISBLANK($B1876),"",IFERROR(VLOOKUP($B1876,ESTOQUE!$B$2:$D$97168,3,FALSE),"Produto não cadastrado"))</f>
        <v>CALÇA CINZA OP. C/ FAIXA REFLETIVA TAM: GG</v>
      </c>
      <c r="E1876" s="99" t="str">
        <f>_xlfn.XLOOKUP(B1876,ESTOQUE!B:B,ESTOQUE!G:G,"",0)</f>
        <v>UND</v>
      </c>
      <c r="F1876" s="99">
        <v>1</v>
      </c>
      <c r="G1876" s="146"/>
      <c r="H1876" s="146"/>
      <c r="I1876" s="147"/>
      <c r="J1876" s="147"/>
      <c r="K1876" s="63"/>
      <c r="L1876" s="63"/>
      <c r="M1876" s="63"/>
      <c r="N1876" s="63"/>
      <c r="O1876" s="63"/>
      <c r="P1876" s="63"/>
      <c r="Q1876" s="63"/>
      <c r="R1876" s="63"/>
      <c r="S1876" s="63"/>
      <c r="T1876" s="63"/>
      <c r="U1876" s="63"/>
      <c r="V1876" s="63"/>
      <c r="W1876" s="63"/>
      <c r="X1876" s="63"/>
      <c r="Y1876" s="63"/>
      <c r="Z1876" s="63"/>
      <c r="AA1876" s="63"/>
      <c r="AB1876" s="63"/>
      <c r="AC1876" s="63"/>
    </row>
    <row r="1877" spans="1:29" x14ac:dyDescent="0.25">
      <c r="A1877" s="108">
        <v>46049</v>
      </c>
      <c r="B1877" s="109">
        <v>48</v>
      </c>
      <c r="C1877" s="49" t="s">
        <v>19</v>
      </c>
      <c r="D1877" s="110" t="str">
        <f>IF(ISBLANK($B1877),"",IFERROR(VLOOKUP($B1877,ESTOQUE!$B$2:$D$97168,3,FALSE),"Produto não cadastrado"))</f>
        <v>CALÇA CINZA OP. C/ FAIXA REFLETIVA TAM: M</v>
      </c>
      <c r="E1877" s="99" t="str">
        <f>_xlfn.XLOOKUP(B1877,ESTOQUE!B:B,ESTOQUE!G:G,"",0)</f>
        <v>UND</v>
      </c>
      <c r="F1877" s="99">
        <v>5</v>
      </c>
      <c r="G1877" s="146"/>
      <c r="H1877" s="146"/>
      <c r="I1877" s="147"/>
      <c r="J1877" s="147"/>
      <c r="K1877" s="63"/>
      <c r="L1877" s="63"/>
      <c r="M1877" s="63"/>
      <c r="N1877" s="63"/>
      <c r="O1877" s="63"/>
      <c r="P1877" s="63"/>
      <c r="Q1877" s="63"/>
      <c r="R1877" s="63"/>
      <c r="S1877" s="63"/>
      <c r="T1877" s="63"/>
      <c r="U1877" s="63"/>
      <c r="V1877" s="63"/>
      <c r="W1877" s="63"/>
      <c r="X1877" s="63"/>
      <c r="Y1877" s="63"/>
      <c r="Z1877" s="63"/>
      <c r="AA1877" s="63"/>
      <c r="AB1877" s="63"/>
      <c r="AC1877" s="63"/>
    </row>
    <row r="1878" spans="1:29" x14ac:dyDescent="0.25">
      <c r="A1878" s="108">
        <v>46049</v>
      </c>
      <c r="B1878" s="109">
        <v>49</v>
      </c>
      <c r="C1878" s="49" t="s">
        <v>19</v>
      </c>
      <c r="D1878" s="110" t="str">
        <f>IF(ISBLANK($B1878),"",IFERROR(VLOOKUP($B1878,ESTOQUE!$B$2:$D$97168,3,FALSE),"Produto não cadastrado"))</f>
        <v>CALÇA CINZA OP. C/ FAIXA REFLETIVA TAM: P</v>
      </c>
      <c r="E1878" s="99" t="str">
        <f>_xlfn.XLOOKUP(B1878,ESTOQUE!B:B,ESTOQUE!G:G,"",0)</f>
        <v>UND</v>
      </c>
      <c r="F1878" s="99">
        <v>3</v>
      </c>
      <c r="G1878" s="146"/>
      <c r="H1878" s="146"/>
      <c r="I1878" s="147"/>
      <c r="J1878" s="147"/>
      <c r="K1878" s="63"/>
      <c r="L1878" s="63"/>
      <c r="M1878" s="63"/>
      <c r="N1878" s="63"/>
      <c r="O1878" s="63"/>
      <c r="P1878" s="63"/>
      <c r="Q1878" s="63"/>
      <c r="R1878" s="63"/>
      <c r="S1878" s="63"/>
      <c r="T1878" s="63"/>
      <c r="U1878" s="63"/>
      <c r="V1878" s="63"/>
      <c r="W1878" s="63"/>
      <c r="X1878" s="63"/>
      <c r="Y1878" s="63"/>
      <c r="Z1878" s="63"/>
      <c r="AA1878" s="63"/>
      <c r="AB1878" s="63"/>
      <c r="AC1878" s="63"/>
    </row>
    <row r="1879" spans="1:29" x14ac:dyDescent="0.25">
      <c r="A1879" s="108">
        <v>46049</v>
      </c>
      <c r="B1879" s="109">
        <v>67</v>
      </c>
      <c r="C1879" s="49" t="s">
        <v>19</v>
      </c>
      <c r="D1879" s="110" t="str">
        <f>IF(ISBLANK($B1879),"",IFERROR(VLOOKUP($B1879,ESTOQUE!$B$2:$D$97168,3,FALSE),"Produto não cadastrado"))</f>
        <v>CAMISA LARANJA OP. C/ FAIXA REFLETIVA TAM: G</v>
      </c>
      <c r="E1879" s="99" t="str">
        <f>_xlfn.XLOOKUP(B1879,ESTOQUE!B:B,ESTOQUE!G:G,"",0)</f>
        <v>UND</v>
      </c>
      <c r="F1879" s="99">
        <v>7</v>
      </c>
      <c r="G1879" s="146"/>
      <c r="H1879" s="146"/>
      <c r="I1879" s="147"/>
      <c r="J1879" s="147"/>
      <c r="K1879" s="63"/>
      <c r="L1879" s="63"/>
      <c r="M1879" s="63"/>
      <c r="N1879" s="63"/>
      <c r="O1879" s="63"/>
      <c r="P1879" s="63"/>
      <c r="Q1879" s="63"/>
      <c r="R1879" s="63"/>
      <c r="S1879" s="63"/>
      <c r="T1879" s="63"/>
      <c r="U1879" s="63"/>
      <c r="V1879" s="63"/>
      <c r="W1879" s="63"/>
      <c r="X1879" s="63"/>
      <c r="Y1879" s="63"/>
      <c r="Z1879" s="63"/>
      <c r="AA1879" s="63"/>
      <c r="AB1879" s="63"/>
      <c r="AC1879" s="63"/>
    </row>
    <row r="1880" spans="1:29" x14ac:dyDescent="0.25">
      <c r="A1880" s="108">
        <v>46049</v>
      </c>
      <c r="B1880" s="109">
        <v>69</v>
      </c>
      <c r="C1880" s="49" t="s">
        <v>19</v>
      </c>
      <c r="D1880" s="110" t="str">
        <f>IF(ISBLANK($B1880),"",IFERROR(VLOOKUP($B1880,ESTOQUE!$B$2:$D$97168,3,FALSE),"Produto não cadastrado"))</f>
        <v>CAMISA LARANJA OP. C/ FAIXA REFLETIVA TAM: M</v>
      </c>
      <c r="E1880" s="99" t="str">
        <f>_xlfn.XLOOKUP(B1880,ESTOQUE!B:B,ESTOQUE!G:G,"",0)</f>
        <v>UND</v>
      </c>
      <c r="F1880" s="99">
        <v>7</v>
      </c>
      <c r="G1880" s="146"/>
      <c r="H1880" s="146"/>
      <c r="I1880" s="147"/>
      <c r="J1880" s="147"/>
      <c r="K1880" s="63"/>
      <c r="L1880" s="63"/>
      <c r="M1880" s="63"/>
      <c r="N1880" s="63"/>
      <c r="O1880" s="63"/>
      <c r="P1880" s="63"/>
      <c r="Q1880" s="63"/>
      <c r="R1880" s="63"/>
      <c r="S1880" s="63"/>
      <c r="T1880" s="63"/>
      <c r="U1880" s="63"/>
      <c r="V1880" s="63"/>
      <c r="W1880" s="63"/>
      <c r="X1880" s="63"/>
      <c r="Y1880" s="63"/>
      <c r="Z1880" s="63"/>
      <c r="AA1880" s="63"/>
      <c r="AB1880" s="63"/>
      <c r="AC1880" s="63"/>
    </row>
    <row r="1881" spans="1:29" x14ac:dyDescent="0.25">
      <c r="A1881" s="108">
        <v>46049</v>
      </c>
      <c r="B1881" s="109">
        <v>70</v>
      </c>
      <c r="C1881" s="49" t="s">
        <v>19</v>
      </c>
      <c r="D1881" s="110" t="str">
        <f>IF(ISBLANK($B1881),"",IFERROR(VLOOKUP($B1881,ESTOQUE!$B$2:$D$97168,3,FALSE),"Produto não cadastrado"))</f>
        <v>CAMISA LARANJA OP. C/ FAIXA REFLETIVA TAM: P</v>
      </c>
      <c r="E1881" s="99" t="str">
        <f>_xlfn.XLOOKUP(B1881,ESTOQUE!B:B,ESTOQUE!G:G,"",0)</f>
        <v>UND</v>
      </c>
      <c r="F1881" s="99">
        <v>3</v>
      </c>
      <c r="G1881" s="146"/>
      <c r="H1881" s="146"/>
      <c r="I1881" s="147"/>
      <c r="J1881" s="147"/>
      <c r="K1881" s="63"/>
      <c r="L1881" s="63"/>
      <c r="M1881" s="63"/>
      <c r="N1881" s="63"/>
      <c r="O1881" s="63"/>
      <c r="P1881" s="63"/>
      <c r="Q1881" s="63"/>
      <c r="R1881" s="63"/>
      <c r="S1881" s="63"/>
      <c r="T1881" s="63"/>
      <c r="U1881" s="63"/>
      <c r="V1881" s="63"/>
      <c r="W1881" s="63"/>
      <c r="X1881" s="63"/>
      <c r="Y1881" s="63"/>
      <c r="Z1881" s="63"/>
      <c r="AA1881" s="63"/>
      <c r="AB1881" s="63"/>
      <c r="AC1881" s="63"/>
    </row>
    <row r="1882" spans="1:29" x14ac:dyDescent="0.25">
      <c r="A1882" s="108">
        <v>46049</v>
      </c>
      <c r="B1882" s="109">
        <v>73</v>
      </c>
      <c r="C1882" s="49" t="s">
        <v>19</v>
      </c>
      <c r="D1882" s="110" t="str">
        <f>IF(ISBLANK($B1882),"",IFERROR(VLOOKUP($B1882,ESTOQUE!$B$2:$D$97168,3,FALSE),"Produto não cadastrado"))</f>
        <v>CAPA DE CHUVA GG</v>
      </c>
      <c r="E1882" s="99" t="str">
        <f>_xlfn.XLOOKUP(B1882,ESTOQUE!B:B,ESTOQUE!G:G,"",0)</f>
        <v>UND</v>
      </c>
      <c r="F1882" s="99">
        <v>1</v>
      </c>
      <c r="G1882" s="146"/>
      <c r="H1882" s="146"/>
      <c r="I1882" s="147"/>
      <c r="J1882" s="147"/>
      <c r="K1882" s="63"/>
      <c r="L1882" s="63"/>
      <c r="M1882" s="63"/>
      <c r="N1882" s="63"/>
      <c r="O1882" s="63"/>
      <c r="P1882" s="63"/>
      <c r="Q1882" s="63"/>
      <c r="R1882" s="63"/>
      <c r="S1882" s="63"/>
      <c r="T1882" s="63"/>
      <c r="U1882" s="63"/>
      <c r="V1882" s="63"/>
      <c r="W1882" s="63"/>
      <c r="X1882" s="63"/>
      <c r="Y1882" s="63"/>
      <c r="Z1882" s="63"/>
      <c r="AA1882" s="63"/>
      <c r="AB1882" s="63"/>
      <c r="AC1882" s="63"/>
    </row>
    <row r="1883" spans="1:29" x14ac:dyDescent="0.25">
      <c r="A1883" s="108">
        <v>46049</v>
      </c>
      <c r="B1883" s="109">
        <v>210</v>
      </c>
      <c r="C1883" s="49" t="s">
        <v>19</v>
      </c>
      <c r="D1883" s="110" t="str">
        <f>IF(ISBLANK($B1883),"",IFERROR(VLOOKUP($B1883,ESTOQUE!$B$2:$D$97168,3,FALSE),"Produto não cadastrado"))</f>
        <v>COLETE REFLETIVO LARANJA G</v>
      </c>
      <c r="E1883" s="99" t="str">
        <f>_xlfn.XLOOKUP(B1883,ESTOQUE!B:B,ESTOQUE!G:G,"",0)</f>
        <v>UND</v>
      </c>
      <c r="F1883" s="99">
        <v>1</v>
      </c>
      <c r="G1883" s="146"/>
      <c r="H1883" s="146"/>
      <c r="I1883" s="147"/>
      <c r="J1883" s="147"/>
      <c r="K1883" s="63"/>
      <c r="L1883" s="63"/>
      <c r="M1883" s="63"/>
      <c r="N1883" s="63"/>
      <c r="O1883" s="63"/>
      <c r="P1883" s="63"/>
      <c r="Q1883" s="63"/>
      <c r="R1883" s="63"/>
      <c r="S1883" s="63"/>
      <c r="T1883" s="63"/>
      <c r="U1883" s="63"/>
      <c r="V1883" s="63"/>
      <c r="W1883" s="63"/>
      <c r="X1883" s="63"/>
      <c r="Y1883" s="63"/>
      <c r="Z1883" s="63"/>
      <c r="AA1883" s="63"/>
      <c r="AB1883" s="63"/>
      <c r="AC1883" s="63"/>
    </row>
    <row r="1884" spans="1:29" x14ac:dyDescent="0.25">
      <c r="A1884" s="108">
        <v>46049</v>
      </c>
      <c r="B1884" s="109">
        <v>110</v>
      </c>
      <c r="C1884" s="49" t="s">
        <v>19</v>
      </c>
      <c r="D1884" s="110" t="str">
        <f>IF(ISBLANK($B1884),"",IFERROR(VLOOKUP($B1884,ESTOQUE!$B$2:$D$97168,3,FALSE),"Produto não cadastrado"))</f>
        <v>LUVA DE RASPA CANO LONGO</v>
      </c>
      <c r="E1884" s="99" t="str">
        <f>_xlfn.XLOOKUP(B1884,ESTOQUE!B:B,ESTOQUE!G:G,"",0)</f>
        <v>PAR</v>
      </c>
      <c r="F1884" s="99">
        <v>10</v>
      </c>
      <c r="G1884" s="146"/>
      <c r="H1884" s="146"/>
      <c r="I1884" s="147"/>
      <c r="J1884" s="147"/>
      <c r="K1884" s="63"/>
      <c r="L1884" s="63"/>
      <c r="M1884" s="63"/>
      <c r="N1884" s="63"/>
      <c r="O1884" s="63"/>
      <c r="P1884" s="63"/>
      <c r="Q1884" s="63"/>
      <c r="R1884" s="63"/>
      <c r="S1884" s="63"/>
      <c r="T1884" s="63"/>
      <c r="U1884" s="63"/>
      <c r="V1884" s="63"/>
      <c r="W1884" s="63"/>
      <c r="X1884" s="63"/>
      <c r="Y1884" s="63"/>
      <c r="Z1884" s="63"/>
      <c r="AA1884" s="63"/>
      <c r="AB1884" s="63"/>
      <c r="AC1884" s="63"/>
    </row>
    <row r="1885" spans="1:29" x14ac:dyDescent="0.25">
      <c r="A1885" s="108">
        <v>46049</v>
      </c>
      <c r="B1885" s="109">
        <v>114</v>
      </c>
      <c r="C1885" s="49" t="s">
        <v>19</v>
      </c>
      <c r="D1885" s="110" t="str">
        <f>IF(ISBLANK($B1885),"",IFERROR(VLOOKUP($B1885,ESTOQUE!$B$2:$D$97168,3,FALSE),"Produto não cadastrado"))</f>
        <v xml:space="preserve">LUVA LATEX NITRILICA </v>
      </c>
      <c r="E1885" s="99" t="str">
        <f>_xlfn.XLOOKUP(B1885,ESTOQUE!B:B,ESTOQUE!G:G,"",0)</f>
        <v>PAR</v>
      </c>
      <c r="F1885" s="99">
        <v>1</v>
      </c>
      <c r="G1885" s="146"/>
      <c r="H1885" s="146"/>
      <c r="I1885" s="147"/>
      <c r="J1885" s="147"/>
      <c r="K1885" s="63"/>
      <c r="L1885" s="63"/>
      <c r="M1885" s="63"/>
      <c r="N1885" s="63"/>
      <c r="O1885" s="63"/>
      <c r="P1885" s="63"/>
      <c r="Q1885" s="63"/>
      <c r="R1885" s="63"/>
      <c r="S1885" s="63"/>
      <c r="T1885" s="63"/>
      <c r="U1885" s="63"/>
      <c r="V1885" s="63"/>
      <c r="W1885" s="63"/>
      <c r="X1885" s="63"/>
      <c r="Y1885" s="63"/>
      <c r="Z1885" s="63"/>
      <c r="AA1885" s="63"/>
      <c r="AB1885" s="63"/>
      <c r="AC1885" s="63"/>
    </row>
    <row r="1886" spans="1:29" x14ac:dyDescent="0.25">
      <c r="A1886" s="108">
        <v>46049</v>
      </c>
      <c r="B1886" s="109">
        <v>117</v>
      </c>
      <c r="C1886" s="49" t="s">
        <v>19</v>
      </c>
      <c r="D1886" s="110" t="str">
        <f>IF(ISBLANK($B1886),"",IFERROR(VLOOKUP($B1886,ESTOQUE!$B$2:$D$97168,3,FALSE),"Produto não cadastrado"))</f>
        <v>LUVA PIGMENTADA</v>
      </c>
      <c r="E1886" s="99" t="str">
        <f>_xlfn.XLOOKUP(B1886,ESTOQUE!B:B,ESTOQUE!G:G,"",0)</f>
        <v>PAR</v>
      </c>
      <c r="F1886" s="99">
        <v>1</v>
      </c>
      <c r="G1886" s="146"/>
      <c r="H1886" s="146"/>
      <c r="I1886" s="147"/>
      <c r="J1886" s="147"/>
      <c r="K1886" s="63"/>
      <c r="L1886" s="63"/>
      <c r="M1886" s="63"/>
      <c r="N1886" s="63"/>
      <c r="O1886" s="63"/>
      <c r="P1886" s="63"/>
      <c r="Q1886" s="63"/>
      <c r="R1886" s="63"/>
      <c r="S1886" s="63"/>
      <c r="T1886" s="63"/>
      <c r="U1886" s="63"/>
      <c r="V1886" s="63"/>
      <c r="W1886" s="63"/>
      <c r="X1886" s="63"/>
      <c r="Y1886" s="63"/>
      <c r="Z1886" s="63"/>
      <c r="AA1886" s="63"/>
      <c r="AB1886" s="63"/>
      <c r="AC1886" s="63"/>
    </row>
    <row r="1887" spans="1:29" x14ac:dyDescent="0.25">
      <c r="A1887" s="108">
        <v>46049</v>
      </c>
      <c r="B1887" s="109">
        <v>207</v>
      </c>
      <c r="C1887" s="49" t="s">
        <v>19</v>
      </c>
      <c r="D1887" s="110" t="str">
        <f>IF(ISBLANK($B1887),"",IFERROR(VLOOKUP($B1887,ESTOQUE!$B$2:$D$97168,3,FALSE),"Produto não cadastrado"))</f>
        <v>LUVA POLIESTER ANTICORTE BANHADA PU TAM 9</v>
      </c>
      <c r="E1887" s="99" t="str">
        <f>_xlfn.XLOOKUP(B1887,ESTOQUE!B:B,ESTOQUE!G:G,"",0)</f>
        <v>PAR</v>
      </c>
      <c r="F1887" s="99">
        <v>4</v>
      </c>
      <c r="G1887" s="146"/>
      <c r="H1887" s="146"/>
      <c r="I1887" s="147"/>
      <c r="J1887" s="147"/>
      <c r="K1887" s="63"/>
      <c r="L1887" s="63"/>
      <c r="M1887" s="63"/>
      <c r="N1887" s="63"/>
      <c r="O1887" s="63"/>
      <c r="P1887" s="63"/>
      <c r="Q1887" s="63"/>
      <c r="R1887" s="63"/>
      <c r="S1887" s="63"/>
      <c r="T1887" s="63"/>
      <c r="U1887" s="63"/>
      <c r="V1887" s="63"/>
      <c r="W1887" s="63"/>
      <c r="X1887" s="63"/>
      <c r="Y1887" s="63"/>
      <c r="Z1887" s="63"/>
      <c r="AA1887" s="63"/>
      <c r="AB1887" s="63"/>
      <c r="AC1887" s="63"/>
    </row>
    <row r="1888" spans="1:29" x14ac:dyDescent="0.25">
      <c r="A1888" s="108">
        <v>46049</v>
      </c>
      <c r="B1888" s="109">
        <v>118</v>
      </c>
      <c r="C1888" s="49" t="s">
        <v>19</v>
      </c>
      <c r="D1888" s="110" t="str">
        <f>IF(ISBLANK($B1888),"",IFERROR(VLOOKUP($B1888,ESTOQUE!$B$2:$D$97168,3,FALSE),"Produto não cadastrado"))</f>
        <v>MACACÃO DE PROTEÇÃO TYVEK</v>
      </c>
      <c r="E1888" s="99" t="str">
        <f>_xlfn.XLOOKUP(B1888,ESTOQUE!B:B,ESTOQUE!G:G,"",0)</f>
        <v>UND</v>
      </c>
      <c r="F1888" s="99">
        <v>1</v>
      </c>
      <c r="G1888" s="146"/>
      <c r="H1888" s="146"/>
      <c r="I1888" s="147"/>
      <c r="J1888" s="147"/>
      <c r="K1888" s="63"/>
      <c r="L1888" s="63"/>
      <c r="M1888" s="63"/>
      <c r="N1888" s="63"/>
      <c r="O1888" s="63"/>
      <c r="P1888" s="63"/>
      <c r="Q1888" s="63"/>
      <c r="R1888" s="63"/>
      <c r="S1888" s="63"/>
      <c r="T1888" s="63"/>
      <c r="U1888" s="63"/>
      <c r="V1888" s="63"/>
      <c r="W1888" s="63"/>
      <c r="X1888" s="63"/>
      <c r="Y1888" s="63"/>
      <c r="Z1888" s="63"/>
      <c r="AA1888" s="63"/>
      <c r="AB1888" s="63"/>
      <c r="AC1888" s="63"/>
    </row>
    <row r="1889" spans="1:29" x14ac:dyDescent="0.25">
      <c r="A1889" s="108">
        <v>46049</v>
      </c>
      <c r="B1889" s="109">
        <v>124</v>
      </c>
      <c r="C1889" s="49" t="s">
        <v>19</v>
      </c>
      <c r="D1889" s="110" t="str">
        <f>IF(ISBLANK($B1889),"",IFERROR(VLOOKUP($B1889,ESTOQUE!$B$2:$D$97168,3,FALSE),"Produto não cadastrado"))</f>
        <v xml:space="preserve">OCULOS DE PROTEÇÃO INCOLOR </v>
      </c>
      <c r="E1889" s="99" t="str">
        <f>_xlfn.XLOOKUP(B1889,ESTOQUE!B:B,ESTOQUE!G:G,"",0)</f>
        <v>UND</v>
      </c>
      <c r="F1889" s="99">
        <v>2</v>
      </c>
      <c r="G1889" s="146"/>
      <c r="H1889" s="146"/>
      <c r="I1889" s="147"/>
      <c r="J1889" s="147"/>
      <c r="K1889" s="63"/>
      <c r="L1889" s="63"/>
      <c r="M1889" s="63"/>
      <c r="N1889" s="63"/>
      <c r="O1889" s="63"/>
      <c r="P1889" s="63"/>
      <c r="Q1889" s="63"/>
      <c r="R1889" s="63"/>
      <c r="S1889" s="63"/>
      <c r="T1889" s="63"/>
      <c r="U1889" s="63"/>
      <c r="V1889" s="63"/>
      <c r="W1889" s="63"/>
      <c r="X1889" s="63"/>
      <c r="Y1889" s="63"/>
      <c r="Z1889" s="63"/>
      <c r="AA1889" s="63"/>
      <c r="AB1889" s="63"/>
      <c r="AC1889" s="63"/>
    </row>
    <row r="1890" spans="1:29" x14ac:dyDescent="0.25">
      <c r="A1890" s="108">
        <v>46049</v>
      </c>
      <c r="B1890" s="109">
        <v>137</v>
      </c>
      <c r="C1890" s="49" t="s">
        <v>19</v>
      </c>
      <c r="D1890" s="110" t="str">
        <f>IF(ISBLANK($B1890),"",IFERROR(VLOOKUP($B1890,ESTOQUE!$B$2:$D$97168,3,FALSE),"Produto não cadastrado"))</f>
        <v xml:space="preserve">TOUCA ARABE </v>
      </c>
      <c r="E1890" s="99" t="str">
        <f>_xlfn.XLOOKUP(B1890,ESTOQUE!B:B,ESTOQUE!G:G,"",0)</f>
        <v>UND</v>
      </c>
      <c r="F1890" s="99">
        <v>1</v>
      </c>
      <c r="G1890" s="146"/>
      <c r="H1890" s="146"/>
      <c r="I1890" s="147"/>
      <c r="J1890" s="147"/>
      <c r="K1890" s="63"/>
      <c r="L1890" s="63"/>
      <c r="M1890" s="63"/>
      <c r="N1890" s="63"/>
      <c r="O1890" s="63"/>
      <c r="P1890" s="63"/>
      <c r="Q1890" s="63"/>
      <c r="R1890" s="63"/>
      <c r="S1890" s="63"/>
      <c r="T1890" s="63"/>
      <c r="U1890" s="63"/>
      <c r="V1890" s="63"/>
      <c r="W1890" s="63"/>
      <c r="X1890" s="63"/>
      <c r="Y1890" s="63"/>
      <c r="Z1890" s="63"/>
      <c r="AA1890" s="63"/>
      <c r="AB1890" s="63"/>
      <c r="AC1890" s="63"/>
    </row>
    <row r="1891" spans="1:29" x14ac:dyDescent="0.25">
      <c r="A1891" s="108">
        <v>46050</v>
      </c>
      <c r="B1891" s="109">
        <v>37</v>
      </c>
      <c r="C1891" s="49" t="s">
        <v>19</v>
      </c>
      <c r="D1891" s="110" t="str">
        <f>IF(ISBLANK($B1891),"",IFERROR(VLOOKUP($B1891,ESTOQUE!$B$2:$D$97168,3,FALSE),"Produto não cadastrado"))</f>
        <v>BOTINA OP. BICO PVC Nº 39</v>
      </c>
      <c r="E1891" s="99" t="str">
        <f>_xlfn.XLOOKUP(B1891,ESTOQUE!B:B,ESTOQUE!G:G,"",0)</f>
        <v>PAR</v>
      </c>
      <c r="F1891" s="99">
        <v>1</v>
      </c>
      <c r="G1891" s="146"/>
      <c r="H1891" s="146"/>
      <c r="I1891" s="147"/>
      <c r="J1891" s="147"/>
      <c r="K1891" s="63"/>
      <c r="L1891" s="63"/>
      <c r="M1891" s="63"/>
      <c r="N1891" s="63"/>
      <c r="O1891" s="63"/>
      <c r="P1891" s="63"/>
      <c r="Q1891" s="63"/>
      <c r="R1891" s="63"/>
      <c r="S1891" s="63"/>
      <c r="T1891" s="63"/>
      <c r="U1891" s="63"/>
      <c r="V1891" s="63"/>
      <c r="W1891" s="63"/>
      <c r="X1891" s="63"/>
      <c r="Y1891" s="63"/>
      <c r="Z1891" s="63"/>
      <c r="AA1891" s="63"/>
      <c r="AB1891" s="63"/>
      <c r="AC1891" s="63"/>
    </row>
    <row r="1892" spans="1:29" x14ac:dyDescent="0.25">
      <c r="A1892" s="108">
        <v>46050</v>
      </c>
      <c r="B1892" s="109">
        <v>40</v>
      </c>
      <c r="C1892" s="49" t="s">
        <v>19</v>
      </c>
      <c r="D1892" s="110" t="str">
        <f>IF(ISBLANK($B1892),"",IFERROR(VLOOKUP($B1892,ESTOQUE!$B$2:$D$97168,3,FALSE),"Produto não cadastrado"))</f>
        <v>BOTINA OP. BICO PVC Nº 42</v>
      </c>
      <c r="E1892" s="99" t="str">
        <f>_xlfn.XLOOKUP(B1892,ESTOQUE!B:B,ESTOQUE!G:G,"",0)</f>
        <v>PAR</v>
      </c>
      <c r="F1892" s="99">
        <v>3</v>
      </c>
      <c r="G1892" s="146"/>
      <c r="H1892" s="146"/>
      <c r="I1892" s="147"/>
      <c r="J1892" s="147"/>
      <c r="K1892" s="63"/>
      <c r="L1892" s="63"/>
      <c r="M1892" s="63"/>
      <c r="N1892" s="63"/>
      <c r="O1892" s="63"/>
      <c r="P1892" s="63"/>
      <c r="Q1892" s="63"/>
      <c r="R1892" s="63"/>
      <c r="S1892" s="63"/>
      <c r="T1892" s="63"/>
      <c r="U1892" s="63"/>
      <c r="V1892" s="63"/>
      <c r="W1892" s="63"/>
      <c r="X1892" s="63"/>
      <c r="Y1892" s="63"/>
      <c r="Z1892" s="63"/>
      <c r="AA1892" s="63"/>
      <c r="AB1892" s="63"/>
      <c r="AC1892" s="63"/>
    </row>
    <row r="1893" spans="1:29" x14ac:dyDescent="0.25">
      <c r="A1893" s="108">
        <v>46050</v>
      </c>
      <c r="B1893" s="109">
        <v>41</v>
      </c>
      <c r="C1893" s="49" t="s">
        <v>19</v>
      </c>
      <c r="D1893" s="110" t="str">
        <f>IF(ISBLANK($B1893),"",IFERROR(VLOOKUP($B1893,ESTOQUE!$B$2:$D$97168,3,FALSE),"Produto não cadastrado"))</f>
        <v>BOTINA OP. BICO PVC Nº 43</v>
      </c>
      <c r="E1893" s="99" t="str">
        <f>_xlfn.XLOOKUP(B1893,ESTOQUE!B:B,ESTOQUE!G:G,"",0)</f>
        <v>PAR</v>
      </c>
      <c r="F1893" s="99">
        <v>1</v>
      </c>
      <c r="G1893" s="146"/>
      <c r="H1893" s="146"/>
      <c r="I1893" s="147"/>
      <c r="J1893" s="147"/>
      <c r="K1893" s="63"/>
      <c r="L1893" s="63"/>
      <c r="M1893" s="63"/>
      <c r="N1893" s="63"/>
      <c r="O1893" s="63"/>
      <c r="P1893" s="63"/>
      <c r="Q1893" s="63"/>
      <c r="R1893" s="63"/>
      <c r="S1893" s="63"/>
      <c r="T1893" s="63"/>
      <c r="U1893" s="63"/>
      <c r="V1893" s="63"/>
      <c r="W1893" s="63"/>
      <c r="X1893" s="63"/>
      <c r="Y1893" s="63"/>
      <c r="Z1893" s="63"/>
      <c r="AA1893" s="63"/>
      <c r="AB1893" s="63"/>
      <c r="AC1893" s="63"/>
    </row>
    <row r="1894" spans="1:29" x14ac:dyDescent="0.25">
      <c r="A1894" s="108">
        <v>46050</v>
      </c>
      <c r="B1894" s="109">
        <v>46</v>
      </c>
      <c r="C1894" s="49" t="s">
        <v>19</v>
      </c>
      <c r="D1894" s="110" t="str">
        <f>IF(ISBLANK($B1894),"",IFERROR(VLOOKUP($B1894,ESTOQUE!$B$2:$D$97168,3,FALSE),"Produto não cadastrado"))</f>
        <v>CALÇA CINZA OP. C/ FAIXA REFLETIVA TAM: G</v>
      </c>
      <c r="E1894" s="99" t="str">
        <f>_xlfn.XLOOKUP(B1894,ESTOQUE!B:B,ESTOQUE!G:G,"",0)</f>
        <v>UND</v>
      </c>
      <c r="F1894" s="99">
        <v>3</v>
      </c>
      <c r="G1894" s="146"/>
      <c r="H1894" s="146"/>
      <c r="I1894" s="147"/>
      <c r="J1894" s="147"/>
      <c r="K1894" s="63"/>
      <c r="L1894" s="63"/>
      <c r="M1894" s="63"/>
      <c r="N1894" s="63"/>
      <c r="O1894" s="63"/>
      <c r="P1894" s="63"/>
      <c r="Q1894" s="63"/>
      <c r="R1894" s="63"/>
      <c r="S1894" s="63"/>
      <c r="T1894" s="63"/>
      <c r="U1894" s="63"/>
      <c r="V1894" s="63"/>
      <c r="W1894" s="63"/>
      <c r="X1894" s="63"/>
      <c r="Y1894" s="63"/>
      <c r="Z1894" s="63"/>
      <c r="AA1894" s="63"/>
      <c r="AB1894" s="63"/>
      <c r="AC1894" s="63"/>
    </row>
    <row r="1895" spans="1:29" x14ac:dyDescent="0.25">
      <c r="A1895" s="108">
        <v>46050</v>
      </c>
      <c r="B1895" s="109">
        <v>47</v>
      </c>
      <c r="C1895" s="49" t="s">
        <v>19</v>
      </c>
      <c r="D1895" s="110" t="str">
        <f>IF(ISBLANK($B1895),"",IFERROR(VLOOKUP($B1895,ESTOQUE!$B$2:$D$97168,3,FALSE),"Produto não cadastrado"))</f>
        <v>CALÇA CINZA OP. C/ FAIXA REFLETIVA TAM: GG</v>
      </c>
      <c r="E1895" s="99" t="str">
        <f>_xlfn.XLOOKUP(B1895,ESTOQUE!B:B,ESTOQUE!G:G,"",0)</f>
        <v>UND</v>
      </c>
      <c r="F1895" s="99">
        <v>4</v>
      </c>
      <c r="G1895" s="146"/>
      <c r="H1895" s="146"/>
      <c r="I1895" s="147"/>
      <c r="J1895" s="147"/>
      <c r="K1895" s="63"/>
      <c r="L1895" s="63"/>
      <c r="M1895" s="63"/>
      <c r="N1895" s="63"/>
      <c r="O1895" s="63"/>
      <c r="P1895" s="63"/>
      <c r="Q1895" s="63"/>
      <c r="R1895" s="63"/>
      <c r="S1895" s="63"/>
      <c r="T1895" s="63"/>
      <c r="U1895" s="63"/>
      <c r="V1895" s="63"/>
      <c r="W1895" s="63"/>
      <c r="X1895" s="63"/>
      <c r="Y1895" s="63"/>
      <c r="Z1895" s="63"/>
      <c r="AA1895" s="63"/>
      <c r="AB1895" s="63"/>
      <c r="AC1895" s="63"/>
    </row>
    <row r="1896" spans="1:29" x14ac:dyDescent="0.25">
      <c r="A1896" s="108">
        <v>46050</v>
      </c>
      <c r="B1896" s="109">
        <v>48</v>
      </c>
      <c r="C1896" s="49" t="s">
        <v>19</v>
      </c>
      <c r="D1896" s="110" t="str">
        <f>IF(ISBLANK($B1896),"",IFERROR(VLOOKUP($B1896,ESTOQUE!$B$2:$D$97168,3,FALSE),"Produto não cadastrado"))</f>
        <v>CALÇA CINZA OP. C/ FAIXA REFLETIVA TAM: M</v>
      </c>
      <c r="E1896" s="99" t="str">
        <f>_xlfn.XLOOKUP(B1896,ESTOQUE!B:B,ESTOQUE!G:G,"",0)</f>
        <v>UND</v>
      </c>
      <c r="F1896" s="99">
        <v>6</v>
      </c>
      <c r="G1896" s="146"/>
      <c r="H1896" s="146"/>
      <c r="I1896" s="147"/>
      <c r="J1896" s="147"/>
      <c r="K1896" s="63"/>
      <c r="L1896" s="63"/>
      <c r="M1896" s="63"/>
      <c r="N1896" s="63"/>
      <c r="O1896" s="63"/>
      <c r="P1896" s="63"/>
      <c r="Q1896" s="63"/>
      <c r="R1896" s="63"/>
      <c r="S1896" s="63"/>
      <c r="T1896" s="63"/>
      <c r="U1896" s="63"/>
      <c r="V1896" s="63"/>
      <c r="W1896" s="63"/>
      <c r="X1896" s="63"/>
      <c r="Y1896" s="63"/>
      <c r="Z1896" s="63"/>
      <c r="AA1896" s="63"/>
      <c r="AB1896" s="63"/>
      <c r="AC1896" s="63"/>
    </row>
    <row r="1897" spans="1:29" x14ac:dyDescent="0.25">
      <c r="A1897" s="108">
        <v>46050</v>
      </c>
      <c r="B1897" s="109">
        <v>49</v>
      </c>
      <c r="C1897" s="49" t="s">
        <v>19</v>
      </c>
      <c r="D1897" s="110" t="str">
        <f>IF(ISBLANK($B1897),"",IFERROR(VLOOKUP($B1897,ESTOQUE!$B$2:$D$97168,3,FALSE),"Produto não cadastrado"))</f>
        <v>CALÇA CINZA OP. C/ FAIXA REFLETIVA TAM: P</v>
      </c>
      <c r="E1897" s="99" t="str">
        <f>_xlfn.XLOOKUP(B1897,ESTOQUE!B:B,ESTOQUE!G:G,"",0)</f>
        <v>UND</v>
      </c>
      <c r="F1897" s="99">
        <v>5</v>
      </c>
      <c r="G1897" s="146"/>
      <c r="H1897" s="146"/>
      <c r="I1897" s="147"/>
      <c r="J1897" s="147"/>
      <c r="K1897" s="63"/>
      <c r="L1897" s="63"/>
      <c r="M1897" s="63"/>
      <c r="N1897" s="63"/>
      <c r="O1897" s="63"/>
      <c r="P1897" s="63"/>
      <c r="Q1897" s="63"/>
      <c r="R1897" s="63"/>
      <c r="S1897" s="63"/>
      <c r="T1897" s="63"/>
      <c r="U1897" s="63"/>
      <c r="V1897" s="63"/>
      <c r="W1897" s="63"/>
      <c r="X1897" s="63"/>
      <c r="Y1897" s="63"/>
      <c r="Z1897" s="63"/>
      <c r="AA1897" s="63"/>
      <c r="AB1897" s="63"/>
      <c r="AC1897" s="63"/>
    </row>
    <row r="1898" spans="1:29" x14ac:dyDescent="0.25">
      <c r="A1898" s="108">
        <v>46050</v>
      </c>
      <c r="B1898" s="109">
        <v>67</v>
      </c>
      <c r="C1898" s="49" t="s">
        <v>19</v>
      </c>
      <c r="D1898" s="110" t="str">
        <f>IF(ISBLANK($B1898),"",IFERROR(VLOOKUP($B1898,ESTOQUE!$B$2:$D$97168,3,FALSE),"Produto não cadastrado"))</f>
        <v>CAMISA LARANJA OP. C/ FAIXA REFLETIVA TAM: G</v>
      </c>
      <c r="E1898" s="99" t="str">
        <f>_xlfn.XLOOKUP(B1898,ESTOQUE!B:B,ESTOQUE!G:G,"",0)</f>
        <v>UND</v>
      </c>
      <c r="F1898" s="99">
        <v>4</v>
      </c>
      <c r="G1898" s="146"/>
      <c r="H1898" s="146"/>
      <c r="I1898" s="147"/>
      <c r="J1898" s="147"/>
      <c r="K1898" s="63"/>
      <c r="L1898" s="63"/>
      <c r="M1898" s="63"/>
      <c r="N1898" s="63"/>
      <c r="O1898" s="63"/>
      <c r="P1898" s="63"/>
      <c r="Q1898" s="63"/>
      <c r="R1898" s="63"/>
      <c r="S1898" s="63"/>
      <c r="T1898" s="63"/>
      <c r="U1898" s="63"/>
      <c r="V1898" s="63"/>
      <c r="W1898" s="63"/>
      <c r="X1898" s="63"/>
      <c r="Y1898" s="63"/>
      <c r="Z1898" s="63"/>
      <c r="AA1898" s="63"/>
      <c r="AB1898" s="63"/>
      <c r="AC1898" s="63"/>
    </row>
    <row r="1899" spans="1:29" x14ac:dyDescent="0.25">
      <c r="A1899" s="108">
        <v>46050</v>
      </c>
      <c r="B1899" s="109">
        <v>68</v>
      </c>
      <c r="C1899" s="49" t="s">
        <v>19</v>
      </c>
      <c r="D1899" s="110" t="str">
        <f>IF(ISBLANK($B1899),"",IFERROR(VLOOKUP($B1899,ESTOQUE!$B$2:$D$97168,3,FALSE),"Produto não cadastrado"))</f>
        <v>CAMISA LARANJA OP. C/ FAIXA REFLETIVA TAM: GG</v>
      </c>
      <c r="E1899" s="99" t="str">
        <f>_xlfn.XLOOKUP(B1899,ESTOQUE!B:B,ESTOQUE!G:G,"",0)</f>
        <v>UND</v>
      </c>
      <c r="F1899" s="99">
        <v>4</v>
      </c>
      <c r="G1899" s="146"/>
      <c r="H1899" s="146"/>
      <c r="I1899" s="147"/>
      <c r="J1899" s="147"/>
      <c r="K1899" s="63"/>
      <c r="L1899" s="63"/>
      <c r="M1899" s="63"/>
      <c r="N1899" s="63"/>
      <c r="O1899" s="63"/>
      <c r="P1899" s="63"/>
      <c r="Q1899" s="63"/>
      <c r="R1899" s="63"/>
      <c r="S1899" s="63"/>
      <c r="T1899" s="63"/>
      <c r="U1899" s="63"/>
      <c r="V1899" s="63"/>
      <c r="W1899" s="63"/>
      <c r="X1899" s="63"/>
      <c r="Y1899" s="63"/>
      <c r="Z1899" s="63"/>
      <c r="AA1899" s="63"/>
      <c r="AB1899" s="63"/>
      <c r="AC1899" s="63"/>
    </row>
    <row r="1900" spans="1:29" x14ac:dyDescent="0.25">
      <c r="A1900" s="108">
        <v>46050</v>
      </c>
      <c r="B1900" s="109">
        <v>69</v>
      </c>
      <c r="C1900" s="49" t="s">
        <v>19</v>
      </c>
      <c r="D1900" s="110" t="str">
        <f>IF(ISBLANK($B1900),"",IFERROR(VLOOKUP($B1900,ESTOQUE!$B$2:$D$97168,3,FALSE),"Produto não cadastrado"))</f>
        <v>CAMISA LARANJA OP. C/ FAIXA REFLETIVA TAM: M</v>
      </c>
      <c r="E1900" s="99" t="str">
        <f>_xlfn.XLOOKUP(B1900,ESTOQUE!B:B,ESTOQUE!G:G,"",0)</f>
        <v>UND</v>
      </c>
      <c r="F1900" s="99">
        <v>3</v>
      </c>
      <c r="G1900" s="146"/>
      <c r="H1900" s="146"/>
      <c r="I1900" s="147"/>
      <c r="J1900" s="147"/>
      <c r="K1900" s="63"/>
      <c r="L1900" s="63"/>
      <c r="M1900" s="63"/>
      <c r="N1900" s="63"/>
      <c r="O1900" s="63"/>
      <c r="P1900" s="63"/>
      <c r="Q1900" s="63"/>
      <c r="R1900" s="63"/>
      <c r="S1900" s="63"/>
      <c r="T1900" s="63"/>
      <c r="U1900" s="63"/>
      <c r="V1900" s="63"/>
      <c r="W1900" s="63"/>
      <c r="X1900" s="63"/>
      <c r="Y1900" s="63"/>
      <c r="Z1900" s="63"/>
      <c r="AA1900" s="63"/>
      <c r="AB1900" s="63"/>
      <c r="AC1900" s="63"/>
    </row>
    <row r="1901" spans="1:29" x14ac:dyDescent="0.25">
      <c r="A1901" s="108">
        <v>46050</v>
      </c>
      <c r="B1901" s="109">
        <v>70</v>
      </c>
      <c r="C1901" s="49" t="s">
        <v>19</v>
      </c>
      <c r="D1901" s="110" t="str">
        <f>IF(ISBLANK($B1901),"",IFERROR(VLOOKUP($B1901,ESTOQUE!$B$2:$D$97168,3,FALSE),"Produto não cadastrado"))</f>
        <v>CAMISA LARANJA OP. C/ FAIXA REFLETIVA TAM: P</v>
      </c>
      <c r="E1901" s="99" t="str">
        <f>_xlfn.XLOOKUP(B1901,ESTOQUE!B:B,ESTOQUE!G:G,"",0)</f>
        <v>UND</v>
      </c>
      <c r="F1901" s="99">
        <v>3</v>
      </c>
      <c r="G1901" s="146"/>
      <c r="H1901" s="146"/>
      <c r="I1901" s="147"/>
      <c r="J1901" s="147"/>
      <c r="K1901" s="63"/>
      <c r="L1901" s="63"/>
      <c r="M1901" s="63"/>
      <c r="N1901" s="63"/>
      <c r="O1901" s="63"/>
      <c r="P1901" s="63"/>
      <c r="Q1901" s="63"/>
      <c r="R1901" s="63"/>
      <c r="S1901" s="63"/>
      <c r="T1901" s="63"/>
      <c r="U1901" s="63"/>
      <c r="V1901" s="63"/>
      <c r="W1901" s="63"/>
      <c r="X1901" s="63"/>
      <c r="Y1901" s="63"/>
      <c r="Z1901" s="63"/>
      <c r="AA1901" s="63"/>
      <c r="AB1901" s="63"/>
      <c r="AC1901" s="63"/>
    </row>
    <row r="1902" spans="1:29" x14ac:dyDescent="0.25">
      <c r="A1902" s="108">
        <v>46050</v>
      </c>
      <c r="B1902" s="109">
        <v>73</v>
      </c>
      <c r="C1902" s="49" t="s">
        <v>19</v>
      </c>
      <c r="D1902" s="110" t="str">
        <f>IF(ISBLANK($B1902),"",IFERROR(VLOOKUP($B1902,ESTOQUE!$B$2:$D$97168,3,FALSE),"Produto não cadastrado"))</f>
        <v>CAPA DE CHUVA GG</v>
      </c>
      <c r="E1902" s="99" t="str">
        <f>_xlfn.XLOOKUP(B1902,ESTOQUE!B:B,ESTOQUE!G:G,"",0)</f>
        <v>UND</v>
      </c>
      <c r="F1902" s="99">
        <v>20</v>
      </c>
      <c r="G1902" s="146"/>
      <c r="H1902" s="146"/>
      <c r="I1902" s="147"/>
      <c r="J1902" s="147"/>
      <c r="K1902" s="63"/>
      <c r="L1902" s="63"/>
      <c r="M1902" s="63"/>
      <c r="N1902" s="63"/>
      <c r="O1902" s="63"/>
      <c r="P1902" s="63"/>
      <c r="Q1902" s="63"/>
      <c r="R1902" s="63"/>
      <c r="S1902" s="63"/>
      <c r="T1902" s="63"/>
      <c r="U1902" s="63"/>
      <c r="V1902" s="63"/>
      <c r="W1902" s="63"/>
      <c r="X1902" s="63"/>
      <c r="Y1902" s="63"/>
      <c r="Z1902" s="63"/>
      <c r="AA1902" s="63"/>
      <c r="AB1902" s="63"/>
      <c r="AC1902" s="63"/>
    </row>
    <row r="1903" spans="1:29" x14ac:dyDescent="0.25">
      <c r="A1903" s="108">
        <v>46050</v>
      </c>
      <c r="B1903" s="109">
        <v>110</v>
      </c>
      <c r="C1903" s="49" t="s">
        <v>19</v>
      </c>
      <c r="D1903" s="110" t="str">
        <f>IF(ISBLANK($B1903),"",IFERROR(VLOOKUP($B1903,ESTOQUE!$B$2:$D$97168,3,FALSE),"Produto não cadastrado"))</f>
        <v>LUVA DE RASPA CANO LONGO</v>
      </c>
      <c r="E1903" s="99" t="str">
        <f>_xlfn.XLOOKUP(B1903,ESTOQUE!B:B,ESTOQUE!G:G,"",0)</f>
        <v>PAR</v>
      </c>
      <c r="F1903" s="99">
        <v>10</v>
      </c>
      <c r="G1903" s="146"/>
      <c r="H1903" s="146"/>
      <c r="I1903" s="147"/>
      <c r="J1903" s="147"/>
      <c r="K1903" s="63"/>
      <c r="L1903" s="63"/>
      <c r="M1903" s="63"/>
      <c r="N1903" s="63"/>
      <c r="O1903" s="63"/>
      <c r="P1903" s="63"/>
      <c r="Q1903" s="63"/>
      <c r="R1903" s="63"/>
      <c r="S1903" s="63"/>
      <c r="T1903" s="63"/>
      <c r="U1903" s="63"/>
      <c r="V1903" s="63"/>
      <c r="W1903" s="63"/>
      <c r="X1903" s="63"/>
      <c r="Y1903" s="63"/>
      <c r="Z1903" s="63"/>
      <c r="AA1903" s="63"/>
      <c r="AB1903" s="63"/>
      <c r="AC1903" s="63"/>
    </row>
    <row r="1904" spans="1:29" x14ac:dyDescent="0.25">
      <c r="A1904" s="108">
        <v>46050</v>
      </c>
      <c r="B1904" s="109">
        <v>141</v>
      </c>
      <c r="C1904" s="49" t="s">
        <v>19</v>
      </c>
      <c r="D1904" s="110" t="str">
        <f>IF(ISBLANK($B1904),"",IFERROR(VLOOKUP($B1904,ESTOQUE!$B$2:$D$97168,3,FALSE),"Produto não cadastrado"))</f>
        <v xml:space="preserve">LUVA DE VAQUETA </v>
      </c>
      <c r="E1904" s="99" t="str">
        <f>_xlfn.XLOOKUP(B1904,ESTOQUE!B:B,ESTOQUE!G:G,"",0)</f>
        <v>PAR</v>
      </c>
      <c r="F1904" s="99">
        <v>10</v>
      </c>
      <c r="G1904" s="146"/>
      <c r="H1904" s="146"/>
      <c r="I1904" s="147"/>
      <c r="J1904" s="147"/>
      <c r="K1904" s="63"/>
      <c r="L1904" s="63"/>
      <c r="M1904" s="63"/>
      <c r="N1904" s="63"/>
      <c r="O1904" s="63"/>
      <c r="P1904" s="63"/>
      <c r="Q1904" s="63"/>
      <c r="R1904" s="63"/>
      <c r="S1904" s="63"/>
      <c r="T1904" s="63"/>
      <c r="U1904" s="63"/>
      <c r="V1904" s="63"/>
      <c r="W1904" s="63"/>
      <c r="X1904" s="63"/>
      <c r="Y1904" s="63"/>
      <c r="Z1904" s="63"/>
      <c r="AA1904" s="63"/>
      <c r="AB1904" s="63"/>
      <c r="AC1904" s="63"/>
    </row>
    <row r="1905" spans="1:29" x14ac:dyDescent="0.25">
      <c r="A1905" s="108">
        <v>46050</v>
      </c>
      <c r="B1905" s="109">
        <v>111</v>
      </c>
      <c r="C1905" s="49" t="s">
        <v>19</v>
      </c>
      <c r="D1905" s="110" t="str">
        <f>IF(ISBLANK($B1905),"",IFERROR(VLOOKUP($B1905,ESTOQUE!$B$2:$D$97168,3,FALSE),"Produto não cadastrado"))</f>
        <v>LUVA DE VAQUETA MARROM</v>
      </c>
      <c r="E1905" s="99" t="str">
        <f>_xlfn.XLOOKUP(B1905,ESTOQUE!B:B,ESTOQUE!G:G,"",0)</f>
        <v>PAR</v>
      </c>
      <c r="F1905" s="99">
        <v>10</v>
      </c>
      <c r="G1905" s="146"/>
      <c r="H1905" s="146"/>
      <c r="I1905" s="147"/>
      <c r="J1905" s="147"/>
      <c r="K1905" s="63"/>
      <c r="L1905" s="63"/>
      <c r="M1905" s="63"/>
      <c r="N1905" s="63"/>
      <c r="O1905" s="63"/>
      <c r="P1905" s="63"/>
      <c r="Q1905" s="63"/>
      <c r="R1905" s="63"/>
      <c r="S1905" s="63"/>
      <c r="T1905" s="63"/>
      <c r="U1905" s="63"/>
      <c r="V1905" s="63"/>
      <c r="W1905" s="63"/>
      <c r="X1905" s="63"/>
      <c r="Y1905" s="63"/>
      <c r="Z1905" s="63"/>
      <c r="AA1905" s="63"/>
      <c r="AB1905" s="63"/>
      <c r="AC1905" s="63"/>
    </row>
    <row r="1906" spans="1:29" x14ac:dyDescent="0.25">
      <c r="A1906" s="108">
        <v>46050</v>
      </c>
      <c r="B1906" s="109">
        <v>114</v>
      </c>
      <c r="C1906" s="49" t="s">
        <v>19</v>
      </c>
      <c r="D1906" s="110" t="str">
        <f>IF(ISBLANK($B1906),"",IFERROR(VLOOKUP($B1906,ESTOQUE!$B$2:$D$97168,3,FALSE),"Produto não cadastrado"))</f>
        <v xml:space="preserve">LUVA LATEX NITRILICA </v>
      </c>
      <c r="E1906" s="99" t="str">
        <f>_xlfn.XLOOKUP(B1906,ESTOQUE!B:B,ESTOQUE!G:G,"",0)</f>
        <v>PAR</v>
      </c>
      <c r="F1906" s="99">
        <v>1</v>
      </c>
      <c r="G1906" s="146"/>
      <c r="H1906" s="146"/>
      <c r="I1906" s="147"/>
      <c r="J1906" s="147"/>
      <c r="K1906" s="63"/>
      <c r="L1906" s="63"/>
      <c r="M1906" s="63"/>
      <c r="N1906" s="63"/>
      <c r="O1906" s="63"/>
      <c r="P1906" s="63"/>
      <c r="Q1906" s="63"/>
      <c r="R1906" s="63"/>
      <c r="S1906" s="63"/>
      <c r="T1906" s="63"/>
      <c r="U1906" s="63"/>
      <c r="V1906" s="63"/>
      <c r="W1906" s="63"/>
      <c r="X1906" s="63"/>
      <c r="Y1906" s="63"/>
      <c r="Z1906" s="63"/>
      <c r="AA1906" s="63"/>
      <c r="AB1906" s="63"/>
      <c r="AC1906" s="63"/>
    </row>
    <row r="1907" spans="1:29" x14ac:dyDescent="0.25">
      <c r="A1907" s="108">
        <v>46050</v>
      </c>
      <c r="B1907" s="109">
        <v>117</v>
      </c>
      <c r="C1907" s="49" t="s">
        <v>19</v>
      </c>
      <c r="D1907" s="110" t="str">
        <f>IF(ISBLANK($B1907),"",IFERROR(VLOOKUP($B1907,ESTOQUE!$B$2:$D$97168,3,FALSE),"Produto não cadastrado"))</f>
        <v>LUVA PIGMENTADA</v>
      </c>
      <c r="E1907" s="99" t="str">
        <f>_xlfn.XLOOKUP(B1907,ESTOQUE!B:B,ESTOQUE!G:G,"",0)</f>
        <v>PAR</v>
      </c>
      <c r="F1907" s="99">
        <v>25</v>
      </c>
      <c r="G1907" s="146"/>
      <c r="H1907" s="146"/>
      <c r="I1907" s="147"/>
      <c r="J1907" s="147"/>
      <c r="K1907" s="63"/>
      <c r="L1907" s="63"/>
      <c r="M1907" s="63"/>
      <c r="N1907" s="63"/>
      <c r="O1907" s="63"/>
      <c r="P1907" s="63"/>
      <c r="Q1907" s="63"/>
      <c r="R1907" s="63"/>
      <c r="S1907" s="63"/>
      <c r="T1907" s="63"/>
      <c r="U1907" s="63"/>
      <c r="V1907" s="63"/>
      <c r="W1907" s="63"/>
      <c r="X1907" s="63"/>
      <c r="Y1907" s="63"/>
      <c r="Z1907" s="63"/>
      <c r="AA1907" s="63"/>
      <c r="AB1907" s="63"/>
      <c r="AC1907" s="63"/>
    </row>
    <row r="1908" spans="1:29" x14ac:dyDescent="0.25">
      <c r="A1908" s="108">
        <v>46050</v>
      </c>
      <c r="B1908" s="109">
        <v>207</v>
      </c>
      <c r="C1908" s="49" t="s">
        <v>19</v>
      </c>
      <c r="D1908" s="110" t="str">
        <f>IF(ISBLANK($B1908),"",IFERROR(VLOOKUP($B1908,ESTOQUE!$B$2:$D$97168,3,FALSE),"Produto não cadastrado"))</f>
        <v>LUVA POLIESTER ANTICORTE BANHADA PU TAM 9</v>
      </c>
      <c r="E1908" s="99" t="str">
        <f>_xlfn.XLOOKUP(B1908,ESTOQUE!B:B,ESTOQUE!G:G,"",0)</f>
        <v>PAR</v>
      </c>
      <c r="F1908" s="99">
        <v>6</v>
      </c>
      <c r="G1908" s="146"/>
      <c r="H1908" s="146"/>
      <c r="I1908" s="147"/>
      <c r="J1908" s="147"/>
      <c r="K1908" s="63"/>
      <c r="L1908" s="63"/>
      <c r="M1908" s="63"/>
      <c r="N1908" s="63"/>
      <c r="O1908" s="63"/>
      <c r="P1908" s="63"/>
      <c r="Q1908" s="63"/>
      <c r="R1908" s="63"/>
      <c r="S1908" s="63"/>
      <c r="T1908" s="63"/>
      <c r="U1908" s="63"/>
      <c r="V1908" s="63"/>
      <c r="W1908" s="63"/>
      <c r="X1908" s="63"/>
      <c r="Y1908" s="63"/>
      <c r="Z1908" s="63"/>
      <c r="AA1908" s="63"/>
      <c r="AB1908" s="63"/>
      <c r="AC1908" s="63"/>
    </row>
    <row r="1909" spans="1:29" x14ac:dyDescent="0.25">
      <c r="A1909" s="108">
        <v>46050</v>
      </c>
      <c r="B1909" s="109">
        <v>118</v>
      </c>
      <c r="C1909" s="49" t="s">
        <v>19</v>
      </c>
      <c r="D1909" s="110" t="str">
        <f>IF(ISBLANK($B1909),"",IFERROR(VLOOKUP($B1909,ESTOQUE!$B$2:$D$97168,3,FALSE),"Produto não cadastrado"))</f>
        <v>MACACÃO DE PROTEÇÃO TYVEK</v>
      </c>
      <c r="E1909" s="99" t="str">
        <f>_xlfn.XLOOKUP(B1909,ESTOQUE!B:B,ESTOQUE!G:G,"",0)</f>
        <v>UND</v>
      </c>
      <c r="F1909" s="99">
        <v>53</v>
      </c>
      <c r="G1909" s="146"/>
      <c r="H1909" s="146"/>
      <c r="I1909" s="147"/>
      <c r="J1909" s="147"/>
      <c r="K1909" s="63"/>
      <c r="L1909" s="63"/>
      <c r="M1909" s="63"/>
      <c r="N1909" s="63"/>
      <c r="O1909" s="63"/>
      <c r="P1909" s="63"/>
      <c r="Q1909" s="63"/>
      <c r="R1909" s="63"/>
      <c r="S1909" s="63"/>
      <c r="T1909" s="63"/>
      <c r="U1909" s="63"/>
      <c r="V1909" s="63"/>
      <c r="W1909" s="63"/>
      <c r="X1909" s="63"/>
      <c r="Y1909" s="63"/>
      <c r="Z1909" s="63"/>
      <c r="AA1909" s="63"/>
      <c r="AB1909" s="63"/>
      <c r="AC1909" s="63"/>
    </row>
    <row r="1910" spans="1:29" x14ac:dyDescent="0.25">
      <c r="A1910" s="108">
        <v>46050</v>
      </c>
      <c r="B1910" s="109">
        <v>144</v>
      </c>
      <c r="C1910" s="49" t="s">
        <v>19</v>
      </c>
      <c r="D1910" s="110" t="str">
        <f>IF(ISBLANK($B1910),"",IFERROR(VLOOKUP($B1910,ESTOQUE!$B$2:$D$97168,3,FALSE),"Produto não cadastrado"))</f>
        <v>MASCARA PFF2-S C/ FILTRO</v>
      </c>
      <c r="E1910" s="99" t="str">
        <f>_xlfn.XLOOKUP(B1910,ESTOQUE!B:B,ESTOQUE!G:G,"",0)</f>
        <v>UND</v>
      </c>
      <c r="F1910" s="99">
        <v>70</v>
      </c>
      <c r="G1910" s="146"/>
      <c r="H1910" s="146"/>
      <c r="I1910" s="147"/>
      <c r="J1910" s="147"/>
      <c r="K1910" s="63"/>
      <c r="L1910" s="63"/>
      <c r="M1910" s="63"/>
      <c r="N1910" s="63"/>
      <c r="O1910" s="63"/>
      <c r="P1910" s="63"/>
      <c r="Q1910" s="63"/>
      <c r="R1910" s="63"/>
      <c r="S1910" s="63"/>
      <c r="T1910" s="63"/>
      <c r="U1910" s="63"/>
      <c r="V1910" s="63"/>
      <c r="W1910" s="63"/>
      <c r="X1910" s="63"/>
      <c r="Y1910" s="63"/>
      <c r="Z1910" s="63"/>
      <c r="AA1910" s="63"/>
      <c r="AB1910" s="63"/>
      <c r="AC1910" s="63"/>
    </row>
    <row r="1911" spans="1:29" x14ac:dyDescent="0.25">
      <c r="A1911" s="108">
        <v>46050</v>
      </c>
      <c r="B1911" s="109">
        <v>124</v>
      </c>
      <c r="C1911" s="49" t="s">
        <v>19</v>
      </c>
      <c r="D1911" s="110" t="str">
        <f>IF(ISBLANK($B1911),"",IFERROR(VLOOKUP($B1911,ESTOQUE!$B$2:$D$97168,3,FALSE),"Produto não cadastrado"))</f>
        <v xml:space="preserve">OCULOS DE PROTEÇÃO INCOLOR </v>
      </c>
      <c r="E1911" s="99" t="str">
        <f>_xlfn.XLOOKUP(B1911,ESTOQUE!B:B,ESTOQUE!G:G,"",0)</f>
        <v>UND</v>
      </c>
      <c r="F1911" s="99">
        <v>16</v>
      </c>
      <c r="G1911" s="146"/>
      <c r="H1911" s="146"/>
      <c r="I1911" s="147"/>
      <c r="J1911" s="147"/>
      <c r="K1911" s="63"/>
      <c r="L1911" s="63"/>
      <c r="M1911" s="63"/>
      <c r="N1911" s="63"/>
      <c r="O1911" s="63"/>
      <c r="P1911" s="63"/>
      <c r="Q1911" s="63"/>
      <c r="R1911" s="63"/>
      <c r="S1911" s="63"/>
      <c r="T1911" s="63"/>
      <c r="U1911" s="63"/>
      <c r="V1911" s="63"/>
      <c r="W1911" s="63"/>
      <c r="X1911" s="63"/>
      <c r="Y1911" s="63"/>
      <c r="Z1911" s="63"/>
      <c r="AA1911" s="63"/>
      <c r="AB1911" s="63"/>
      <c r="AC1911" s="63"/>
    </row>
    <row r="1912" spans="1:29" x14ac:dyDescent="0.25">
      <c r="A1912" s="108">
        <v>46050</v>
      </c>
      <c r="B1912" s="109">
        <v>137</v>
      </c>
      <c r="C1912" s="49" t="s">
        <v>19</v>
      </c>
      <c r="D1912" s="110" t="str">
        <f>IF(ISBLANK($B1912),"",IFERROR(VLOOKUP($B1912,ESTOQUE!$B$2:$D$97168,3,FALSE),"Produto não cadastrado"))</f>
        <v xml:space="preserve">TOUCA ARABE </v>
      </c>
      <c r="E1912" s="99" t="str">
        <f>_xlfn.XLOOKUP(B1912,ESTOQUE!B:B,ESTOQUE!G:G,"",0)</f>
        <v>UND</v>
      </c>
      <c r="F1912" s="99">
        <v>2</v>
      </c>
      <c r="G1912" s="146"/>
      <c r="H1912" s="146"/>
      <c r="I1912" s="147"/>
      <c r="J1912" s="147"/>
      <c r="K1912" s="63"/>
      <c r="L1912" s="63"/>
      <c r="M1912" s="63"/>
      <c r="N1912" s="63"/>
      <c r="O1912" s="63"/>
      <c r="P1912" s="63"/>
      <c r="Q1912" s="63"/>
      <c r="R1912" s="63"/>
      <c r="S1912" s="63"/>
      <c r="T1912" s="63"/>
      <c r="U1912" s="63"/>
      <c r="V1912" s="63"/>
      <c r="W1912" s="63"/>
      <c r="X1912" s="63"/>
      <c r="Y1912" s="63"/>
      <c r="Z1912" s="63"/>
      <c r="AA1912" s="63"/>
      <c r="AB1912" s="63"/>
      <c r="AC1912" s="63"/>
    </row>
    <row r="1913" spans="1:29" x14ac:dyDescent="0.25">
      <c r="A1913" s="108">
        <v>46051</v>
      </c>
      <c r="B1913" s="109">
        <v>31</v>
      </c>
      <c r="C1913" s="49" t="s">
        <v>19</v>
      </c>
      <c r="D1913" s="110" t="str">
        <f>IF(ISBLANK($B1913),"",IFERROR(VLOOKUP($B1913,ESTOQUE!$B$2:$D$97168,3,FALSE),"Produto não cadastrado"))</f>
        <v>BOTINA DE ELETRICISTA Nº 41</v>
      </c>
      <c r="E1913" s="99" t="str">
        <f>_xlfn.XLOOKUP(B1913,ESTOQUE!B:B,ESTOQUE!G:G,"",0)</f>
        <v>PAR</v>
      </c>
      <c r="F1913" s="99">
        <v>1</v>
      </c>
      <c r="G1913" s="146"/>
      <c r="H1913" s="146"/>
      <c r="I1913" s="147"/>
      <c r="J1913" s="147"/>
      <c r="K1913" s="63"/>
      <c r="L1913" s="63"/>
      <c r="M1913" s="63"/>
      <c r="N1913" s="63"/>
      <c r="O1913" s="63"/>
      <c r="P1913" s="63"/>
      <c r="Q1913" s="63"/>
      <c r="R1913" s="63"/>
      <c r="S1913" s="63"/>
      <c r="T1913" s="63"/>
      <c r="U1913" s="63"/>
      <c r="V1913" s="63"/>
      <c r="W1913" s="63"/>
      <c r="X1913" s="63"/>
      <c r="Y1913" s="63"/>
      <c r="Z1913" s="63"/>
      <c r="AA1913" s="63"/>
      <c r="AB1913" s="63"/>
      <c r="AC1913" s="63"/>
    </row>
    <row r="1914" spans="1:29" x14ac:dyDescent="0.25">
      <c r="A1914" s="108">
        <v>46051</v>
      </c>
      <c r="B1914" s="109">
        <v>162</v>
      </c>
      <c r="C1914" s="49" t="s">
        <v>19</v>
      </c>
      <c r="D1914" s="110" t="str">
        <f>IF(ISBLANK($B1914),"",IFERROR(VLOOKUP($B1914,ESTOQUE!$B$2:$D$97168,3,FALSE),"Produto não cadastrado"))</f>
        <v>BOTINA DE ELETRICISTA Nº 42</v>
      </c>
      <c r="E1914" s="99" t="str">
        <f>_xlfn.XLOOKUP(B1914,ESTOQUE!B:B,ESTOQUE!G:G,"",0)</f>
        <v>PAR</v>
      </c>
      <c r="F1914" s="99">
        <v>1</v>
      </c>
      <c r="G1914" s="146"/>
      <c r="H1914" s="146"/>
      <c r="I1914" s="147"/>
      <c r="J1914" s="147"/>
      <c r="K1914" s="63"/>
      <c r="L1914" s="63"/>
      <c r="M1914" s="63"/>
      <c r="N1914" s="63"/>
      <c r="O1914" s="63"/>
      <c r="P1914" s="63"/>
      <c r="Q1914" s="63"/>
      <c r="R1914" s="63"/>
      <c r="S1914" s="63"/>
      <c r="T1914" s="63"/>
      <c r="U1914" s="63"/>
      <c r="V1914" s="63"/>
      <c r="W1914" s="63"/>
      <c r="X1914" s="63"/>
      <c r="Y1914" s="63"/>
      <c r="Z1914" s="63"/>
      <c r="AA1914" s="63"/>
      <c r="AB1914" s="63"/>
      <c r="AC1914" s="63"/>
    </row>
    <row r="1915" spans="1:29" x14ac:dyDescent="0.25">
      <c r="A1915" s="108">
        <v>46051</v>
      </c>
      <c r="B1915" s="109">
        <v>41</v>
      </c>
      <c r="C1915" s="49" t="s">
        <v>19</v>
      </c>
      <c r="D1915" s="110" t="str">
        <f>IF(ISBLANK($B1915),"",IFERROR(VLOOKUP($B1915,ESTOQUE!$B$2:$D$97168,3,FALSE),"Produto não cadastrado"))</f>
        <v>BOTINA OP. BICO PVC Nº 43</v>
      </c>
      <c r="E1915" s="99" t="str">
        <f>_xlfn.XLOOKUP(B1915,ESTOQUE!B:B,ESTOQUE!G:G,"",0)</f>
        <v>PAR</v>
      </c>
      <c r="F1915" s="99">
        <v>1</v>
      </c>
      <c r="G1915" s="146"/>
      <c r="H1915" s="146"/>
      <c r="I1915" s="147"/>
      <c r="J1915" s="147"/>
      <c r="K1915" s="63"/>
      <c r="L1915" s="63"/>
      <c r="M1915" s="63"/>
      <c r="N1915" s="63"/>
      <c r="O1915" s="63"/>
      <c r="P1915" s="63"/>
      <c r="Q1915" s="63"/>
      <c r="R1915" s="63"/>
      <c r="S1915" s="63"/>
      <c r="T1915" s="63"/>
      <c r="U1915" s="63"/>
      <c r="V1915" s="63"/>
      <c r="W1915" s="63"/>
      <c r="X1915" s="63"/>
      <c r="Y1915" s="63"/>
      <c r="Z1915" s="63"/>
      <c r="AA1915" s="63"/>
      <c r="AB1915" s="63"/>
      <c r="AC1915" s="63"/>
    </row>
    <row r="1916" spans="1:29" x14ac:dyDescent="0.25">
      <c r="A1916" s="108">
        <v>46051</v>
      </c>
      <c r="B1916" s="109">
        <v>46</v>
      </c>
      <c r="C1916" s="49" t="s">
        <v>19</v>
      </c>
      <c r="D1916" s="110" t="str">
        <f>IF(ISBLANK($B1916),"",IFERROR(VLOOKUP($B1916,ESTOQUE!$B$2:$D$97168,3,FALSE),"Produto não cadastrado"))</f>
        <v>CALÇA CINZA OP. C/ FAIXA REFLETIVA TAM: G</v>
      </c>
      <c r="E1916" s="99" t="str">
        <f>_xlfn.XLOOKUP(B1916,ESTOQUE!B:B,ESTOQUE!G:G,"",0)</f>
        <v>UND</v>
      </c>
      <c r="F1916" s="99">
        <v>6</v>
      </c>
      <c r="G1916" s="146"/>
      <c r="H1916" s="146"/>
      <c r="I1916" s="147"/>
      <c r="J1916" s="147"/>
      <c r="K1916" s="63"/>
      <c r="L1916" s="63"/>
      <c r="M1916" s="63"/>
      <c r="N1916" s="63"/>
      <c r="O1916" s="63"/>
      <c r="P1916" s="63"/>
      <c r="Q1916" s="63"/>
      <c r="R1916" s="63"/>
      <c r="S1916" s="63"/>
      <c r="T1916" s="63"/>
      <c r="U1916" s="63"/>
      <c r="V1916" s="63"/>
      <c r="W1916" s="63"/>
      <c r="X1916" s="63"/>
      <c r="Y1916" s="63"/>
      <c r="Z1916" s="63"/>
      <c r="AA1916" s="63"/>
      <c r="AB1916" s="63"/>
      <c r="AC1916" s="63"/>
    </row>
    <row r="1917" spans="1:29" x14ac:dyDescent="0.25">
      <c r="A1917" s="108">
        <v>46051</v>
      </c>
      <c r="B1917" s="109">
        <v>47</v>
      </c>
      <c r="C1917" s="49" t="s">
        <v>19</v>
      </c>
      <c r="D1917" s="110" t="str">
        <f>IF(ISBLANK($B1917),"",IFERROR(VLOOKUP($B1917,ESTOQUE!$B$2:$D$97168,3,FALSE),"Produto não cadastrado"))</f>
        <v>CALÇA CINZA OP. C/ FAIXA REFLETIVA TAM: GG</v>
      </c>
      <c r="E1917" s="99" t="str">
        <f>_xlfn.XLOOKUP(B1917,ESTOQUE!B:B,ESTOQUE!G:G,"",0)</f>
        <v>UND</v>
      </c>
      <c r="F1917" s="99">
        <v>2</v>
      </c>
      <c r="G1917" s="146"/>
      <c r="H1917" s="146"/>
      <c r="I1917" s="147"/>
      <c r="J1917" s="147"/>
      <c r="K1917" s="63"/>
      <c r="L1917" s="63"/>
      <c r="M1917" s="63"/>
      <c r="N1917" s="63"/>
      <c r="O1917" s="63"/>
      <c r="P1917" s="63"/>
      <c r="Q1917" s="63"/>
      <c r="R1917" s="63"/>
      <c r="S1917" s="63"/>
      <c r="T1917" s="63"/>
      <c r="U1917" s="63"/>
      <c r="V1917" s="63"/>
      <c r="W1917" s="63"/>
      <c r="X1917" s="63"/>
      <c r="Y1917" s="63"/>
      <c r="Z1917" s="63"/>
      <c r="AA1917" s="63"/>
      <c r="AB1917" s="63"/>
      <c r="AC1917" s="63"/>
    </row>
    <row r="1918" spans="1:29" x14ac:dyDescent="0.25">
      <c r="A1918" s="108">
        <v>46051</v>
      </c>
      <c r="B1918" s="109">
        <v>48</v>
      </c>
      <c r="C1918" s="49" t="s">
        <v>19</v>
      </c>
      <c r="D1918" s="110" t="str">
        <f>IF(ISBLANK($B1918),"",IFERROR(VLOOKUP($B1918,ESTOQUE!$B$2:$D$97168,3,FALSE),"Produto não cadastrado"))</f>
        <v>CALÇA CINZA OP. C/ FAIXA REFLETIVA TAM: M</v>
      </c>
      <c r="E1918" s="99" t="str">
        <f>_xlfn.XLOOKUP(B1918,ESTOQUE!B:B,ESTOQUE!G:G,"",0)</f>
        <v>UND</v>
      </c>
      <c r="F1918" s="99">
        <v>12</v>
      </c>
      <c r="G1918" s="146"/>
      <c r="H1918" s="146"/>
      <c r="I1918" s="147"/>
      <c r="J1918" s="147"/>
      <c r="K1918" s="63"/>
      <c r="L1918" s="63"/>
      <c r="M1918" s="63"/>
      <c r="N1918" s="63"/>
      <c r="O1918" s="63"/>
      <c r="P1918" s="63"/>
      <c r="Q1918" s="63"/>
      <c r="R1918" s="63"/>
      <c r="S1918" s="63"/>
      <c r="T1918" s="63"/>
      <c r="U1918" s="63"/>
      <c r="V1918" s="63"/>
      <c r="W1918" s="63"/>
      <c r="X1918" s="63"/>
      <c r="Y1918" s="63"/>
      <c r="Z1918" s="63"/>
      <c r="AA1918" s="63"/>
      <c r="AB1918" s="63"/>
      <c r="AC1918" s="63"/>
    </row>
    <row r="1919" spans="1:29" x14ac:dyDescent="0.25">
      <c r="A1919" s="108">
        <v>46051</v>
      </c>
      <c r="B1919" s="109">
        <v>49</v>
      </c>
      <c r="C1919" s="49" t="s">
        <v>19</v>
      </c>
      <c r="D1919" s="110" t="str">
        <f>IF(ISBLANK($B1919),"",IFERROR(VLOOKUP($B1919,ESTOQUE!$B$2:$D$97168,3,FALSE),"Produto não cadastrado"))</f>
        <v>CALÇA CINZA OP. C/ FAIXA REFLETIVA TAM: P</v>
      </c>
      <c r="E1919" s="99" t="str">
        <f>_xlfn.XLOOKUP(B1919,ESTOQUE!B:B,ESTOQUE!G:G,"",0)</f>
        <v>UND</v>
      </c>
      <c r="F1919" s="99">
        <v>1</v>
      </c>
      <c r="G1919" s="146"/>
      <c r="H1919" s="146"/>
      <c r="I1919" s="147"/>
      <c r="J1919" s="147"/>
      <c r="K1919" s="63"/>
      <c r="L1919" s="63"/>
      <c r="M1919" s="63"/>
      <c r="N1919" s="63"/>
      <c r="O1919" s="63"/>
      <c r="P1919" s="63"/>
      <c r="Q1919" s="63"/>
      <c r="R1919" s="63"/>
      <c r="S1919" s="63"/>
      <c r="T1919" s="63"/>
      <c r="U1919" s="63"/>
      <c r="V1919" s="63"/>
      <c r="W1919" s="63"/>
      <c r="X1919" s="63"/>
      <c r="Y1919" s="63"/>
      <c r="Z1919" s="63"/>
      <c r="AA1919" s="63"/>
      <c r="AB1919" s="63"/>
      <c r="AC1919" s="63"/>
    </row>
    <row r="1920" spans="1:29" x14ac:dyDescent="0.25">
      <c r="A1920" s="108">
        <v>46051</v>
      </c>
      <c r="B1920" s="109">
        <v>68</v>
      </c>
      <c r="C1920" s="49" t="s">
        <v>19</v>
      </c>
      <c r="D1920" s="110" t="str">
        <f>IF(ISBLANK($B1920),"",IFERROR(VLOOKUP($B1920,ESTOQUE!$B$2:$D$97168,3,FALSE),"Produto não cadastrado"))</f>
        <v>CAMISA LARANJA OP. C/ FAIXA REFLETIVA TAM: GG</v>
      </c>
      <c r="E1920" s="99" t="str">
        <f>_xlfn.XLOOKUP(B1920,ESTOQUE!B:B,ESTOQUE!G:G,"",0)</f>
        <v>UND</v>
      </c>
      <c r="F1920" s="99">
        <v>12</v>
      </c>
      <c r="G1920" s="146"/>
      <c r="H1920" s="146"/>
      <c r="I1920" s="147"/>
      <c r="J1920" s="147"/>
      <c r="K1920" s="63"/>
      <c r="L1920" s="63"/>
      <c r="M1920" s="63"/>
      <c r="N1920" s="63"/>
      <c r="O1920" s="63"/>
      <c r="P1920" s="63"/>
      <c r="Q1920" s="63"/>
      <c r="R1920" s="63"/>
      <c r="S1920" s="63"/>
      <c r="T1920" s="63"/>
      <c r="U1920" s="63"/>
      <c r="V1920" s="63"/>
      <c r="W1920" s="63"/>
      <c r="X1920" s="63"/>
      <c r="Y1920" s="63"/>
      <c r="Z1920" s="63"/>
      <c r="AA1920" s="63"/>
      <c r="AB1920" s="63"/>
      <c r="AC1920" s="63"/>
    </row>
    <row r="1921" spans="1:29" x14ac:dyDescent="0.25">
      <c r="A1921" s="108">
        <v>46051</v>
      </c>
      <c r="B1921" s="109">
        <v>69</v>
      </c>
      <c r="C1921" s="49" t="s">
        <v>19</v>
      </c>
      <c r="D1921" s="110" t="str">
        <f>IF(ISBLANK($B1921),"",IFERROR(VLOOKUP($B1921,ESTOQUE!$B$2:$D$97168,3,FALSE),"Produto não cadastrado"))</f>
        <v>CAMISA LARANJA OP. C/ FAIXA REFLETIVA TAM: M</v>
      </c>
      <c r="E1921" s="99" t="str">
        <f>_xlfn.XLOOKUP(B1921,ESTOQUE!B:B,ESTOQUE!G:G,"",0)</f>
        <v>UND</v>
      </c>
      <c r="F1921" s="99">
        <v>10</v>
      </c>
      <c r="G1921" s="146"/>
      <c r="H1921" s="146"/>
      <c r="I1921" s="147"/>
      <c r="J1921" s="147"/>
      <c r="K1921" s="63"/>
      <c r="L1921" s="63"/>
      <c r="M1921" s="63"/>
      <c r="N1921" s="63"/>
      <c r="O1921" s="63"/>
      <c r="P1921" s="63"/>
      <c r="Q1921" s="63"/>
      <c r="R1921" s="63"/>
      <c r="S1921" s="63"/>
      <c r="T1921" s="63"/>
      <c r="U1921" s="63"/>
      <c r="V1921" s="63"/>
      <c r="W1921" s="63"/>
      <c r="X1921" s="63"/>
      <c r="Y1921" s="63"/>
      <c r="Z1921" s="63"/>
      <c r="AA1921" s="63"/>
      <c r="AB1921" s="63"/>
      <c r="AC1921" s="63"/>
    </row>
    <row r="1922" spans="1:29" x14ac:dyDescent="0.25">
      <c r="A1922" s="108">
        <v>46051</v>
      </c>
      <c r="B1922" s="109">
        <v>70</v>
      </c>
      <c r="C1922" s="49" t="s">
        <v>19</v>
      </c>
      <c r="D1922" s="110" t="str">
        <f>IF(ISBLANK($B1922),"",IFERROR(VLOOKUP($B1922,ESTOQUE!$B$2:$D$97168,3,FALSE),"Produto não cadastrado"))</f>
        <v>CAMISA LARANJA OP. C/ FAIXA REFLETIVA TAM: P</v>
      </c>
      <c r="E1922" s="99" t="str">
        <f>_xlfn.XLOOKUP(B1922,ESTOQUE!B:B,ESTOQUE!G:G,"",0)</f>
        <v>UND</v>
      </c>
      <c r="F1922" s="99">
        <v>3</v>
      </c>
      <c r="G1922" s="146"/>
      <c r="H1922" s="146"/>
      <c r="I1922" s="147"/>
      <c r="J1922" s="147"/>
      <c r="K1922" s="63"/>
      <c r="L1922" s="63"/>
      <c r="M1922" s="63"/>
      <c r="N1922" s="63"/>
      <c r="O1922" s="63"/>
      <c r="P1922" s="63"/>
      <c r="Q1922" s="63"/>
      <c r="R1922" s="63"/>
      <c r="S1922" s="63"/>
      <c r="T1922" s="63"/>
      <c r="U1922" s="63"/>
      <c r="V1922" s="63"/>
      <c r="W1922" s="63"/>
      <c r="X1922" s="63"/>
      <c r="Y1922" s="63"/>
      <c r="Z1922" s="63"/>
      <c r="AA1922" s="63"/>
      <c r="AB1922" s="63"/>
      <c r="AC1922" s="63"/>
    </row>
    <row r="1923" spans="1:29" x14ac:dyDescent="0.25">
      <c r="A1923" s="108">
        <v>46051</v>
      </c>
      <c r="B1923" s="109">
        <v>73</v>
      </c>
      <c r="C1923" s="49" t="s">
        <v>19</v>
      </c>
      <c r="D1923" s="110" t="str">
        <f>IF(ISBLANK($B1923),"",IFERROR(VLOOKUP($B1923,ESTOQUE!$B$2:$D$97168,3,FALSE),"Produto não cadastrado"))</f>
        <v>CAPA DE CHUVA GG</v>
      </c>
      <c r="E1923" s="99" t="str">
        <f>_xlfn.XLOOKUP(B1923,ESTOQUE!B:B,ESTOQUE!G:G,"",0)</f>
        <v>UND</v>
      </c>
      <c r="F1923" s="99">
        <v>9</v>
      </c>
      <c r="G1923" s="146"/>
      <c r="H1923" s="146"/>
      <c r="I1923" s="147"/>
      <c r="J1923" s="147"/>
      <c r="K1923" s="63"/>
      <c r="L1923" s="63"/>
      <c r="M1923" s="63"/>
      <c r="N1923" s="63"/>
      <c r="O1923" s="63"/>
      <c r="P1923" s="63"/>
      <c r="Q1923" s="63"/>
      <c r="R1923" s="63"/>
      <c r="S1923" s="63"/>
      <c r="T1923" s="63"/>
      <c r="U1923" s="63"/>
      <c r="V1923" s="63"/>
      <c r="W1923" s="63"/>
      <c r="X1923" s="63"/>
      <c r="Y1923" s="63"/>
      <c r="Z1923" s="63"/>
      <c r="AA1923" s="63"/>
      <c r="AB1923" s="63"/>
      <c r="AC1923" s="63"/>
    </row>
    <row r="1924" spans="1:29" x14ac:dyDescent="0.25">
      <c r="A1924" s="108">
        <v>46051</v>
      </c>
      <c r="B1924" s="109">
        <v>141</v>
      </c>
      <c r="C1924" s="49" t="s">
        <v>19</v>
      </c>
      <c r="D1924" s="110" t="str">
        <f>IF(ISBLANK($B1924),"",IFERROR(VLOOKUP($B1924,ESTOQUE!$B$2:$D$97168,3,FALSE),"Produto não cadastrado"))</f>
        <v xml:space="preserve">LUVA DE VAQUETA </v>
      </c>
      <c r="E1924" s="99" t="str">
        <f>_xlfn.XLOOKUP(B1924,ESTOQUE!B:B,ESTOQUE!G:G,"",0)</f>
        <v>PAR</v>
      </c>
      <c r="F1924" s="99">
        <v>6</v>
      </c>
      <c r="G1924" s="146"/>
      <c r="H1924" s="146"/>
      <c r="I1924" s="147"/>
      <c r="J1924" s="147"/>
      <c r="K1924" s="63"/>
      <c r="L1924" s="63"/>
      <c r="M1924" s="63"/>
      <c r="N1924" s="63"/>
      <c r="O1924" s="63"/>
      <c r="P1924" s="63"/>
      <c r="Q1924" s="63"/>
      <c r="R1924" s="63"/>
      <c r="S1924" s="63"/>
      <c r="T1924" s="63"/>
      <c r="U1924" s="63"/>
      <c r="V1924" s="63"/>
      <c r="W1924" s="63"/>
      <c r="X1924" s="63"/>
      <c r="Y1924" s="63"/>
      <c r="Z1924" s="63"/>
      <c r="AA1924" s="63"/>
      <c r="AB1924" s="63"/>
      <c r="AC1924" s="63"/>
    </row>
    <row r="1925" spans="1:29" x14ac:dyDescent="0.25">
      <c r="A1925" s="108">
        <v>46051</v>
      </c>
      <c r="B1925" s="109">
        <v>111</v>
      </c>
      <c r="C1925" s="49" t="s">
        <v>19</v>
      </c>
      <c r="D1925" s="110" t="str">
        <f>IF(ISBLANK($B1925),"",IFERROR(VLOOKUP($B1925,ESTOQUE!$B$2:$D$97168,3,FALSE),"Produto não cadastrado"))</f>
        <v>LUVA DE VAQUETA MARROM</v>
      </c>
      <c r="E1925" s="99" t="str">
        <f>_xlfn.XLOOKUP(B1925,ESTOQUE!B:B,ESTOQUE!G:G,"",0)</f>
        <v>PAR</v>
      </c>
      <c r="F1925" s="99">
        <v>2</v>
      </c>
      <c r="G1925" s="146"/>
      <c r="H1925" s="146"/>
      <c r="I1925" s="147"/>
      <c r="J1925" s="147"/>
      <c r="K1925" s="63"/>
      <c r="L1925" s="63"/>
      <c r="M1925" s="63"/>
      <c r="N1925" s="63"/>
      <c r="O1925" s="63"/>
      <c r="P1925" s="63"/>
      <c r="Q1925" s="63"/>
      <c r="R1925" s="63"/>
      <c r="S1925" s="63"/>
      <c r="T1925" s="63"/>
      <c r="U1925" s="63"/>
      <c r="V1925" s="63"/>
      <c r="W1925" s="63"/>
      <c r="X1925" s="63"/>
      <c r="Y1925" s="63"/>
      <c r="Z1925" s="63"/>
      <c r="AA1925" s="63"/>
      <c r="AB1925" s="63"/>
      <c r="AC1925" s="63"/>
    </row>
    <row r="1926" spans="1:29" x14ac:dyDescent="0.25">
      <c r="A1926" s="108">
        <v>46051</v>
      </c>
      <c r="B1926" s="109">
        <v>114</v>
      </c>
      <c r="C1926" s="49" t="s">
        <v>19</v>
      </c>
      <c r="D1926" s="110" t="str">
        <f>IF(ISBLANK($B1926),"",IFERROR(VLOOKUP($B1926,ESTOQUE!$B$2:$D$97168,3,FALSE),"Produto não cadastrado"))</f>
        <v xml:space="preserve">LUVA LATEX NITRILICA </v>
      </c>
      <c r="E1926" s="99" t="str">
        <f>_xlfn.XLOOKUP(B1926,ESTOQUE!B:B,ESTOQUE!G:G,"",0)</f>
        <v>PAR</v>
      </c>
      <c r="F1926" s="99">
        <v>13</v>
      </c>
      <c r="G1926" s="146"/>
      <c r="H1926" s="146"/>
      <c r="I1926" s="147"/>
      <c r="J1926" s="147"/>
      <c r="K1926" s="63"/>
      <c r="L1926" s="63"/>
      <c r="M1926" s="63"/>
      <c r="N1926" s="63"/>
      <c r="O1926" s="63"/>
      <c r="P1926" s="63"/>
      <c r="Q1926" s="63"/>
      <c r="R1926" s="63"/>
      <c r="S1926" s="63"/>
      <c r="T1926" s="63"/>
      <c r="U1926" s="63"/>
      <c r="V1926" s="63"/>
      <c r="W1926" s="63"/>
      <c r="X1926" s="63"/>
      <c r="Y1926" s="63"/>
      <c r="Z1926" s="63"/>
      <c r="AA1926" s="63"/>
      <c r="AB1926" s="63"/>
      <c r="AC1926" s="63"/>
    </row>
    <row r="1927" spans="1:29" x14ac:dyDescent="0.25">
      <c r="A1927" s="108">
        <v>46051</v>
      </c>
      <c r="B1927" s="109">
        <v>117</v>
      </c>
      <c r="C1927" s="49" t="s">
        <v>19</v>
      </c>
      <c r="D1927" s="110" t="str">
        <f>IF(ISBLANK($B1927),"",IFERROR(VLOOKUP($B1927,ESTOQUE!$B$2:$D$97168,3,FALSE),"Produto não cadastrado"))</f>
        <v>LUVA PIGMENTADA</v>
      </c>
      <c r="E1927" s="99" t="str">
        <f>_xlfn.XLOOKUP(B1927,ESTOQUE!B:B,ESTOQUE!G:G,"",0)</f>
        <v>PAR</v>
      </c>
      <c r="F1927" s="99">
        <v>24</v>
      </c>
      <c r="G1927" s="146"/>
      <c r="H1927" s="146"/>
      <c r="I1927" s="147"/>
      <c r="J1927" s="147"/>
      <c r="K1927" s="63"/>
      <c r="L1927" s="63"/>
      <c r="M1927" s="63"/>
      <c r="N1927" s="63"/>
      <c r="O1927" s="63"/>
      <c r="P1927" s="63"/>
      <c r="Q1927" s="63"/>
      <c r="R1927" s="63"/>
      <c r="S1927" s="63"/>
      <c r="T1927" s="63"/>
      <c r="U1927" s="63"/>
      <c r="V1927" s="63"/>
      <c r="W1927" s="63"/>
      <c r="X1927" s="63"/>
      <c r="Y1927" s="63"/>
      <c r="Z1927" s="63"/>
      <c r="AA1927" s="63"/>
      <c r="AB1927" s="63"/>
      <c r="AC1927" s="63"/>
    </row>
    <row r="1928" spans="1:29" x14ac:dyDescent="0.25">
      <c r="A1928" s="108">
        <v>46051</v>
      </c>
      <c r="B1928" s="109">
        <v>207</v>
      </c>
      <c r="C1928" s="49" t="s">
        <v>19</v>
      </c>
      <c r="D1928" s="110" t="str">
        <f>IF(ISBLANK($B1928),"",IFERROR(VLOOKUP($B1928,ESTOQUE!$B$2:$D$97168,3,FALSE),"Produto não cadastrado"))</f>
        <v>LUVA POLIESTER ANTICORTE BANHADA PU TAM 9</v>
      </c>
      <c r="E1928" s="99" t="str">
        <f>_xlfn.XLOOKUP(B1928,ESTOQUE!B:B,ESTOQUE!G:G,"",0)</f>
        <v>PAR</v>
      </c>
      <c r="F1928" s="99">
        <v>27</v>
      </c>
      <c r="G1928" s="146"/>
      <c r="H1928" s="146"/>
      <c r="I1928" s="147"/>
      <c r="J1928" s="147"/>
      <c r="K1928" s="63"/>
      <c r="L1928" s="63"/>
      <c r="M1928" s="63"/>
      <c r="N1928" s="63"/>
      <c r="O1928" s="63"/>
      <c r="P1928" s="63"/>
      <c r="Q1928" s="63"/>
      <c r="R1928" s="63"/>
      <c r="S1928" s="63"/>
      <c r="T1928" s="63"/>
      <c r="U1928" s="63"/>
      <c r="V1928" s="63"/>
      <c r="W1928" s="63"/>
      <c r="X1928" s="63"/>
      <c r="Y1928" s="63"/>
      <c r="Z1928" s="63"/>
      <c r="AA1928" s="63"/>
      <c r="AB1928" s="63"/>
      <c r="AC1928" s="63"/>
    </row>
    <row r="1929" spans="1:29" x14ac:dyDescent="0.25">
      <c r="A1929" s="108">
        <v>46051</v>
      </c>
      <c r="B1929" s="109">
        <v>118</v>
      </c>
      <c r="C1929" s="49" t="s">
        <v>19</v>
      </c>
      <c r="D1929" s="110" t="str">
        <f>IF(ISBLANK($B1929),"",IFERROR(VLOOKUP($B1929,ESTOQUE!$B$2:$D$97168,3,FALSE),"Produto não cadastrado"))</f>
        <v>MACACÃO DE PROTEÇÃO TYVEK</v>
      </c>
      <c r="E1929" s="99" t="str">
        <f>_xlfn.XLOOKUP(B1929,ESTOQUE!B:B,ESTOQUE!G:G,"",0)</f>
        <v>UND</v>
      </c>
      <c r="F1929" s="99">
        <v>25</v>
      </c>
      <c r="G1929" s="146"/>
      <c r="H1929" s="146"/>
      <c r="I1929" s="147"/>
      <c r="J1929" s="147"/>
      <c r="K1929" s="63"/>
      <c r="L1929" s="63"/>
      <c r="M1929" s="63"/>
      <c r="N1929" s="63"/>
      <c r="O1929" s="63"/>
      <c r="P1929" s="63"/>
      <c r="Q1929" s="63"/>
      <c r="R1929" s="63"/>
      <c r="S1929" s="63"/>
      <c r="T1929" s="63"/>
      <c r="U1929" s="63"/>
      <c r="V1929" s="63"/>
      <c r="W1929" s="63"/>
      <c r="X1929" s="63"/>
      <c r="Y1929" s="63"/>
      <c r="Z1929" s="63"/>
      <c r="AA1929" s="63"/>
      <c r="AB1929" s="63"/>
      <c r="AC1929" s="63"/>
    </row>
    <row r="1930" spans="1:29" x14ac:dyDescent="0.25">
      <c r="A1930" s="108">
        <v>46051</v>
      </c>
      <c r="B1930" s="109">
        <v>125</v>
      </c>
      <c r="C1930" s="49" t="s">
        <v>19</v>
      </c>
      <c r="D1930" s="110" t="str">
        <f>IF(ISBLANK($B1930),"",IFERROR(VLOOKUP($B1930,ESTOQUE!$B$2:$D$97168,3,FALSE),"Produto não cadastrado"))</f>
        <v xml:space="preserve">MASCARA DE SOLDA AUTOMATICA </v>
      </c>
      <c r="E1930" s="99" t="str">
        <f>_xlfn.XLOOKUP(B1930,ESTOQUE!B:B,ESTOQUE!G:G,"",0)</f>
        <v>UND</v>
      </c>
      <c r="F1930" s="99">
        <v>2</v>
      </c>
      <c r="G1930" s="146"/>
      <c r="H1930" s="146"/>
      <c r="I1930" s="147"/>
      <c r="J1930" s="147"/>
      <c r="K1930" s="63"/>
      <c r="L1930" s="63"/>
      <c r="M1930" s="63"/>
      <c r="N1930" s="63"/>
      <c r="O1930" s="63"/>
      <c r="P1930" s="63"/>
      <c r="Q1930" s="63"/>
      <c r="R1930" s="63"/>
      <c r="S1930" s="63"/>
      <c r="T1930" s="63"/>
      <c r="U1930" s="63"/>
      <c r="V1930" s="63"/>
      <c r="W1930" s="63"/>
      <c r="X1930" s="63"/>
      <c r="Y1930" s="63"/>
      <c r="Z1930" s="63"/>
      <c r="AA1930" s="63"/>
      <c r="AB1930" s="63"/>
      <c r="AC1930" s="63"/>
    </row>
    <row r="1931" spans="1:29" x14ac:dyDescent="0.25">
      <c r="A1931" s="108">
        <v>46051</v>
      </c>
      <c r="B1931" s="109">
        <v>144</v>
      </c>
      <c r="C1931" s="49" t="s">
        <v>19</v>
      </c>
      <c r="D1931" s="110" t="str">
        <f>IF(ISBLANK($B1931),"",IFERROR(VLOOKUP($B1931,ESTOQUE!$B$2:$D$97168,3,FALSE),"Produto não cadastrado"))</f>
        <v>MASCARA PFF2-S C/ FILTRO</v>
      </c>
      <c r="E1931" s="99" t="s">
        <v>31</v>
      </c>
      <c r="F1931" s="99">
        <v>56</v>
      </c>
      <c r="G1931" s="146"/>
      <c r="H1931" s="146"/>
      <c r="I1931" s="147"/>
      <c r="J1931" s="147"/>
      <c r="K1931" s="63"/>
      <c r="L1931" s="63"/>
      <c r="M1931" s="63"/>
      <c r="N1931" s="63"/>
      <c r="O1931" s="63"/>
      <c r="P1931" s="63"/>
      <c r="Q1931" s="63"/>
      <c r="R1931" s="63"/>
      <c r="S1931" s="63"/>
      <c r="T1931" s="63"/>
      <c r="U1931" s="63"/>
      <c r="V1931" s="63"/>
      <c r="W1931" s="63"/>
      <c r="X1931" s="63"/>
      <c r="Y1931" s="63"/>
      <c r="Z1931" s="63"/>
      <c r="AA1931" s="63"/>
      <c r="AB1931" s="63"/>
      <c r="AC1931" s="63"/>
    </row>
    <row r="1932" spans="1:29" x14ac:dyDescent="0.25">
      <c r="A1932" s="108">
        <v>46051</v>
      </c>
      <c r="B1932" s="109">
        <v>126</v>
      </c>
      <c r="C1932" s="49" t="s">
        <v>19</v>
      </c>
      <c r="D1932" s="110" t="str">
        <f>IF(ISBLANK($B1932),"",IFERROR(VLOOKUP($B1932,ESTOQUE!$B$2:$D$97168,3,FALSE),"Produto não cadastrado"))</f>
        <v>OCULOS DE PROTEÇÃO ESCURO</v>
      </c>
      <c r="E1932" s="99" t="str">
        <f>_xlfn.XLOOKUP(B1932,ESTOQUE!B:B,ESTOQUE!G:G,"",0)</f>
        <v>UND</v>
      </c>
      <c r="F1932" s="99">
        <v>169</v>
      </c>
      <c r="G1932" s="146"/>
      <c r="H1932" s="146"/>
      <c r="I1932" s="147"/>
      <c r="J1932" s="147"/>
      <c r="K1932" s="63"/>
      <c r="L1932" s="63"/>
      <c r="M1932" s="63"/>
      <c r="N1932" s="63"/>
      <c r="O1932" s="63"/>
      <c r="P1932" s="63"/>
      <c r="Q1932" s="63"/>
      <c r="R1932" s="63"/>
      <c r="S1932" s="63"/>
      <c r="T1932" s="63"/>
      <c r="U1932" s="63"/>
      <c r="V1932" s="63"/>
      <c r="W1932" s="63"/>
      <c r="X1932" s="63"/>
      <c r="Y1932" s="63"/>
      <c r="Z1932" s="63"/>
      <c r="AA1932" s="63"/>
      <c r="AB1932" s="63"/>
      <c r="AC1932" s="63"/>
    </row>
    <row r="1933" spans="1:29" x14ac:dyDescent="0.25">
      <c r="A1933" s="108">
        <v>46051</v>
      </c>
      <c r="B1933" s="109">
        <v>124</v>
      </c>
      <c r="C1933" s="49" t="s">
        <v>19</v>
      </c>
      <c r="D1933" s="110" t="str">
        <f>IF(ISBLANK($B1933),"",IFERROR(VLOOKUP($B1933,ESTOQUE!$B$2:$D$97168,3,FALSE),"Produto não cadastrado"))</f>
        <v xml:space="preserve">OCULOS DE PROTEÇÃO INCOLOR </v>
      </c>
      <c r="E1933" s="99" t="str">
        <f>_xlfn.XLOOKUP(B1933,ESTOQUE!B:B,ESTOQUE!G:G,"",0)</f>
        <v>UND</v>
      </c>
      <c r="F1933" s="99">
        <v>1</v>
      </c>
      <c r="G1933" s="146"/>
      <c r="H1933" s="146"/>
      <c r="I1933" s="147"/>
      <c r="J1933" s="147"/>
      <c r="K1933" s="63"/>
      <c r="L1933" s="63"/>
      <c r="M1933" s="63"/>
      <c r="N1933" s="63"/>
      <c r="O1933" s="63"/>
      <c r="P1933" s="63"/>
      <c r="Q1933" s="63"/>
      <c r="R1933" s="63"/>
      <c r="S1933" s="63"/>
      <c r="T1933" s="63"/>
      <c r="U1933" s="63"/>
      <c r="V1933" s="63"/>
      <c r="W1933" s="63"/>
      <c r="X1933" s="63"/>
      <c r="Y1933" s="63"/>
      <c r="Z1933" s="63"/>
      <c r="AA1933" s="63"/>
      <c r="AB1933" s="63"/>
      <c r="AC1933" s="63"/>
    </row>
    <row r="1934" spans="1:29" x14ac:dyDescent="0.25">
      <c r="A1934" s="108">
        <v>46051</v>
      </c>
      <c r="B1934" s="109">
        <v>137</v>
      </c>
      <c r="C1934" s="49" t="s">
        <v>19</v>
      </c>
      <c r="D1934" s="110" t="str">
        <f>IF(ISBLANK($B1934),"",IFERROR(VLOOKUP($B1934,ESTOQUE!$B$2:$D$97168,3,FALSE),"Produto não cadastrado"))</f>
        <v xml:space="preserve">TOUCA ARABE </v>
      </c>
      <c r="E1934" s="99" t="str">
        <f>_xlfn.XLOOKUP(B1934,ESTOQUE!B:B,ESTOQUE!G:G,"",0)</f>
        <v>UND</v>
      </c>
      <c r="F1934" s="99">
        <v>3</v>
      </c>
      <c r="G1934" s="146"/>
      <c r="H1934" s="146"/>
      <c r="I1934" s="147"/>
      <c r="J1934" s="147"/>
      <c r="K1934" s="63"/>
      <c r="L1934" s="63"/>
      <c r="M1934" s="63"/>
      <c r="N1934" s="63"/>
      <c r="O1934" s="63"/>
      <c r="P1934" s="63"/>
      <c r="Q1934" s="63"/>
      <c r="R1934" s="63"/>
      <c r="S1934" s="63"/>
      <c r="T1934" s="63"/>
      <c r="U1934" s="63"/>
      <c r="V1934" s="63"/>
      <c r="W1934" s="63"/>
      <c r="X1934" s="63"/>
      <c r="Y1934" s="63"/>
      <c r="Z1934" s="63"/>
      <c r="AA1934" s="63"/>
      <c r="AB1934" s="63"/>
      <c r="AC1934" s="63"/>
    </row>
    <row r="1935" spans="1:29" x14ac:dyDescent="0.25">
      <c r="A1935" s="108">
        <v>46052</v>
      </c>
      <c r="B1935" s="109">
        <v>2</v>
      </c>
      <c r="C1935" s="49" t="s">
        <v>19</v>
      </c>
      <c r="D1935" s="110" t="str">
        <f>IF(ISBLANK($B1935),"",IFERROR(VLOOKUP($B1935,ESTOQUE!$B$2:$D$97168,3,FALSE),"Produto não cadastrado"))</f>
        <v>AVENTAL DE RASPA TAM 1X60MT</v>
      </c>
      <c r="E1935" s="99" t="str">
        <f>_xlfn.XLOOKUP(B1935,ESTOQUE!B:B,ESTOQUE!G:G,"",0)</f>
        <v>UND</v>
      </c>
      <c r="F1935" s="99">
        <v>5</v>
      </c>
      <c r="G1935" s="146"/>
      <c r="H1935" s="146"/>
      <c r="I1935" s="147"/>
      <c r="J1935" s="147"/>
      <c r="K1935" s="63"/>
      <c r="L1935" s="63"/>
      <c r="M1935" s="63"/>
      <c r="N1935" s="63"/>
      <c r="O1935" s="63"/>
      <c r="P1935" s="63"/>
      <c r="Q1935" s="63"/>
      <c r="R1935" s="63"/>
      <c r="S1935" s="63"/>
      <c r="T1935" s="63"/>
      <c r="U1935" s="63"/>
      <c r="V1935" s="63"/>
      <c r="W1935" s="63"/>
      <c r="X1935" s="63"/>
      <c r="Y1935" s="63"/>
      <c r="Z1935" s="63"/>
      <c r="AA1935" s="63"/>
      <c r="AB1935" s="63"/>
      <c r="AC1935" s="63"/>
    </row>
    <row r="1936" spans="1:29" x14ac:dyDescent="0.25">
      <c r="A1936" s="108">
        <v>46052</v>
      </c>
      <c r="B1936" s="109">
        <v>174</v>
      </c>
      <c r="C1936" s="49" t="s">
        <v>19</v>
      </c>
      <c r="D1936" s="110" t="str">
        <f>IF(ISBLANK($B1936),"",IFERROR(VLOOKUP($B1936,ESTOQUE!$B$2:$D$97168,3,FALSE),"Produto não cadastrado"))</f>
        <v>BOTA PVC CANO CURTO Nº 43</v>
      </c>
      <c r="E1936" s="99" t="str">
        <f>_xlfn.XLOOKUP(B1936,ESTOQUE!B:B,ESTOQUE!G:G,"",0)</f>
        <v>PAR</v>
      </c>
      <c r="F1936" s="99">
        <v>1</v>
      </c>
      <c r="G1936" s="146"/>
      <c r="H1936" s="146"/>
      <c r="I1936" s="147"/>
      <c r="J1936" s="147"/>
      <c r="K1936" s="63"/>
      <c r="L1936" s="63"/>
      <c r="M1936" s="63"/>
      <c r="N1936" s="63"/>
      <c r="O1936" s="63"/>
      <c r="P1936" s="63"/>
      <c r="Q1936" s="63"/>
      <c r="R1936" s="63"/>
      <c r="S1936" s="63"/>
      <c r="T1936" s="63"/>
      <c r="U1936" s="63"/>
      <c r="V1936" s="63"/>
      <c r="W1936" s="63"/>
      <c r="X1936" s="63"/>
      <c r="Y1936" s="63"/>
      <c r="Z1936" s="63"/>
      <c r="AA1936" s="63"/>
      <c r="AB1936" s="63"/>
      <c r="AC1936" s="63"/>
    </row>
    <row r="1937" spans="1:29" x14ac:dyDescent="0.25">
      <c r="A1937" s="108">
        <v>46052</v>
      </c>
      <c r="B1937" s="109">
        <v>29</v>
      </c>
      <c r="C1937" s="49" t="s">
        <v>19</v>
      </c>
      <c r="D1937" s="110" t="str">
        <f>IF(ISBLANK($B1937),"",IFERROR(VLOOKUP($B1937,ESTOQUE!$B$2:$D$97168,3,FALSE),"Produto não cadastrado"))</f>
        <v>BOTINA DE ELETRICISTA Nº 39</v>
      </c>
      <c r="E1937" s="99" t="str">
        <f>_xlfn.XLOOKUP(B1937,ESTOQUE!B:B,ESTOQUE!G:G,"",0)</f>
        <v>PAR</v>
      </c>
      <c r="F1937" s="99">
        <v>1</v>
      </c>
      <c r="G1937" s="146"/>
      <c r="H1937" s="146"/>
      <c r="I1937" s="147"/>
      <c r="J1937" s="147"/>
      <c r="K1937" s="63"/>
      <c r="L1937" s="63"/>
      <c r="M1937" s="63"/>
      <c r="N1937" s="63"/>
      <c r="O1937" s="63"/>
      <c r="P1937" s="63"/>
      <c r="Q1937" s="63"/>
      <c r="R1937" s="63"/>
      <c r="S1937" s="63"/>
      <c r="T1937" s="63"/>
      <c r="U1937" s="63"/>
      <c r="V1937" s="63"/>
      <c r="W1937" s="63"/>
      <c r="X1937" s="63"/>
      <c r="Y1937" s="63"/>
      <c r="Z1937" s="63"/>
      <c r="AA1937" s="63"/>
      <c r="AB1937" s="63"/>
      <c r="AC1937" s="63"/>
    </row>
    <row r="1938" spans="1:29" x14ac:dyDescent="0.25">
      <c r="A1938" s="108">
        <v>46052</v>
      </c>
      <c r="B1938" s="109">
        <v>30</v>
      </c>
      <c r="C1938" s="49" t="s">
        <v>19</v>
      </c>
      <c r="D1938" s="110" t="str">
        <f>IF(ISBLANK($B1938),"",IFERROR(VLOOKUP($B1938,ESTOQUE!$B$2:$D$97168,3,FALSE),"Produto não cadastrado"))</f>
        <v>BOTINA DE ELETRICISTA Nº 40</v>
      </c>
      <c r="E1938" s="99" t="str">
        <f>_xlfn.XLOOKUP(B1938,ESTOQUE!B:B,ESTOQUE!G:G,"",0)</f>
        <v>PAR</v>
      </c>
      <c r="F1938" s="99">
        <v>1</v>
      </c>
      <c r="G1938" s="146"/>
      <c r="H1938" s="146"/>
      <c r="I1938" s="147"/>
      <c r="J1938" s="147"/>
      <c r="K1938" s="63"/>
      <c r="L1938" s="63"/>
      <c r="M1938" s="63"/>
      <c r="N1938" s="63"/>
      <c r="O1938" s="63"/>
      <c r="P1938" s="63"/>
      <c r="Q1938" s="63"/>
      <c r="R1938" s="63"/>
      <c r="S1938" s="63"/>
      <c r="T1938" s="63"/>
      <c r="U1938" s="63"/>
      <c r="V1938" s="63"/>
      <c r="W1938" s="63"/>
      <c r="X1938" s="63"/>
      <c r="Y1938" s="63"/>
      <c r="Z1938" s="63"/>
      <c r="AA1938" s="63"/>
      <c r="AB1938" s="63"/>
      <c r="AC1938" s="63"/>
    </row>
    <row r="1939" spans="1:29" x14ac:dyDescent="0.25">
      <c r="A1939" s="108">
        <v>46052</v>
      </c>
      <c r="B1939" s="109">
        <v>162</v>
      </c>
      <c r="C1939" s="49" t="s">
        <v>19</v>
      </c>
      <c r="D1939" s="110" t="str">
        <f>IF(ISBLANK($B1939),"",IFERROR(VLOOKUP($B1939,ESTOQUE!$B$2:$D$97168,3,FALSE),"Produto não cadastrado"))</f>
        <v>BOTINA DE ELETRICISTA Nº 42</v>
      </c>
      <c r="E1939" s="99" t="str">
        <f>_xlfn.XLOOKUP(B1939,ESTOQUE!B:B,ESTOQUE!G:G,"",0)</f>
        <v>PAR</v>
      </c>
      <c r="F1939" s="99">
        <v>1</v>
      </c>
      <c r="G1939" s="146"/>
      <c r="H1939" s="146"/>
      <c r="I1939" s="147"/>
      <c r="J1939" s="147"/>
      <c r="K1939" s="63"/>
      <c r="L1939" s="63"/>
      <c r="M1939" s="63"/>
      <c r="N1939" s="63"/>
      <c r="O1939" s="63"/>
      <c r="P1939" s="63"/>
      <c r="Q1939" s="63"/>
      <c r="R1939" s="63"/>
      <c r="S1939" s="63"/>
      <c r="T1939" s="63"/>
      <c r="U1939" s="63"/>
      <c r="V1939" s="63"/>
      <c r="W1939" s="63"/>
      <c r="X1939" s="63"/>
      <c r="Y1939" s="63"/>
      <c r="Z1939" s="63"/>
      <c r="AA1939" s="63"/>
      <c r="AB1939" s="63"/>
      <c r="AC1939" s="63"/>
    </row>
    <row r="1940" spans="1:29" x14ac:dyDescent="0.25">
      <c r="A1940" s="108">
        <v>46052</v>
      </c>
      <c r="B1940" s="109">
        <v>46</v>
      </c>
      <c r="C1940" s="49" t="s">
        <v>19</v>
      </c>
      <c r="D1940" s="110" t="str">
        <f>IF(ISBLANK($B1940),"",IFERROR(VLOOKUP($B1940,ESTOQUE!$B$2:$D$97168,3,FALSE),"Produto não cadastrado"))</f>
        <v>CALÇA CINZA OP. C/ FAIXA REFLETIVA TAM: G</v>
      </c>
      <c r="E1940" s="99" t="str">
        <f>_xlfn.XLOOKUP(B1940,ESTOQUE!B:B,ESTOQUE!G:G,"",0)</f>
        <v>UND</v>
      </c>
      <c r="F1940" s="99">
        <v>4</v>
      </c>
      <c r="G1940" s="146"/>
      <c r="H1940" s="146"/>
      <c r="I1940" s="147"/>
      <c r="J1940" s="147"/>
      <c r="K1940" s="63"/>
      <c r="L1940" s="63"/>
      <c r="M1940" s="63"/>
      <c r="N1940" s="63"/>
      <c r="O1940" s="63"/>
      <c r="P1940" s="63"/>
      <c r="Q1940" s="63"/>
      <c r="R1940" s="63"/>
      <c r="S1940" s="63"/>
      <c r="T1940" s="63"/>
      <c r="U1940" s="63"/>
      <c r="V1940" s="63"/>
      <c r="W1940" s="63"/>
      <c r="X1940" s="63"/>
      <c r="Y1940" s="63"/>
      <c r="Z1940" s="63"/>
      <c r="AA1940" s="63"/>
      <c r="AB1940" s="63"/>
      <c r="AC1940" s="63"/>
    </row>
    <row r="1941" spans="1:29" x14ac:dyDescent="0.25">
      <c r="A1941" s="108">
        <v>46052</v>
      </c>
      <c r="B1941" s="109">
        <v>47</v>
      </c>
      <c r="C1941" s="49" t="s">
        <v>19</v>
      </c>
      <c r="D1941" s="110" t="str">
        <f>IF(ISBLANK($B1941),"",IFERROR(VLOOKUP($B1941,ESTOQUE!$B$2:$D$97168,3,FALSE),"Produto não cadastrado"))</f>
        <v>CALÇA CINZA OP. C/ FAIXA REFLETIVA TAM: GG</v>
      </c>
      <c r="E1941" s="99" t="str">
        <f>_xlfn.XLOOKUP(B1941,ESTOQUE!B:B,ESTOQUE!G:G,"",0)</f>
        <v>UND</v>
      </c>
      <c r="F1941" s="99">
        <v>1</v>
      </c>
      <c r="G1941" s="146"/>
      <c r="H1941" s="146"/>
      <c r="I1941" s="147"/>
      <c r="J1941" s="147"/>
      <c r="K1941" s="63"/>
      <c r="L1941" s="63"/>
      <c r="M1941" s="63"/>
      <c r="N1941" s="63"/>
      <c r="O1941" s="63"/>
      <c r="P1941" s="63"/>
      <c r="Q1941" s="63"/>
      <c r="R1941" s="63"/>
      <c r="S1941" s="63"/>
      <c r="T1941" s="63"/>
      <c r="U1941" s="63"/>
      <c r="V1941" s="63"/>
      <c r="W1941" s="63"/>
      <c r="X1941" s="63"/>
      <c r="Y1941" s="63"/>
      <c r="Z1941" s="63"/>
      <c r="AA1941" s="63"/>
      <c r="AB1941" s="63"/>
      <c r="AC1941" s="63"/>
    </row>
    <row r="1942" spans="1:29" x14ac:dyDescent="0.25">
      <c r="A1942" s="108">
        <v>46052</v>
      </c>
      <c r="B1942" s="109">
        <v>48</v>
      </c>
      <c r="C1942" s="49" t="s">
        <v>19</v>
      </c>
      <c r="D1942" s="110" t="str">
        <f>IF(ISBLANK($B1942),"",IFERROR(VLOOKUP($B1942,ESTOQUE!$B$2:$D$97168,3,FALSE),"Produto não cadastrado"))</f>
        <v>CALÇA CINZA OP. C/ FAIXA REFLETIVA TAM: M</v>
      </c>
      <c r="E1942" s="99" t="str">
        <f>_xlfn.XLOOKUP(B1942,ESTOQUE!B:B,ESTOQUE!G:G,"",0)</f>
        <v>UND</v>
      </c>
      <c r="F1942" s="99">
        <v>4</v>
      </c>
      <c r="G1942" s="146"/>
      <c r="H1942" s="146"/>
      <c r="I1942" s="147"/>
      <c r="J1942" s="147"/>
      <c r="K1942" s="63"/>
      <c r="L1942" s="63"/>
      <c r="M1942" s="63"/>
      <c r="N1942" s="63"/>
      <c r="O1942" s="63"/>
      <c r="P1942" s="63"/>
      <c r="Q1942" s="63"/>
      <c r="R1942" s="63"/>
      <c r="S1942" s="63"/>
      <c r="T1942" s="63"/>
      <c r="U1942" s="63"/>
      <c r="V1942" s="63"/>
      <c r="W1942" s="63"/>
      <c r="X1942" s="63"/>
      <c r="Y1942" s="63"/>
      <c r="Z1942" s="63"/>
      <c r="AA1942" s="63"/>
      <c r="AB1942" s="63"/>
      <c r="AC1942" s="63"/>
    </row>
    <row r="1943" spans="1:29" x14ac:dyDescent="0.25">
      <c r="A1943" s="108">
        <v>46052</v>
      </c>
      <c r="B1943" s="109">
        <v>49</v>
      </c>
      <c r="C1943" s="49" t="s">
        <v>19</v>
      </c>
      <c r="D1943" s="110" t="str">
        <f>IF(ISBLANK($B1943),"",IFERROR(VLOOKUP($B1943,ESTOQUE!$B$2:$D$97168,3,FALSE),"Produto não cadastrado"))</f>
        <v>CALÇA CINZA OP. C/ FAIXA REFLETIVA TAM: P</v>
      </c>
      <c r="E1943" s="99" t="str">
        <f>_xlfn.XLOOKUP(B1943,ESTOQUE!B:B,ESTOQUE!G:G,"",0)</f>
        <v>UND</v>
      </c>
      <c r="F1943" s="99">
        <v>2</v>
      </c>
      <c r="G1943" s="146"/>
      <c r="H1943" s="146"/>
      <c r="I1943" s="147"/>
      <c r="J1943" s="147"/>
      <c r="K1943" s="63"/>
      <c r="L1943" s="63"/>
      <c r="M1943" s="63"/>
      <c r="N1943" s="63"/>
      <c r="O1943" s="63"/>
      <c r="P1943" s="63"/>
      <c r="Q1943" s="63"/>
      <c r="R1943" s="63"/>
      <c r="S1943" s="63"/>
      <c r="T1943" s="63"/>
      <c r="U1943" s="63"/>
      <c r="V1943" s="63"/>
      <c r="W1943" s="63"/>
      <c r="X1943" s="63"/>
      <c r="Y1943" s="63"/>
      <c r="Z1943" s="63"/>
      <c r="AA1943" s="63"/>
      <c r="AB1943" s="63"/>
      <c r="AC1943" s="63"/>
    </row>
    <row r="1944" spans="1:29" x14ac:dyDescent="0.25">
      <c r="A1944" s="108">
        <v>46052</v>
      </c>
      <c r="B1944" s="109">
        <v>68</v>
      </c>
      <c r="C1944" s="49" t="s">
        <v>19</v>
      </c>
      <c r="D1944" s="110" t="str">
        <f>IF(ISBLANK($B1944),"",IFERROR(VLOOKUP($B1944,ESTOQUE!$B$2:$D$97168,3,FALSE),"Produto não cadastrado"))</f>
        <v>CAMISA LARANJA OP. C/ FAIXA REFLETIVA TAM: GG</v>
      </c>
      <c r="E1944" s="99" t="str">
        <f>_xlfn.XLOOKUP(B1944,ESTOQUE!B:B,ESTOQUE!G:G,"",0)</f>
        <v>UND</v>
      </c>
      <c r="F1944" s="99">
        <v>2</v>
      </c>
      <c r="G1944" s="146"/>
      <c r="H1944" s="146"/>
      <c r="I1944" s="147"/>
      <c r="J1944" s="147"/>
      <c r="K1944" s="63"/>
      <c r="L1944" s="63"/>
      <c r="M1944" s="63"/>
      <c r="N1944" s="63"/>
      <c r="O1944" s="63"/>
      <c r="P1944" s="63"/>
      <c r="Q1944" s="63"/>
      <c r="R1944" s="63"/>
      <c r="S1944" s="63"/>
      <c r="T1944" s="63"/>
      <c r="U1944" s="63"/>
      <c r="V1944" s="63"/>
      <c r="W1944" s="63"/>
      <c r="X1944" s="63"/>
      <c r="Y1944" s="63"/>
      <c r="Z1944" s="63"/>
      <c r="AA1944" s="63"/>
      <c r="AB1944" s="63"/>
      <c r="AC1944" s="63"/>
    </row>
    <row r="1945" spans="1:29" x14ac:dyDescent="0.25">
      <c r="A1945" s="108">
        <v>46052</v>
      </c>
      <c r="B1945" s="109">
        <v>69</v>
      </c>
      <c r="C1945" s="49" t="s">
        <v>19</v>
      </c>
      <c r="D1945" s="110" t="str">
        <f>IF(ISBLANK($B1945),"",IFERROR(VLOOKUP($B1945,ESTOQUE!$B$2:$D$97168,3,FALSE),"Produto não cadastrado"))</f>
        <v>CAMISA LARANJA OP. C/ FAIXA REFLETIVA TAM: M</v>
      </c>
      <c r="E1945" s="99" t="str">
        <f>_xlfn.XLOOKUP(B1945,ESTOQUE!B:B,ESTOQUE!G:G,"",0)</f>
        <v>UND</v>
      </c>
      <c r="F1945" s="99">
        <v>5</v>
      </c>
      <c r="G1945" s="146"/>
      <c r="H1945" s="146"/>
      <c r="I1945" s="147"/>
      <c r="J1945" s="147"/>
      <c r="K1945" s="63"/>
      <c r="L1945" s="63"/>
      <c r="M1945" s="63"/>
      <c r="N1945" s="63"/>
      <c r="O1945" s="63"/>
      <c r="P1945" s="63"/>
      <c r="Q1945" s="63"/>
      <c r="R1945" s="63"/>
      <c r="S1945" s="63"/>
      <c r="T1945" s="63"/>
      <c r="U1945" s="63"/>
      <c r="V1945" s="63"/>
      <c r="W1945" s="63"/>
      <c r="X1945" s="63"/>
      <c r="Y1945" s="63"/>
      <c r="Z1945" s="63"/>
      <c r="AA1945" s="63"/>
      <c r="AB1945" s="63"/>
      <c r="AC1945" s="63"/>
    </row>
    <row r="1946" spans="1:29" x14ac:dyDescent="0.25">
      <c r="A1946" s="108">
        <v>46052</v>
      </c>
      <c r="B1946" s="109">
        <v>70</v>
      </c>
      <c r="C1946" s="49" t="s">
        <v>19</v>
      </c>
      <c r="D1946" s="110" t="str">
        <f>IF(ISBLANK($B1946),"",IFERROR(VLOOKUP($B1946,ESTOQUE!$B$2:$D$97168,3,FALSE),"Produto não cadastrado"))</f>
        <v>CAMISA LARANJA OP. C/ FAIXA REFLETIVA TAM: P</v>
      </c>
      <c r="E1946" s="99" t="str">
        <f>_xlfn.XLOOKUP(B1946,ESTOQUE!B:B,ESTOQUE!G:G,"",0)</f>
        <v>UND</v>
      </c>
      <c r="F1946" s="99">
        <v>3</v>
      </c>
      <c r="G1946" s="146"/>
      <c r="H1946" s="146"/>
      <c r="I1946" s="147"/>
      <c r="J1946" s="147"/>
      <c r="K1946" s="63"/>
      <c r="L1946" s="63"/>
      <c r="M1946" s="63"/>
      <c r="N1946" s="63"/>
      <c r="O1946" s="63"/>
      <c r="P1946" s="63"/>
      <c r="Q1946" s="63"/>
      <c r="R1946" s="63"/>
      <c r="S1946" s="63"/>
      <c r="T1946" s="63"/>
      <c r="U1946" s="63"/>
      <c r="V1946" s="63"/>
      <c r="W1946" s="63"/>
      <c r="X1946" s="63"/>
      <c r="Y1946" s="63"/>
      <c r="Z1946" s="63"/>
      <c r="AA1946" s="63"/>
      <c r="AB1946" s="63"/>
      <c r="AC1946" s="63"/>
    </row>
    <row r="1947" spans="1:29" x14ac:dyDescent="0.25">
      <c r="A1947" s="108">
        <v>46052</v>
      </c>
      <c r="B1947" s="109">
        <v>110</v>
      </c>
      <c r="C1947" s="49" t="s">
        <v>19</v>
      </c>
      <c r="D1947" s="110" t="str">
        <f>IF(ISBLANK($B1947),"",IFERROR(VLOOKUP($B1947,ESTOQUE!$B$2:$D$97168,3,FALSE),"Produto não cadastrado"))</f>
        <v>LUVA DE RASPA CANO LONGO</v>
      </c>
      <c r="E1947" s="99" t="str">
        <f>_xlfn.XLOOKUP(B1947,ESTOQUE!B:B,ESTOQUE!G:G,"",0)</f>
        <v>PAR</v>
      </c>
      <c r="F1947" s="99">
        <v>10</v>
      </c>
      <c r="G1947" s="146"/>
      <c r="H1947" s="146"/>
      <c r="I1947" s="147"/>
      <c r="J1947" s="147"/>
      <c r="K1947" s="63"/>
      <c r="L1947" s="63"/>
      <c r="M1947" s="63"/>
      <c r="N1947" s="63"/>
      <c r="O1947" s="63"/>
      <c r="P1947" s="63"/>
      <c r="Q1947" s="63"/>
      <c r="R1947" s="63"/>
      <c r="S1947" s="63"/>
      <c r="T1947" s="63"/>
      <c r="U1947" s="63"/>
      <c r="V1947" s="63"/>
      <c r="W1947" s="63"/>
      <c r="X1947" s="63"/>
      <c r="Y1947" s="63"/>
      <c r="Z1947" s="63"/>
      <c r="AA1947" s="63"/>
      <c r="AB1947" s="63"/>
      <c r="AC1947" s="63"/>
    </row>
    <row r="1948" spans="1:29" x14ac:dyDescent="0.25">
      <c r="A1948" s="108">
        <v>46052</v>
      </c>
      <c r="B1948" s="109">
        <v>111</v>
      </c>
      <c r="C1948" s="49" t="s">
        <v>19</v>
      </c>
      <c r="D1948" s="110" t="str">
        <f>IF(ISBLANK($B1948),"",IFERROR(VLOOKUP($B1948,ESTOQUE!$B$2:$D$97168,3,FALSE),"Produto não cadastrado"))</f>
        <v>LUVA DE VAQUETA MARROM</v>
      </c>
      <c r="E1948" s="99" t="str">
        <f>_xlfn.XLOOKUP(B1948,ESTOQUE!B:B,ESTOQUE!G:G,"",0)</f>
        <v>PAR</v>
      </c>
      <c r="F1948" s="99">
        <v>1</v>
      </c>
      <c r="G1948" s="146"/>
      <c r="H1948" s="146"/>
      <c r="I1948" s="147"/>
      <c r="J1948" s="147"/>
      <c r="K1948" s="63"/>
      <c r="L1948" s="63"/>
      <c r="M1948" s="63"/>
      <c r="N1948" s="63"/>
      <c r="O1948" s="63"/>
      <c r="P1948" s="63"/>
      <c r="Q1948" s="63"/>
      <c r="R1948" s="63"/>
      <c r="S1948" s="63"/>
      <c r="T1948" s="63"/>
      <c r="U1948" s="63"/>
      <c r="V1948" s="63"/>
      <c r="W1948" s="63"/>
      <c r="X1948" s="63"/>
      <c r="Y1948" s="63"/>
      <c r="Z1948" s="63"/>
      <c r="AA1948" s="63"/>
      <c r="AB1948" s="63"/>
      <c r="AC1948" s="63"/>
    </row>
    <row r="1949" spans="1:29" x14ac:dyDescent="0.25">
      <c r="A1949" s="108">
        <v>46052</v>
      </c>
      <c r="B1949" s="109">
        <v>150</v>
      </c>
      <c r="C1949" s="49" t="s">
        <v>19</v>
      </c>
      <c r="D1949" s="110" t="str">
        <f>IF(ISBLANK($B1949),"",IFERROR(VLOOKUP($B1949,ESTOQUE!$B$2:$D$97168,3,FALSE),"Produto não cadastrado"))</f>
        <v>LUVA ORION ALTA TENSÃO 20KV CLASSE 2 TIPO 2 TAM 9</v>
      </c>
      <c r="E1949" s="99" t="str">
        <f>_xlfn.XLOOKUP(B1949,ESTOQUE!B:B,ESTOQUE!G:G,"",0)</f>
        <v>PAR</v>
      </c>
      <c r="F1949" s="99">
        <v>1</v>
      </c>
      <c r="G1949" s="146"/>
      <c r="H1949" s="146"/>
      <c r="I1949" s="147"/>
      <c r="J1949" s="147"/>
      <c r="K1949" s="63"/>
      <c r="L1949" s="63"/>
      <c r="M1949" s="63"/>
      <c r="N1949" s="63"/>
      <c r="O1949" s="63"/>
      <c r="P1949" s="63"/>
      <c r="Q1949" s="63"/>
      <c r="R1949" s="63"/>
      <c r="S1949" s="63"/>
      <c r="T1949" s="63"/>
      <c r="U1949" s="63"/>
      <c r="V1949" s="63"/>
      <c r="W1949" s="63"/>
      <c r="X1949" s="63"/>
      <c r="Y1949" s="63"/>
      <c r="Z1949" s="63"/>
      <c r="AA1949" s="63"/>
      <c r="AB1949" s="63"/>
      <c r="AC1949" s="63"/>
    </row>
    <row r="1950" spans="1:29" x14ac:dyDescent="0.25">
      <c r="A1950" s="108">
        <v>46052</v>
      </c>
      <c r="B1950" s="109">
        <v>117</v>
      </c>
      <c r="C1950" s="49" t="s">
        <v>19</v>
      </c>
      <c r="D1950" s="110" t="str">
        <f>IF(ISBLANK($B1950),"",IFERROR(VLOOKUP($B1950,ESTOQUE!$B$2:$D$97168,3,FALSE),"Produto não cadastrado"))</f>
        <v>LUVA PIGMENTADA</v>
      </c>
      <c r="E1950" s="99" t="str">
        <f>_xlfn.XLOOKUP(B1950,ESTOQUE!B:B,ESTOQUE!G:G,"",0)</f>
        <v>PAR</v>
      </c>
      <c r="F1950" s="99">
        <v>25</v>
      </c>
      <c r="G1950" s="146"/>
      <c r="H1950" s="146"/>
      <c r="I1950" s="147"/>
      <c r="J1950" s="147"/>
      <c r="K1950" s="63"/>
      <c r="L1950" s="63"/>
      <c r="M1950" s="63"/>
      <c r="N1950" s="63"/>
      <c r="O1950" s="63"/>
      <c r="P1950" s="63"/>
      <c r="Q1950" s="63"/>
      <c r="R1950" s="63"/>
      <c r="S1950" s="63"/>
      <c r="T1950" s="63"/>
      <c r="U1950" s="63"/>
      <c r="V1950" s="63"/>
      <c r="W1950" s="63"/>
      <c r="X1950" s="63"/>
      <c r="Y1950" s="63"/>
      <c r="Z1950" s="63"/>
      <c r="AA1950" s="63"/>
      <c r="AB1950" s="63"/>
      <c r="AC1950" s="63"/>
    </row>
    <row r="1951" spans="1:29" x14ac:dyDescent="0.25">
      <c r="A1951" s="108">
        <v>46052</v>
      </c>
      <c r="B1951" s="109">
        <v>207</v>
      </c>
      <c r="C1951" s="49" t="s">
        <v>19</v>
      </c>
      <c r="D1951" s="110" t="str">
        <f>IF(ISBLANK($B1951),"",IFERROR(VLOOKUP($B1951,ESTOQUE!$B$2:$D$97168,3,FALSE),"Produto não cadastrado"))</f>
        <v>LUVA POLIESTER ANTICORTE BANHADA PU TAM 9</v>
      </c>
      <c r="E1951" s="99" t="str">
        <f>_xlfn.XLOOKUP(B1951,ESTOQUE!B:B,ESTOQUE!G:G,"",0)</f>
        <v>PAR</v>
      </c>
      <c r="F1951" s="99">
        <v>25</v>
      </c>
      <c r="G1951" s="146"/>
      <c r="H1951" s="146"/>
      <c r="I1951" s="147"/>
      <c r="J1951" s="147"/>
      <c r="K1951" s="63"/>
      <c r="L1951" s="63"/>
      <c r="M1951" s="63"/>
      <c r="N1951" s="63"/>
      <c r="O1951" s="63"/>
      <c r="P1951" s="63"/>
      <c r="Q1951" s="63"/>
      <c r="R1951" s="63"/>
      <c r="S1951" s="63"/>
      <c r="T1951" s="63"/>
      <c r="U1951" s="63"/>
      <c r="V1951" s="63"/>
      <c r="W1951" s="63"/>
      <c r="X1951" s="63"/>
      <c r="Y1951" s="63"/>
      <c r="Z1951" s="63"/>
      <c r="AA1951" s="63"/>
      <c r="AB1951" s="63"/>
      <c r="AC1951" s="63"/>
    </row>
    <row r="1952" spans="1:29" x14ac:dyDescent="0.25">
      <c r="A1952" s="108">
        <v>46052</v>
      </c>
      <c r="B1952" s="109">
        <v>192</v>
      </c>
      <c r="C1952" s="49" t="s">
        <v>19</v>
      </c>
      <c r="D1952" s="110" t="str">
        <f>IF(ISBLANK($B1952),"",IFERROR(VLOOKUP($B1952,ESTOQUE!$B$2:$D$97168,3,FALSE),"Produto não cadastrado"))</f>
        <v>LUVA QUIMICA ( 2 OU 3)</v>
      </c>
      <c r="E1952" s="99" t="str">
        <f>_xlfn.XLOOKUP(B1952,ESTOQUE!B:B,ESTOQUE!G:G,"",0)</f>
        <v>UND</v>
      </c>
      <c r="F1952" s="99">
        <v>1</v>
      </c>
      <c r="G1952" s="146"/>
      <c r="H1952" s="146"/>
      <c r="I1952" s="147"/>
      <c r="J1952" s="147"/>
      <c r="K1952" s="63"/>
      <c r="L1952" s="63"/>
      <c r="M1952" s="63"/>
      <c r="N1952" s="63"/>
      <c r="O1952" s="63"/>
      <c r="P1952" s="63"/>
      <c r="Q1952" s="63"/>
      <c r="R1952" s="63"/>
      <c r="S1952" s="63"/>
      <c r="T1952" s="63"/>
      <c r="U1952" s="63"/>
      <c r="V1952" s="63"/>
      <c r="W1952" s="63"/>
      <c r="X1952" s="63"/>
      <c r="Y1952" s="63"/>
      <c r="Z1952" s="63"/>
      <c r="AA1952" s="63"/>
      <c r="AB1952" s="63"/>
      <c r="AC1952" s="63"/>
    </row>
    <row r="1953" spans="1:29" x14ac:dyDescent="0.25">
      <c r="A1953" s="108">
        <v>46052</v>
      </c>
      <c r="B1953" s="109">
        <v>159</v>
      </c>
      <c r="C1953" s="49" t="s">
        <v>19</v>
      </c>
      <c r="D1953" s="110" t="str">
        <f>IF(ISBLANK($B1953),"",IFERROR(VLOOKUP($B1953,ESTOQUE!$B$2:$D$97168,3,FALSE),"Produto não cadastrado"))</f>
        <v>LUVA VOLK ANTIVIBRAÇÃO GORILA TAM 9</v>
      </c>
      <c r="E1953" s="99" t="str">
        <f>_xlfn.XLOOKUP(B1953,ESTOQUE!B:B,ESTOQUE!G:G,"",0)</f>
        <v>PAR</v>
      </c>
      <c r="F1953" s="99">
        <v>2</v>
      </c>
      <c r="G1953" s="146"/>
      <c r="H1953" s="146"/>
      <c r="I1953" s="147"/>
      <c r="J1953" s="147"/>
      <c r="K1953" s="63"/>
      <c r="L1953" s="63"/>
      <c r="M1953" s="63"/>
      <c r="N1953" s="63"/>
      <c r="O1953" s="63"/>
      <c r="P1953" s="63"/>
      <c r="Q1953" s="63"/>
      <c r="R1953" s="63"/>
      <c r="S1953" s="63"/>
      <c r="T1953" s="63"/>
      <c r="U1953" s="63"/>
      <c r="V1953" s="63"/>
      <c r="W1953" s="63"/>
      <c r="X1953" s="63"/>
      <c r="Y1953" s="63"/>
      <c r="Z1953" s="63"/>
      <c r="AA1953" s="63"/>
      <c r="AB1953" s="63"/>
      <c r="AC1953" s="63"/>
    </row>
    <row r="1954" spans="1:29" x14ac:dyDescent="0.25">
      <c r="A1954" s="108">
        <v>46052</v>
      </c>
      <c r="B1954" s="109">
        <v>118</v>
      </c>
      <c r="C1954" s="49" t="s">
        <v>19</v>
      </c>
      <c r="D1954" s="110" t="str">
        <f>IF(ISBLANK($B1954),"",IFERROR(VLOOKUP($B1954,ESTOQUE!$B$2:$D$97168,3,FALSE),"Produto não cadastrado"))</f>
        <v>MACACÃO DE PROTEÇÃO TYVEK</v>
      </c>
      <c r="E1954" s="99" t="str">
        <f>_xlfn.XLOOKUP(B1954,ESTOQUE!B:B,ESTOQUE!G:G,"",0)</f>
        <v>UND</v>
      </c>
      <c r="F1954" s="99">
        <v>28</v>
      </c>
      <c r="G1954" s="146"/>
      <c r="H1954" s="146"/>
      <c r="I1954" s="147"/>
      <c r="J1954" s="147"/>
      <c r="K1954" s="63"/>
      <c r="L1954" s="63"/>
      <c r="M1954" s="63"/>
      <c r="N1954" s="63"/>
      <c r="O1954" s="63"/>
      <c r="P1954" s="63"/>
      <c r="Q1954" s="63"/>
      <c r="R1954" s="63"/>
      <c r="S1954" s="63"/>
      <c r="T1954" s="63"/>
      <c r="U1954" s="63"/>
      <c r="V1954" s="63"/>
      <c r="W1954" s="63"/>
      <c r="X1954" s="63"/>
      <c r="Y1954" s="63"/>
      <c r="Z1954" s="63"/>
      <c r="AA1954" s="63"/>
      <c r="AB1954" s="63"/>
      <c r="AC1954" s="63"/>
    </row>
    <row r="1955" spans="1:29" x14ac:dyDescent="0.25">
      <c r="A1955" s="108">
        <v>46052</v>
      </c>
      <c r="B1955" s="109">
        <v>125</v>
      </c>
      <c r="C1955" s="49" t="s">
        <v>19</v>
      </c>
      <c r="D1955" s="110" t="str">
        <f>IF(ISBLANK($B1955),"",IFERROR(VLOOKUP($B1955,ESTOQUE!$B$2:$D$97168,3,FALSE),"Produto não cadastrado"))</f>
        <v xml:space="preserve">MASCARA DE SOLDA AUTOMATICA </v>
      </c>
      <c r="E1955" s="99" t="str">
        <f>_xlfn.XLOOKUP(B1955,ESTOQUE!B:B,ESTOQUE!G:G,"",0)</f>
        <v>UND</v>
      </c>
      <c r="F1955" s="99">
        <v>2</v>
      </c>
      <c r="G1955" s="146"/>
      <c r="H1955" s="146"/>
      <c r="I1955" s="147"/>
      <c r="J1955" s="147"/>
      <c r="K1955" s="63"/>
      <c r="L1955" s="63"/>
      <c r="M1955" s="63"/>
      <c r="N1955" s="63"/>
      <c r="O1955" s="63"/>
      <c r="P1955" s="63"/>
      <c r="Q1955" s="63"/>
      <c r="R1955" s="63"/>
      <c r="S1955" s="63"/>
      <c r="T1955" s="63"/>
      <c r="U1955" s="63"/>
      <c r="V1955" s="63"/>
      <c r="W1955" s="63"/>
      <c r="X1955" s="63"/>
      <c r="Y1955" s="63"/>
      <c r="Z1955" s="63"/>
      <c r="AA1955" s="63"/>
      <c r="AB1955" s="63"/>
      <c r="AC1955" s="63"/>
    </row>
    <row r="1956" spans="1:29" x14ac:dyDescent="0.25">
      <c r="A1956" s="108">
        <v>46052</v>
      </c>
      <c r="B1956" s="109">
        <v>144</v>
      </c>
      <c r="C1956" s="49" t="s">
        <v>19</v>
      </c>
      <c r="D1956" s="110" t="str">
        <f>IF(ISBLANK($B1956),"",IFERROR(VLOOKUP($B1956,ESTOQUE!$B$2:$D$97168,3,FALSE),"Produto não cadastrado"))</f>
        <v>MASCARA PFF2-S C/ FILTRO</v>
      </c>
      <c r="E1956" s="99" t="str">
        <f>_xlfn.XLOOKUP(B1956,ESTOQUE!B:B,ESTOQUE!G:G,"",0)</f>
        <v>UND</v>
      </c>
      <c r="F1956" s="99">
        <v>6</v>
      </c>
      <c r="G1956" s="146"/>
      <c r="H1956" s="146"/>
      <c r="I1956" s="147"/>
      <c r="J1956" s="147"/>
      <c r="K1956" s="63"/>
      <c r="L1956" s="63"/>
      <c r="M1956" s="63"/>
      <c r="N1956" s="63"/>
      <c r="O1956" s="63"/>
      <c r="P1956" s="63"/>
      <c r="Q1956" s="63"/>
      <c r="R1956" s="63"/>
      <c r="S1956" s="63"/>
      <c r="T1956" s="63"/>
      <c r="U1956" s="63"/>
      <c r="V1956" s="63"/>
      <c r="W1956" s="63"/>
      <c r="X1956" s="63"/>
      <c r="Y1956" s="63"/>
      <c r="Z1956" s="63"/>
      <c r="AA1956" s="63"/>
      <c r="AB1956" s="63"/>
      <c r="AC1956" s="63"/>
    </row>
    <row r="1957" spans="1:29" x14ac:dyDescent="0.25">
      <c r="A1957" s="108">
        <v>46052</v>
      </c>
      <c r="B1957" s="109">
        <v>126</v>
      </c>
      <c r="C1957" s="49" t="s">
        <v>19</v>
      </c>
      <c r="D1957" s="110" t="str">
        <f>IF(ISBLANK($B1957),"",IFERROR(VLOOKUP($B1957,ESTOQUE!$B$2:$D$97168,3,FALSE),"Produto não cadastrado"))</f>
        <v>OCULOS DE PROTEÇÃO ESCURO</v>
      </c>
      <c r="E1957" s="99" t="str">
        <f>_xlfn.XLOOKUP(B1957,ESTOQUE!B:B,ESTOQUE!G:G,"",0)</f>
        <v>UND</v>
      </c>
      <c r="F1957" s="99">
        <v>10</v>
      </c>
      <c r="G1957" s="146"/>
      <c r="H1957" s="146"/>
      <c r="I1957" s="147"/>
      <c r="J1957" s="147"/>
      <c r="K1957" s="63"/>
      <c r="L1957" s="63"/>
      <c r="M1957" s="63"/>
      <c r="N1957" s="63"/>
      <c r="O1957" s="63"/>
      <c r="P1957" s="63"/>
      <c r="Q1957" s="63"/>
      <c r="R1957" s="63"/>
      <c r="S1957" s="63"/>
      <c r="T1957" s="63"/>
      <c r="U1957" s="63"/>
      <c r="V1957" s="63"/>
      <c r="W1957" s="63"/>
      <c r="X1957" s="63"/>
      <c r="Y1957" s="63"/>
      <c r="Z1957" s="63"/>
      <c r="AA1957" s="63"/>
      <c r="AB1957" s="63"/>
      <c r="AC1957" s="63"/>
    </row>
    <row r="1958" spans="1:29" x14ac:dyDescent="0.25">
      <c r="A1958" s="108">
        <v>46052</v>
      </c>
      <c r="B1958" s="109">
        <v>124</v>
      </c>
      <c r="C1958" s="49" t="s">
        <v>19</v>
      </c>
      <c r="D1958" s="110" t="str">
        <f>IF(ISBLANK($B1958),"",IFERROR(VLOOKUP($B1958,ESTOQUE!$B$2:$D$97168,3,FALSE),"Produto não cadastrado"))</f>
        <v xml:space="preserve">OCULOS DE PROTEÇÃO INCOLOR </v>
      </c>
      <c r="E1958" s="99" t="str">
        <f>_xlfn.XLOOKUP(B1958,ESTOQUE!B:B,ESTOQUE!G:G,"",0)</f>
        <v>UND</v>
      </c>
      <c r="F1958" s="99">
        <v>2</v>
      </c>
      <c r="G1958" s="146"/>
      <c r="H1958" s="146"/>
      <c r="I1958" s="147"/>
      <c r="J1958" s="147"/>
      <c r="K1958" s="63"/>
      <c r="L1958" s="63"/>
      <c r="M1958" s="63"/>
      <c r="N1958" s="63"/>
      <c r="O1958" s="63"/>
      <c r="P1958" s="63"/>
      <c r="Q1958" s="63"/>
      <c r="R1958" s="63"/>
      <c r="S1958" s="63"/>
      <c r="T1958" s="63"/>
      <c r="U1958" s="63"/>
      <c r="V1958" s="63"/>
      <c r="W1958" s="63"/>
      <c r="X1958" s="63"/>
      <c r="Y1958" s="63"/>
      <c r="Z1958" s="63"/>
      <c r="AA1958" s="63"/>
      <c r="AB1958" s="63"/>
      <c r="AC1958" s="63"/>
    </row>
    <row r="1959" spans="1:29" x14ac:dyDescent="0.25">
      <c r="A1959" s="108">
        <v>46052</v>
      </c>
      <c r="B1959" s="109">
        <v>130</v>
      </c>
      <c r="C1959" s="49" t="s">
        <v>19</v>
      </c>
      <c r="D1959" s="110" t="str">
        <f>IF(ISBLANK($B1959),"",IFERROR(VLOOKUP($B1959,ESTOQUE!$B$2:$D$97168,3,FALSE),"Produto não cadastrado"))</f>
        <v>PROTETOR AUDITIVO TIPO CONCHA L-300</v>
      </c>
      <c r="E1959" s="99" t="str">
        <f>_xlfn.XLOOKUP(B1959,ESTOQUE!B:B,ESTOQUE!G:G,"",0)</f>
        <v>UND</v>
      </c>
      <c r="F1959" s="99">
        <v>2</v>
      </c>
      <c r="G1959" s="146"/>
      <c r="H1959" s="146"/>
      <c r="I1959" s="147"/>
      <c r="J1959" s="147"/>
      <c r="K1959" s="63"/>
      <c r="L1959" s="63"/>
      <c r="M1959" s="63"/>
      <c r="N1959" s="63"/>
      <c r="O1959" s="63"/>
      <c r="P1959" s="63"/>
      <c r="Q1959" s="63"/>
      <c r="R1959" s="63"/>
      <c r="S1959" s="63"/>
      <c r="T1959" s="63"/>
      <c r="U1959" s="63"/>
      <c r="V1959" s="63"/>
      <c r="W1959" s="63"/>
      <c r="X1959" s="63"/>
      <c r="Y1959" s="63"/>
      <c r="Z1959" s="63"/>
      <c r="AA1959" s="63"/>
      <c r="AB1959" s="63"/>
      <c r="AC1959" s="63"/>
    </row>
    <row r="1960" spans="1:29" x14ac:dyDescent="0.25">
      <c r="A1960" s="108">
        <v>46053</v>
      </c>
      <c r="B1960" s="109">
        <v>12</v>
      </c>
      <c r="C1960" s="49" t="s">
        <v>19</v>
      </c>
      <c r="D1960" s="110" t="str">
        <f>IF(ISBLANK($B1960),"",IFERROR(VLOOKUP($B1960,ESTOQUE!$B$2:$D$97168,3,FALSE),"Produto não cadastrado"))</f>
        <v>BOTA PVC CANO LONGO Nº 44</v>
      </c>
      <c r="E1960" s="99" t="str">
        <f>_xlfn.XLOOKUP(B1960,ESTOQUE!B:B,ESTOQUE!G:G,"",0)</f>
        <v>PAR</v>
      </c>
      <c r="F1960" s="99">
        <v>1</v>
      </c>
      <c r="G1960" s="146"/>
      <c r="H1960" s="146"/>
      <c r="I1960" s="147"/>
      <c r="J1960" s="147"/>
      <c r="K1960" s="63"/>
      <c r="L1960" s="63"/>
      <c r="M1960" s="63"/>
      <c r="N1960" s="63"/>
      <c r="O1960" s="63"/>
      <c r="P1960" s="63"/>
      <c r="Q1960" s="63"/>
      <c r="R1960" s="63"/>
      <c r="S1960" s="63"/>
      <c r="T1960" s="63"/>
      <c r="U1960" s="63"/>
      <c r="V1960" s="63"/>
      <c r="W1960" s="63"/>
      <c r="X1960" s="63"/>
      <c r="Y1960" s="63"/>
      <c r="Z1960" s="63"/>
      <c r="AA1960" s="63"/>
      <c r="AB1960" s="63"/>
      <c r="AC1960" s="63"/>
    </row>
    <row r="1961" spans="1:29" x14ac:dyDescent="0.25">
      <c r="A1961" s="108">
        <v>46053</v>
      </c>
      <c r="B1961" s="109">
        <v>31</v>
      </c>
      <c r="C1961" s="49" t="s">
        <v>19</v>
      </c>
      <c r="D1961" s="110" t="str">
        <f>IF(ISBLANK($B1961),"",IFERROR(VLOOKUP($B1961,ESTOQUE!$B$2:$D$97168,3,FALSE),"Produto não cadastrado"))</f>
        <v>BOTINA DE ELETRICISTA Nº 41</v>
      </c>
      <c r="E1961" s="99" t="str">
        <f>_xlfn.XLOOKUP(B1961,ESTOQUE!B:B,ESTOQUE!G:G,"",0)</f>
        <v>PAR</v>
      </c>
      <c r="F1961" s="99">
        <v>1</v>
      </c>
      <c r="G1961" s="146"/>
      <c r="H1961" s="146"/>
      <c r="I1961" s="147"/>
      <c r="J1961" s="147"/>
      <c r="K1961" s="63"/>
      <c r="L1961" s="63"/>
      <c r="M1961" s="63"/>
      <c r="N1961" s="63"/>
      <c r="O1961" s="63"/>
      <c r="P1961" s="63"/>
      <c r="Q1961" s="63"/>
      <c r="R1961" s="63"/>
      <c r="S1961" s="63"/>
      <c r="T1961" s="63"/>
      <c r="U1961" s="63"/>
      <c r="V1961" s="63"/>
      <c r="W1961" s="63"/>
      <c r="X1961" s="63"/>
      <c r="Y1961" s="63"/>
      <c r="Z1961" s="63"/>
      <c r="AA1961" s="63"/>
      <c r="AB1961" s="63"/>
      <c r="AC1961" s="63"/>
    </row>
    <row r="1962" spans="1:29" x14ac:dyDescent="0.25">
      <c r="A1962" s="108">
        <v>46053</v>
      </c>
      <c r="B1962" s="109">
        <v>42</v>
      </c>
      <c r="C1962" s="49" t="s">
        <v>19</v>
      </c>
      <c r="D1962" s="110" t="str">
        <f>IF(ISBLANK($B1962),"",IFERROR(VLOOKUP($B1962,ESTOQUE!$B$2:$D$97168,3,FALSE),"Produto não cadastrado"))</f>
        <v>BOTINA OP. BICO PVC Nº 44</v>
      </c>
      <c r="E1962" s="99" t="str">
        <f>_xlfn.XLOOKUP(B1962,ESTOQUE!B:B,ESTOQUE!G:G,"",0)</f>
        <v>PAR</v>
      </c>
      <c r="F1962" s="99">
        <v>1</v>
      </c>
      <c r="G1962" s="146"/>
      <c r="H1962" s="146"/>
      <c r="I1962" s="147"/>
      <c r="J1962" s="147"/>
      <c r="K1962" s="63"/>
      <c r="L1962" s="63"/>
      <c r="M1962" s="63"/>
      <c r="N1962" s="63"/>
      <c r="O1962" s="63"/>
      <c r="P1962" s="63"/>
      <c r="Q1962" s="63"/>
      <c r="R1962" s="63"/>
      <c r="S1962" s="63"/>
      <c r="T1962" s="63"/>
      <c r="U1962" s="63"/>
      <c r="V1962" s="63"/>
      <c r="W1962" s="63"/>
      <c r="X1962" s="63"/>
      <c r="Y1962" s="63"/>
      <c r="Z1962" s="63"/>
      <c r="AA1962" s="63"/>
      <c r="AB1962" s="63"/>
      <c r="AC1962" s="63"/>
    </row>
    <row r="1963" spans="1:29" x14ac:dyDescent="0.25">
      <c r="A1963" s="108">
        <v>46053</v>
      </c>
      <c r="B1963" s="109">
        <v>46</v>
      </c>
      <c r="C1963" s="49" t="s">
        <v>19</v>
      </c>
      <c r="D1963" s="110" t="str">
        <f>IF(ISBLANK($B1963),"",IFERROR(VLOOKUP($B1963,ESTOQUE!$B$2:$D$97168,3,FALSE),"Produto não cadastrado"))</f>
        <v>CALÇA CINZA OP. C/ FAIXA REFLETIVA TAM: G</v>
      </c>
      <c r="E1963" s="99" t="str">
        <f>_xlfn.XLOOKUP(B1963,ESTOQUE!B:B,ESTOQUE!G:G,"",0)</f>
        <v>UND</v>
      </c>
      <c r="F1963" s="99">
        <v>4</v>
      </c>
      <c r="G1963" s="146"/>
      <c r="H1963" s="146"/>
      <c r="I1963" s="147"/>
      <c r="J1963" s="147"/>
      <c r="K1963" s="63"/>
      <c r="L1963" s="63"/>
      <c r="M1963" s="63"/>
      <c r="N1963" s="63"/>
      <c r="O1963" s="63"/>
      <c r="P1963" s="63"/>
      <c r="Q1963" s="63"/>
      <c r="R1963" s="63"/>
      <c r="S1963" s="63"/>
      <c r="T1963" s="63"/>
      <c r="U1963" s="63"/>
      <c r="V1963" s="63"/>
      <c r="W1963" s="63"/>
      <c r="X1963" s="63"/>
      <c r="Y1963" s="63"/>
      <c r="Z1963" s="63"/>
      <c r="AA1963" s="63"/>
      <c r="AB1963" s="63"/>
      <c r="AC1963" s="63"/>
    </row>
    <row r="1964" spans="1:29" x14ac:dyDescent="0.25">
      <c r="A1964" s="108">
        <v>46053</v>
      </c>
      <c r="B1964" s="109">
        <v>47</v>
      </c>
      <c r="C1964" s="49" t="s">
        <v>19</v>
      </c>
      <c r="D1964" s="110" t="str">
        <f>IF(ISBLANK($B1964),"",IFERROR(VLOOKUP($B1964,ESTOQUE!$B$2:$D$97168,3,FALSE),"Produto não cadastrado"))</f>
        <v>CALÇA CINZA OP. C/ FAIXA REFLETIVA TAM: GG</v>
      </c>
      <c r="E1964" s="99" t="str">
        <f>_xlfn.XLOOKUP(B1964,ESTOQUE!B:B,ESTOQUE!G:G,"",0)</f>
        <v>UND</v>
      </c>
      <c r="F1964" s="99">
        <v>1</v>
      </c>
      <c r="G1964" s="146"/>
      <c r="H1964" s="146"/>
      <c r="I1964" s="147"/>
      <c r="J1964" s="147"/>
      <c r="K1964" s="63"/>
      <c r="L1964" s="63"/>
      <c r="M1964" s="63"/>
      <c r="N1964" s="63"/>
      <c r="O1964" s="63"/>
      <c r="P1964" s="63"/>
      <c r="Q1964" s="63"/>
      <c r="R1964" s="63"/>
      <c r="S1964" s="63"/>
      <c r="T1964" s="63"/>
      <c r="U1964" s="63"/>
      <c r="V1964" s="63"/>
      <c r="W1964" s="63"/>
      <c r="X1964" s="63"/>
      <c r="Y1964" s="63"/>
      <c r="Z1964" s="63"/>
      <c r="AA1964" s="63"/>
      <c r="AB1964" s="63"/>
      <c r="AC1964" s="63"/>
    </row>
    <row r="1965" spans="1:29" x14ac:dyDescent="0.25">
      <c r="A1965" s="108">
        <v>46053</v>
      </c>
      <c r="B1965" s="109">
        <v>48</v>
      </c>
      <c r="C1965" s="49" t="s">
        <v>19</v>
      </c>
      <c r="D1965" s="110" t="str">
        <f>IF(ISBLANK($B1965),"",IFERROR(VLOOKUP($B1965,ESTOQUE!$B$2:$D$97168,3,FALSE),"Produto não cadastrado"))</f>
        <v>CALÇA CINZA OP. C/ FAIXA REFLETIVA TAM: M</v>
      </c>
      <c r="E1965" s="99" t="str">
        <f>_xlfn.XLOOKUP(B1965,ESTOQUE!B:B,ESTOQUE!G:G,"",0)</f>
        <v>UND</v>
      </c>
      <c r="F1965" s="99">
        <v>5</v>
      </c>
      <c r="G1965" s="146"/>
      <c r="H1965" s="146"/>
      <c r="I1965" s="147"/>
      <c r="J1965" s="147"/>
      <c r="K1965" s="63"/>
      <c r="L1965" s="63"/>
      <c r="M1965" s="63"/>
      <c r="N1965" s="63"/>
      <c r="O1965" s="63"/>
      <c r="P1965" s="63"/>
      <c r="Q1965" s="63"/>
      <c r="R1965" s="63"/>
      <c r="S1965" s="63"/>
      <c r="T1965" s="63"/>
      <c r="U1965" s="63"/>
      <c r="V1965" s="63"/>
      <c r="W1965" s="63"/>
      <c r="X1965" s="63"/>
      <c r="Y1965" s="63"/>
      <c r="Z1965" s="63"/>
      <c r="AA1965" s="63"/>
      <c r="AB1965" s="63"/>
      <c r="AC1965" s="63"/>
    </row>
    <row r="1966" spans="1:29" x14ac:dyDescent="0.25">
      <c r="A1966" s="108">
        <v>46053</v>
      </c>
      <c r="B1966" s="109">
        <v>49</v>
      </c>
      <c r="C1966" s="49" t="s">
        <v>19</v>
      </c>
      <c r="D1966" s="110" t="str">
        <f>IF(ISBLANK($B1966),"",IFERROR(VLOOKUP($B1966,ESTOQUE!$B$2:$D$97168,3,FALSE),"Produto não cadastrado"))</f>
        <v>CALÇA CINZA OP. C/ FAIXA REFLETIVA TAM: P</v>
      </c>
      <c r="E1966" s="99" t="str">
        <f>_xlfn.XLOOKUP(B1966,ESTOQUE!B:B,ESTOQUE!G:G,"",0)</f>
        <v>UND</v>
      </c>
      <c r="F1966" s="99">
        <v>3</v>
      </c>
      <c r="G1966" s="146"/>
      <c r="H1966" s="146"/>
      <c r="I1966" s="147"/>
      <c r="J1966" s="147"/>
      <c r="K1966" s="63"/>
      <c r="L1966" s="63"/>
      <c r="M1966" s="63"/>
      <c r="N1966" s="63"/>
      <c r="O1966" s="63"/>
      <c r="P1966" s="63"/>
      <c r="Q1966" s="63"/>
      <c r="R1966" s="63"/>
      <c r="S1966" s="63"/>
      <c r="T1966" s="63"/>
      <c r="U1966" s="63"/>
      <c r="V1966" s="63"/>
      <c r="W1966" s="63"/>
      <c r="X1966" s="63"/>
      <c r="Y1966" s="63"/>
      <c r="Z1966" s="63"/>
      <c r="AA1966" s="63"/>
      <c r="AB1966" s="63"/>
      <c r="AC1966" s="63"/>
    </row>
    <row r="1967" spans="1:29" x14ac:dyDescent="0.25">
      <c r="A1967" s="108">
        <v>46053</v>
      </c>
      <c r="B1967" s="109">
        <v>67</v>
      </c>
      <c r="C1967" s="49" t="s">
        <v>19</v>
      </c>
      <c r="D1967" s="110" t="str">
        <f>IF(ISBLANK($B1967),"",IFERROR(VLOOKUP($B1967,ESTOQUE!$B$2:$D$97168,3,FALSE),"Produto não cadastrado"))</f>
        <v>CAMISA LARANJA OP. C/ FAIXA REFLETIVA TAM: G</v>
      </c>
      <c r="E1967" s="99" t="str">
        <f>_xlfn.XLOOKUP(B1967,ESTOQUE!B:B,ESTOQUE!G:G,"",0)</f>
        <v>UND</v>
      </c>
      <c r="F1967" s="99">
        <v>6</v>
      </c>
      <c r="G1967" s="146"/>
      <c r="H1967" s="146"/>
      <c r="I1967" s="147"/>
      <c r="J1967" s="147"/>
      <c r="K1967" s="63"/>
      <c r="L1967" s="63"/>
      <c r="M1967" s="63"/>
      <c r="N1967" s="63"/>
      <c r="O1967" s="63"/>
      <c r="P1967" s="63"/>
      <c r="Q1967" s="63"/>
      <c r="R1967" s="63"/>
      <c r="S1967" s="63"/>
      <c r="T1967" s="63"/>
      <c r="U1967" s="63"/>
      <c r="V1967" s="63"/>
      <c r="W1967" s="63"/>
      <c r="X1967" s="63"/>
      <c r="Y1967" s="63"/>
      <c r="Z1967" s="63"/>
      <c r="AA1967" s="63"/>
      <c r="AB1967" s="63"/>
      <c r="AC1967" s="63"/>
    </row>
    <row r="1968" spans="1:29" x14ac:dyDescent="0.25">
      <c r="A1968" s="108">
        <v>46053</v>
      </c>
      <c r="B1968" s="109">
        <v>69</v>
      </c>
      <c r="C1968" s="49" t="s">
        <v>19</v>
      </c>
      <c r="D1968" s="110" t="str">
        <f>IF(ISBLANK($B1968),"",IFERROR(VLOOKUP($B1968,ESTOQUE!$B$2:$D$97168,3,FALSE),"Produto não cadastrado"))</f>
        <v>CAMISA LARANJA OP. C/ FAIXA REFLETIVA TAM: M</v>
      </c>
      <c r="E1968" s="99" t="str">
        <f>_xlfn.XLOOKUP(B1968,ESTOQUE!B:B,ESTOQUE!G:G,"",0)</f>
        <v>UND</v>
      </c>
      <c r="F1968" s="99">
        <v>5</v>
      </c>
      <c r="G1968" s="146"/>
      <c r="H1968" s="146"/>
      <c r="I1968" s="147"/>
      <c r="J1968" s="147"/>
      <c r="K1968" s="63"/>
      <c r="L1968" s="63"/>
      <c r="M1968" s="63"/>
      <c r="N1968" s="63"/>
      <c r="O1968" s="63"/>
      <c r="P1968" s="63"/>
      <c r="Q1968" s="63"/>
      <c r="R1968" s="63"/>
      <c r="S1968" s="63"/>
      <c r="T1968" s="63"/>
      <c r="U1968" s="63"/>
      <c r="V1968" s="63"/>
      <c r="W1968" s="63"/>
      <c r="X1968" s="63"/>
      <c r="Y1968" s="63"/>
      <c r="Z1968" s="63"/>
      <c r="AA1968" s="63"/>
      <c r="AB1968" s="63"/>
      <c r="AC1968" s="63"/>
    </row>
    <row r="1969" spans="1:29" x14ac:dyDescent="0.25">
      <c r="A1969" s="108">
        <v>46053</v>
      </c>
      <c r="B1969" s="109">
        <v>70</v>
      </c>
      <c r="C1969" s="49" t="s">
        <v>19</v>
      </c>
      <c r="D1969" s="110" t="str">
        <f>IF(ISBLANK($B1969),"",IFERROR(VLOOKUP($B1969,ESTOQUE!$B$2:$D$97168,3,FALSE),"Produto não cadastrado"))</f>
        <v>CAMISA LARANJA OP. C/ FAIXA REFLETIVA TAM: P</v>
      </c>
      <c r="E1969" s="99" t="str">
        <f>_xlfn.XLOOKUP(B1969,ESTOQUE!B:B,ESTOQUE!G:G,"",0)</f>
        <v>UND</v>
      </c>
      <c r="F1969" s="99">
        <v>3</v>
      </c>
      <c r="G1969" s="146"/>
      <c r="H1969" s="146"/>
      <c r="I1969" s="147"/>
      <c r="J1969" s="147"/>
      <c r="K1969" s="63"/>
      <c r="L1969" s="63"/>
      <c r="M1969" s="63"/>
      <c r="N1969" s="63"/>
      <c r="O1969" s="63"/>
      <c r="P1969" s="63"/>
      <c r="Q1969" s="63"/>
      <c r="R1969" s="63"/>
      <c r="S1969" s="63"/>
      <c r="T1969" s="63"/>
      <c r="U1969" s="63"/>
      <c r="V1969" s="63"/>
      <c r="W1969" s="63"/>
      <c r="X1969" s="63"/>
      <c r="Y1969" s="63"/>
      <c r="Z1969" s="63"/>
      <c r="AA1969" s="63"/>
      <c r="AB1969" s="63"/>
      <c r="AC1969" s="63"/>
    </row>
    <row r="1970" spans="1:29" x14ac:dyDescent="0.25">
      <c r="A1970" s="108">
        <v>46053</v>
      </c>
      <c r="B1970" s="109">
        <v>97</v>
      </c>
      <c r="C1970" s="49" t="s">
        <v>19</v>
      </c>
      <c r="D1970" s="110" t="str">
        <f>IF(ISBLANK($B1970),"",IFERROR(VLOOKUP($B1970,ESTOQUE!$B$2:$D$97168,3,FALSE),"Produto não cadastrado"))</f>
        <v>COLETE REFLETIVO LARANJA M</v>
      </c>
      <c r="E1970" s="99" t="str">
        <f>_xlfn.XLOOKUP(B1970,ESTOQUE!B:B,ESTOQUE!G:G,"",0)</f>
        <v>UND</v>
      </c>
      <c r="F1970" s="99">
        <v>2</v>
      </c>
      <c r="G1970" s="146"/>
      <c r="H1970" s="146"/>
      <c r="I1970" s="147"/>
      <c r="J1970" s="147"/>
      <c r="K1970" s="63"/>
      <c r="L1970" s="63"/>
      <c r="M1970" s="63"/>
      <c r="N1970" s="63"/>
      <c r="O1970" s="63"/>
      <c r="P1970" s="63"/>
      <c r="Q1970" s="63"/>
      <c r="R1970" s="63"/>
      <c r="S1970" s="63"/>
      <c r="T1970" s="63"/>
      <c r="U1970" s="63"/>
      <c r="V1970" s="63"/>
      <c r="W1970" s="63"/>
      <c r="X1970" s="63"/>
      <c r="Y1970" s="63"/>
      <c r="Z1970" s="63"/>
      <c r="AA1970" s="63"/>
      <c r="AB1970" s="63"/>
      <c r="AC1970" s="63"/>
    </row>
    <row r="1971" spans="1:29" x14ac:dyDescent="0.25">
      <c r="A1971" s="108">
        <v>46053</v>
      </c>
      <c r="B1971" s="109">
        <v>141</v>
      </c>
      <c r="C1971" s="49" t="s">
        <v>19</v>
      </c>
      <c r="D1971" s="110" t="str">
        <f>IF(ISBLANK($B1971),"",IFERROR(VLOOKUP($B1971,ESTOQUE!$B$2:$D$97168,3,FALSE),"Produto não cadastrado"))</f>
        <v xml:space="preserve">LUVA DE VAQUETA </v>
      </c>
      <c r="E1971" s="99" t="str">
        <f>_xlfn.XLOOKUP(B1971,ESTOQUE!B:B,ESTOQUE!G:G,"",0)</f>
        <v>PAR</v>
      </c>
      <c r="F1971" s="99">
        <v>16</v>
      </c>
      <c r="G1971" s="146"/>
      <c r="H1971" s="146"/>
      <c r="I1971" s="147"/>
      <c r="J1971" s="147"/>
      <c r="K1971" s="63"/>
      <c r="L1971" s="63"/>
      <c r="M1971" s="63"/>
      <c r="N1971" s="63"/>
      <c r="O1971" s="63"/>
      <c r="P1971" s="63"/>
      <c r="Q1971" s="63"/>
      <c r="R1971" s="63"/>
      <c r="S1971" s="63"/>
      <c r="T1971" s="63"/>
      <c r="U1971" s="63"/>
      <c r="V1971" s="63"/>
      <c r="W1971" s="63"/>
      <c r="X1971" s="63"/>
      <c r="Y1971" s="63"/>
      <c r="Z1971" s="63"/>
      <c r="AA1971" s="63"/>
      <c r="AB1971" s="63"/>
      <c r="AC1971" s="63"/>
    </row>
    <row r="1972" spans="1:29" x14ac:dyDescent="0.25">
      <c r="A1972" s="108">
        <v>46053</v>
      </c>
      <c r="B1972" s="109">
        <v>111</v>
      </c>
      <c r="C1972" s="49" t="s">
        <v>19</v>
      </c>
      <c r="D1972" s="110" t="str">
        <f>IF(ISBLANK($B1972),"",IFERROR(VLOOKUP($B1972,ESTOQUE!$B$2:$D$97168,3,FALSE),"Produto não cadastrado"))</f>
        <v>LUVA DE VAQUETA MARROM</v>
      </c>
      <c r="E1972" s="99" t="str">
        <f>_xlfn.XLOOKUP(B1972,ESTOQUE!B:B,ESTOQUE!G:G,"",0)</f>
        <v>PAR</v>
      </c>
      <c r="F1972" s="99">
        <v>6</v>
      </c>
      <c r="G1972" s="146"/>
      <c r="H1972" s="146"/>
      <c r="I1972" s="147"/>
      <c r="J1972" s="147"/>
      <c r="K1972" s="63"/>
      <c r="L1972" s="63"/>
      <c r="M1972" s="63"/>
      <c r="N1972" s="63"/>
      <c r="O1972" s="63"/>
      <c r="P1972" s="63"/>
      <c r="Q1972" s="63"/>
      <c r="R1972" s="63"/>
      <c r="S1972" s="63"/>
      <c r="T1972" s="63"/>
      <c r="U1972" s="63"/>
      <c r="V1972" s="63"/>
      <c r="W1972" s="63"/>
      <c r="X1972" s="63"/>
      <c r="Y1972" s="63"/>
      <c r="Z1972" s="63"/>
      <c r="AA1972" s="63"/>
      <c r="AB1972" s="63"/>
      <c r="AC1972" s="63"/>
    </row>
    <row r="1973" spans="1:29" x14ac:dyDescent="0.25">
      <c r="A1973" s="108">
        <v>46053</v>
      </c>
      <c r="B1973" s="109">
        <v>114</v>
      </c>
      <c r="C1973" s="49" t="s">
        <v>19</v>
      </c>
      <c r="D1973" s="110" t="str">
        <f>IF(ISBLANK($B1973),"",IFERROR(VLOOKUP($B1973,ESTOQUE!$B$2:$D$97168,3,FALSE),"Produto não cadastrado"))</f>
        <v xml:space="preserve">LUVA LATEX NITRILICA </v>
      </c>
      <c r="E1973" s="99" t="str">
        <f>_xlfn.XLOOKUP(B1973,ESTOQUE!B:B,ESTOQUE!G:G,"",0)</f>
        <v>PAR</v>
      </c>
      <c r="F1973" s="99">
        <v>1</v>
      </c>
      <c r="G1973" s="146"/>
      <c r="H1973" s="146"/>
      <c r="I1973" s="147"/>
      <c r="J1973" s="147"/>
      <c r="K1973" s="63"/>
      <c r="L1973" s="63"/>
      <c r="M1973" s="63"/>
      <c r="N1973" s="63"/>
      <c r="O1973" s="63"/>
      <c r="P1973" s="63"/>
      <c r="Q1973" s="63"/>
      <c r="R1973" s="63"/>
      <c r="S1973" s="63"/>
      <c r="T1973" s="63"/>
      <c r="U1973" s="63"/>
      <c r="V1973" s="63"/>
      <c r="W1973" s="63"/>
      <c r="X1973" s="63"/>
      <c r="Y1973" s="63"/>
      <c r="Z1973" s="63"/>
      <c r="AA1973" s="63"/>
      <c r="AB1973" s="63"/>
      <c r="AC1973" s="63"/>
    </row>
    <row r="1974" spans="1:29" x14ac:dyDescent="0.25">
      <c r="A1974" s="108">
        <v>46053</v>
      </c>
      <c r="B1974" s="109">
        <v>207</v>
      </c>
      <c r="C1974" s="49" t="s">
        <v>19</v>
      </c>
      <c r="D1974" s="110" t="str">
        <f>IF(ISBLANK($B1974),"",IFERROR(VLOOKUP($B1974,ESTOQUE!$B$2:$D$97168,3,FALSE),"Produto não cadastrado"))</f>
        <v>LUVA POLIESTER ANTICORTE BANHADA PU TAM 9</v>
      </c>
      <c r="E1974" s="99" t="str">
        <f>_xlfn.XLOOKUP(B1974,ESTOQUE!B:B,ESTOQUE!G:G,"",0)</f>
        <v>PAR</v>
      </c>
      <c r="F1974" s="99">
        <v>1</v>
      </c>
      <c r="G1974" s="146"/>
      <c r="H1974" s="146"/>
      <c r="I1974" s="147"/>
      <c r="J1974" s="147"/>
      <c r="K1974" s="63"/>
      <c r="L1974" s="63"/>
      <c r="M1974" s="63"/>
      <c r="N1974" s="63"/>
      <c r="O1974" s="63"/>
      <c r="P1974" s="63"/>
      <c r="Q1974" s="63"/>
      <c r="R1974" s="63"/>
      <c r="S1974" s="63"/>
      <c r="T1974" s="63"/>
      <c r="U1974" s="63"/>
      <c r="V1974" s="63"/>
      <c r="W1974" s="63"/>
      <c r="X1974" s="63"/>
      <c r="Y1974" s="63"/>
      <c r="Z1974" s="63"/>
      <c r="AA1974" s="63"/>
      <c r="AB1974" s="63"/>
      <c r="AC1974" s="63"/>
    </row>
    <row r="1975" spans="1:29" x14ac:dyDescent="0.25">
      <c r="A1975" s="108">
        <v>46053</v>
      </c>
      <c r="B1975" s="109">
        <v>125</v>
      </c>
      <c r="C1975" s="49" t="s">
        <v>19</v>
      </c>
      <c r="D1975" s="110" t="str">
        <f>IF(ISBLANK($B1975),"",IFERROR(VLOOKUP($B1975,ESTOQUE!$B$2:$D$97168,3,FALSE),"Produto não cadastrado"))</f>
        <v xml:space="preserve">MASCARA DE SOLDA AUTOMATICA </v>
      </c>
      <c r="E1975" s="99" t="str">
        <f>_xlfn.XLOOKUP(B1975,ESTOQUE!B:B,ESTOQUE!G:G,"",0)</f>
        <v>UND</v>
      </c>
      <c r="F1975" s="99">
        <v>2</v>
      </c>
      <c r="G1975" s="146"/>
      <c r="H1975" s="146"/>
      <c r="I1975" s="147"/>
      <c r="J1975" s="147"/>
      <c r="K1975" s="63"/>
      <c r="L1975" s="63"/>
      <c r="M1975" s="63"/>
      <c r="N1975" s="63"/>
      <c r="O1975" s="63"/>
      <c r="P1975" s="63"/>
      <c r="Q1975" s="63"/>
      <c r="R1975" s="63"/>
      <c r="S1975" s="63"/>
      <c r="T1975" s="63"/>
      <c r="U1975" s="63"/>
      <c r="V1975" s="63"/>
      <c r="W1975" s="63"/>
      <c r="X1975" s="63"/>
      <c r="Y1975" s="63"/>
      <c r="Z1975" s="63"/>
      <c r="AA1975" s="63"/>
      <c r="AB1975" s="63"/>
      <c r="AC1975" s="63"/>
    </row>
    <row r="1976" spans="1:29" x14ac:dyDescent="0.25">
      <c r="A1976" s="108">
        <v>46053</v>
      </c>
      <c r="B1976" s="109">
        <v>144</v>
      </c>
      <c r="C1976" s="49" t="s">
        <v>19</v>
      </c>
      <c r="D1976" s="110" t="str">
        <f>IF(ISBLANK($B1976),"",IFERROR(VLOOKUP($B1976,ESTOQUE!$B$2:$D$97168,3,FALSE),"Produto não cadastrado"))</f>
        <v>MASCARA PFF2-S C/ FILTRO</v>
      </c>
      <c r="E1976" s="99" t="str">
        <f>_xlfn.XLOOKUP(B1976,ESTOQUE!B:B,ESTOQUE!G:G,"",0)</f>
        <v>UND</v>
      </c>
      <c r="F1976" s="99">
        <v>14</v>
      </c>
      <c r="G1976" s="146"/>
      <c r="H1976" s="146"/>
      <c r="I1976" s="147"/>
      <c r="J1976" s="147"/>
      <c r="K1976" s="63"/>
      <c r="L1976" s="63"/>
      <c r="M1976" s="63"/>
      <c r="N1976" s="63"/>
      <c r="O1976" s="63"/>
      <c r="P1976" s="63"/>
      <c r="Q1976" s="63"/>
      <c r="R1976" s="63"/>
      <c r="S1976" s="63"/>
      <c r="T1976" s="63"/>
      <c r="U1976" s="63"/>
      <c r="V1976" s="63"/>
      <c r="W1976" s="63"/>
      <c r="X1976" s="63"/>
      <c r="Y1976" s="63"/>
      <c r="Z1976" s="63"/>
      <c r="AA1976" s="63"/>
      <c r="AB1976" s="63"/>
      <c r="AC1976" s="63"/>
    </row>
    <row r="1977" spans="1:29" x14ac:dyDescent="0.25">
      <c r="A1977" s="108">
        <v>46053</v>
      </c>
      <c r="B1977" s="109">
        <v>126</v>
      </c>
      <c r="C1977" s="49" t="s">
        <v>19</v>
      </c>
      <c r="D1977" s="110" t="str">
        <f>IF(ISBLANK($B1977),"",IFERROR(VLOOKUP($B1977,ESTOQUE!$B$2:$D$97168,3,FALSE),"Produto não cadastrado"))</f>
        <v>OCULOS DE PROTEÇÃO ESCURO</v>
      </c>
      <c r="E1977" s="99" t="str">
        <f>_xlfn.XLOOKUP(B1977,ESTOQUE!B:B,ESTOQUE!G:G,"",0)</f>
        <v>UND</v>
      </c>
      <c r="F1977" s="99">
        <v>4</v>
      </c>
      <c r="G1977" s="146"/>
      <c r="H1977" s="146"/>
      <c r="I1977" s="147"/>
      <c r="J1977" s="147"/>
      <c r="K1977" s="63"/>
      <c r="L1977" s="63"/>
      <c r="M1977" s="63"/>
      <c r="N1977" s="63"/>
      <c r="O1977" s="63"/>
      <c r="P1977" s="63"/>
      <c r="Q1977" s="63"/>
      <c r="R1977" s="63"/>
      <c r="S1977" s="63"/>
      <c r="T1977" s="63"/>
      <c r="U1977" s="63"/>
      <c r="V1977" s="63"/>
      <c r="W1977" s="63"/>
      <c r="X1977" s="63"/>
      <c r="Y1977" s="63"/>
      <c r="Z1977" s="63"/>
      <c r="AA1977" s="63"/>
      <c r="AB1977" s="63"/>
      <c r="AC1977" s="63"/>
    </row>
    <row r="1978" spans="1:29" x14ac:dyDescent="0.25">
      <c r="A1978" s="108">
        <v>46055</v>
      </c>
      <c r="B1978" s="109">
        <v>172</v>
      </c>
      <c r="C1978" s="49" t="s">
        <v>19</v>
      </c>
      <c r="D1978" s="110" t="str">
        <f>IF(ISBLANK($B1978),"",IFERROR(VLOOKUP($B1978,ESTOQUE!$B$2:$D$97168,3,FALSE),"Produto não cadastrado"))</f>
        <v>BOTA PVC CANO CURTO Nº 41</v>
      </c>
      <c r="E1978" s="99" t="str">
        <f>_xlfn.XLOOKUP(B1978,ESTOQUE!B:B,ESTOQUE!G:G,"",0)</f>
        <v>PAR</v>
      </c>
      <c r="F1978" s="99">
        <v>1</v>
      </c>
      <c r="G1978" s="146"/>
      <c r="H1978" s="146"/>
      <c r="I1978" s="147"/>
      <c r="J1978" s="147"/>
      <c r="K1978" s="63"/>
      <c r="L1978" s="63"/>
      <c r="M1978" s="63"/>
      <c r="N1978" s="63"/>
      <c r="O1978" s="63"/>
      <c r="P1978" s="63"/>
      <c r="Q1978" s="63"/>
      <c r="R1978" s="63"/>
      <c r="S1978" s="63"/>
      <c r="T1978" s="63"/>
      <c r="U1978" s="63"/>
      <c r="V1978" s="63"/>
      <c r="W1978" s="63"/>
      <c r="X1978" s="63"/>
      <c r="Y1978" s="63"/>
      <c r="Z1978" s="63"/>
      <c r="AA1978" s="63"/>
      <c r="AB1978" s="63"/>
      <c r="AC1978" s="63"/>
    </row>
    <row r="1979" spans="1:29" x14ac:dyDescent="0.25">
      <c r="A1979" s="108">
        <v>46055</v>
      </c>
      <c r="B1979" s="109">
        <v>29</v>
      </c>
      <c r="C1979" s="49" t="s">
        <v>19</v>
      </c>
      <c r="D1979" s="110" t="str">
        <f>IF(ISBLANK($B1979),"",IFERROR(VLOOKUP($B1979,ESTOQUE!$B$2:$D$97168,3,FALSE),"Produto não cadastrado"))</f>
        <v>BOTINA DE ELETRICISTA Nº 39</v>
      </c>
      <c r="E1979" s="99" t="str">
        <f>_xlfn.XLOOKUP(B1979,ESTOQUE!B:B,ESTOQUE!G:G,"",0)</f>
        <v>PAR</v>
      </c>
      <c r="F1979" s="99">
        <v>2</v>
      </c>
      <c r="G1979" s="146"/>
      <c r="H1979" s="146"/>
      <c r="I1979" s="147"/>
      <c r="J1979" s="147"/>
      <c r="K1979" s="63"/>
      <c r="L1979" s="63"/>
      <c r="M1979" s="63"/>
      <c r="N1979" s="63"/>
      <c r="O1979" s="63"/>
      <c r="P1979" s="63"/>
      <c r="Q1979" s="63"/>
      <c r="R1979" s="63"/>
      <c r="S1979" s="63"/>
      <c r="T1979" s="63"/>
      <c r="U1979" s="63"/>
      <c r="V1979" s="63"/>
      <c r="W1979" s="63"/>
      <c r="X1979" s="63"/>
      <c r="Y1979" s="63"/>
      <c r="Z1979" s="63"/>
      <c r="AA1979" s="63"/>
      <c r="AB1979" s="63"/>
      <c r="AC1979" s="63"/>
    </row>
    <row r="1980" spans="1:29" x14ac:dyDescent="0.25">
      <c r="A1980" s="108">
        <v>46055</v>
      </c>
      <c r="B1980" s="109">
        <v>162</v>
      </c>
      <c r="C1980" s="49" t="s">
        <v>19</v>
      </c>
      <c r="D1980" s="110" t="str">
        <f>IF(ISBLANK($B1980),"",IFERROR(VLOOKUP($B1980,ESTOQUE!$B$2:$D$97168,3,FALSE),"Produto não cadastrado"))</f>
        <v>BOTINA DE ELETRICISTA Nº 42</v>
      </c>
      <c r="E1980" s="99" t="str">
        <f>_xlfn.XLOOKUP(B1980,ESTOQUE!B:B,ESTOQUE!G:G,"",0)</f>
        <v>PAR</v>
      </c>
      <c r="F1980" s="99">
        <v>1</v>
      </c>
      <c r="G1980" s="146"/>
      <c r="H1980" s="146"/>
      <c r="I1980" s="147"/>
      <c r="J1980" s="147"/>
      <c r="K1980" s="63"/>
      <c r="L1980" s="63"/>
      <c r="M1980" s="63"/>
      <c r="N1980" s="63"/>
      <c r="O1980" s="63"/>
      <c r="P1980" s="63"/>
      <c r="Q1980" s="63"/>
      <c r="R1980" s="63"/>
      <c r="S1980" s="63"/>
      <c r="T1980" s="63"/>
      <c r="U1980" s="63"/>
      <c r="V1980" s="63"/>
      <c r="W1980" s="63"/>
      <c r="X1980" s="63"/>
      <c r="Y1980" s="63"/>
      <c r="Z1980" s="63"/>
      <c r="AA1980" s="63"/>
      <c r="AB1980" s="63"/>
      <c r="AC1980" s="63"/>
    </row>
    <row r="1981" spans="1:29" x14ac:dyDescent="0.25">
      <c r="A1981" s="108">
        <v>46055</v>
      </c>
      <c r="B1981" s="109">
        <v>42</v>
      </c>
      <c r="C1981" s="49" t="s">
        <v>19</v>
      </c>
      <c r="D1981" s="110" t="str">
        <f>IF(ISBLANK($B1981),"",IFERROR(VLOOKUP($B1981,ESTOQUE!$B$2:$D$97168,3,FALSE),"Produto não cadastrado"))</f>
        <v>BOTINA OP. BICO PVC Nº 44</v>
      </c>
      <c r="E1981" s="99" t="str">
        <f>_xlfn.XLOOKUP(B1981,ESTOQUE!B:B,ESTOQUE!G:G,"",0)</f>
        <v>PAR</v>
      </c>
      <c r="F1981" s="99">
        <v>1</v>
      </c>
      <c r="G1981" s="146"/>
      <c r="H1981" s="146"/>
      <c r="I1981" s="147"/>
      <c r="J1981" s="147"/>
      <c r="K1981" s="63"/>
      <c r="L1981" s="63"/>
      <c r="M1981" s="63"/>
      <c r="N1981" s="63"/>
      <c r="O1981" s="63"/>
      <c r="P1981" s="63"/>
      <c r="Q1981" s="63"/>
      <c r="R1981" s="63"/>
      <c r="S1981" s="63"/>
      <c r="T1981" s="63"/>
      <c r="U1981" s="63"/>
      <c r="V1981" s="63"/>
      <c r="W1981" s="63"/>
      <c r="X1981" s="63"/>
      <c r="Y1981" s="63"/>
      <c r="Z1981" s="63"/>
      <c r="AA1981" s="63"/>
      <c r="AB1981" s="63"/>
      <c r="AC1981" s="63"/>
    </row>
    <row r="1982" spans="1:29" x14ac:dyDescent="0.25">
      <c r="A1982" s="108">
        <v>46055</v>
      </c>
      <c r="B1982" s="109">
        <v>46</v>
      </c>
      <c r="C1982" s="49" t="s">
        <v>19</v>
      </c>
      <c r="D1982" s="110" t="str">
        <f>IF(ISBLANK($B1982),"",IFERROR(VLOOKUP($B1982,ESTOQUE!$B$2:$D$97168,3,FALSE),"Produto não cadastrado"))</f>
        <v>CALÇA CINZA OP. C/ FAIXA REFLETIVA TAM: G</v>
      </c>
      <c r="E1982" s="99" t="str">
        <f>_xlfn.XLOOKUP(B1982,ESTOQUE!B:B,ESTOQUE!G:G,"",0)</f>
        <v>UND</v>
      </c>
      <c r="F1982" s="99">
        <v>4</v>
      </c>
      <c r="G1982" s="146"/>
      <c r="H1982" s="146"/>
      <c r="I1982" s="147"/>
      <c r="J1982" s="147"/>
      <c r="K1982" s="63"/>
      <c r="L1982" s="63"/>
      <c r="M1982" s="63"/>
      <c r="N1982" s="63"/>
      <c r="O1982" s="63"/>
      <c r="P1982" s="63"/>
      <c r="Q1982" s="63"/>
      <c r="R1982" s="63"/>
      <c r="S1982" s="63"/>
      <c r="T1982" s="63"/>
      <c r="U1982" s="63"/>
      <c r="V1982" s="63"/>
      <c r="W1982" s="63"/>
      <c r="X1982" s="63"/>
      <c r="Y1982" s="63"/>
      <c r="Z1982" s="63"/>
      <c r="AA1982" s="63"/>
      <c r="AB1982" s="63"/>
      <c r="AC1982" s="63"/>
    </row>
    <row r="1983" spans="1:29" x14ac:dyDescent="0.25">
      <c r="A1983" s="108">
        <v>46055</v>
      </c>
      <c r="B1983" s="109">
        <v>47</v>
      </c>
      <c r="C1983" s="49" t="s">
        <v>19</v>
      </c>
      <c r="D1983" s="110" t="str">
        <f>IF(ISBLANK($B1983),"",IFERROR(VLOOKUP($B1983,ESTOQUE!$B$2:$D$97168,3,FALSE),"Produto não cadastrado"))</f>
        <v>CALÇA CINZA OP. C/ FAIXA REFLETIVA TAM: GG</v>
      </c>
      <c r="E1983" s="99" t="str">
        <f>_xlfn.XLOOKUP(B1983,ESTOQUE!B:B,ESTOQUE!G:G,"",0)</f>
        <v>UND</v>
      </c>
      <c r="F1983" s="99">
        <v>2</v>
      </c>
      <c r="G1983" s="146"/>
      <c r="H1983" s="146"/>
      <c r="I1983" s="147"/>
      <c r="J1983" s="147"/>
      <c r="K1983" s="63"/>
      <c r="L1983" s="63"/>
      <c r="M1983" s="63"/>
      <c r="N1983" s="63"/>
      <c r="O1983" s="63"/>
      <c r="P1983" s="63"/>
      <c r="Q1983" s="63"/>
      <c r="R1983" s="63"/>
      <c r="S1983" s="63"/>
      <c r="T1983" s="63"/>
      <c r="U1983" s="63"/>
      <c r="V1983" s="63"/>
      <c r="W1983" s="63"/>
      <c r="X1983" s="63"/>
      <c r="Y1983" s="63"/>
      <c r="Z1983" s="63"/>
      <c r="AA1983" s="63"/>
      <c r="AB1983" s="63"/>
      <c r="AC1983" s="63"/>
    </row>
    <row r="1984" spans="1:29" x14ac:dyDescent="0.25">
      <c r="A1984" s="108">
        <v>46055</v>
      </c>
      <c r="B1984" s="109">
        <v>48</v>
      </c>
      <c r="C1984" s="49" t="s">
        <v>19</v>
      </c>
      <c r="D1984" s="110" t="str">
        <f>IF(ISBLANK($B1984),"",IFERROR(VLOOKUP($B1984,ESTOQUE!$B$2:$D$97168,3,FALSE),"Produto não cadastrado"))</f>
        <v>CALÇA CINZA OP. C/ FAIXA REFLETIVA TAM: M</v>
      </c>
      <c r="E1984" s="99" t="str">
        <f>_xlfn.XLOOKUP(B1984,ESTOQUE!B:B,ESTOQUE!G:G,"",0)</f>
        <v>UND</v>
      </c>
      <c r="F1984" s="99">
        <v>4</v>
      </c>
      <c r="G1984" s="146"/>
      <c r="H1984" s="146"/>
      <c r="I1984" s="147"/>
      <c r="J1984" s="147"/>
      <c r="K1984" s="63"/>
      <c r="L1984" s="63"/>
      <c r="M1984" s="63"/>
      <c r="N1984" s="63"/>
      <c r="O1984" s="63"/>
      <c r="P1984" s="63"/>
      <c r="Q1984" s="63"/>
      <c r="R1984" s="63"/>
      <c r="S1984" s="63"/>
      <c r="T1984" s="63"/>
      <c r="U1984" s="63"/>
      <c r="V1984" s="63"/>
      <c r="W1984" s="63"/>
      <c r="X1984" s="63"/>
      <c r="Y1984" s="63"/>
      <c r="Z1984" s="63"/>
      <c r="AA1984" s="63"/>
      <c r="AB1984" s="63"/>
      <c r="AC1984" s="63"/>
    </row>
    <row r="1985" spans="1:29" x14ac:dyDescent="0.25">
      <c r="A1985" s="108">
        <v>46055</v>
      </c>
      <c r="B1985" s="109">
        <v>67</v>
      </c>
      <c r="C1985" s="49" t="s">
        <v>19</v>
      </c>
      <c r="D1985" s="110" t="str">
        <f>IF(ISBLANK($B1985),"",IFERROR(VLOOKUP($B1985,ESTOQUE!$B$2:$D$97168,3,FALSE),"Produto não cadastrado"))</f>
        <v>CAMISA LARANJA OP. C/ FAIXA REFLETIVA TAM: G</v>
      </c>
      <c r="E1985" s="99" t="str">
        <f>_xlfn.XLOOKUP(B1985,ESTOQUE!B:B,ESTOQUE!G:G,"",0)</f>
        <v>UND</v>
      </c>
      <c r="F1985" s="99">
        <v>6</v>
      </c>
      <c r="G1985" s="146"/>
      <c r="H1985" s="146"/>
      <c r="I1985" s="147"/>
      <c r="J1985" s="147"/>
      <c r="K1985" s="63"/>
      <c r="L1985" s="63"/>
      <c r="M1985" s="63"/>
      <c r="N1985" s="63"/>
      <c r="O1985" s="63"/>
      <c r="P1985" s="63"/>
      <c r="Q1985" s="63"/>
      <c r="R1985" s="63"/>
      <c r="S1985" s="63"/>
      <c r="T1985" s="63"/>
      <c r="U1985" s="63"/>
      <c r="V1985" s="63"/>
      <c r="W1985" s="63"/>
      <c r="X1985" s="63"/>
      <c r="Y1985" s="63"/>
      <c r="Z1985" s="63"/>
      <c r="AA1985" s="63"/>
      <c r="AB1985" s="63"/>
      <c r="AC1985" s="63"/>
    </row>
    <row r="1986" spans="1:29" x14ac:dyDescent="0.25">
      <c r="A1986" s="108">
        <v>46055</v>
      </c>
      <c r="B1986" s="109">
        <v>69</v>
      </c>
      <c r="C1986" s="49" t="s">
        <v>19</v>
      </c>
      <c r="D1986" s="110" t="str">
        <f>IF(ISBLANK($B1986),"",IFERROR(VLOOKUP($B1986,ESTOQUE!$B$2:$D$97168,3,FALSE),"Produto não cadastrado"))</f>
        <v>CAMISA LARANJA OP. C/ FAIXA REFLETIVA TAM: M</v>
      </c>
      <c r="E1986" s="99" t="str">
        <f>_xlfn.XLOOKUP(B1986,ESTOQUE!B:B,ESTOQUE!G:G,"",0)</f>
        <v>UND</v>
      </c>
      <c r="F1986" s="99">
        <v>2</v>
      </c>
      <c r="G1986" s="146"/>
      <c r="H1986" s="146"/>
      <c r="I1986" s="147"/>
      <c r="J1986" s="147"/>
      <c r="K1986" s="63"/>
      <c r="L1986" s="63"/>
      <c r="M1986" s="63"/>
      <c r="N1986" s="63"/>
      <c r="O1986" s="63"/>
      <c r="P1986" s="63"/>
      <c r="Q1986" s="63"/>
      <c r="R1986" s="63"/>
      <c r="S1986" s="63"/>
      <c r="T1986" s="63"/>
      <c r="U1986" s="63"/>
      <c r="V1986" s="63"/>
      <c r="W1986" s="63"/>
      <c r="X1986" s="63"/>
      <c r="Y1986" s="63"/>
      <c r="Z1986" s="63"/>
      <c r="AA1986" s="63"/>
      <c r="AB1986" s="63"/>
      <c r="AC1986" s="63"/>
    </row>
    <row r="1987" spans="1:29" x14ac:dyDescent="0.25">
      <c r="A1987" s="108">
        <v>46055</v>
      </c>
      <c r="B1987" s="109">
        <v>70</v>
      </c>
      <c r="C1987" s="49" t="s">
        <v>19</v>
      </c>
      <c r="D1987" s="110" t="str">
        <f>IF(ISBLANK($B1987),"",IFERROR(VLOOKUP($B1987,ESTOQUE!$B$2:$D$97168,3,FALSE),"Produto não cadastrado"))</f>
        <v>CAMISA LARANJA OP. C/ FAIXA REFLETIVA TAM: P</v>
      </c>
      <c r="E1987" s="99" t="str">
        <f>_xlfn.XLOOKUP(B1987,ESTOQUE!B:B,ESTOQUE!G:G,"",0)</f>
        <v>UND</v>
      </c>
      <c r="F1987" s="99">
        <v>1</v>
      </c>
      <c r="G1987" s="146"/>
      <c r="H1987" s="146"/>
      <c r="I1987" s="147"/>
      <c r="J1987" s="147"/>
      <c r="K1987" s="63"/>
      <c r="L1987" s="63"/>
      <c r="M1987" s="63"/>
      <c r="N1987" s="63"/>
      <c r="O1987" s="63"/>
      <c r="P1987" s="63"/>
      <c r="Q1987" s="63"/>
      <c r="R1987" s="63"/>
      <c r="S1987" s="63"/>
      <c r="T1987" s="63"/>
      <c r="U1987" s="63"/>
      <c r="V1987" s="63"/>
      <c r="W1987" s="63"/>
      <c r="X1987" s="63"/>
      <c r="Y1987" s="63"/>
      <c r="Z1987" s="63"/>
      <c r="AA1987" s="63"/>
      <c r="AB1987" s="63"/>
      <c r="AC1987" s="63"/>
    </row>
    <row r="1988" spans="1:29" x14ac:dyDescent="0.25">
      <c r="A1988" s="108">
        <v>46055</v>
      </c>
      <c r="B1988" s="109">
        <v>73</v>
      </c>
      <c r="C1988" s="49" t="s">
        <v>19</v>
      </c>
      <c r="D1988" s="110" t="str">
        <f>IF(ISBLANK($B1988),"",IFERROR(VLOOKUP($B1988,ESTOQUE!$B$2:$D$97168,3,FALSE),"Produto não cadastrado"))</f>
        <v>CAPA DE CHUVA GG</v>
      </c>
      <c r="E1988" s="99" t="str">
        <f>_xlfn.XLOOKUP(B1988,ESTOQUE!B:B,ESTOQUE!G:G,"",0)</f>
        <v>UND</v>
      </c>
      <c r="F1988" s="99">
        <v>41</v>
      </c>
      <c r="G1988" s="146"/>
      <c r="H1988" s="146"/>
      <c r="I1988" s="147"/>
      <c r="J1988" s="147"/>
      <c r="K1988" s="63"/>
      <c r="L1988" s="63"/>
      <c r="M1988" s="63"/>
      <c r="N1988" s="63"/>
      <c r="O1988" s="63"/>
      <c r="P1988" s="63"/>
      <c r="Q1988" s="63"/>
      <c r="R1988" s="63"/>
      <c r="S1988" s="63"/>
      <c r="T1988" s="63"/>
      <c r="U1988" s="63"/>
      <c r="V1988" s="63"/>
      <c r="W1988" s="63"/>
      <c r="X1988" s="63"/>
      <c r="Y1988" s="63"/>
      <c r="Z1988" s="63"/>
      <c r="AA1988" s="63"/>
      <c r="AB1988" s="63"/>
      <c r="AC1988" s="63"/>
    </row>
    <row r="1989" spans="1:29" x14ac:dyDescent="0.25">
      <c r="A1989" s="108">
        <v>46055</v>
      </c>
      <c r="B1989" s="109">
        <v>110</v>
      </c>
      <c r="C1989" s="49" t="s">
        <v>19</v>
      </c>
      <c r="D1989" s="110" t="str">
        <f>IF(ISBLANK($B1989),"",IFERROR(VLOOKUP($B1989,ESTOQUE!$B$2:$D$97168,3,FALSE),"Produto não cadastrado"))</f>
        <v>LUVA DE RASPA CANO LONGO</v>
      </c>
      <c r="E1989" s="99" t="str">
        <f>_xlfn.XLOOKUP(B1989,ESTOQUE!B:B,ESTOQUE!G:G,"",0)</f>
        <v>PAR</v>
      </c>
      <c r="F1989" s="99">
        <v>10</v>
      </c>
      <c r="G1989" s="146"/>
      <c r="H1989" s="146"/>
      <c r="I1989" s="147"/>
      <c r="J1989" s="147"/>
      <c r="K1989" s="63"/>
      <c r="L1989" s="63"/>
      <c r="M1989" s="63"/>
      <c r="N1989" s="63"/>
      <c r="O1989" s="63"/>
      <c r="P1989" s="63"/>
      <c r="Q1989" s="63"/>
      <c r="R1989" s="63"/>
      <c r="S1989" s="63"/>
      <c r="T1989" s="63"/>
      <c r="U1989" s="63"/>
      <c r="V1989" s="63"/>
      <c r="W1989" s="63"/>
      <c r="X1989" s="63"/>
      <c r="Y1989" s="63"/>
      <c r="Z1989" s="63"/>
      <c r="AA1989" s="63"/>
      <c r="AB1989" s="63"/>
      <c r="AC1989" s="63"/>
    </row>
    <row r="1990" spans="1:29" x14ac:dyDescent="0.25">
      <c r="A1990" s="108">
        <v>46055</v>
      </c>
      <c r="B1990" s="109">
        <v>118</v>
      </c>
      <c r="C1990" s="49" t="s">
        <v>19</v>
      </c>
      <c r="D1990" s="110" t="str">
        <f>IF(ISBLANK($B1990),"",IFERROR(VLOOKUP($B1990,ESTOQUE!$B$2:$D$97168,3,FALSE),"Produto não cadastrado"))</f>
        <v>MACACÃO DE PROTEÇÃO TYVEK</v>
      </c>
      <c r="E1990" s="99" t="str">
        <f>_xlfn.XLOOKUP(B1990,ESTOQUE!B:B,ESTOQUE!G:G,"",0)</f>
        <v>UND</v>
      </c>
      <c r="F1990" s="99">
        <v>27</v>
      </c>
      <c r="G1990" s="146"/>
      <c r="H1990" s="146"/>
      <c r="I1990" s="147"/>
      <c r="J1990" s="147"/>
      <c r="K1990" s="63"/>
      <c r="L1990" s="63"/>
      <c r="M1990" s="63"/>
      <c r="N1990" s="63"/>
      <c r="O1990" s="63"/>
      <c r="P1990" s="63"/>
      <c r="Q1990" s="63"/>
      <c r="R1990" s="63"/>
      <c r="S1990" s="63"/>
      <c r="T1990" s="63"/>
      <c r="U1990" s="63"/>
      <c r="V1990" s="63"/>
      <c r="W1990" s="63"/>
      <c r="X1990" s="63"/>
      <c r="Y1990" s="63"/>
      <c r="Z1990" s="63"/>
      <c r="AA1990" s="63"/>
      <c r="AB1990" s="63"/>
      <c r="AC1990" s="63"/>
    </row>
    <row r="1991" spans="1:29" x14ac:dyDescent="0.25">
      <c r="A1991" s="108">
        <v>46055</v>
      </c>
      <c r="B1991" s="109">
        <v>144</v>
      </c>
      <c r="C1991" s="49" t="s">
        <v>19</v>
      </c>
      <c r="D1991" s="110" t="str">
        <f>IF(ISBLANK($B1991),"",IFERROR(VLOOKUP($B1991,ESTOQUE!$B$2:$D$97168,3,FALSE),"Produto não cadastrado"))</f>
        <v>MASCARA PFF2-S C/ FILTRO</v>
      </c>
      <c r="E1991" s="99" t="str">
        <f>_xlfn.XLOOKUP(B1991,ESTOQUE!B:B,ESTOQUE!G:G,"",0)</f>
        <v>UND</v>
      </c>
      <c r="F1991" s="99">
        <v>50</v>
      </c>
      <c r="G1991" s="146"/>
      <c r="H1991" s="146"/>
      <c r="I1991" s="147"/>
      <c r="J1991" s="147"/>
      <c r="K1991" s="63"/>
      <c r="L1991" s="63"/>
      <c r="M1991" s="63"/>
      <c r="N1991" s="63"/>
      <c r="O1991" s="63"/>
      <c r="P1991" s="63"/>
      <c r="Q1991" s="63"/>
      <c r="R1991" s="63"/>
      <c r="S1991" s="63"/>
      <c r="T1991" s="63"/>
      <c r="U1991" s="63"/>
      <c r="V1991" s="63"/>
      <c r="W1991" s="63"/>
      <c r="X1991" s="63"/>
      <c r="Y1991" s="63"/>
      <c r="Z1991" s="63"/>
      <c r="AA1991" s="63"/>
      <c r="AB1991" s="63"/>
      <c r="AC1991" s="63"/>
    </row>
    <row r="1992" spans="1:29" x14ac:dyDescent="0.25">
      <c r="A1992" s="108">
        <v>46055</v>
      </c>
      <c r="B1992" s="109">
        <v>207</v>
      </c>
      <c r="C1992" s="49" t="s">
        <v>19</v>
      </c>
      <c r="D1992" s="110" t="str">
        <f>IF(ISBLANK($B1992),"",IFERROR(VLOOKUP($B1992,ESTOQUE!$B$2:$D$97168,3,FALSE),"Produto não cadastrado"))</f>
        <v>LUVA POLIESTER ANTICORTE BANHADA PU TAM 9</v>
      </c>
      <c r="E1992" s="99" t="str">
        <f>_xlfn.XLOOKUP(B1992,ESTOQUE!B:B,ESTOQUE!G:G,"",0)</f>
        <v>PAR</v>
      </c>
      <c r="F1992" s="99">
        <v>26</v>
      </c>
      <c r="G1992" s="146"/>
      <c r="H1992" s="146"/>
      <c r="I1992" s="147"/>
      <c r="J1992" s="147"/>
      <c r="K1992" s="63"/>
      <c r="L1992" s="63"/>
      <c r="M1992" s="63"/>
      <c r="N1992" s="63"/>
      <c r="O1992" s="63"/>
      <c r="P1992" s="63"/>
      <c r="Q1992" s="63"/>
      <c r="R1992" s="63"/>
      <c r="S1992" s="63"/>
      <c r="T1992" s="63"/>
      <c r="U1992" s="63"/>
      <c r="V1992" s="63"/>
      <c r="W1992" s="63"/>
      <c r="X1992" s="63"/>
      <c r="Y1992" s="63"/>
      <c r="Z1992" s="63"/>
      <c r="AA1992" s="63"/>
      <c r="AB1992" s="63"/>
      <c r="AC1992" s="63"/>
    </row>
    <row r="1993" spans="1:29" x14ac:dyDescent="0.25">
      <c r="A1993" s="108">
        <v>46056</v>
      </c>
      <c r="B1993" s="109">
        <v>41</v>
      </c>
      <c r="C1993" s="49" t="s">
        <v>19</v>
      </c>
      <c r="D1993" s="110" t="str">
        <f>IF(ISBLANK($B1993),"",IFERROR(VLOOKUP($B1993,ESTOQUE!$B$2:$D$97168,3,FALSE),"Produto não cadastrado"))</f>
        <v>BOTINA OP. BICO PVC Nº 43</v>
      </c>
      <c r="E1993" s="99" t="str">
        <f>_xlfn.XLOOKUP(B1993,ESTOQUE!B:B,ESTOQUE!G:G,"",0)</f>
        <v>PAR</v>
      </c>
      <c r="F1993" s="99">
        <v>1</v>
      </c>
      <c r="G1993" s="146"/>
      <c r="H1993" s="146"/>
      <c r="I1993" s="147"/>
      <c r="J1993" s="147"/>
      <c r="K1993" s="63"/>
      <c r="L1993" s="63"/>
      <c r="M1993" s="63"/>
      <c r="N1993" s="63"/>
      <c r="O1993" s="63"/>
      <c r="P1993" s="63"/>
      <c r="Q1993" s="63"/>
      <c r="R1993" s="63"/>
      <c r="S1993" s="63"/>
      <c r="T1993" s="63"/>
      <c r="U1993" s="63"/>
      <c r="V1993" s="63"/>
      <c r="W1993" s="63"/>
      <c r="X1993" s="63"/>
      <c r="Y1993" s="63"/>
      <c r="Z1993" s="63"/>
      <c r="AA1993" s="63"/>
      <c r="AB1993" s="63"/>
      <c r="AC1993" s="63"/>
    </row>
    <row r="1994" spans="1:29" x14ac:dyDescent="0.25">
      <c r="A1994" s="108">
        <v>46056</v>
      </c>
      <c r="B1994" s="109">
        <v>46</v>
      </c>
      <c r="C1994" s="49" t="s">
        <v>19</v>
      </c>
      <c r="D1994" s="110" t="str">
        <f>IF(ISBLANK($B1994),"",IFERROR(VLOOKUP($B1994,ESTOQUE!$B$2:$D$97168,3,FALSE),"Produto não cadastrado"))</f>
        <v>CALÇA CINZA OP. C/ FAIXA REFLETIVA TAM: G</v>
      </c>
      <c r="E1994" s="99" t="str">
        <f>_xlfn.XLOOKUP(B1994,ESTOQUE!B:B,ESTOQUE!G:G,"",0)</f>
        <v>UND</v>
      </c>
      <c r="F1994" s="99">
        <v>1</v>
      </c>
      <c r="G1994" s="146"/>
      <c r="H1994" s="146"/>
      <c r="I1994" s="147"/>
      <c r="J1994" s="147"/>
      <c r="K1994" s="63"/>
      <c r="L1994" s="63"/>
      <c r="M1994" s="63"/>
      <c r="N1994" s="63"/>
      <c r="O1994" s="63"/>
      <c r="P1994" s="63"/>
      <c r="Q1994" s="63"/>
      <c r="R1994" s="63"/>
      <c r="S1994" s="63"/>
      <c r="T1994" s="63"/>
      <c r="U1994" s="63"/>
      <c r="V1994" s="63"/>
      <c r="W1994" s="63"/>
      <c r="X1994" s="63"/>
      <c r="Y1994" s="63"/>
      <c r="Z1994" s="63"/>
      <c r="AA1994" s="63"/>
      <c r="AB1994" s="63"/>
      <c r="AC1994" s="63"/>
    </row>
    <row r="1995" spans="1:29" x14ac:dyDescent="0.25">
      <c r="A1995" s="108">
        <v>46056</v>
      </c>
      <c r="B1995" s="109">
        <v>47</v>
      </c>
      <c r="C1995" s="49" t="s">
        <v>19</v>
      </c>
      <c r="D1995" s="110" t="str">
        <f>IF(ISBLANK($B1995),"",IFERROR(VLOOKUP($B1995,ESTOQUE!$B$2:$D$97168,3,FALSE),"Produto não cadastrado"))</f>
        <v>CALÇA CINZA OP. C/ FAIXA REFLETIVA TAM: GG</v>
      </c>
      <c r="E1995" s="99" t="str">
        <f>_xlfn.XLOOKUP(B1995,ESTOQUE!B:B,ESTOQUE!G:G,"",0)</f>
        <v>UND</v>
      </c>
      <c r="F1995" s="99">
        <v>2</v>
      </c>
      <c r="G1995" s="146"/>
      <c r="H1995" s="146"/>
      <c r="I1995" s="147"/>
      <c r="J1995" s="147"/>
      <c r="K1995" s="63"/>
      <c r="L1995" s="63"/>
      <c r="M1995" s="63"/>
      <c r="N1995" s="63"/>
      <c r="O1995" s="63"/>
      <c r="P1995" s="63"/>
      <c r="Q1995" s="63"/>
      <c r="R1995" s="63"/>
      <c r="S1995" s="63"/>
      <c r="T1995" s="63"/>
      <c r="U1995" s="63"/>
      <c r="V1995" s="63"/>
      <c r="W1995" s="63"/>
      <c r="X1995" s="63"/>
      <c r="Y1995" s="63"/>
      <c r="Z1995" s="63"/>
      <c r="AA1995" s="63"/>
      <c r="AB1995" s="63"/>
      <c r="AC1995" s="63"/>
    </row>
    <row r="1996" spans="1:29" x14ac:dyDescent="0.25">
      <c r="A1996" s="108">
        <v>46056</v>
      </c>
      <c r="B1996" s="109">
        <v>48</v>
      </c>
      <c r="C1996" s="49" t="s">
        <v>19</v>
      </c>
      <c r="D1996" s="110" t="str">
        <f>IF(ISBLANK($B1996),"",IFERROR(VLOOKUP($B1996,ESTOQUE!$B$2:$D$97168,3,FALSE),"Produto não cadastrado"))</f>
        <v>CALÇA CINZA OP. C/ FAIXA REFLETIVA TAM: M</v>
      </c>
      <c r="E1996" s="99" t="str">
        <f>_xlfn.XLOOKUP(B1996,ESTOQUE!B:B,ESTOQUE!G:G,"",0)</f>
        <v>UND</v>
      </c>
      <c r="F1996" s="99">
        <v>1</v>
      </c>
      <c r="G1996" s="146"/>
      <c r="H1996" s="146"/>
      <c r="I1996" s="147"/>
      <c r="J1996" s="147"/>
      <c r="K1996" s="63"/>
      <c r="L1996" s="63"/>
      <c r="M1996" s="63"/>
      <c r="N1996" s="63"/>
      <c r="O1996" s="63"/>
      <c r="P1996" s="63"/>
      <c r="Q1996" s="63"/>
      <c r="R1996" s="63"/>
      <c r="S1996" s="63"/>
      <c r="T1996" s="63"/>
      <c r="U1996" s="63"/>
      <c r="V1996" s="63"/>
      <c r="W1996" s="63"/>
      <c r="X1996" s="63"/>
      <c r="Y1996" s="63"/>
      <c r="Z1996" s="63"/>
      <c r="AA1996" s="63"/>
      <c r="AB1996" s="63"/>
      <c r="AC1996" s="63"/>
    </row>
    <row r="1997" spans="1:29" x14ac:dyDescent="0.25">
      <c r="A1997" s="108">
        <v>46056</v>
      </c>
      <c r="B1997" s="109">
        <v>49</v>
      </c>
      <c r="C1997" s="49" t="s">
        <v>19</v>
      </c>
      <c r="D1997" s="110" t="str">
        <f>IF(ISBLANK($B1997),"",IFERROR(VLOOKUP($B1997,ESTOQUE!$B$2:$D$97168,3,FALSE),"Produto não cadastrado"))</f>
        <v>CALÇA CINZA OP. C/ FAIXA REFLETIVA TAM: P</v>
      </c>
      <c r="E1997" s="99" t="str">
        <f>_xlfn.XLOOKUP(B1997,ESTOQUE!B:B,ESTOQUE!G:G,"",0)</f>
        <v>UND</v>
      </c>
      <c r="F1997" s="99">
        <v>2</v>
      </c>
      <c r="G1997" s="146"/>
      <c r="H1997" s="146"/>
      <c r="I1997" s="147"/>
      <c r="J1997" s="147"/>
      <c r="K1997" s="63"/>
      <c r="L1997" s="63"/>
      <c r="M1997" s="63"/>
      <c r="N1997" s="63"/>
      <c r="O1997" s="63"/>
      <c r="P1997" s="63"/>
      <c r="Q1997" s="63"/>
      <c r="R1997" s="63"/>
      <c r="S1997" s="63"/>
      <c r="T1997" s="63"/>
      <c r="U1997" s="63"/>
      <c r="V1997" s="63"/>
      <c r="W1997" s="63"/>
      <c r="X1997" s="63"/>
      <c r="Y1997" s="63"/>
      <c r="Z1997" s="63"/>
      <c r="AA1997" s="63"/>
      <c r="AB1997" s="63"/>
      <c r="AC1997" s="63"/>
    </row>
    <row r="1998" spans="1:29" x14ac:dyDescent="0.25">
      <c r="A1998" s="108">
        <v>46056</v>
      </c>
      <c r="B1998" s="109">
        <v>53</v>
      </c>
      <c r="C1998" s="49" t="s">
        <v>19</v>
      </c>
      <c r="D1998" s="110" t="str">
        <f>IF(ISBLANK($B1998),"",IFERROR(VLOOKUP($B1998,ESTOQUE!$B$2:$D$97168,3,FALSE),"Produto não cadastrado"))</f>
        <v>CALÇA DE ELETRICISTA NR.10 TAM: P</v>
      </c>
      <c r="E1998" s="99" t="str">
        <f>_xlfn.XLOOKUP(B1998,ESTOQUE!B:B,ESTOQUE!G:G,"",0)</f>
        <v>UND</v>
      </c>
      <c r="F1998" s="99">
        <v>1</v>
      </c>
      <c r="G1998" s="146"/>
      <c r="H1998" s="146"/>
      <c r="I1998" s="147"/>
      <c r="J1998" s="147"/>
      <c r="K1998" s="63"/>
      <c r="L1998" s="63"/>
      <c r="M1998" s="63"/>
      <c r="N1998" s="63"/>
      <c r="O1998" s="63"/>
      <c r="P1998" s="63"/>
      <c r="Q1998" s="63"/>
      <c r="R1998" s="63"/>
      <c r="S1998" s="63"/>
      <c r="T1998" s="63"/>
      <c r="U1998" s="63"/>
      <c r="V1998" s="63"/>
      <c r="W1998" s="63"/>
      <c r="X1998" s="63"/>
      <c r="Y1998" s="63"/>
      <c r="Z1998" s="63"/>
      <c r="AA1998" s="63"/>
      <c r="AB1998" s="63"/>
      <c r="AC1998" s="63"/>
    </row>
    <row r="1999" spans="1:29" x14ac:dyDescent="0.25">
      <c r="A1999" s="108">
        <v>46056</v>
      </c>
      <c r="B1999" s="109">
        <v>67</v>
      </c>
      <c r="C1999" s="49" t="s">
        <v>19</v>
      </c>
      <c r="D1999" s="110" t="str">
        <f>IF(ISBLANK($B1999),"",IFERROR(VLOOKUP($B1999,ESTOQUE!$B$2:$D$97168,3,FALSE),"Produto não cadastrado"))</f>
        <v>CAMISA LARANJA OP. C/ FAIXA REFLETIVA TAM: G</v>
      </c>
      <c r="E1999" s="99" t="str">
        <f>_xlfn.XLOOKUP(B1999,ESTOQUE!B:B,ESTOQUE!G:G,"",0)</f>
        <v>UND</v>
      </c>
      <c r="F1999" s="99">
        <v>1</v>
      </c>
      <c r="G1999" s="146"/>
      <c r="H1999" s="146"/>
      <c r="I1999" s="147"/>
      <c r="J1999" s="147"/>
      <c r="K1999" s="63"/>
      <c r="L1999" s="63"/>
      <c r="M1999" s="63"/>
      <c r="N1999" s="63"/>
      <c r="O1999" s="63"/>
      <c r="P1999" s="63"/>
      <c r="Q1999" s="63"/>
      <c r="R1999" s="63"/>
      <c r="S1999" s="63"/>
      <c r="T1999" s="63"/>
      <c r="U1999" s="63"/>
      <c r="V1999" s="63"/>
      <c r="W1999" s="63"/>
      <c r="X1999" s="63"/>
      <c r="Y1999" s="63"/>
      <c r="Z1999" s="63"/>
      <c r="AA1999" s="63"/>
      <c r="AB1999" s="63"/>
      <c r="AC1999" s="63"/>
    </row>
    <row r="2000" spans="1:29" x14ac:dyDescent="0.25">
      <c r="A2000" s="108">
        <v>46056</v>
      </c>
      <c r="B2000" s="109">
        <v>69</v>
      </c>
      <c r="C2000" s="49" t="s">
        <v>19</v>
      </c>
      <c r="D2000" s="110" t="str">
        <f>IF(ISBLANK($B2000),"",IFERROR(VLOOKUP($B2000,ESTOQUE!$B$2:$D$97168,3,FALSE),"Produto não cadastrado"))</f>
        <v>CAMISA LARANJA OP. C/ FAIXA REFLETIVA TAM: M</v>
      </c>
      <c r="E2000" s="99" t="str">
        <f>_xlfn.XLOOKUP(B2000,ESTOQUE!B:B,ESTOQUE!G:G,"",0)</f>
        <v>UND</v>
      </c>
      <c r="F2000" s="99">
        <v>1</v>
      </c>
      <c r="G2000" s="146"/>
      <c r="H2000" s="146"/>
      <c r="I2000" s="147"/>
      <c r="J2000" s="147"/>
      <c r="K2000" s="63"/>
      <c r="L2000" s="63"/>
      <c r="M2000" s="63"/>
      <c r="N2000" s="63"/>
      <c r="O2000" s="63"/>
      <c r="P2000" s="63"/>
      <c r="Q2000" s="63"/>
      <c r="R2000" s="63"/>
      <c r="S2000" s="63"/>
      <c r="T2000" s="63"/>
      <c r="U2000" s="63"/>
      <c r="V2000" s="63"/>
      <c r="W2000" s="63"/>
      <c r="X2000" s="63"/>
      <c r="Y2000" s="63"/>
      <c r="Z2000" s="63"/>
      <c r="AA2000" s="63"/>
      <c r="AB2000" s="63"/>
      <c r="AC2000" s="63"/>
    </row>
    <row r="2001" spans="1:29" x14ac:dyDescent="0.25">
      <c r="A2001" s="108">
        <v>46056</v>
      </c>
      <c r="B2001" s="109">
        <v>70</v>
      </c>
      <c r="C2001" s="49" t="s">
        <v>19</v>
      </c>
      <c r="D2001" s="110" t="str">
        <f>IF(ISBLANK($B2001),"",IFERROR(VLOOKUP($B2001,ESTOQUE!$B$2:$D$97168,3,FALSE),"Produto não cadastrado"))</f>
        <v>CAMISA LARANJA OP. C/ FAIXA REFLETIVA TAM: P</v>
      </c>
      <c r="E2001" s="99" t="str">
        <f>_xlfn.XLOOKUP(B2001,ESTOQUE!B:B,ESTOQUE!G:G,"",0)</f>
        <v>UND</v>
      </c>
      <c r="F2001" s="99">
        <v>3</v>
      </c>
      <c r="G2001" s="146"/>
      <c r="H2001" s="146"/>
      <c r="I2001" s="147"/>
      <c r="J2001" s="147"/>
      <c r="K2001" s="63"/>
      <c r="L2001" s="63"/>
      <c r="M2001" s="63"/>
      <c r="N2001" s="63"/>
      <c r="O2001" s="63"/>
      <c r="P2001" s="63"/>
      <c r="Q2001" s="63"/>
      <c r="R2001" s="63"/>
      <c r="S2001" s="63"/>
      <c r="T2001" s="63"/>
      <c r="U2001" s="63"/>
      <c r="V2001" s="63"/>
      <c r="W2001" s="63"/>
      <c r="X2001" s="63"/>
      <c r="Y2001" s="63"/>
      <c r="Z2001" s="63"/>
      <c r="AA2001" s="63"/>
      <c r="AB2001" s="63"/>
      <c r="AC2001" s="63"/>
    </row>
    <row r="2002" spans="1:29" x14ac:dyDescent="0.25">
      <c r="A2002" s="108">
        <v>46056</v>
      </c>
      <c r="B2002" s="109">
        <v>73</v>
      </c>
      <c r="C2002" s="49" t="s">
        <v>19</v>
      </c>
      <c r="D2002" s="110" t="str">
        <f>IF(ISBLANK($B2002),"",IFERROR(VLOOKUP($B2002,ESTOQUE!$B$2:$D$97168,3,FALSE),"Produto não cadastrado"))</f>
        <v>CAPA DE CHUVA GG</v>
      </c>
      <c r="E2002" s="99" t="str">
        <f>_xlfn.XLOOKUP(B2002,ESTOQUE!B:B,ESTOQUE!G:G,"",0)</f>
        <v>UND</v>
      </c>
      <c r="F2002" s="99">
        <v>60</v>
      </c>
      <c r="G2002" s="146"/>
      <c r="H2002" s="146"/>
      <c r="I2002" s="147"/>
      <c r="J2002" s="147"/>
      <c r="K2002" s="63"/>
      <c r="L2002" s="63"/>
      <c r="M2002" s="63"/>
      <c r="N2002" s="63"/>
      <c r="O2002" s="63"/>
      <c r="P2002" s="63"/>
      <c r="Q2002" s="63"/>
      <c r="R2002" s="63"/>
      <c r="S2002" s="63"/>
      <c r="T2002" s="63"/>
      <c r="U2002" s="63"/>
      <c r="V2002" s="63"/>
      <c r="W2002" s="63"/>
      <c r="X2002" s="63"/>
      <c r="Y2002" s="63"/>
      <c r="Z2002" s="63"/>
      <c r="AA2002" s="63"/>
      <c r="AB2002" s="63"/>
      <c r="AC2002" s="63"/>
    </row>
    <row r="2003" spans="1:29" x14ac:dyDescent="0.25">
      <c r="A2003" s="108">
        <v>46056</v>
      </c>
      <c r="B2003" s="109">
        <v>110</v>
      </c>
      <c r="C2003" s="49" t="s">
        <v>19</v>
      </c>
      <c r="D2003" s="110" t="str">
        <f>IF(ISBLANK($B2003),"",IFERROR(VLOOKUP($B2003,ESTOQUE!$B$2:$D$97168,3,FALSE),"Produto não cadastrado"))</f>
        <v>LUVA DE RASPA CANO LONGO</v>
      </c>
      <c r="E2003" s="99" t="str">
        <f>_xlfn.XLOOKUP(B2003,ESTOQUE!B:B,ESTOQUE!G:G,"",0)</f>
        <v>PAR</v>
      </c>
      <c r="F2003" s="99">
        <v>12</v>
      </c>
      <c r="G2003" s="146"/>
      <c r="H2003" s="146"/>
      <c r="I2003" s="147"/>
      <c r="J2003" s="147"/>
      <c r="K2003" s="63"/>
      <c r="L2003" s="63"/>
      <c r="M2003" s="63"/>
      <c r="N2003" s="63"/>
      <c r="O2003" s="63"/>
      <c r="P2003" s="63"/>
      <c r="Q2003" s="63"/>
      <c r="R2003" s="63"/>
      <c r="S2003" s="63"/>
      <c r="T2003" s="63"/>
      <c r="U2003" s="63"/>
      <c r="V2003" s="63"/>
      <c r="W2003" s="63"/>
      <c r="X2003" s="63"/>
      <c r="Y2003" s="63"/>
      <c r="Z2003" s="63"/>
      <c r="AA2003" s="63"/>
      <c r="AB2003" s="63"/>
      <c r="AC2003" s="63"/>
    </row>
    <row r="2004" spans="1:29" x14ac:dyDescent="0.25">
      <c r="A2004" s="108">
        <v>46056</v>
      </c>
      <c r="B2004" s="109">
        <v>111</v>
      </c>
      <c r="C2004" s="49" t="s">
        <v>19</v>
      </c>
      <c r="D2004" s="110" t="str">
        <f>IF(ISBLANK($B2004),"",IFERROR(VLOOKUP($B2004,ESTOQUE!$B$2:$D$97168,3,FALSE),"Produto não cadastrado"))</f>
        <v>LUVA DE VAQUETA MARROM</v>
      </c>
      <c r="E2004" s="99" t="str">
        <f>_xlfn.XLOOKUP(B2004,ESTOQUE!B:B,ESTOQUE!G:G,"",0)</f>
        <v>PAR</v>
      </c>
      <c r="F2004" s="99">
        <v>20</v>
      </c>
      <c r="G2004" s="146"/>
      <c r="H2004" s="146"/>
      <c r="I2004" s="147"/>
      <c r="J2004" s="147"/>
      <c r="K2004" s="63"/>
      <c r="L2004" s="63"/>
      <c r="M2004" s="63"/>
      <c r="N2004" s="63"/>
      <c r="O2004" s="63"/>
      <c r="P2004" s="63"/>
      <c r="Q2004" s="63"/>
      <c r="R2004" s="63"/>
      <c r="S2004" s="63"/>
      <c r="T2004" s="63"/>
      <c r="U2004" s="63"/>
      <c r="V2004" s="63"/>
      <c r="W2004" s="63"/>
      <c r="X2004" s="63"/>
      <c r="Y2004" s="63"/>
      <c r="Z2004" s="63"/>
      <c r="AA2004" s="63"/>
      <c r="AB2004" s="63"/>
      <c r="AC2004" s="63"/>
    </row>
    <row r="2005" spans="1:29" x14ac:dyDescent="0.25">
      <c r="A2005" s="108">
        <v>46056</v>
      </c>
      <c r="B2005" s="109">
        <v>114</v>
      </c>
      <c r="C2005" s="49" t="s">
        <v>19</v>
      </c>
      <c r="D2005" s="110" t="str">
        <f>IF(ISBLANK($B2005),"",IFERROR(VLOOKUP($B2005,ESTOQUE!$B$2:$D$97168,3,FALSE),"Produto não cadastrado"))</f>
        <v xml:space="preserve">LUVA LATEX NITRILICA </v>
      </c>
      <c r="E2005" s="99" t="str">
        <f>_xlfn.XLOOKUP(B2005,ESTOQUE!B:B,ESTOQUE!G:G,"",0)</f>
        <v>PAR</v>
      </c>
      <c r="F2005" s="99">
        <v>1</v>
      </c>
      <c r="G2005" s="146"/>
      <c r="H2005" s="146"/>
      <c r="I2005" s="147"/>
      <c r="J2005" s="147"/>
      <c r="K2005" s="63"/>
      <c r="L2005" s="63"/>
      <c r="M2005" s="63"/>
      <c r="N2005" s="63"/>
      <c r="O2005" s="63"/>
      <c r="P2005" s="63"/>
      <c r="Q2005" s="63"/>
      <c r="R2005" s="63"/>
      <c r="S2005" s="63"/>
      <c r="T2005" s="63"/>
      <c r="U2005" s="63"/>
      <c r="V2005" s="63"/>
      <c r="W2005" s="63"/>
      <c r="X2005" s="63"/>
      <c r="Y2005" s="63"/>
      <c r="Z2005" s="63"/>
      <c r="AA2005" s="63"/>
      <c r="AB2005" s="63"/>
      <c r="AC2005" s="63"/>
    </row>
    <row r="2006" spans="1:29" x14ac:dyDescent="0.25">
      <c r="A2006" s="108">
        <v>46056</v>
      </c>
      <c r="B2006" s="109">
        <v>117</v>
      </c>
      <c r="C2006" s="49" t="s">
        <v>19</v>
      </c>
      <c r="D2006" s="110" t="str">
        <f>IF(ISBLANK($B2006),"",IFERROR(VLOOKUP($B2006,ESTOQUE!$B$2:$D$97168,3,FALSE),"Produto não cadastrado"))</f>
        <v>LUVA PIGMENTADA</v>
      </c>
      <c r="E2006" s="99" t="str">
        <f>_xlfn.XLOOKUP(B2006,ESTOQUE!B:B,ESTOQUE!G:G,"",0)</f>
        <v>PAR</v>
      </c>
      <c r="F2006" s="99">
        <v>24</v>
      </c>
      <c r="G2006" s="146"/>
      <c r="H2006" s="146"/>
      <c r="I2006" s="147"/>
      <c r="J2006" s="147"/>
      <c r="K2006" s="63"/>
      <c r="L2006" s="63"/>
      <c r="M2006" s="63"/>
      <c r="N2006" s="63"/>
      <c r="O2006" s="63"/>
      <c r="P2006" s="63"/>
      <c r="Q2006" s="63"/>
      <c r="R2006" s="63"/>
      <c r="S2006" s="63"/>
      <c r="T2006" s="63"/>
      <c r="U2006" s="63"/>
      <c r="V2006" s="63"/>
      <c r="W2006" s="63"/>
      <c r="X2006" s="63"/>
      <c r="Y2006" s="63"/>
      <c r="Z2006" s="63"/>
      <c r="AA2006" s="63"/>
      <c r="AB2006" s="63"/>
      <c r="AC2006" s="63"/>
    </row>
    <row r="2007" spans="1:29" x14ac:dyDescent="0.25">
      <c r="A2007" s="108">
        <v>46056</v>
      </c>
      <c r="B2007" s="109">
        <v>207</v>
      </c>
      <c r="C2007" s="49" t="s">
        <v>19</v>
      </c>
      <c r="D2007" s="110" t="str">
        <f>IF(ISBLANK($B2007),"",IFERROR(VLOOKUP($B2007,ESTOQUE!$B$2:$D$97168,3,FALSE),"Produto não cadastrado"))</f>
        <v>LUVA POLIESTER ANTICORTE BANHADA PU TAM 9</v>
      </c>
      <c r="E2007" s="99" t="str">
        <f>_xlfn.XLOOKUP(B2007,ESTOQUE!B:B,ESTOQUE!G:G,"",0)</f>
        <v>PAR</v>
      </c>
      <c r="F2007" s="99">
        <v>39</v>
      </c>
      <c r="G2007" s="146"/>
      <c r="H2007" s="146"/>
      <c r="I2007" s="147"/>
      <c r="J2007" s="147"/>
      <c r="K2007" s="63"/>
      <c r="L2007" s="63"/>
      <c r="M2007" s="63"/>
      <c r="N2007" s="63"/>
      <c r="O2007" s="63"/>
      <c r="P2007" s="63"/>
      <c r="Q2007" s="63"/>
      <c r="R2007" s="63"/>
      <c r="S2007" s="63"/>
      <c r="T2007" s="63"/>
      <c r="U2007" s="63"/>
      <c r="V2007" s="63"/>
      <c r="W2007" s="63"/>
      <c r="X2007" s="63"/>
      <c r="Y2007" s="63"/>
      <c r="Z2007" s="63"/>
      <c r="AA2007" s="63"/>
      <c r="AB2007" s="63"/>
      <c r="AC2007" s="63"/>
    </row>
    <row r="2008" spans="1:29" x14ac:dyDescent="0.25">
      <c r="A2008" s="108">
        <v>46056</v>
      </c>
      <c r="B2008" s="109">
        <v>124</v>
      </c>
      <c r="C2008" s="49" t="s">
        <v>19</v>
      </c>
      <c r="D2008" s="110" t="str">
        <f>IF(ISBLANK($B2008),"",IFERROR(VLOOKUP($B2008,ESTOQUE!$B$2:$D$97168,3,FALSE),"Produto não cadastrado"))</f>
        <v xml:space="preserve">OCULOS DE PROTEÇÃO INCOLOR </v>
      </c>
      <c r="E2008" s="99" t="str">
        <f>_xlfn.XLOOKUP(B2008,ESTOQUE!B:B,ESTOQUE!G:G,"",0)</f>
        <v>UND</v>
      </c>
      <c r="F2008" s="99">
        <v>25</v>
      </c>
      <c r="G2008" s="146"/>
      <c r="H2008" s="146"/>
      <c r="I2008" s="147"/>
      <c r="J2008" s="147"/>
      <c r="K2008" s="63"/>
      <c r="L2008" s="63"/>
      <c r="M2008" s="63"/>
      <c r="N2008" s="63"/>
      <c r="O2008" s="63"/>
      <c r="P2008" s="63"/>
      <c r="Q2008" s="63"/>
      <c r="R2008" s="63"/>
      <c r="S2008" s="63"/>
      <c r="T2008" s="63"/>
      <c r="U2008" s="63"/>
      <c r="V2008" s="63"/>
      <c r="W2008" s="63"/>
      <c r="X2008" s="63"/>
      <c r="Y2008" s="63"/>
      <c r="Z2008" s="63"/>
      <c r="AA2008" s="63"/>
      <c r="AB2008" s="63"/>
      <c r="AC2008" s="63"/>
    </row>
    <row r="2009" spans="1:29" x14ac:dyDescent="0.25">
      <c r="A2009" s="108">
        <v>46056</v>
      </c>
      <c r="B2009" s="109">
        <v>194</v>
      </c>
      <c r="C2009" s="49" t="s">
        <v>19</v>
      </c>
      <c r="D2009" s="110" t="str">
        <f>IF(ISBLANK($B2009),"",IFERROR(VLOOKUP($B2009,ESTOQUE!$B$2:$D$97168,3,FALSE),"Produto não cadastrado"))</f>
        <v>VISEIRA ACOPLADA</v>
      </c>
      <c r="E2009" s="99" t="str">
        <f>_xlfn.XLOOKUP(B2009,ESTOQUE!B:B,ESTOQUE!G:G,"",0)</f>
        <v>UND</v>
      </c>
      <c r="F2009" s="99">
        <v>1</v>
      </c>
      <c r="G2009" s="146"/>
      <c r="H2009" s="146"/>
      <c r="I2009" s="147"/>
      <c r="J2009" s="147"/>
      <c r="K2009" s="63"/>
      <c r="L2009" s="63"/>
      <c r="M2009" s="63"/>
      <c r="N2009" s="63"/>
      <c r="O2009" s="63"/>
      <c r="P2009" s="63"/>
      <c r="Q2009" s="63"/>
      <c r="R2009" s="63"/>
      <c r="S2009" s="63"/>
      <c r="T2009" s="63"/>
      <c r="U2009" s="63"/>
      <c r="V2009" s="63"/>
      <c r="W2009" s="63"/>
      <c r="X2009" s="63"/>
      <c r="Y2009" s="63"/>
      <c r="Z2009" s="63"/>
      <c r="AA2009" s="63"/>
      <c r="AB2009" s="63"/>
      <c r="AC2009" s="63"/>
    </row>
    <row r="2010" spans="1:29" x14ac:dyDescent="0.25">
      <c r="A2010" s="108">
        <v>46057</v>
      </c>
      <c r="B2010" s="109">
        <v>30</v>
      </c>
      <c r="C2010" s="49" t="s">
        <v>19</v>
      </c>
      <c r="D2010" s="110" t="str">
        <f>IF(ISBLANK($B2010),"",IFERROR(VLOOKUP($B2010,ESTOQUE!$B$2:$D$97168,3,FALSE),"Produto não cadastrado"))</f>
        <v>BOTINA DE ELETRICISTA Nº 40</v>
      </c>
      <c r="E2010" s="99" t="str">
        <f>_xlfn.XLOOKUP(B2010,ESTOQUE!B:B,ESTOQUE!G:G,"",0)</f>
        <v>PAR</v>
      </c>
      <c r="F2010" s="99">
        <v>3</v>
      </c>
      <c r="G2010" s="146"/>
      <c r="H2010" s="146"/>
      <c r="I2010" s="147"/>
      <c r="J2010" s="147"/>
      <c r="K2010" s="63"/>
      <c r="L2010" s="63"/>
      <c r="M2010" s="63"/>
      <c r="N2010" s="63"/>
      <c r="O2010" s="63"/>
      <c r="P2010" s="63"/>
      <c r="Q2010" s="63"/>
      <c r="R2010" s="63"/>
      <c r="S2010" s="63"/>
      <c r="T2010" s="63"/>
      <c r="U2010" s="63"/>
      <c r="V2010" s="63"/>
      <c r="W2010" s="63"/>
      <c r="X2010" s="63"/>
      <c r="Y2010" s="63"/>
      <c r="Z2010" s="63"/>
      <c r="AA2010" s="63"/>
      <c r="AB2010" s="63"/>
      <c r="AC2010" s="63"/>
    </row>
    <row r="2011" spans="1:29" x14ac:dyDescent="0.25">
      <c r="A2011" s="108">
        <v>46057</v>
      </c>
      <c r="B2011" s="109">
        <v>190</v>
      </c>
      <c r="C2011" s="49" t="s">
        <v>19</v>
      </c>
      <c r="D2011" s="110" t="str">
        <f>IF(ISBLANK($B2011),"",IFERROR(VLOOKUP($B2011,ESTOQUE!$B$2:$D$97168,3,FALSE),"Produto não cadastrado"))</f>
        <v>AVENTAL DE RASPA TAM 120X60</v>
      </c>
      <c r="E2011" s="99" t="str">
        <f>_xlfn.XLOOKUP(B2011,ESTOQUE!B:B,ESTOQUE!G:G,"",0)</f>
        <v>UND</v>
      </c>
      <c r="F2011" s="99">
        <v>10</v>
      </c>
      <c r="G2011" s="146"/>
      <c r="H2011" s="146"/>
      <c r="I2011" s="147"/>
      <c r="J2011" s="147"/>
      <c r="K2011" s="63"/>
      <c r="L2011" s="63"/>
      <c r="M2011" s="63"/>
      <c r="N2011" s="63"/>
      <c r="O2011" s="63"/>
      <c r="P2011" s="63"/>
      <c r="Q2011" s="63"/>
      <c r="R2011" s="63"/>
      <c r="S2011" s="63"/>
      <c r="T2011" s="63"/>
      <c r="U2011" s="63"/>
      <c r="V2011" s="63"/>
      <c r="W2011" s="63"/>
      <c r="X2011" s="63"/>
      <c r="Y2011" s="63"/>
      <c r="Z2011" s="63"/>
      <c r="AA2011" s="63"/>
      <c r="AB2011" s="63"/>
      <c r="AC2011" s="63"/>
    </row>
    <row r="2012" spans="1:29" x14ac:dyDescent="0.25">
      <c r="A2012" s="108">
        <v>46057</v>
      </c>
      <c r="B2012" s="109">
        <v>171</v>
      </c>
      <c r="C2012" s="49" t="s">
        <v>19</v>
      </c>
      <c r="D2012" s="110" t="str">
        <f>IF(ISBLANK($B2012),"",IFERROR(VLOOKUP($B2012,ESTOQUE!$B$2:$D$97168,3,FALSE),"Produto não cadastrado"))</f>
        <v>BOTA PVC CANO CURTO Nº 40</v>
      </c>
      <c r="E2012" s="99" t="str">
        <f>_xlfn.XLOOKUP(B2012,ESTOQUE!B:B,ESTOQUE!G:G,"",0)</f>
        <v>PAR</v>
      </c>
      <c r="F2012" s="99">
        <v>2</v>
      </c>
      <c r="G2012" s="146"/>
      <c r="H2012" s="146"/>
      <c r="I2012" s="147"/>
      <c r="J2012" s="147"/>
      <c r="K2012" s="63"/>
      <c r="L2012" s="63"/>
      <c r="M2012" s="63"/>
      <c r="N2012" s="63"/>
      <c r="O2012" s="63"/>
      <c r="P2012" s="63"/>
      <c r="Q2012" s="63"/>
      <c r="R2012" s="63"/>
      <c r="S2012" s="63"/>
      <c r="T2012" s="63"/>
      <c r="U2012" s="63"/>
      <c r="V2012" s="63"/>
      <c r="W2012" s="63"/>
      <c r="X2012" s="63"/>
      <c r="Y2012" s="63"/>
      <c r="Z2012" s="63"/>
      <c r="AA2012" s="63"/>
      <c r="AB2012" s="63"/>
      <c r="AC2012" s="63"/>
    </row>
    <row r="2013" spans="1:29" x14ac:dyDescent="0.25">
      <c r="A2013" s="108">
        <v>46057</v>
      </c>
      <c r="B2013" s="109">
        <v>46</v>
      </c>
      <c r="C2013" s="49" t="s">
        <v>19</v>
      </c>
      <c r="D2013" s="110" t="str">
        <f>IF(ISBLANK($B2013),"",IFERROR(VLOOKUP($B2013,ESTOQUE!$B$2:$D$97168,3,FALSE),"Produto não cadastrado"))</f>
        <v>CALÇA CINZA OP. C/ FAIXA REFLETIVA TAM: G</v>
      </c>
      <c r="E2013" s="99" t="str">
        <f>_xlfn.XLOOKUP(B2013,ESTOQUE!B:B,ESTOQUE!G:G,"",0)</f>
        <v>UND</v>
      </c>
      <c r="F2013" s="99">
        <v>4</v>
      </c>
      <c r="G2013" s="146"/>
      <c r="H2013" s="146"/>
      <c r="I2013" s="147"/>
      <c r="J2013" s="147"/>
      <c r="K2013" s="63"/>
      <c r="L2013" s="63"/>
      <c r="M2013" s="63"/>
      <c r="N2013" s="63"/>
      <c r="O2013" s="63"/>
      <c r="P2013" s="63"/>
      <c r="Q2013" s="63"/>
      <c r="R2013" s="63"/>
      <c r="S2013" s="63"/>
      <c r="T2013" s="63"/>
      <c r="U2013" s="63"/>
      <c r="V2013" s="63"/>
      <c r="W2013" s="63"/>
      <c r="X2013" s="63"/>
      <c r="Y2013" s="63"/>
      <c r="Z2013" s="63"/>
      <c r="AA2013" s="63"/>
      <c r="AB2013" s="63"/>
      <c r="AC2013" s="63"/>
    </row>
    <row r="2014" spans="1:29" x14ac:dyDescent="0.25">
      <c r="A2014" s="108">
        <v>46057</v>
      </c>
      <c r="B2014" s="109">
        <v>47</v>
      </c>
      <c r="C2014" s="49" t="s">
        <v>19</v>
      </c>
      <c r="D2014" s="110" t="str">
        <f>IF(ISBLANK($B2014),"",IFERROR(VLOOKUP($B2014,ESTOQUE!$B$2:$D$97168,3,FALSE),"Produto não cadastrado"))</f>
        <v>CALÇA CINZA OP. C/ FAIXA REFLETIVA TAM: GG</v>
      </c>
      <c r="E2014" s="99" t="str">
        <f>_xlfn.XLOOKUP(B2014,ESTOQUE!B:B,ESTOQUE!G:G,"",0)</f>
        <v>UND</v>
      </c>
      <c r="F2014" s="99">
        <v>1</v>
      </c>
      <c r="G2014" s="146"/>
      <c r="H2014" s="146"/>
      <c r="I2014" s="147"/>
      <c r="J2014" s="147"/>
      <c r="K2014" s="63"/>
      <c r="L2014" s="63"/>
      <c r="M2014" s="63"/>
      <c r="N2014" s="63"/>
      <c r="O2014" s="63"/>
      <c r="P2014" s="63"/>
      <c r="Q2014" s="63"/>
      <c r="R2014" s="63"/>
      <c r="S2014" s="63"/>
      <c r="T2014" s="63"/>
      <c r="U2014" s="63"/>
      <c r="V2014" s="63"/>
      <c r="W2014" s="63"/>
      <c r="X2014" s="63"/>
      <c r="Y2014" s="63"/>
      <c r="Z2014" s="63"/>
      <c r="AA2014" s="63"/>
      <c r="AB2014" s="63"/>
      <c r="AC2014" s="63"/>
    </row>
    <row r="2015" spans="1:29" x14ac:dyDescent="0.25">
      <c r="A2015" s="108">
        <v>46057</v>
      </c>
      <c r="B2015" s="109">
        <v>48</v>
      </c>
      <c r="C2015" s="49" t="s">
        <v>19</v>
      </c>
      <c r="D2015" s="110" t="str">
        <f>IF(ISBLANK($B2015),"",IFERROR(VLOOKUP($B2015,ESTOQUE!$B$2:$D$97168,3,FALSE),"Produto não cadastrado"))</f>
        <v>CALÇA CINZA OP. C/ FAIXA REFLETIVA TAM: M</v>
      </c>
      <c r="E2015" s="99" t="str">
        <f>_xlfn.XLOOKUP(B2015,ESTOQUE!B:B,ESTOQUE!G:G,"",0)</f>
        <v>UND</v>
      </c>
      <c r="F2015" s="99">
        <v>5</v>
      </c>
      <c r="G2015" s="146"/>
      <c r="H2015" s="146"/>
      <c r="I2015" s="147"/>
      <c r="J2015" s="147"/>
      <c r="K2015" s="63"/>
      <c r="L2015" s="63"/>
      <c r="M2015" s="63"/>
      <c r="N2015" s="63"/>
      <c r="O2015" s="63"/>
      <c r="P2015" s="63"/>
      <c r="Q2015" s="63"/>
      <c r="R2015" s="63"/>
      <c r="S2015" s="63"/>
      <c r="T2015" s="63"/>
      <c r="U2015" s="63"/>
      <c r="V2015" s="63"/>
      <c r="W2015" s="63"/>
      <c r="X2015" s="63"/>
      <c r="Y2015" s="63"/>
      <c r="Z2015" s="63"/>
      <c r="AA2015" s="63"/>
      <c r="AB2015" s="63"/>
      <c r="AC2015" s="63"/>
    </row>
    <row r="2016" spans="1:29" x14ac:dyDescent="0.25">
      <c r="A2016" s="108">
        <v>46057</v>
      </c>
      <c r="B2016" s="109">
        <v>49</v>
      </c>
      <c r="C2016" s="49" t="s">
        <v>19</v>
      </c>
      <c r="D2016" s="110" t="str">
        <f>IF(ISBLANK($B2016),"",IFERROR(VLOOKUP($B2016,ESTOQUE!$B$2:$D$97168,3,FALSE),"Produto não cadastrado"))</f>
        <v>CALÇA CINZA OP. C/ FAIXA REFLETIVA TAM: P</v>
      </c>
      <c r="E2016" s="99" t="str">
        <f>_xlfn.XLOOKUP(B2016,ESTOQUE!B:B,ESTOQUE!G:G,"",0)</f>
        <v>UND</v>
      </c>
      <c r="F2016" s="99">
        <v>1</v>
      </c>
      <c r="G2016" s="146"/>
      <c r="H2016" s="146"/>
      <c r="I2016" s="147"/>
      <c r="J2016" s="147"/>
      <c r="K2016" s="63"/>
      <c r="L2016" s="63"/>
      <c r="M2016" s="63"/>
      <c r="N2016" s="63"/>
      <c r="O2016" s="63"/>
      <c r="P2016" s="63"/>
      <c r="Q2016" s="63"/>
      <c r="R2016" s="63"/>
      <c r="S2016" s="63"/>
      <c r="T2016" s="63"/>
      <c r="U2016" s="63"/>
      <c r="V2016" s="63"/>
      <c r="W2016" s="63"/>
      <c r="X2016" s="63"/>
      <c r="Y2016" s="63"/>
      <c r="Z2016" s="63"/>
      <c r="AA2016" s="63"/>
      <c r="AB2016" s="63"/>
      <c r="AC2016" s="63"/>
    </row>
    <row r="2017" spans="1:29" x14ac:dyDescent="0.25">
      <c r="A2017" s="108">
        <v>46057</v>
      </c>
      <c r="B2017" s="109">
        <v>50</v>
      </c>
      <c r="C2017" s="49" t="s">
        <v>19</v>
      </c>
      <c r="D2017" s="110" t="str">
        <f>IF(ISBLANK($B2017),"",IFERROR(VLOOKUP($B2017,ESTOQUE!$B$2:$D$97168,3,FALSE),"Produto não cadastrado"))</f>
        <v>CALÇA CINZA OP. C/ FAIXA REFLETIVA TAM: XG</v>
      </c>
      <c r="E2017" s="99" t="str">
        <f>_xlfn.XLOOKUP(B2017,ESTOQUE!B:B,ESTOQUE!G:G,"",0)</f>
        <v>UND</v>
      </c>
      <c r="F2017" s="99">
        <v>1</v>
      </c>
      <c r="G2017" s="146"/>
      <c r="H2017" s="146"/>
      <c r="I2017" s="147"/>
      <c r="J2017" s="147"/>
      <c r="K2017" s="63"/>
      <c r="L2017" s="63"/>
      <c r="M2017" s="63"/>
      <c r="N2017" s="63"/>
      <c r="O2017" s="63"/>
      <c r="P2017" s="63"/>
      <c r="Q2017" s="63"/>
      <c r="R2017" s="63"/>
      <c r="S2017" s="63"/>
      <c r="T2017" s="63"/>
      <c r="U2017" s="63"/>
      <c r="V2017" s="63"/>
      <c r="W2017" s="63"/>
      <c r="X2017" s="63"/>
      <c r="Y2017" s="63"/>
      <c r="Z2017" s="63"/>
      <c r="AA2017" s="63"/>
      <c r="AB2017" s="63"/>
      <c r="AC2017" s="63"/>
    </row>
    <row r="2018" spans="1:29" x14ac:dyDescent="0.25">
      <c r="A2018" s="108">
        <v>46057</v>
      </c>
      <c r="B2018" s="109">
        <v>54</v>
      </c>
      <c r="C2018" s="49" t="s">
        <v>19</v>
      </c>
      <c r="D2018" s="110" t="str">
        <f>IF(ISBLANK($B2018),"",IFERROR(VLOOKUP($B2018,ESTOQUE!$B$2:$D$97168,3,FALSE),"Produto não cadastrado"))</f>
        <v>CALÇA DE ELETRICISTA NR.10 TAM: G</v>
      </c>
      <c r="E2018" s="99" t="str">
        <f>_xlfn.XLOOKUP(B2018,ESTOQUE!B:B,ESTOQUE!G:G,"",0)</f>
        <v>UND</v>
      </c>
      <c r="F2018" s="99">
        <v>1</v>
      </c>
      <c r="G2018" s="146"/>
      <c r="H2018" s="146"/>
      <c r="I2018" s="147"/>
      <c r="J2018" s="147"/>
      <c r="K2018" s="63"/>
      <c r="L2018" s="63"/>
      <c r="M2018" s="63"/>
      <c r="N2018" s="63"/>
      <c r="O2018" s="63"/>
      <c r="P2018" s="63"/>
      <c r="Q2018" s="63"/>
      <c r="R2018" s="63"/>
      <c r="S2018" s="63"/>
      <c r="T2018" s="63"/>
      <c r="U2018" s="63"/>
      <c r="V2018" s="63"/>
      <c r="W2018" s="63"/>
      <c r="X2018" s="63"/>
      <c r="Y2018" s="63"/>
      <c r="Z2018" s="63"/>
      <c r="AA2018" s="63"/>
      <c r="AB2018" s="63"/>
      <c r="AC2018" s="63"/>
    </row>
    <row r="2019" spans="1:29" x14ac:dyDescent="0.25">
      <c r="A2019" s="108">
        <v>46057</v>
      </c>
      <c r="B2019" s="109">
        <v>185</v>
      </c>
      <c r="C2019" s="49" t="s">
        <v>19</v>
      </c>
      <c r="D2019" s="110" t="str">
        <f>IF(ISBLANK($B2019),"",IFERROR(VLOOKUP($B2019,ESTOQUE!$B$2:$D$97168,3,FALSE),"Produto não cadastrado"))</f>
        <v>CAMISA DE ELETRICISTA NR.10 TAM: G</v>
      </c>
      <c r="E2019" s="99" t="str">
        <f>_xlfn.XLOOKUP(B2019,ESTOQUE!B:B,ESTOQUE!G:G,"",0)</f>
        <v>UND</v>
      </c>
      <c r="F2019" s="99">
        <v>1</v>
      </c>
      <c r="G2019" s="146"/>
      <c r="H2019" s="146"/>
      <c r="I2019" s="147"/>
      <c r="J2019" s="147"/>
      <c r="K2019" s="63"/>
      <c r="L2019" s="63"/>
      <c r="M2019" s="63"/>
      <c r="N2019" s="63"/>
      <c r="O2019" s="63"/>
      <c r="P2019" s="63"/>
      <c r="Q2019" s="63"/>
      <c r="R2019" s="63"/>
      <c r="S2019" s="63"/>
      <c r="T2019" s="63"/>
      <c r="U2019" s="63"/>
      <c r="V2019" s="63"/>
      <c r="W2019" s="63"/>
      <c r="X2019" s="63"/>
      <c r="Y2019" s="63"/>
      <c r="Z2019" s="63"/>
      <c r="AA2019" s="63"/>
      <c r="AB2019" s="63"/>
      <c r="AC2019" s="63"/>
    </row>
    <row r="2020" spans="1:29" x14ac:dyDescent="0.25">
      <c r="A2020" s="108">
        <v>46057</v>
      </c>
      <c r="B2020" s="109">
        <v>67</v>
      </c>
      <c r="C2020" s="49" t="s">
        <v>19</v>
      </c>
      <c r="D2020" s="110" t="str">
        <f>IF(ISBLANK($B2020),"",IFERROR(VLOOKUP($B2020,ESTOQUE!$B$2:$D$97168,3,FALSE),"Produto não cadastrado"))</f>
        <v>CAMISA LARANJA OP. C/ FAIXA REFLETIVA TAM: G</v>
      </c>
      <c r="E2020" s="99" t="str">
        <f>_xlfn.XLOOKUP(B2020,ESTOQUE!B:B,ESTOQUE!G:G,"",0)</f>
        <v>UND</v>
      </c>
      <c r="F2020" s="99">
        <v>3</v>
      </c>
      <c r="G2020" s="146"/>
      <c r="H2020" s="146"/>
      <c r="I2020" s="147"/>
      <c r="J2020" s="147"/>
      <c r="K2020" s="63"/>
      <c r="L2020" s="63"/>
      <c r="M2020" s="63"/>
      <c r="N2020" s="63"/>
      <c r="O2020" s="63"/>
      <c r="P2020" s="63"/>
      <c r="Q2020" s="63"/>
      <c r="R2020" s="63"/>
      <c r="S2020" s="63"/>
      <c r="T2020" s="63"/>
      <c r="U2020" s="63"/>
      <c r="V2020" s="63"/>
      <c r="W2020" s="63"/>
      <c r="X2020" s="63"/>
      <c r="Y2020" s="63"/>
      <c r="Z2020" s="63"/>
      <c r="AA2020" s="63"/>
      <c r="AB2020" s="63"/>
      <c r="AC2020" s="63"/>
    </row>
    <row r="2021" spans="1:29" x14ac:dyDescent="0.25">
      <c r="A2021" s="108">
        <v>46057</v>
      </c>
      <c r="B2021" s="109">
        <v>68</v>
      </c>
      <c r="C2021" s="49" t="s">
        <v>19</v>
      </c>
      <c r="D2021" s="110" t="str">
        <f>IF(ISBLANK($B2021),"",IFERROR(VLOOKUP($B2021,ESTOQUE!$B$2:$D$97168,3,FALSE),"Produto não cadastrado"))</f>
        <v>CAMISA LARANJA OP. C/ FAIXA REFLETIVA TAM: GG</v>
      </c>
      <c r="E2021" s="99" t="str">
        <f>_xlfn.XLOOKUP(B2021,ESTOQUE!B:B,ESTOQUE!G:G,"",0)</f>
        <v>UND</v>
      </c>
      <c r="F2021" s="99">
        <v>1</v>
      </c>
      <c r="G2021" s="146"/>
      <c r="H2021" s="146"/>
      <c r="I2021" s="147"/>
      <c r="J2021" s="147"/>
      <c r="K2021" s="63"/>
      <c r="L2021" s="63"/>
      <c r="M2021" s="63"/>
      <c r="N2021" s="63"/>
      <c r="O2021" s="63"/>
      <c r="P2021" s="63"/>
      <c r="Q2021" s="63"/>
      <c r="R2021" s="63"/>
      <c r="S2021" s="63"/>
      <c r="T2021" s="63"/>
      <c r="U2021" s="63"/>
      <c r="V2021" s="63"/>
      <c r="W2021" s="63"/>
      <c r="X2021" s="63"/>
      <c r="Y2021" s="63"/>
      <c r="Z2021" s="63"/>
      <c r="AA2021" s="63"/>
      <c r="AB2021" s="63"/>
      <c r="AC2021" s="63"/>
    </row>
    <row r="2022" spans="1:29" x14ac:dyDescent="0.25">
      <c r="A2022" s="108">
        <v>46057</v>
      </c>
      <c r="B2022" s="109">
        <v>69</v>
      </c>
      <c r="C2022" s="49" t="s">
        <v>19</v>
      </c>
      <c r="D2022" s="110" t="str">
        <f>IF(ISBLANK($B2022),"",IFERROR(VLOOKUP($B2022,ESTOQUE!$B$2:$D$97168,3,FALSE),"Produto não cadastrado"))</f>
        <v>CAMISA LARANJA OP. C/ FAIXA REFLETIVA TAM: M</v>
      </c>
      <c r="E2022" s="99" t="str">
        <f>_xlfn.XLOOKUP(B2022,ESTOQUE!B:B,ESTOQUE!G:G,"",0)</f>
        <v>UND</v>
      </c>
      <c r="F2022" s="99">
        <v>7</v>
      </c>
      <c r="G2022" s="146"/>
      <c r="H2022" s="146"/>
      <c r="I2022" s="147"/>
      <c r="J2022" s="147"/>
      <c r="K2022" s="63"/>
      <c r="L2022" s="63"/>
      <c r="M2022" s="63"/>
      <c r="N2022" s="63"/>
      <c r="O2022" s="63"/>
      <c r="P2022" s="63"/>
      <c r="Q2022" s="63"/>
      <c r="R2022" s="63"/>
      <c r="S2022" s="63"/>
      <c r="T2022" s="63"/>
      <c r="U2022" s="63"/>
      <c r="V2022" s="63"/>
      <c r="W2022" s="63"/>
      <c r="X2022" s="63"/>
      <c r="Y2022" s="63"/>
      <c r="Z2022" s="63"/>
      <c r="AA2022" s="63"/>
      <c r="AB2022" s="63"/>
      <c r="AC2022" s="63"/>
    </row>
    <row r="2023" spans="1:29" x14ac:dyDescent="0.25">
      <c r="A2023" s="108">
        <v>46057</v>
      </c>
      <c r="B2023" s="109">
        <v>73</v>
      </c>
      <c r="C2023" s="49" t="s">
        <v>19</v>
      </c>
      <c r="D2023" s="110" t="str">
        <f>IF(ISBLANK($B2023),"",IFERROR(VLOOKUP($B2023,ESTOQUE!$B$2:$D$97168,3,FALSE),"Produto não cadastrado"))</f>
        <v>CAPA DE CHUVA GG</v>
      </c>
      <c r="E2023" s="99" t="str">
        <f>_xlfn.XLOOKUP(B2023,ESTOQUE!B:B,ESTOQUE!G:G,"",0)</f>
        <v>UND</v>
      </c>
      <c r="F2023" s="99">
        <v>3</v>
      </c>
      <c r="G2023" s="146"/>
      <c r="H2023" s="146"/>
      <c r="I2023" s="147"/>
      <c r="J2023" s="147"/>
      <c r="K2023" s="63"/>
      <c r="L2023" s="63"/>
      <c r="M2023" s="63"/>
      <c r="N2023" s="63"/>
      <c r="O2023" s="63"/>
      <c r="P2023" s="63"/>
      <c r="Q2023" s="63"/>
      <c r="R2023" s="63"/>
      <c r="S2023" s="63"/>
      <c r="T2023" s="63"/>
      <c r="U2023" s="63"/>
      <c r="V2023" s="63"/>
      <c r="W2023" s="63"/>
      <c r="X2023" s="63"/>
      <c r="Y2023" s="63"/>
      <c r="Z2023" s="63"/>
      <c r="AA2023" s="63"/>
      <c r="AB2023" s="63"/>
      <c r="AC2023" s="63"/>
    </row>
    <row r="2024" spans="1:29" x14ac:dyDescent="0.25">
      <c r="A2024" s="108">
        <v>46057</v>
      </c>
      <c r="B2024" s="109">
        <v>141</v>
      </c>
      <c r="C2024" s="49" t="s">
        <v>19</v>
      </c>
      <c r="D2024" s="110" t="str">
        <f>IF(ISBLANK($B2024),"",IFERROR(VLOOKUP($B2024,ESTOQUE!$B$2:$D$97168,3,FALSE),"Produto não cadastrado"))</f>
        <v xml:space="preserve">LUVA DE VAQUETA </v>
      </c>
      <c r="E2024" s="99" t="str">
        <f>_xlfn.XLOOKUP(B2024,ESTOQUE!B:B,ESTOQUE!G:G,"",0)</f>
        <v>PAR</v>
      </c>
      <c r="F2024" s="99">
        <v>1</v>
      </c>
      <c r="G2024" s="146"/>
      <c r="H2024" s="146"/>
      <c r="I2024" s="147"/>
      <c r="J2024" s="147"/>
      <c r="K2024" s="63"/>
      <c r="L2024" s="63"/>
      <c r="M2024" s="63"/>
      <c r="N2024" s="63"/>
      <c r="O2024" s="63"/>
      <c r="P2024" s="63"/>
      <c r="Q2024" s="63"/>
      <c r="R2024" s="63"/>
      <c r="S2024" s="63"/>
      <c r="T2024" s="63"/>
      <c r="U2024" s="63"/>
      <c r="V2024" s="63"/>
      <c r="W2024" s="63"/>
      <c r="X2024" s="63"/>
      <c r="Y2024" s="63"/>
      <c r="Z2024" s="63"/>
      <c r="AA2024" s="63"/>
      <c r="AB2024" s="63"/>
      <c r="AC2024" s="63"/>
    </row>
    <row r="2025" spans="1:29" x14ac:dyDescent="0.25">
      <c r="A2025" s="108">
        <v>46057</v>
      </c>
      <c r="B2025" s="109">
        <v>111</v>
      </c>
      <c r="C2025" s="49" t="s">
        <v>19</v>
      </c>
      <c r="D2025" s="110" t="str">
        <f>IF(ISBLANK($B2025),"",IFERROR(VLOOKUP($B2025,ESTOQUE!$B$2:$D$97168,3,FALSE),"Produto não cadastrado"))</f>
        <v>LUVA DE VAQUETA MARROM</v>
      </c>
      <c r="E2025" s="99" t="str">
        <f>_xlfn.XLOOKUP(B2025,ESTOQUE!B:B,ESTOQUE!G:G,"",0)</f>
        <v>PAR</v>
      </c>
      <c r="F2025" s="99">
        <v>2</v>
      </c>
      <c r="G2025" s="146"/>
      <c r="H2025" s="146"/>
      <c r="I2025" s="147"/>
      <c r="J2025" s="147"/>
      <c r="K2025" s="63"/>
      <c r="L2025" s="63"/>
      <c r="M2025" s="63"/>
      <c r="N2025" s="63"/>
      <c r="O2025" s="63"/>
      <c r="P2025" s="63"/>
      <c r="Q2025" s="63"/>
      <c r="R2025" s="63"/>
      <c r="S2025" s="63"/>
      <c r="T2025" s="63"/>
      <c r="U2025" s="63"/>
      <c r="V2025" s="63"/>
      <c r="W2025" s="63"/>
      <c r="X2025" s="63"/>
      <c r="Y2025" s="63"/>
      <c r="Z2025" s="63"/>
      <c r="AA2025" s="63"/>
      <c r="AB2025" s="63"/>
      <c r="AC2025" s="63"/>
    </row>
    <row r="2026" spans="1:29" x14ac:dyDescent="0.25">
      <c r="A2026" s="108">
        <v>46057</v>
      </c>
      <c r="B2026" s="109">
        <v>114</v>
      </c>
      <c r="C2026" s="49" t="s">
        <v>19</v>
      </c>
      <c r="D2026" s="110" t="str">
        <f>IF(ISBLANK($B2026),"",IFERROR(VLOOKUP($B2026,ESTOQUE!$B$2:$D$97168,3,FALSE),"Produto não cadastrado"))</f>
        <v xml:space="preserve">LUVA LATEX NITRILICA </v>
      </c>
      <c r="E2026" s="99" t="str">
        <f>_xlfn.XLOOKUP(B2026,ESTOQUE!B:B,ESTOQUE!G:G,"",0)</f>
        <v>PAR</v>
      </c>
      <c r="F2026" s="99">
        <v>11</v>
      </c>
      <c r="G2026" s="146"/>
      <c r="H2026" s="146"/>
      <c r="I2026" s="147"/>
      <c r="J2026" s="147"/>
      <c r="K2026" s="63"/>
      <c r="L2026" s="63"/>
      <c r="M2026" s="63"/>
      <c r="N2026" s="63"/>
      <c r="O2026" s="63"/>
      <c r="P2026" s="63"/>
      <c r="Q2026" s="63"/>
      <c r="R2026" s="63"/>
      <c r="S2026" s="63"/>
      <c r="T2026" s="63"/>
      <c r="U2026" s="63"/>
      <c r="V2026" s="63"/>
      <c r="W2026" s="63"/>
      <c r="X2026" s="63"/>
      <c r="Y2026" s="63"/>
      <c r="Z2026" s="63"/>
      <c r="AA2026" s="63"/>
      <c r="AB2026" s="63"/>
      <c r="AC2026" s="63"/>
    </row>
    <row r="2027" spans="1:29" x14ac:dyDescent="0.25">
      <c r="A2027" s="108">
        <v>46057</v>
      </c>
      <c r="B2027" s="109">
        <v>207</v>
      </c>
      <c r="C2027" s="49" t="s">
        <v>19</v>
      </c>
      <c r="D2027" s="110" t="str">
        <f>IF(ISBLANK($B2027),"",IFERROR(VLOOKUP($B2027,ESTOQUE!$B$2:$D$97168,3,FALSE),"Produto não cadastrado"))</f>
        <v>LUVA POLIESTER ANTICORTE BANHADA PU TAM 9</v>
      </c>
      <c r="E2027" s="99" t="str">
        <f>_xlfn.XLOOKUP(B2027,ESTOQUE!B:B,ESTOQUE!G:G,"",0)</f>
        <v>PAR</v>
      </c>
      <c r="F2027" s="99">
        <v>3</v>
      </c>
      <c r="G2027" s="146"/>
      <c r="H2027" s="146"/>
      <c r="I2027" s="147"/>
      <c r="J2027" s="147"/>
      <c r="K2027" s="63"/>
      <c r="L2027" s="63"/>
      <c r="M2027" s="63"/>
      <c r="N2027" s="63"/>
      <c r="O2027" s="63"/>
      <c r="P2027" s="63"/>
      <c r="Q2027" s="63"/>
      <c r="R2027" s="63"/>
      <c r="S2027" s="63"/>
      <c r="T2027" s="63"/>
      <c r="U2027" s="63"/>
      <c r="V2027" s="63"/>
      <c r="W2027" s="63"/>
      <c r="X2027" s="63"/>
      <c r="Y2027" s="63"/>
      <c r="Z2027" s="63"/>
      <c r="AA2027" s="63"/>
      <c r="AB2027" s="63"/>
      <c r="AC2027" s="63"/>
    </row>
    <row r="2028" spans="1:29" x14ac:dyDescent="0.25">
      <c r="A2028" s="108">
        <v>46057</v>
      </c>
      <c r="B2028" s="109">
        <v>118</v>
      </c>
      <c r="C2028" s="49" t="s">
        <v>19</v>
      </c>
      <c r="D2028" s="110" t="str">
        <f>IF(ISBLANK($B2028),"",IFERROR(VLOOKUP($B2028,ESTOQUE!$B$2:$D$97168,3,FALSE),"Produto não cadastrado"))</f>
        <v>MACACÃO DE PROTEÇÃO TYVEK</v>
      </c>
      <c r="E2028" s="99" t="str">
        <f>_xlfn.XLOOKUP(B2028,ESTOQUE!B:B,ESTOQUE!G:G,"",0)</f>
        <v>UND</v>
      </c>
      <c r="F2028" s="99">
        <v>76</v>
      </c>
      <c r="G2028" s="146"/>
      <c r="H2028" s="146"/>
      <c r="I2028" s="147"/>
      <c r="J2028" s="147"/>
      <c r="K2028" s="63"/>
      <c r="L2028" s="63"/>
      <c r="M2028" s="63"/>
      <c r="N2028" s="63"/>
      <c r="O2028" s="63"/>
      <c r="P2028" s="63"/>
      <c r="Q2028" s="63"/>
      <c r="R2028" s="63"/>
      <c r="S2028" s="63"/>
      <c r="T2028" s="63"/>
      <c r="U2028" s="63"/>
      <c r="V2028" s="63"/>
      <c r="W2028" s="63"/>
      <c r="X2028" s="63"/>
      <c r="Y2028" s="63"/>
      <c r="Z2028" s="63"/>
      <c r="AA2028" s="63"/>
      <c r="AB2028" s="63"/>
      <c r="AC2028" s="63"/>
    </row>
    <row r="2029" spans="1:29" x14ac:dyDescent="0.25">
      <c r="A2029" s="108">
        <v>46057</v>
      </c>
      <c r="B2029" s="109">
        <v>144</v>
      </c>
      <c r="C2029" s="49" t="s">
        <v>19</v>
      </c>
      <c r="D2029" s="110" t="str">
        <f>IF(ISBLANK($B2029),"",IFERROR(VLOOKUP($B2029,ESTOQUE!$B$2:$D$97168,3,FALSE),"Produto não cadastrado"))</f>
        <v>MASCARA PFF2-S C/ FILTRO</v>
      </c>
      <c r="E2029" s="99" t="str">
        <f>_xlfn.XLOOKUP(B2029,ESTOQUE!B:B,ESTOQUE!G:G,"",0)</f>
        <v>UND</v>
      </c>
      <c r="F2029" s="99">
        <v>5</v>
      </c>
      <c r="G2029" s="146"/>
      <c r="H2029" s="146"/>
      <c r="I2029" s="147"/>
      <c r="J2029" s="147"/>
      <c r="K2029" s="63"/>
      <c r="L2029" s="63"/>
      <c r="M2029" s="63"/>
      <c r="N2029" s="63"/>
      <c r="O2029" s="63"/>
      <c r="P2029" s="63"/>
      <c r="Q2029" s="63"/>
      <c r="R2029" s="63"/>
      <c r="S2029" s="63"/>
      <c r="T2029" s="63"/>
      <c r="U2029" s="63"/>
      <c r="V2029" s="63"/>
      <c r="W2029" s="63"/>
      <c r="X2029" s="63"/>
      <c r="Y2029" s="63"/>
      <c r="Z2029" s="63"/>
      <c r="AA2029" s="63"/>
      <c r="AB2029" s="63"/>
      <c r="AC2029" s="63"/>
    </row>
    <row r="2030" spans="1:29" x14ac:dyDescent="0.25">
      <c r="A2030" s="108">
        <v>46057</v>
      </c>
      <c r="B2030" s="109">
        <v>126</v>
      </c>
      <c r="C2030" s="49" t="s">
        <v>19</v>
      </c>
      <c r="D2030" s="110" t="str">
        <f>IF(ISBLANK($B2030),"",IFERROR(VLOOKUP($B2030,ESTOQUE!$B$2:$D$97168,3,FALSE),"Produto não cadastrado"))</f>
        <v>OCULOS DE PROTEÇÃO ESCURO</v>
      </c>
      <c r="E2030" s="99" t="str">
        <f>_xlfn.XLOOKUP(B2030,ESTOQUE!B:B,ESTOQUE!G:G,"",0)</f>
        <v>UND</v>
      </c>
      <c r="F2030" s="99">
        <v>1</v>
      </c>
      <c r="G2030" s="146"/>
      <c r="H2030" s="146"/>
      <c r="I2030" s="147"/>
      <c r="J2030" s="147"/>
      <c r="K2030" s="63"/>
      <c r="L2030" s="63"/>
      <c r="M2030" s="63"/>
      <c r="N2030" s="63"/>
      <c r="O2030" s="63"/>
      <c r="P2030" s="63"/>
      <c r="Q2030" s="63"/>
      <c r="R2030" s="63"/>
      <c r="S2030" s="63"/>
      <c r="T2030" s="63"/>
      <c r="U2030" s="63"/>
      <c r="V2030" s="63"/>
      <c r="W2030" s="63"/>
      <c r="X2030" s="63"/>
      <c r="Y2030" s="63"/>
      <c r="Z2030" s="63"/>
      <c r="AA2030" s="63"/>
      <c r="AB2030" s="63"/>
      <c r="AC2030" s="63"/>
    </row>
    <row r="2031" spans="1:29" x14ac:dyDescent="0.25">
      <c r="A2031" s="108">
        <v>46057</v>
      </c>
      <c r="B2031" s="109">
        <v>124</v>
      </c>
      <c r="C2031" s="49" t="s">
        <v>19</v>
      </c>
      <c r="D2031" s="110" t="str">
        <f>IF(ISBLANK($B2031),"",IFERROR(VLOOKUP($B2031,ESTOQUE!$B$2:$D$97168,3,FALSE),"Produto não cadastrado"))</f>
        <v xml:space="preserve">OCULOS DE PROTEÇÃO INCOLOR </v>
      </c>
      <c r="E2031" s="99" t="str">
        <f>_xlfn.XLOOKUP(B2031,ESTOQUE!B:B,ESTOQUE!G:G,"",0)</f>
        <v>UND</v>
      </c>
      <c r="F2031" s="99">
        <v>1</v>
      </c>
      <c r="G2031" s="146"/>
      <c r="H2031" s="146"/>
      <c r="I2031" s="147"/>
      <c r="J2031" s="147"/>
      <c r="K2031" s="63"/>
      <c r="L2031" s="63"/>
      <c r="M2031" s="63"/>
      <c r="N2031" s="63"/>
      <c r="O2031" s="63"/>
      <c r="P2031" s="63"/>
      <c r="Q2031" s="63"/>
      <c r="R2031" s="63"/>
      <c r="S2031" s="63"/>
      <c r="T2031" s="63"/>
      <c r="U2031" s="63"/>
      <c r="V2031" s="63"/>
      <c r="W2031" s="63"/>
      <c r="X2031" s="63"/>
      <c r="Y2031" s="63"/>
      <c r="Z2031" s="63"/>
      <c r="AA2031" s="63"/>
      <c r="AB2031" s="63"/>
      <c r="AC2031" s="63"/>
    </row>
    <row r="2032" spans="1:29" x14ac:dyDescent="0.25">
      <c r="A2032" s="108">
        <v>46058</v>
      </c>
      <c r="B2032" s="109">
        <v>28</v>
      </c>
      <c r="C2032" s="49" t="s">
        <v>19</v>
      </c>
      <c r="D2032" s="110" t="str">
        <f>IF(ISBLANK($B2032),"",IFERROR(VLOOKUP($B2032,ESTOQUE!$B$2:$D$97168,3,FALSE),"Produto não cadastrado"))</f>
        <v>BOTINA DE ELETRICISTA Nº 38</v>
      </c>
      <c r="E2032" s="99" t="str">
        <f>_xlfn.XLOOKUP(B2032,ESTOQUE!B:B,ESTOQUE!G:G,"",0)</f>
        <v>PAR</v>
      </c>
      <c r="F2032" s="99">
        <v>1</v>
      </c>
      <c r="G2032" s="146"/>
      <c r="H2032" s="146"/>
      <c r="I2032" s="147"/>
      <c r="J2032" s="147"/>
      <c r="K2032" s="63"/>
      <c r="L2032" s="63"/>
      <c r="M2032" s="63"/>
      <c r="N2032" s="63"/>
      <c r="O2032" s="63"/>
      <c r="P2032" s="63"/>
      <c r="Q2032" s="63"/>
      <c r="R2032" s="63"/>
      <c r="S2032" s="63"/>
      <c r="T2032" s="63"/>
      <c r="U2032" s="63"/>
      <c r="V2032" s="63"/>
      <c r="W2032" s="63"/>
      <c r="X2032" s="63"/>
      <c r="Y2032" s="63"/>
      <c r="Z2032" s="63"/>
      <c r="AA2032" s="63"/>
      <c r="AB2032" s="63"/>
      <c r="AC2032" s="63"/>
    </row>
    <row r="2033" spans="1:29" x14ac:dyDescent="0.25">
      <c r="A2033" s="108">
        <v>46058</v>
      </c>
      <c r="B2033" s="109">
        <v>35</v>
      </c>
      <c r="C2033" s="49" t="s">
        <v>19</v>
      </c>
      <c r="D2033" s="110" t="str">
        <f>IF(ISBLANK($B2033),"",IFERROR(VLOOKUP($B2033,ESTOQUE!$B$2:$D$97168,3,FALSE),"Produto não cadastrado"))</f>
        <v>BOTINA OP. BICO PVC Nº 37</v>
      </c>
      <c r="E2033" s="99" t="str">
        <f>_xlfn.XLOOKUP(B2033,ESTOQUE!B:B,ESTOQUE!G:G,"",0)</f>
        <v>PAR</v>
      </c>
      <c r="F2033" s="99">
        <v>1</v>
      </c>
      <c r="G2033" s="146"/>
      <c r="H2033" s="146"/>
      <c r="I2033" s="147"/>
      <c r="J2033" s="147"/>
      <c r="K2033" s="63"/>
      <c r="L2033" s="63"/>
      <c r="M2033" s="63"/>
      <c r="N2033" s="63"/>
      <c r="O2033" s="63"/>
      <c r="P2033" s="63"/>
      <c r="Q2033" s="63"/>
      <c r="R2033" s="63"/>
      <c r="S2033" s="63"/>
      <c r="T2033" s="63"/>
      <c r="U2033" s="63"/>
      <c r="V2033" s="63"/>
      <c r="W2033" s="63"/>
      <c r="X2033" s="63"/>
      <c r="Y2033" s="63"/>
      <c r="Z2033" s="63"/>
      <c r="AA2033" s="63"/>
      <c r="AB2033" s="63"/>
      <c r="AC2033" s="63"/>
    </row>
    <row r="2034" spans="1:29" x14ac:dyDescent="0.25">
      <c r="A2034" s="108">
        <v>46058</v>
      </c>
      <c r="B2034" s="109">
        <v>37</v>
      </c>
      <c r="C2034" s="49" t="s">
        <v>19</v>
      </c>
      <c r="D2034" s="110" t="str">
        <f>IF(ISBLANK($B2034),"",IFERROR(VLOOKUP($B2034,ESTOQUE!$B$2:$D$97168,3,FALSE),"Produto não cadastrado"))</f>
        <v>BOTINA OP. BICO PVC Nº 39</v>
      </c>
      <c r="E2034" s="99" t="str">
        <f>_xlfn.XLOOKUP(B2034,ESTOQUE!B:B,ESTOQUE!G:G,"",0)</f>
        <v>PAR</v>
      </c>
      <c r="F2034" s="99">
        <v>2</v>
      </c>
      <c r="G2034" s="146"/>
      <c r="H2034" s="146"/>
      <c r="I2034" s="147"/>
      <c r="J2034" s="147"/>
      <c r="K2034" s="63"/>
      <c r="L2034" s="63"/>
      <c r="M2034" s="63"/>
      <c r="N2034" s="63"/>
      <c r="O2034" s="63"/>
      <c r="P2034" s="63"/>
      <c r="Q2034" s="63"/>
      <c r="R2034" s="63"/>
      <c r="S2034" s="63"/>
      <c r="T2034" s="63"/>
      <c r="U2034" s="63"/>
      <c r="V2034" s="63"/>
      <c r="W2034" s="63"/>
      <c r="X2034" s="63"/>
      <c r="Y2034" s="63"/>
      <c r="Z2034" s="63"/>
      <c r="AA2034" s="63"/>
      <c r="AB2034" s="63"/>
      <c r="AC2034" s="63"/>
    </row>
    <row r="2035" spans="1:29" x14ac:dyDescent="0.25">
      <c r="A2035" s="108">
        <v>46058</v>
      </c>
      <c r="B2035" s="109">
        <v>42</v>
      </c>
      <c r="C2035" s="49" t="s">
        <v>19</v>
      </c>
      <c r="D2035" s="110" t="str">
        <f>IF(ISBLANK($B2035),"",IFERROR(VLOOKUP($B2035,ESTOQUE!$B$2:$D$97168,3,FALSE),"Produto não cadastrado"))</f>
        <v>BOTINA OP. BICO PVC Nº 44</v>
      </c>
      <c r="E2035" s="99" t="str">
        <f>_xlfn.XLOOKUP(B2035,ESTOQUE!B:B,ESTOQUE!G:G,"",0)</f>
        <v>PAR</v>
      </c>
      <c r="F2035" s="99">
        <v>1</v>
      </c>
      <c r="G2035" s="146"/>
      <c r="H2035" s="146"/>
      <c r="I2035" s="147"/>
      <c r="J2035" s="147"/>
      <c r="K2035" s="63"/>
      <c r="L2035" s="63"/>
      <c r="M2035" s="63"/>
      <c r="N2035" s="63"/>
      <c r="O2035" s="63"/>
      <c r="P2035" s="63"/>
      <c r="Q2035" s="63"/>
      <c r="R2035" s="63"/>
      <c r="S2035" s="63"/>
      <c r="T2035" s="63"/>
      <c r="U2035" s="63"/>
      <c r="V2035" s="63"/>
      <c r="W2035" s="63"/>
      <c r="X2035" s="63"/>
      <c r="Y2035" s="63"/>
      <c r="Z2035" s="63"/>
      <c r="AA2035" s="63"/>
      <c r="AB2035" s="63"/>
      <c r="AC2035" s="63"/>
    </row>
    <row r="2036" spans="1:29" x14ac:dyDescent="0.25">
      <c r="A2036" s="108">
        <v>46058</v>
      </c>
      <c r="B2036" s="109">
        <v>46</v>
      </c>
      <c r="C2036" s="49" t="s">
        <v>19</v>
      </c>
      <c r="D2036" s="110" t="str">
        <f>IF(ISBLANK($B2036),"",IFERROR(VLOOKUP($B2036,ESTOQUE!$B$2:$D$97168,3,FALSE),"Produto não cadastrado"))</f>
        <v>CALÇA CINZA OP. C/ FAIXA REFLETIVA TAM: G</v>
      </c>
      <c r="E2036" s="99" t="str">
        <f>_xlfn.XLOOKUP(B2036,ESTOQUE!B:B,ESTOQUE!G:G,"",0)</f>
        <v>UND</v>
      </c>
      <c r="F2036" s="99">
        <v>5</v>
      </c>
      <c r="G2036" s="146"/>
      <c r="H2036" s="146"/>
      <c r="I2036" s="147"/>
      <c r="J2036" s="147"/>
      <c r="K2036" s="63"/>
      <c r="L2036" s="63"/>
      <c r="M2036" s="63"/>
      <c r="N2036" s="63"/>
      <c r="O2036" s="63"/>
      <c r="P2036" s="63"/>
      <c r="Q2036" s="63"/>
      <c r="R2036" s="63"/>
      <c r="S2036" s="63"/>
      <c r="T2036" s="63"/>
      <c r="U2036" s="63"/>
      <c r="V2036" s="63"/>
      <c r="W2036" s="63"/>
      <c r="X2036" s="63"/>
      <c r="Y2036" s="63"/>
      <c r="Z2036" s="63"/>
      <c r="AA2036" s="63"/>
      <c r="AB2036" s="63"/>
      <c r="AC2036" s="63"/>
    </row>
    <row r="2037" spans="1:29" x14ac:dyDescent="0.25">
      <c r="A2037" s="108">
        <v>46058</v>
      </c>
      <c r="B2037" s="109">
        <v>47</v>
      </c>
      <c r="C2037" s="49" t="s">
        <v>19</v>
      </c>
      <c r="D2037" s="110" t="str">
        <f>IF(ISBLANK($B2037),"",IFERROR(VLOOKUP($B2037,ESTOQUE!$B$2:$D$97168,3,FALSE),"Produto não cadastrado"))</f>
        <v>CALÇA CINZA OP. C/ FAIXA REFLETIVA TAM: GG</v>
      </c>
      <c r="E2037" s="99" t="str">
        <f>_xlfn.XLOOKUP(B2037,ESTOQUE!B:B,ESTOQUE!G:G,"",0)</f>
        <v>UND</v>
      </c>
      <c r="F2037" s="99">
        <v>3</v>
      </c>
      <c r="G2037" s="146"/>
      <c r="H2037" s="146"/>
      <c r="I2037" s="147"/>
      <c r="J2037" s="147"/>
      <c r="K2037" s="63"/>
      <c r="L2037" s="63"/>
      <c r="M2037" s="63"/>
      <c r="N2037" s="63"/>
      <c r="O2037" s="63"/>
      <c r="P2037" s="63"/>
      <c r="Q2037" s="63"/>
      <c r="R2037" s="63"/>
      <c r="S2037" s="63"/>
      <c r="T2037" s="63"/>
      <c r="U2037" s="63"/>
      <c r="V2037" s="63"/>
      <c r="W2037" s="63"/>
      <c r="X2037" s="63"/>
      <c r="Y2037" s="63"/>
      <c r="Z2037" s="63"/>
      <c r="AA2037" s="63"/>
      <c r="AB2037" s="63"/>
      <c r="AC2037" s="63"/>
    </row>
    <row r="2038" spans="1:29" x14ac:dyDescent="0.25">
      <c r="A2038" s="108">
        <v>46058</v>
      </c>
      <c r="B2038" s="109">
        <v>48</v>
      </c>
      <c r="C2038" s="49" t="s">
        <v>19</v>
      </c>
      <c r="D2038" s="110" t="str">
        <f>IF(ISBLANK($B2038),"",IFERROR(VLOOKUP($B2038,ESTOQUE!$B$2:$D$97168,3,FALSE),"Produto não cadastrado"))</f>
        <v>CALÇA CINZA OP. C/ FAIXA REFLETIVA TAM: M</v>
      </c>
      <c r="E2038" s="99" t="str">
        <f>_xlfn.XLOOKUP(B2038,ESTOQUE!B:B,ESTOQUE!G:G,"",0)</f>
        <v>UND</v>
      </c>
      <c r="F2038" s="99">
        <v>3</v>
      </c>
      <c r="G2038" s="146"/>
      <c r="H2038" s="146"/>
      <c r="I2038" s="147"/>
      <c r="J2038" s="147"/>
      <c r="K2038" s="63"/>
      <c r="L2038" s="63"/>
      <c r="M2038" s="63"/>
      <c r="N2038" s="63"/>
      <c r="O2038" s="63"/>
      <c r="P2038" s="63"/>
      <c r="Q2038" s="63"/>
      <c r="R2038" s="63"/>
      <c r="S2038" s="63"/>
      <c r="T2038" s="63"/>
      <c r="U2038" s="63"/>
      <c r="V2038" s="63"/>
      <c r="W2038" s="63"/>
      <c r="X2038" s="63"/>
      <c r="Y2038" s="63"/>
      <c r="Z2038" s="63"/>
      <c r="AA2038" s="63"/>
      <c r="AB2038" s="63"/>
      <c r="AC2038" s="63"/>
    </row>
    <row r="2039" spans="1:29" x14ac:dyDescent="0.25">
      <c r="A2039" s="108">
        <v>46058</v>
      </c>
      <c r="B2039" s="109">
        <v>67</v>
      </c>
      <c r="C2039" s="49" t="s">
        <v>19</v>
      </c>
      <c r="D2039" s="110" t="str">
        <f>IF(ISBLANK($B2039),"",IFERROR(VLOOKUP($B2039,ESTOQUE!$B$2:$D$97168,3,FALSE),"Produto não cadastrado"))</f>
        <v>CAMISA LARANJA OP. C/ FAIXA REFLETIVA TAM: G</v>
      </c>
      <c r="E2039" s="99" t="str">
        <f>_xlfn.XLOOKUP(B2039,ESTOQUE!B:B,ESTOQUE!G:G,"",0)</f>
        <v>UND</v>
      </c>
      <c r="F2039" s="99">
        <v>2</v>
      </c>
      <c r="G2039" s="146"/>
      <c r="H2039" s="146"/>
      <c r="I2039" s="147"/>
      <c r="J2039" s="147"/>
      <c r="K2039" s="63"/>
      <c r="L2039" s="63"/>
      <c r="M2039" s="63"/>
      <c r="N2039" s="63"/>
      <c r="O2039" s="63"/>
      <c r="P2039" s="63"/>
      <c r="Q2039" s="63"/>
      <c r="R2039" s="63"/>
      <c r="S2039" s="63"/>
      <c r="T2039" s="63"/>
      <c r="U2039" s="63"/>
      <c r="V2039" s="63"/>
      <c r="W2039" s="63"/>
      <c r="X2039" s="63"/>
      <c r="Y2039" s="63"/>
      <c r="Z2039" s="63"/>
      <c r="AA2039" s="63"/>
      <c r="AB2039" s="63"/>
      <c r="AC2039" s="63"/>
    </row>
    <row r="2040" spans="1:29" x14ac:dyDescent="0.25">
      <c r="A2040" s="108">
        <v>46058</v>
      </c>
      <c r="B2040" s="109">
        <v>69</v>
      </c>
      <c r="C2040" s="49" t="s">
        <v>19</v>
      </c>
      <c r="D2040" s="110" t="str">
        <f>IF(ISBLANK($B2040),"",IFERROR(VLOOKUP($B2040,ESTOQUE!$B$2:$D$97168,3,FALSE),"Produto não cadastrado"))</f>
        <v>CAMISA LARANJA OP. C/ FAIXA REFLETIVA TAM: M</v>
      </c>
      <c r="E2040" s="99" t="str">
        <f>_xlfn.XLOOKUP(B2040,ESTOQUE!B:B,ESTOQUE!G:G,"",0)</f>
        <v>UND</v>
      </c>
      <c r="F2040" s="99">
        <v>2</v>
      </c>
      <c r="G2040" s="146"/>
      <c r="H2040" s="146"/>
      <c r="I2040" s="147"/>
      <c r="J2040" s="147"/>
      <c r="K2040" s="63"/>
      <c r="L2040" s="63"/>
      <c r="M2040" s="63"/>
      <c r="N2040" s="63"/>
      <c r="O2040" s="63"/>
      <c r="P2040" s="63"/>
      <c r="Q2040" s="63"/>
      <c r="R2040" s="63"/>
      <c r="S2040" s="63"/>
      <c r="T2040" s="63"/>
      <c r="U2040" s="63"/>
      <c r="V2040" s="63"/>
      <c r="W2040" s="63"/>
      <c r="X2040" s="63"/>
      <c r="Y2040" s="63"/>
      <c r="Z2040" s="63"/>
      <c r="AA2040" s="63"/>
      <c r="AB2040" s="63"/>
      <c r="AC2040" s="63"/>
    </row>
    <row r="2041" spans="1:29" x14ac:dyDescent="0.25">
      <c r="A2041" s="108">
        <v>46058</v>
      </c>
      <c r="B2041" s="109">
        <v>73</v>
      </c>
      <c r="C2041" s="49" t="s">
        <v>19</v>
      </c>
      <c r="D2041" s="110" t="str">
        <f>IF(ISBLANK($B2041),"",IFERROR(VLOOKUP($B2041,ESTOQUE!$B$2:$D$97168,3,FALSE),"Produto não cadastrado"))</f>
        <v>CAPA DE CHUVA GG</v>
      </c>
      <c r="E2041" s="99" t="str">
        <f>_xlfn.XLOOKUP(B2041,ESTOQUE!B:B,ESTOQUE!G:G,"",0)</f>
        <v>UND</v>
      </c>
      <c r="F2041" s="99">
        <v>2</v>
      </c>
      <c r="G2041" s="146"/>
      <c r="H2041" s="146"/>
      <c r="I2041" s="147"/>
      <c r="J2041" s="147"/>
      <c r="K2041" s="63"/>
      <c r="L2041" s="63"/>
      <c r="M2041" s="63"/>
      <c r="N2041" s="63"/>
      <c r="O2041" s="63"/>
      <c r="P2041" s="63"/>
      <c r="Q2041" s="63"/>
      <c r="R2041" s="63"/>
      <c r="S2041" s="63"/>
      <c r="T2041" s="63"/>
      <c r="U2041" s="63"/>
      <c r="V2041" s="63"/>
      <c r="W2041" s="63"/>
      <c r="X2041" s="63"/>
      <c r="Y2041" s="63"/>
      <c r="Z2041" s="63"/>
      <c r="AA2041" s="63"/>
      <c r="AB2041" s="63"/>
      <c r="AC2041" s="63"/>
    </row>
    <row r="2042" spans="1:29" x14ac:dyDescent="0.25">
      <c r="A2042" s="108">
        <v>46058</v>
      </c>
      <c r="B2042" s="109">
        <v>49</v>
      </c>
      <c r="C2042" s="49" t="s">
        <v>19</v>
      </c>
      <c r="D2042" s="110" t="str">
        <f>IF(ISBLANK($B2042),"",IFERROR(VLOOKUP($B2042,ESTOQUE!$B$2:$D$97168,3,FALSE),"Produto não cadastrado"))</f>
        <v>CALÇA CINZA OP. C/ FAIXA REFLETIVA TAM: P</v>
      </c>
      <c r="E2042" s="99" t="str">
        <f>_xlfn.XLOOKUP(B2042,ESTOQUE!B:B,ESTOQUE!G:G,"",0)</f>
        <v>UND</v>
      </c>
      <c r="F2042" s="99">
        <v>3</v>
      </c>
      <c r="G2042" s="146"/>
      <c r="H2042" s="146"/>
      <c r="I2042" s="147"/>
      <c r="J2042" s="147"/>
      <c r="K2042" s="63"/>
      <c r="L2042" s="63"/>
      <c r="M2042" s="63"/>
      <c r="N2042" s="63"/>
      <c r="O2042" s="63"/>
      <c r="P2042" s="63"/>
      <c r="Q2042" s="63"/>
      <c r="R2042" s="63"/>
      <c r="S2042" s="63"/>
      <c r="T2042" s="63"/>
      <c r="U2042" s="63"/>
      <c r="V2042" s="63"/>
      <c r="W2042" s="63"/>
      <c r="X2042" s="63"/>
      <c r="Y2042" s="63"/>
      <c r="Z2042" s="63"/>
      <c r="AA2042" s="63"/>
      <c r="AB2042" s="63"/>
      <c r="AC2042" s="63"/>
    </row>
    <row r="2043" spans="1:29" x14ac:dyDescent="0.25">
      <c r="A2043" s="108">
        <v>46058</v>
      </c>
      <c r="B2043" s="109">
        <v>161</v>
      </c>
      <c r="C2043" s="49" t="s">
        <v>19</v>
      </c>
      <c r="D2043" s="110" t="str">
        <f>IF(ISBLANK($B2043),"",IFERROR(VLOOKUP($B2043,ESTOQUE!$B$2:$D$97168,3,FALSE),"Produto não cadastrado"))</f>
        <v>JUGULAR</v>
      </c>
      <c r="E2043" s="99" t="str">
        <f>_xlfn.XLOOKUP(B2043,ESTOQUE!B:B,ESTOQUE!G:G,"",0)</f>
        <v>UND</v>
      </c>
      <c r="F2043" s="99">
        <v>20</v>
      </c>
      <c r="G2043" s="146"/>
      <c r="H2043" s="146"/>
      <c r="I2043" s="147"/>
      <c r="J2043" s="147"/>
      <c r="K2043" s="63"/>
      <c r="L2043" s="63"/>
      <c r="M2043" s="63"/>
      <c r="N2043" s="63"/>
      <c r="O2043" s="63"/>
      <c r="P2043" s="63"/>
      <c r="Q2043" s="63"/>
      <c r="R2043" s="63"/>
      <c r="S2043" s="63"/>
      <c r="T2043" s="63"/>
      <c r="U2043" s="63"/>
      <c r="V2043" s="63"/>
      <c r="W2043" s="63"/>
      <c r="X2043" s="63"/>
      <c r="Y2043" s="63"/>
      <c r="Z2043" s="63"/>
      <c r="AA2043" s="63"/>
      <c r="AB2043" s="63"/>
      <c r="AC2043" s="63"/>
    </row>
    <row r="2044" spans="1:29" x14ac:dyDescent="0.25">
      <c r="A2044" s="108">
        <v>46058</v>
      </c>
      <c r="B2044" s="109">
        <v>110</v>
      </c>
      <c r="C2044" s="49" t="s">
        <v>19</v>
      </c>
      <c r="D2044" s="110" t="str">
        <f>IF(ISBLANK($B2044),"",IFERROR(VLOOKUP($B2044,ESTOQUE!$B$2:$D$97168,3,FALSE),"Produto não cadastrado"))</f>
        <v>LUVA DE RASPA CANO LONGO</v>
      </c>
      <c r="E2044" s="99" t="str">
        <f>_xlfn.XLOOKUP(B2044,ESTOQUE!B:B,ESTOQUE!G:G,"",0)</f>
        <v>PAR</v>
      </c>
      <c r="F2044" s="99">
        <v>10</v>
      </c>
      <c r="G2044" s="146"/>
      <c r="H2044" s="146"/>
      <c r="I2044" s="147"/>
      <c r="J2044" s="147"/>
      <c r="K2044" s="63"/>
      <c r="L2044" s="63"/>
      <c r="M2044" s="63"/>
      <c r="N2044" s="63"/>
      <c r="O2044" s="63"/>
      <c r="P2044" s="63"/>
      <c r="Q2044" s="63"/>
      <c r="R2044" s="63"/>
      <c r="S2044" s="63"/>
      <c r="T2044" s="63"/>
      <c r="U2044" s="63"/>
      <c r="V2044" s="63"/>
      <c r="W2044" s="63"/>
      <c r="X2044" s="63"/>
      <c r="Y2044" s="63"/>
      <c r="Z2044" s="63"/>
      <c r="AA2044" s="63"/>
      <c r="AB2044" s="63"/>
      <c r="AC2044" s="63"/>
    </row>
    <row r="2045" spans="1:29" x14ac:dyDescent="0.25">
      <c r="A2045" s="108">
        <v>46058</v>
      </c>
      <c r="B2045" s="109">
        <v>141</v>
      </c>
      <c r="C2045" s="49" t="s">
        <v>19</v>
      </c>
      <c r="D2045" s="110" t="str">
        <f>IF(ISBLANK($B2045),"",IFERROR(VLOOKUP($B2045,ESTOQUE!$B$2:$D$97168,3,FALSE),"Produto não cadastrado"))</f>
        <v xml:space="preserve">LUVA DE VAQUETA </v>
      </c>
      <c r="E2045" s="99" t="str">
        <f>_xlfn.XLOOKUP(B2045,ESTOQUE!B:B,ESTOQUE!G:G,"",0)</f>
        <v>PAR</v>
      </c>
      <c r="F2045" s="99">
        <v>1</v>
      </c>
      <c r="G2045" s="146"/>
      <c r="H2045" s="146"/>
      <c r="I2045" s="147"/>
      <c r="J2045" s="147"/>
      <c r="K2045" s="63"/>
      <c r="L2045" s="63"/>
      <c r="M2045" s="63"/>
      <c r="N2045" s="63"/>
      <c r="O2045" s="63"/>
      <c r="P2045" s="63"/>
      <c r="Q2045" s="63"/>
      <c r="R2045" s="63"/>
      <c r="S2045" s="63"/>
      <c r="T2045" s="63"/>
      <c r="U2045" s="63"/>
      <c r="V2045" s="63"/>
      <c r="W2045" s="63"/>
      <c r="X2045" s="63"/>
      <c r="Y2045" s="63"/>
      <c r="Z2045" s="63"/>
      <c r="AA2045" s="63"/>
      <c r="AB2045" s="63"/>
      <c r="AC2045" s="63"/>
    </row>
    <row r="2046" spans="1:29" x14ac:dyDescent="0.25">
      <c r="A2046" s="108">
        <v>46058</v>
      </c>
      <c r="B2046" s="109">
        <v>111</v>
      </c>
      <c r="C2046" s="49" t="s">
        <v>19</v>
      </c>
      <c r="D2046" s="110" t="str">
        <f>IF(ISBLANK($B2046),"",IFERROR(VLOOKUP($B2046,ESTOQUE!$B$2:$D$97168,3,FALSE),"Produto não cadastrado"))</f>
        <v>LUVA DE VAQUETA MARROM</v>
      </c>
      <c r="E2046" s="99" t="str">
        <f>_xlfn.XLOOKUP(B2046,ESTOQUE!B:B,ESTOQUE!G:G,"",0)</f>
        <v>PAR</v>
      </c>
      <c r="F2046" s="99">
        <v>1</v>
      </c>
      <c r="G2046" s="146"/>
      <c r="H2046" s="146"/>
      <c r="I2046" s="147"/>
      <c r="J2046" s="147"/>
      <c r="K2046" s="63"/>
      <c r="L2046" s="63"/>
      <c r="M2046" s="63"/>
      <c r="N2046" s="63"/>
      <c r="O2046" s="63"/>
      <c r="P2046" s="63"/>
      <c r="Q2046" s="63"/>
      <c r="R2046" s="63"/>
      <c r="S2046" s="63"/>
      <c r="T2046" s="63"/>
      <c r="U2046" s="63"/>
      <c r="V2046" s="63"/>
      <c r="W2046" s="63"/>
      <c r="X2046" s="63"/>
      <c r="Y2046" s="63"/>
      <c r="Z2046" s="63"/>
      <c r="AA2046" s="63"/>
      <c r="AB2046" s="63"/>
      <c r="AC2046" s="63"/>
    </row>
    <row r="2047" spans="1:29" x14ac:dyDescent="0.25">
      <c r="A2047" s="108">
        <v>46058</v>
      </c>
      <c r="B2047" s="109">
        <v>261</v>
      </c>
      <c r="C2047" s="49" t="s">
        <v>19</v>
      </c>
      <c r="D2047" s="110" t="str">
        <f>IF(ISBLANK($B2047),"",IFERROR(VLOOKUP($B2047,ESTOQUE!$B$2:$D$97168,3,FALSE),"Produto não cadastrado"))</f>
        <v xml:space="preserve">LUVA DE VAQUETA VERDE </v>
      </c>
      <c r="E2047" s="99" t="str">
        <f>_xlfn.XLOOKUP(B2047,ESTOQUE!B:B,ESTOQUE!G:G,"",0)</f>
        <v>PAR</v>
      </c>
      <c r="F2047" s="99">
        <v>20</v>
      </c>
      <c r="G2047" s="146"/>
      <c r="H2047" s="146"/>
      <c r="I2047" s="147"/>
      <c r="J2047" s="147"/>
      <c r="K2047" s="63"/>
      <c r="L2047" s="63"/>
      <c r="M2047" s="63"/>
      <c r="N2047" s="63"/>
      <c r="O2047" s="63"/>
      <c r="P2047" s="63"/>
      <c r="Q2047" s="63"/>
      <c r="R2047" s="63"/>
      <c r="S2047" s="63"/>
      <c r="T2047" s="63"/>
      <c r="U2047" s="63"/>
      <c r="V2047" s="63"/>
      <c r="W2047" s="63"/>
      <c r="X2047" s="63"/>
      <c r="Y2047" s="63"/>
      <c r="Z2047" s="63"/>
      <c r="AA2047" s="63"/>
      <c r="AB2047" s="63"/>
      <c r="AC2047" s="63"/>
    </row>
    <row r="2048" spans="1:29" x14ac:dyDescent="0.25">
      <c r="A2048" s="108">
        <v>46058</v>
      </c>
      <c r="B2048" s="109">
        <v>114</v>
      </c>
      <c r="C2048" s="49" t="s">
        <v>19</v>
      </c>
      <c r="D2048" s="110" t="str">
        <f>IF(ISBLANK($B2048),"",IFERROR(VLOOKUP($B2048,ESTOQUE!$B$2:$D$97168,3,FALSE),"Produto não cadastrado"))</f>
        <v xml:space="preserve">LUVA LATEX NITRILICA </v>
      </c>
      <c r="E2048" s="99" t="str">
        <f>_xlfn.XLOOKUP(B2048,ESTOQUE!B:B,ESTOQUE!G:G,"",0)</f>
        <v>PAR</v>
      </c>
      <c r="F2048" s="99">
        <v>24</v>
      </c>
      <c r="G2048" s="146"/>
      <c r="H2048" s="146"/>
      <c r="I2048" s="147"/>
      <c r="J2048" s="147"/>
      <c r="K2048" s="63"/>
      <c r="L2048" s="63"/>
      <c r="M2048" s="63"/>
      <c r="N2048" s="63"/>
      <c r="O2048" s="63"/>
      <c r="P2048" s="63"/>
      <c r="Q2048" s="63"/>
      <c r="R2048" s="63"/>
      <c r="S2048" s="63"/>
      <c r="T2048" s="63"/>
      <c r="U2048" s="63"/>
      <c r="V2048" s="63"/>
      <c r="W2048" s="63"/>
      <c r="X2048" s="63"/>
      <c r="Y2048" s="63"/>
      <c r="Z2048" s="63"/>
      <c r="AA2048" s="63"/>
      <c r="AB2048" s="63"/>
      <c r="AC2048" s="63"/>
    </row>
    <row r="2049" spans="1:29" x14ac:dyDescent="0.25">
      <c r="A2049" s="108">
        <v>46058</v>
      </c>
      <c r="B2049" s="109">
        <v>257</v>
      </c>
      <c r="C2049" s="49" t="s">
        <v>19</v>
      </c>
      <c r="D2049" s="110" t="str">
        <f>IF(ISBLANK($B2049),"",IFERROR(VLOOKUP($B2049,ESTOQUE!$B$2:$D$97168,3,FALSE),"Produto não cadastrado"))</f>
        <v xml:space="preserve">LUVA MULTITATO </v>
      </c>
      <c r="E2049" s="99" t="str">
        <f>_xlfn.XLOOKUP(B2049,ESTOQUE!B:B,ESTOQUE!G:G,"",0)</f>
        <v>UND</v>
      </c>
      <c r="F2049" s="99">
        <v>21</v>
      </c>
      <c r="G2049" s="146"/>
      <c r="H2049" s="146"/>
      <c r="I2049" s="147"/>
      <c r="J2049" s="147"/>
      <c r="K2049" s="63"/>
      <c r="L2049" s="63"/>
      <c r="M2049" s="63"/>
      <c r="N2049" s="63"/>
      <c r="O2049" s="63"/>
      <c r="P2049" s="63"/>
      <c r="Q2049" s="63"/>
      <c r="R2049" s="63"/>
      <c r="S2049" s="63"/>
      <c r="T2049" s="63"/>
      <c r="U2049" s="63"/>
      <c r="V2049" s="63"/>
      <c r="W2049" s="63"/>
      <c r="X2049" s="63"/>
      <c r="Y2049" s="63"/>
      <c r="Z2049" s="63"/>
      <c r="AA2049" s="63"/>
      <c r="AB2049" s="63"/>
      <c r="AC2049" s="63"/>
    </row>
    <row r="2050" spans="1:29" x14ac:dyDescent="0.25">
      <c r="A2050" s="108">
        <v>46058</v>
      </c>
      <c r="B2050" s="109">
        <v>117</v>
      </c>
      <c r="C2050" s="49" t="s">
        <v>19</v>
      </c>
      <c r="D2050" s="110" t="str">
        <f>IF(ISBLANK($B2050),"",IFERROR(VLOOKUP($B2050,ESTOQUE!$B$2:$D$97168,3,FALSE),"Produto não cadastrado"))</f>
        <v>LUVA PIGMENTADA</v>
      </c>
      <c r="E2050" s="99" t="str">
        <f>_xlfn.XLOOKUP(B2050,ESTOQUE!B:B,ESTOQUE!G:G,"",0)</f>
        <v>PAR</v>
      </c>
      <c r="F2050" s="99">
        <v>36</v>
      </c>
      <c r="G2050" s="146"/>
      <c r="H2050" s="146"/>
      <c r="I2050" s="147"/>
      <c r="J2050" s="147"/>
      <c r="K2050" s="63"/>
      <c r="L2050" s="63"/>
      <c r="M2050" s="63"/>
      <c r="N2050" s="63"/>
      <c r="O2050" s="63"/>
      <c r="P2050" s="63"/>
      <c r="Q2050" s="63"/>
      <c r="R2050" s="63"/>
      <c r="S2050" s="63"/>
      <c r="T2050" s="63"/>
      <c r="U2050" s="63"/>
      <c r="V2050" s="63"/>
      <c r="W2050" s="63"/>
      <c r="X2050" s="63"/>
      <c r="Y2050" s="63"/>
      <c r="Z2050" s="63"/>
      <c r="AA2050" s="63"/>
      <c r="AB2050" s="63"/>
      <c r="AC2050" s="63"/>
    </row>
    <row r="2051" spans="1:29" x14ac:dyDescent="0.25">
      <c r="A2051" s="108">
        <v>46058</v>
      </c>
      <c r="B2051" s="109">
        <v>207</v>
      </c>
      <c r="C2051" s="49" t="s">
        <v>19</v>
      </c>
      <c r="D2051" s="110" t="str">
        <f>IF(ISBLANK($B2051),"",IFERROR(VLOOKUP($B2051,ESTOQUE!$B$2:$D$97168,3,FALSE),"Produto não cadastrado"))</f>
        <v>LUVA POLIESTER ANTICORTE BANHADA PU TAM 9</v>
      </c>
      <c r="E2051" s="99" t="str">
        <f>_xlfn.XLOOKUP(B2051,ESTOQUE!B:B,ESTOQUE!G:G,"",0)</f>
        <v>PAR</v>
      </c>
      <c r="F2051" s="99">
        <v>14</v>
      </c>
      <c r="G2051" s="146"/>
      <c r="H2051" s="146"/>
      <c r="I2051" s="147"/>
      <c r="J2051" s="147"/>
      <c r="K2051" s="63"/>
      <c r="L2051" s="63"/>
      <c r="M2051" s="63"/>
      <c r="N2051" s="63"/>
      <c r="O2051" s="63"/>
      <c r="P2051" s="63"/>
      <c r="Q2051" s="63"/>
      <c r="R2051" s="63"/>
      <c r="S2051" s="63"/>
      <c r="T2051" s="63"/>
      <c r="U2051" s="63"/>
      <c r="V2051" s="63"/>
      <c r="W2051" s="63"/>
      <c r="X2051" s="63"/>
      <c r="Y2051" s="63"/>
      <c r="Z2051" s="63"/>
      <c r="AA2051" s="63"/>
      <c r="AB2051" s="63"/>
      <c r="AC2051" s="63"/>
    </row>
    <row r="2052" spans="1:29" x14ac:dyDescent="0.25">
      <c r="A2052" s="108">
        <v>46058</v>
      </c>
      <c r="B2052" s="109">
        <v>118</v>
      </c>
      <c r="C2052" s="49" t="s">
        <v>19</v>
      </c>
      <c r="D2052" s="110" t="str">
        <f>IF(ISBLANK($B2052),"",IFERROR(VLOOKUP($B2052,ESTOQUE!$B$2:$D$97168,3,FALSE),"Produto não cadastrado"))</f>
        <v>MACACÃO DE PROTEÇÃO TYVEK</v>
      </c>
      <c r="E2052" s="99" t="str">
        <f>_xlfn.XLOOKUP(B2052,ESTOQUE!B:B,ESTOQUE!G:G,"",0)</f>
        <v>UND</v>
      </c>
      <c r="F2052" s="99">
        <v>22</v>
      </c>
      <c r="G2052" s="146"/>
      <c r="H2052" s="146"/>
      <c r="I2052" s="147"/>
      <c r="J2052" s="147"/>
      <c r="K2052" s="63"/>
      <c r="L2052" s="63"/>
      <c r="M2052" s="63"/>
      <c r="N2052" s="63"/>
      <c r="O2052" s="63"/>
      <c r="P2052" s="63"/>
      <c r="Q2052" s="63"/>
      <c r="R2052" s="63"/>
      <c r="S2052" s="63"/>
      <c r="T2052" s="63"/>
      <c r="U2052" s="63"/>
      <c r="V2052" s="63"/>
      <c r="W2052" s="63"/>
      <c r="X2052" s="63"/>
      <c r="Y2052" s="63"/>
      <c r="Z2052" s="63"/>
      <c r="AA2052" s="63"/>
      <c r="AB2052" s="63"/>
      <c r="AC2052" s="63"/>
    </row>
    <row r="2053" spans="1:29" x14ac:dyDescent="0.25">
      <c r="A2053" s="108">
        <v>46058</v>
      </c>
      <c r="B2053" s="109">
        <v>144</v>
      </c>
      <c r="C2053" s="49" t="s">
        <v>19</v>
      </c>
      <c r="D2053" s="110" t="str">
        <f>IF(ISBLANK($B2053),"",IFERROR(VLOOKUP($B2053,ESTOQUE!$B$2:$D$97168,3,FALSE),"Produto não cadastrado"))</f>
        <v>MASCARA PFF2-S C/ FILTRO</v>
      </c>
      <c r="E2053" s="99" t="str">
        <f>_xlfn.XLOOKUP(B2053,ESTOQUE!B:B,ESTOQUE!G:G,"",0)</f>
        <v>UND</v>
      </c>
      <c r="F2053" s="99">
        <v>23</v>
      </c>
      <c r="G2053" s="146"/>
      <c r="H2053" s="146"/>
      <c r="I2053" s="147"/>
      <c r="J2053" s="147"/>
      <c r="K2053" s="63"/>
      <c r="L2053" s="63"/>
      <c r="M2053" s="63"/>
      <c r="N2053" s="63"/>
      <c r="O2053" s="63"/>
      <c r="P2053" s="63"/>
      <c r="Q2053" s="63"/>
      <c r="R2053" s="63"/>
      <c r="S2053" s="63"/>
      <c r="T2053" s="63"/>
      <c r="U2053" s="63"/>
      <c r="V2053" s="63"/>
      <c r="W2053" s="63"/>
      <c r="X2053" s="63"/>
      <c r="Y2053" s="63"/>
      <c r="Z2053" s="63"/>
      <c r="AA2053" s="63"/>
      <c r="AB2053" s="63"/>
      <c r="AC2053" s="63"/>
    </row>
    <row r="2054" spans="1:29" x14ac:dyDescent="0.25">
      <c r="A2054" s="108">
        <v>46058</v>
      </c>
      <c r="B2054" s="109">
        <v>130</v>
      </c>
      <c r="C2054" s="49" t="s">
        <v>19</v>
      </c>
      <c r="D2054" s="110" t="str">
        <f>IF(ISBLANK($B2054),"",IFERROR(VLOOKUP($B2054,ESTOQUE!$B$2:$D$97168,3,FALSE),"Produto não cadastrado"))</f>
        <v>PROTETOR AUDITIVO TIPO CONCHA L-300</v>
      </c>
      <c r="E2054" s="99" t="str">
        <f>_xlfn.XLOOKUP(B2054,ESTOQUE!B:B,ESTOQUE!G:G,"",0)</f>
        <v>UND</v>
      </c>
      <c r="F2054" s="99">
        <v>3</v>
      </c>
      <c r="G2054" s="146"/>
      <c r="H2054" s="146"/>
      <c r="I2054" s="147"/>
      <c r="J2054" s="147"/>
      <c r="K2054" s="63"/>
      <c r="L2054" s="63"/>
      <c r="M2054" s="63"/>
      <c r="N2054" s="63"/>
      <c r="O2054" s="63"/>
      <c r="P2054" s="63"/>
      <c r="Q2054" s="63"/>
      <c r="R2054" s="63"/>
      <c r="S2054" s="63"/>
      <c r="T2054" s="63"/>
      <c r="U2054" s="63"/>
      <c r="V2054" s="63"/>
      <c r="W2054" s="63"/>
      <c r="X2054" s="63"/>
      <c r="Y2054" s="63"/>
      <c r="Z2054" s="63"/>
      <c r="AA2054" s="63"/>
      <c r="AB2054" s="63"/>
      <c r="AC2054" s="63"/>
    </row>
    <row r="2055" spans="1:29" x14ac:dyDescent="0.25">
      <c r="A2055" s="108">
        <v>46058</v>
      </c>
      <c r="B2055" s="109">
        <v>139</v>
      </c>
      <c r="C2055" s="49" t="s">
        <v>19</v>
      </c>
      <c r="D2055" s="110" t="str">
        <f>IF(ISBLANK($B2055),"",IFERROR(VLOOKUP($B2055,ESTOQUE!$B$2:$D$97168,3,FALSE),"Produto não cadastrado"))</f>
        <v>PROTETOR AURICULAR TIPO PLUG</v>
      </c>
      <c r="E2055" s="99" t="str">
        <f>_xlfn.XLOOKUP(B2055,ESTOQUE!B:B,ESTOQUE!G:G,"",0)</f>
        <v>UND</v>
      </c>
      <c r="F2055" s="99">
        <v>20</v>
      </c>
      <c r="G2055" s="146"/>
      <c r="H2055" s="146"/>
      <c r="I2055" s="147"/>
      <c r="J2055" s="147"/>
      <c r="K2055" s="63"/>
      <c r="L2055" s="63"/>
      <c r="M2055" s="63"/>
      <c r="N2055" s="63"/>
      <c r="O2055" s="63"/>
      <c r="P2055" s="63"/>
      <c r="Q2055" s="63"/>
      <c r="R2055" s="63"/>
      <c r="S2055" s="63"/>
      <c r="T2055" s="63"/>
      <c r="U2055" s="63"/>
      <c r="V2055" s="63"/>
      <c r="W2055" s="63"/>
      <c r="X2055" s="63"/>
      <c r="Y2055" s="63"/>
      <c r="Z2055" s="63"/>
      <c r="AA2055" s="63"/>
      <c r="AB2055" s="63"/>
      <c r="AC2055" s="63"/>
    </row>
    <row r="2056" spans="1:29" x14ac:dyDescent="0.25">
      <c r="A2056" s="108">
        <v>46058</v>
      </c>
      <c r="B2056" s="109">
        <v>135</v>
      </c>
      <c r="C2056" s="49" t="s">
        <v>19</v>
      </c>
      <c r="D2056" s="110" t="str">
        <f>IF(ISBLANK($B2056),"",IFERROR(VLOOKUP($B2056,ESTOQUE!$B$2:$D$97168,3,FALSE),"Produto não cadastrado"))</f>
        <v>TALABARTE DUPLO TIPO Y</v>
      </c>
      <c r="E2056" s="99" t="str">
        <f>_xlfn.XLOOKUP(B2056,ESTOQUE!B:B,ESTOQUE!G:G,"",0)</f>
        <v>UND</v>
      </c>
      <c r="F2056" s="99">
        <v>1</v>
      </c>
      <c r="G2056" s="146"/>
      <c r="H2056" s="146"/>
      <c r="I2056" s="147"/>
      <c r="J2056" s="147"/>
      <c r="K2056" s="63"/>
      <c r="L2056" s="63"/>
      <c r="M2056" s="63"/>
      <c r="N2056" s="63"/>
      <c r="O2056" s="63"/>
      <c r="P2056" s="63"/>
      <c r="Q2056" s="63"/>
      <c r="R2056" s="63"/>
      <c r="S2056" s="63"/>
      <c r="T2056" s="63"/>
      <c r="U2056" s="63"/>
      <c r="V2056" s="63"/>
      <c r="W2056" s="63"/>
      <c r="X2056" s="63"/>
      <c r="Y2056" s="63"/>
      <c r="Z2056" s="63"/>
      <c r="AA2056" s="63"/>
      <c r="AB2056" s="63"/>
      <c r="AC2056" s="63"/>
    </row>
    <row r="2057" spans="1:29" x14ac:dyDescent="0.25">
      <c r="A2057" s="108">
        <v>46058</v>
      </c>
      <c r="B2057" s="109">
        <v>137</v>
      </c>
      <c r="C2057" s="49" t="s">
        <v>19</v>
      </c>
      <c r="D2057" s="110" t="str">
        <f>IF(ISBLANK($B2057),"",IFERROR(VLOOKUP($B2057,ESTOQUE!$B$2:$D$97168,3,FALSE),"Produto não cadastrado"))</f>
        <v xml:space="preserve">TOUCA ARABE </v>
      </c>
      <c r="E2057" s="99" t="str">
        <f>_xlfn.XLOOKUP(B2057,ESTOQUE!B:B,ESTOQUE!G:G,"",0)</f>
        <v>UND</v>
      </c>
      <c r="F2057" s="99">
        <v>4</v>
      </c>
      <c r="G2057" s="146"/>
      <c r="H2057" s="146"/>
      <c r="I2057" s="147"/>
      <c r="J2057" s="147"/>
      <c r="K2057" s="63"/>
      <c r="L2057" s="63"/>
      <c r="M2057" s="63"/>
      <c r="N2057" s="63"/>
      <c r="O2057" s="63"/>
      <c r="P2057" s="63"/>
      <c r="Q2057" s="63"/>
      <c r="R2057" s="63"/>
      <c r="S2057" s="63"/>
      <c r="T2057" s="63"/>
      <c r="U2057" s="63"/>
      <c r="V2057" s="63"/>
      <c r="W2057" s="63"/>
      <c r="X2057" s="63"/>
      <c r="Y2057" s="63"/>
      <c r="Z2057" s="63"/>
      <c r="AA2057" s="63"/>
      <c r="AB2057" s="63"/>
      <c r="AC2057" s="63"/>
    </row>
    <row r="2058" spans="1:29" x14ac:dyDescent="0.25">
      <c r="A2058" s="108">
        <v>46058</v>
      </c>
      <c r="B2058" s="109">
        <v>265</v>
      </c>
      <c r="C2058" s="49" t="s">
        <v>19</v>
      </c>
      <c r="D2058" s="110" t="str">
        <f>IF(ISBLANK($B2058),"",IFERROR(VLOOKUP($B2058,ESTOQUE!$B$2:$D$97168,3,FALSE),"Produto não cadastrado"))</f>
        <v xml:space="preserve">TALABARTE  DUPLO ARAMIDA </v>
      </c>
      <c r="E2058" s="99" t="str">
        <f>_xlfn.XLOOKUP(B2058,ESTOQUE!B:B,ESTOQUE!G:G,"",0)</f>
        <v>UND</v>
      </c>
      <c r="F2058" s="99">
        <v>1</v>
      </c>
      <c r="G2058" s="146"/>
      <c r="H2058" s="146"/>
      <c r="I2058" s="147"/>
      <c r="J2058" s="147"/>
      <c r="K2058" s="63"/>
      <c r="L2058" s="63"/>
      <c r="M2058" s="63"/>
      <c r="N2058" s="63"/>
      <c r="O2058" s="63"/>
      <c r="P2058" s="63"/>
      <c r="Q2058" s="63"/>
      <c r="R2058" s="63"/>
      <c r="S2058" s="63"/>
      <c r="T2058" s="63"/>
      <c r="U2058" s="63"/>
      <c r="V2058" s="63"/>
      <c r="W2058" s="63"/>
      <c r="X2058" s="63"/>
      <c r="Y2058" s="63"/>
      <c r="Z2058" s="63"/>
      <c r="AA2058" s="63"/>
      <c r="AB2058" s="63"/>
      <c r="AC2058" s="63"/>
    </row>
    <row r="2059" spans="1:29" x14ac:dyDescent="0.25">
      <c r="A2059" s="108">
        <v>46059</v>
      </c>
      <c r="B2059" s="109">
        <v>30</v>
      </c>
      <c r="C2059" s="49" t="s">
        <v>19</v>
      </c>
      <c r="D2059" s="110" t="str">
        <f>IF(ISBLANK($B2059),"",IFERROR(VLOOKUP($B2059,ESTOQUE!$B$2:$D$97168,3,FALSE),"Produto não cadastrado"))</f>
        <v>BOTINA DE ELETRICISTA Nº 40</v>
      </c>
      <c r="E2059" s="99" t="str">
        <f>_xlfn.XLOOKUP(B2059,ESTOQUE!B:B,ESTOQUE!G:G,"",0)</f>
        <v>PAR</v>
      </c>
      <c r="F2059" s="99">
        <v>2</v>
      </c>
      <c r="G2059" s="146"/>
      <c r="H2059" s="146"/>
      <c r="I2059" s="147"/>
      <c r="J2059" s="147"/>
      <c r="K2059" s="63"/>
      <c r="L2059" s="63"/>
      <c r="M2059" s="63"/>
      <c r="N2059" s="63"/>
      <c r="O2059" s="63"/>
      <c r="P2059" s="63"/>
      <c r="Q2059" s="63"/>
      <c r="R2059" s="63"/>
      <c r="S2059" s="63"/>
      <c r="T2059" s="63"/>
      <c r="U2059" s="63"/>
      <c r="V2059" s="63"/>
      <c r="W2059" s="63"/>
      <c r="X2059" s="63"/>
      <c r="Y2059" s="63"/>
      <c r="Z2059" s="63"/>
      <c r="AA2059" s="63"/>
      <c r="AB2059" s="63"/>
      <c r="AC2059" s="63"/>
    </row>
    <row r="2060" spans="1:29" x14ac:dyDescent="0.25">
      <c r="A2060" s="108">
        <v>46059</v>
      </c>
      <c r="B2060" s="109">
        <v>31</v>
      </c>
      <c r="C2060" s="49" t="s">
        <v>19</v>
      </c>
      <c r="D2060" s="110" t="str">
        <f>IF(ISBLANK($B2060),"",IFERROR(VLOOKUP($B2060,ESTOQUE!$B$2:$D$97168,3,FALSE),"Produto não cadastrado"))</f>
        <v>BOTINA DE ELETRICISTA Nº 41</v>
      </c>
      <c r="E2060" s="99" t="str">
        <f>_xlfn.XLOOKUP(B2060,ESTOQUE!B:B,ESTOQUE!G:G,"",0)</f>
        <v>PAR</v>
      </c>
      <c r="F2060" s="99">
        <v>2</v>
      </c>
      <c r="G2060" s="146"/>
      <c r="H2060" s="146"/>
      <c r="I2060" s="147"/>
      <c r="J2060" s="147"/>
      <c r="K2060" s="63"/>
      <c r="L2060" s="63"/>
      <c r="M2060" s="63"/>
      <c r="N2060" s="63"/>
      <c r="O2060" s="63"/>
      <c r="P2060" s="63"/>
      <c r="Q2060" s="63"/>
      <c r="R2060" s="63"/>
      <c r="S2060" s="63"/>
      <c r="T2060" s="63"/>
      <c r="U2060" s="63"/>
      <c r="V2060" s="63"/>
      <c r="W2060" s="63"/>
      <c r="X2060" s="63"/>
      <c r="Y2060" s="63"/>
      <c r="Z2060" s="63"/>
      <c r="AA2060" s="63"/>
      <c r="AB2060" s="63"/>
      <c r="AC2060" s="63"/>
    </row>
    <row r="2061" spans="1:29" x14ac:dyDescent="0.25">
      <c r="A2061" s="108">
        <v>46059</v>
      </c>
      <c r="B2061" s="109">
        <v>48</v>
      </c>
      <c r="C2061" s="49" t="s">
        <v>19</v>
      </c>
      <c r="D2061" s="110" t="str">
        <f>IF(ISBLANK($B2061),"",IFERROR(VLOOKUP($B2061,ESTOQUE!$B$2:$D$97168,3,FALSE),"Produto não cadastrado"))</f>
        <v>CALÇA CINZA OP. C/ FAIXA REFLETIVA TAM: M</v>
      </c>
      <c r="E2061" s="99" t="str">
        <f>_xlfn.XLOOKUP(B2061,ESTOQUE!B:B,ESTOQUE!G:G,"",0)</f>
        <v>UND</v>
      </c>
      <c r="F2061" s="99">
        <v>6</v>
      </c>
      <c r="G2061" s="146"/>
      <c r="H2061" s="146"/>
      <c r="I2061" s="147"/>
      <c r="J2061" s="147"/>
      <c r="K2061" s="63"/>
      <c r="L2061" s="63"/>
      <c r="M2061" s="63"/>
      <c r="N2061" s="63"/>
      <c r="O2061" s="63"/>
      <c r="P2061" s="63"/>
      <c r="Q2061" s="63"/>
      <c r="R2061" s="63"/>
      <c r="S2061" s="63"/>
      <c r="T2061" s="63"/>
      <c r="U2061" s="63"/>
      <c r="V2061" s="63"/>
      <c r="W2061" s="63"/>
      <c r="X2061" s="63"/>
      <c r="Y2061" s="63"/>
      <c r="Z2061" s="63"/>
      <c r="AA2061" s="63"/>
      <c r="AB2061" s="63"/>
      <c r="AC2061" s="63"/>
    </row>
    <row r="2062" spans="1:29" x14ac:dyDescent="0.25">
      <c r="A2062" s="108">
        <v>46059</v>
      </c>
      <c r="B2062" s="109">
        <v>49</v>
      </c>
      <c r="C2062" s="49" t="s">
        <v>19</v>
      </c>
      <c r="D2062" s="110" t="str">
        <f>IF(ISBLANK($B2062),"",IFERROR(VLOOKUP($B2062,ESTOQUE!$B$2:$D$97168,3,FALSE),"Produto não cadastrado"))</f>
        <v>CALÇA CINZA OP. C/ FAIXA REFLETIVA TAM: P</v>
      </c>
      <c r="E2062" s="99" t="str">
        <f>_xlfn.XLOOKUP(B2062,ESTOQUE!B:B,ESTOQUE!G:G,"",0)</f>
        <v>UND</v>
      </c>
      <c r="F2062" s="99">
        <v>2</v>
      </c>
      <c r="G2062" s="146"/>
      <c r="H2062" s="146"/>
      <c r="I2062" s="147"/>
      <c r="J2062" s="147"/>
      <c r="K2062" s="63"/>
      <c r="L2062" s="63"/>
      <c r="M2062" s="63"/>
      <c r="N2062" s="63"/>
      <c r="O2062" s="63"/>
      <c r="P2062" s="63"/>
      <c r="Q2062" s="63"/>
      <c r="R2062" s="63"/>
      <c r="S2062" s="63"/>
      <c r="T2062" s="63"/>
      <c r="U2062" s="63"/>
      <c r="V2062" s="63"/>
      <c r="W2062" s="63"/>
      <c r="X2062" s="63"/>
      <c r="Y2062" s="63"/>
      <c r="Z2062" s="63"/>
      <c r="AA2062" s="63"/>
      <c r="AB2062" s="63"/>
      <c r="AC2062" s="63"/>
    </row>
    <row r="2063" spans="1:29" x14ac:dyDescent="0.25">
      <c r="A2063" s="108">
        <v>46059</v>
      </c>
      <c r="B2063" s="109">
        <v>68</v>
      </c>
      <c r="C2063" s="49" t="s">
        <v>19</v>
      </c>
      <c r="D2063" s="110" t="str">
        <f>IF(ISBLANK($B2063),"",IFERROR(VLOOKUP($B2063,ESTOQUE!$B$2:$D$97168,3,FALSE),"Produto não cadastrado"))</f>
        <v>CAMISA LARANJA OP. C/ FAIXA REFLETIVA TAM: GG</v>
      </c>
      <c r="E2063" s="99" t="str">
        <f>_xlfn.XLOOKUP(B2063,ESTOQUE!B:B,ESTOQUE!G:G,"",0)</f>
        <v>UND</v>
      </c>
      <c r="F2063" s="99">
        <v>1</v>
      </c>
      <c r="G2063" s="146"/>
      <c r="H2063" s="146"/>
      <c r="I2063" s="147"/>
      <c r="J2063" s="147"/>
      <c r="K2063" s="63"/>
      <c r="L2063" s="63"/>
      <c r="M2063" s="63"/>
      <c r="N2063" s="63"/>
      <c r="O2063" s="63"/>
      <c r="P2063" s="63"/>
      <c r="Q2063" s="63"/>
      <c r="R2063" s="63"/>
      <c r="S2063" s="63"/>
      <c r="T2063" s="63"/>
      <c r="U2063" s="63"/>
      <c r="V2063" s="63"/>
      <c r="W2063" s="63"/>
      <c r="X2063" s="63"/>
      <c r="Y2063" s="63"/>
      <c r="Z2063" s="63"/>
      <c r="AA2063" s="63"/>
      <c r="AB2063" s="63"/>
      <c r="AC2063" s="63"/>
    </row>
    <row r="2064" spans="1:29" x14ac:dyDescent="0.25">
      <c r="A2064" s="108">
        <v>46059</v>
      </c>
      <c r="B2064" s="109">
        <v>69</v>
      </c>
      <c r="C2064" s="49" t="s">
        <v>19</v>
      </c>
      <c r="D2064" s="110" t="str">
        <f>IF(ISBLANK($B2064),"",IFERROR(VLOOKUP($B2064,ESTOQUE!$B$2:$D$97168,3,FALSE),"Produto não cadastrado"))</f>
        <v>CAMISA LARANJA OP. C/ FAIXA REFLETIVA TAM: M</v>
      </c>
      <c r="E2064" s="99" t="str">
        <f>_xlfn.XLOOKUP(B2064,ESTOQUE!B:B,ESTOQUE!G:G,"",0)</f>
        <v>UND</v>
      </c>
      <c r="F2064" s="99">
        <v>2</v>
      </c>
      <c r="G2064" s="146"/>
      <c r="H2064" s="146"/>
      <c r="I2064" s="147"/>
      <c r="J2064" s="147"/>
      <c r="K2064" s="63"/>
      <c r="L2064" s="63"/>
      <c r="M2064" s="63"/>
      <c r="N2064" s="63"/>
      <c r="O2064" s="63"/>
      <c r="P2064" s="63"/>
      <c r="Q2064" s="63"/>
      <c r="R2064" s="63"/>
      <c r="S2064" s="63"/>
      <c r="T2064" s="63"/>
      <c r="U2064" s="63"/>
      <c r="V2064" s="63"/>
      <c r="W2064" s="63"/>
      <c r="X2064" s="63"/>
      <c r="Y2064" s="63"/>
      <c r="Z2064" s="63"/>
      <c r="AA2064" s="63"/>
      <c r="AB2064" s="63"/>
      <c r="AC2064" s="63"/>
    </row>
    <row r="2065" spans="1:29" x14ac:dyDescent="0.25">
      <c r="A2065" s="108">
        <v>46059</v>
      </c>
      <c r="B2065" s="109">
        <v>70</v>
      </c>
      <c r="C2065" s="49" t="s">
        <v>19</v>
      </c>
      <c r="D2065" s="110" t="str">
        <f>IF(ISBLANK($B2065),"",IFERROR(VLOOKUP($B2065,ESTOQUE!$B$2:$D$97168,3,FALSE),"Produto não cadastrado"))</f>
        <v>CAMISA LARANJA OP. C/ FAIXA REFLETIVA TAM: P</v>
      </c>
      <c r="E2065" s="99" t="str">
        <f>_xlfn.XLOOKUP(B2065,ESTOQUE!B:B,ESTOQUE!G:G,"",0)</f>
        <v>UND</v>
      </c>
      <c r="F2065" s="99">
        <v>3</v>
      </c>
      <c r="G2065" s="146"/>
      <c r="H2065" s="146"/>
      <c r="I2065" s="147"/>
      <c r="J2065" s="147"/>
      <c r="K2065" s="63"/>
      <c r="L2065" s="63"/>
      <c r="M2065" s="63"/>
      <c r="N2065" s="63"/>
      <c r="O2065" s="63"/>
      <c r="P2065" s="63"/>
      <c r="Q2065" s="63"/>
      <c r="R2065" s="63"/>
      <c r="S2065" s="63"/>
      <c r="T2065" s="63"/>
      <c r="U2065" s="63"/>
      <c r="V2065" s="63"/>
      <c r="W2065" s="63"/>
      <c r="X2065" s="63"/>
      <c r="Y2065" s="63"/>
      <c r="Z2065" s="63"/>
      <c r="AA2065" s="63"/>
      <c r="AB2065" s="63"/>
      <c r="AC2065" s="63"/>
    </row>
    <row r="2066" spans="1:29" x14ac:dyDescent="0.25">
      <c r="A2066" s="108">
        <v>46059</v>
      </c>
      <c r="B2066" s="109">
        <v>73</v>
      </c>
      <c r="C2066" s="49" t="s">
        <v>19</v>
      </c>
      <c r="D2066" s="110" t="str">
        <f>IF(ISBLANK($B2066),"",IFERROR(VLOOKUP($B2066,ESTOQUE!$B$2:$D$97168,3,FALSE),"Produto não cadastrado"))</f>
        <v>CAPA DE CHUVA GG</v>
      </c>
      <c r="E2066" s="99" t="str">
        <f>_xlfn.XLOOKUP(B2066,ESTOQUE!B:B,ESTOQUE!G:G,"",0)</f>
        <v>UND</v>
      </c>
      <c r="F2066" s="99">
        <v>1</v>
      </c>
      <c r="G2066" s="146"/>
      <c r="H2066" s="146"/>
      <c r="I2066" s="147"/>
      <c r="J2066" s="147"/>
      <c r="K2066" s="63"/>
      <c r="L2066" s="63"/>
      <c r="M2066" s="63"/>
      <c r="N2066" s="63"/>
      <c r="O2066" s="63"/>
      <c r="P2066" s="63"/>
      <c r="Q2066" s="63"/>
      <c r="R2066" s="63"/>
      <c r="S2066" s="63"/>
      <c r="T2066" s="63"/>
      <c r="U2066" s="63"/>
      <c r="V2066" s="63"/>
      <c r="W2066" s="63"/>
      <c r="X2066" s="63"/>
      <c r="Y2066" s="63"/>
      <c r="Z2066" s="63"/>
      <c r="AA2066" s="63"/>
      <c r="AB2066" s="63"/>
      <c r="AC2066" s="63"/>
    </row>
    <row r="2067" spans="1:29" x14ac:dyDescent="0.25">
      <c r="A2067" s="108">
        <v>46059</v>
      </c>
      <c r="B2067" s="109">
        <v>95</v>
      </c>
      <c r="C2067" s="49" t="s">
        <v>19</v>
      </c>
      <c r="D2067" s="110" t="str">
        <f>IF(ISBLANK($B2067),"",IFERROR(VLOOKUP($B2067,ESTOQUE!$B$2:$D$97168,3,FALSE),"Produto não cadastrado"))</f>
        <v>CARNEIRA P/ CAPACETE LIBUS</v>
      </c>
      <c r="E2067" s="99" t="str">
        <f>_xlfn.XLOOKUP(B2067,ESTOQUE!B:B,ESTOQUE!G:G,"",0)</f>
        <v>UND</v>
      </c>
      <c r="F2067" s="99">
        <v>1</v>
      </c>
      <c r="G2067" s="146"/>
      <c r="H2067" s="146"/>
      <c r="I2067" s="147"/>
      <c r="J2067" s="147"/>
      <c r="K2067" s="63"/>
      <c r="L2067" s="63"/>
      <c r="M2067" s="63"/>
      <c r="N2067" s="63"/>
      <c r="O2067" s="63"/>
      <c r="P2067" s="63"/>
      <c r="Q2067" s="63"/>
      <c r="R2067" s="63"/>
      <c r="S2067" s="63"/>
      <c r="T2067" s="63"/>
      <c r="U2067" s="63"/>
      <c r="V2067" s="63"/>
      <c r="W2067" s="63"/>
      <c r="X2067" s="63"/>
      <c r="Y2067" s="63"/>
      <c r="Z2067" s="63"/>
      <c r="AA2067" s="63"/>
      <c r="AB2067" s="63"/>
      <c r="AC2067" s="63"/>
    </row>
    <row r="2068" spans="1:29" x14ac:dyDescent="0.25">
      <c r="A2068" s="108">
        <v>46059</v>
      </c>
      <c r="B2068" s="109">
        <v>97</v>
      </c>
      <c r="C2068" s="49" t="s">
        <v>19</v>
      </c>
      <c r="D2068" s="110" t="str">
        <f>IF(ISBLANK($B2068),"",IFERROR(VLOOKUP($B2068,ESTOQUE!$B$2:$D$97168,3,FALSE),"Produto não cadastrado"))</f>
        <v>COLETE REFLETIVO LARANJA M</v>
      </c>
      <c r="E2068" s="99" t="str">
        <f>_xlfn.XLOOKUP(B2068,ESTOQUE!B:B,ESTOQUE!G:G,"",0)</f>
        <v>UND</v>
      </c>
      <c r="F2068" s="99">
        <v>1</v>
      </c>
      <c r="G2068" s="146"/>
      <c r="H2068" s="146"/>
      <c r="I2068" s="147"/>
      <c r="J2068" s="147"/>
      <c r="K2068" s="63"/>
      <c r="L2068" s="63"/>
      <c r="M2068" s="63"/>
      <c r="N2068" s="63"/>
      <c r="O2068" s="63"/>
      <c r="P2068" s="63"/>
      <c r="Q2068" s="63"/>
      <c r="R2068" s="63"/>
      <c r="S2068" s="63"/>
      <c r="T2068" s="63"/>
      <c r="U2068" s="63"/>
      <c r="V2068" s="63"/>
      <c r="W2068" s="63"/>
      <c r="X2068" s="63"/>
      <c r="Y2068" s="63"/>
      <c r="Z2068" s="63"/>
      <c r="AA2068" s="63"/>
      <c r="AB2068" s="63"/>
      <c r="AC2068" s="63"/>
    </row>
    <row r="2069" spans="1:29" x14ac:dyDescent="0.25">
      <c r="A2069" s="108">
        <v>46059</v>
      </c>
      <c r="B2069" s="109">
        <v>98</v>
      </c>
      <c r="C2069" s="49" t="s">
        <v>19</v>
      </c>
      <c r="D2069" s="110" t="str">
        <f>IF(ISBLANK($B2069),"",IFERROR(VLOOKUP($B2069,ESTOQUE!$B$2:$D$97168,3,FALSE),"Produto não cadastrado"))</f>
        <v>COLETE REFLETIVO LARANJA XGG</v>
      </c>
      <c r="E2069" s="99" t="str">
        <f>_xlfn.XLOOKUP(B2069,ESTOQUE!B:B,ESTOQUE!G:G,"",0)</f>
        <v>UND</v>
      </c>
      <c r="F2069" s="99">
        <v>1</v>
      </c>
      <c r="G2069" s="146"/>
      <c r="H2069" s="146"/>
      <c r="I2069" s="147"/>
      <c r="J2069" s="147"/>
      <c r="K2069" s="63"/>
      <c r="L2069" s="63"/>
      <c r="M2069" s="63"/>
      <c r="N2069" s="63"/>
      <c r="O2069" s="63"/>
      <c r="P2069" s="63"/>
      <c r="Q2069" s="63"/>
      <c r="R2069" s="63"/>
      <c r="S2069" s="63"/>
      <c r="T2069" s="63"/>
      <c r="U2069" s="63"/>
      <c r="V2069" s="63"/>
      <c r="W2069" s="63"/>
      <c r="X2069" s="63"/>
      <c r="Y2069" s="63"/>
      <c r="Z2069" s="63"/>
      <c r="AA2069" s="63"/>
      <c r="AB2069" s="63"/>
      <c r="AC2069" s="63"/>
    </row>
    <row r="2070" spans="1:29" x14ac:dyDescent="0.25">
      <c r="A2070" s="108">
        <v>46059</v>
      </c>
      <c r="B2070" s="109">
        <v>141</v>
      </c>
      <c r="C2070" s="49" t="s">
        <v>19</v>
      </c>
      <c r="D2070" s="110" t="str">
        <f>IF(ISBLANK($B2070),"",IFERROR(VLOOKUP($B2070,ESTOQUE!$B$2:$D$97168,3,FALSE),"Produto não cadastrado"))</f>
        <v xml:space="preserve">LUVA DE VAQUETA </v>
      </c>
      <c r="E2070" s="99" t="str">
        <f>_xlfn.XLOOKUP(B2070,ESTOQUE!B:B,ESTOQUE!G:G,"",0)</f>
        <v>PAR</v>
      </c>
      <c r="F2070" s="99">
        <v>10</v>
      </c>
      <c r="G2070" s="146"/>
      <c r="H2070" s="146"/>
      <c r="I2070" s="147"/>
      <c r="J2070" s="147"/>
      <c r="K2070" s="63"/>
      <c r="L2070" s="63"/>
      <c r="M2070" s="63"/>
      <c r="N2070" s="63"/>
      <c r="O2070" s="63"/>
      <c r="P2070" s="63"/>
      <c r="Q2070" s="63"/>
      <c r="R2070" s="63"/>
      <c r="S2070" s="63"/>
      <c r="T2070" s="63"/>
      <c r="U2070" s="63"/>
      <c r="V2070" s="63"/>
      <c r="W2070" s="63"/>
      <c r="X2070" s="63"/>
      <c r="Y2070" s="63"/>
      <c r="Z2070" s="63"/>
      <c r="AA2070" s="63"/>
      <c r="AB2070" s="63"/>
      <c r="AC2070" s="63"/>
    </row>
    <row r="2071" spans="1:29" x14ac:dyDescent="0.25">
      <c r="A2071" s="108">
        <v>46059</v>
      </c>
      <c r="B2071" s="109">
        <v>111</v>
      </c>
      <c r="C2071" s="49" t="s">
        <v>19</v>
      </c>
      <c r="D2071" s="110" t="str">
        <f>IF(ISBLANK($B2071),"",IFERROR(VLOOKUP($B2071,ESTOQUE!$B$2:$D$97168,3,FALSE),"Produto não cadastrado"))</f>
        <v>LUVA DE VAQUETA MARROM</v>
      </c>
      <c r="E2071" s="99" t="str">
        <f>_xlfn.XLOOKUP(B2071,ESTOQUE!B:B,ESTOQUE!G:G,"",0)</f>
        <v>PAR</v>
      </c>
      <c r="F2071" s="99">
        <v>1</v>
      </c>
      <c r="G2071" s="146"/>
      <c r="H2071" s="146"/>
      <c r="I2071" s="147"/>
      <c r="J2071" s="147"/>
      <c r="K2071" s="63"/>
      <c r="L2071" s="63"/>
      <c r="M2071" s="63"/>
      <c r="N2071" s="63"/>
      <c r="O2071" s="63"/>
      <c r="P2071" s="63"/>
      <c r="Q2071" s="63"/>
      <c r="R2071" s="63"/>
      <c r="S2071" s="63"/>
      <c r="T2071" s="63"/>
      <c r="U2071" s="63"/>
      <c r="V2071" s="63"/>
      <c r="W2071" s="63"/>
      <c r="X2071" s="63"/>
      <c r="Y2071" s="63"/>
      <c r="Z2071" s="63"/>
      <c r="AA2071" s="63"/>
      <c r="AB2071" s="63"/>
      <c r="AC2071" s="63"/>
    </row>
    <row r="2072" spans="1:29" x14ac:dyDescent="0.25">
      <c r="A2072" s="108">
        <v>46059</v>
      </c>
      <c r="B2072" s="109">
        <v>189</v>
      </c>
      <c r="C2072" s="49" t="s">
        <v>19</v>
      </c>
      <c r="D2072" s="110" t="str">
        <f>IF(ISBLANK($B2072),"",IFERROR(VLOOKUP($B2072,ESTOQUE!$B$2:$D$97168,3,FALSE),"Produto não cadastrado"))</f>
        <v xml:space="preserve">LUVA DE VAQUETA MISTA </v>
      </c>
      <c r="E2072" s="99" t="str">
        <f>_xlfn.XLOOKUP(B2072,ESTOQUE!B:B,ESTOQUE!G:G,"",0)</f>
        <v>UND</v>
      </c>
      <c r="F2072" s="99">
        <v>10</v>
      </c>
      <c r="G2072" s="146"/>
      <c r="H2072" s="146"/>
      <c r="I2072" s="147"/>
      <c r="J2072" s="147"/>
      <c r="K2072" s="63"/>
      <c r="L2072" s="63"/>
      <c r="M2072" s="63"/>
      <c r="N2072" s="63"/>
      <c r="O2072" s="63"/>
      <c r="P2072" s="63"/>
      <c r="Q2072" s="63"/>
      <c r="R2072" s="63"/>
      <c r="S2072" s="63"/>
      <c r="T2072" s="63"/>
      <c r="U2072" s="63"/>
      <c r="V2072" s="63"/>
      <c r="W2072" s="63"/>
      <c r="X2072" s="63"/>
      <c r="Y2072" s="63"/>
      <c r="Z2072" s="63"/>
      <c r="AA2072" s="63"/>
      <c r="AB2072" s="63"/>
      <c r="AC2072" s="63"/>
    </row>
    <row r="2073" spans="1:29" x14ac:dyDescent="0.25">
      <c r="A2073" s="108">
        <v>46059</v>
      </c>
      <c r="B2073" s="109">
        <v>114</v>
      </c>
      <c r="C2073" s="49" t="s">
        <v>19</v>
      </c>
      <c r="D2073" s="110" t="str">
        <f>IF(ISBLANK($B2073),"",IFERROR(VLOOKUP($B2073,ESTOQUE!$B$2:$D$97168,3,FALSE),"Produto não cadastrado"))</f>
        <v xml:space="preserve">LUVA LATEX NITRILICA </v>
      </c>
      <c r="E2073" s="99" t="str">
        <f>_xlfn.XLOOKUP(B2073,ESTOQUE!B:B,ESTOQUE!G:G,"",0)</f>
        <v>PAR</v>
      </c>
      <c r="F2073" s="99">
        <v>14</v>
      </c>
      <c r="G2073" s="146"/>
      <c r="H2073" s="146"/>
      <c r="I2073" s="147"/>
      <c r="J2073" s="147"/>
      <c r="K2073" s="63"/>
      <c r="L2073" s="63"/>
      <c r="M2073" s="63"/>
      <c r="N2073" s="63"/>
      <c r="O2073" s="63"/>
      <c r="P2073" s="63"/>
      <c r="Q2073" s="63"/>
      <c r="R2073" s="63"/>
      <c r="S2073" s="63"/>
      <c r="T2073" s="63"/>
      <c r="U2073" s="63"/>
      <c r="V2073" s="63"/>
      <c r="W2073" s="63"/>
      <c r="X2073" s="63"/>
      <c r="Y2073" s="63"/>
      <c r="Z2073" s="63"/>
      <c r="AA2073" s="63"/>
      <c r="AB2073" s="63"/>
      <c r="AC2073" s="63"/>
    </row>
    <row r="2074" spans="1:29" x14ac:dyDescent="0.25">
      <c r="A2074" s="108">
        <v>46059</v>
      </c>
      <c r="B2074" s="109">
        <v>117</v>
      </c>
      <c r="C2074" s="49" t="s">
        <v>19</v>
      </c>
      <c r="D2074" s="110" t="str">
        <f>IF(ISBLANK($B2074),"",IFERROR(VLOOKUP($B2074,ESTOQUE!$B$2:$D$97168,3,FALSE),"Produto não cadastrado"))</f>
        <v>LUVA PIGMENTADA</v>
      </c>
      <c r="E2074" s="99" t="str">
        <f>_xlfn.XLOOKUP(B2074,ESTOQUE!B:B,ESTOQUE!G:G,"",0)</f>
        <v>PAR</v>
      </c>
      <c r="F2074" s="99">
        <v>1</v>
      </c>
      <c r="G2074" s="146"/>
      <c r="H2074" s="146"/>
      <c r="I2074" s="147"/>
      <c r="J2074" s="147"/>
      <c r="K2074" s="63"/>
      <c r="L2074" s="63"/>
      <c r="M2074" s="63"/>
      <c r="N2074" s="63"/>
      <c r="O2074" s="63"/>
      <c r="P2074" s="63"/>
      <c r="Q2074" s="63"/>
      <c r="R2074" s="63"/>
      <c r="S2074" s="63"/>
      <c r="T2074" s="63"/>
      <c r="U2074" s="63"/>
      <c r="V2074" s="63"/>
      <c r="W2074" s="63"/>
      <c r="X2074" s="63"/>
      <c r="Y2074" s="63"/>
      <c r="Z2074" s="63"/>
      <c r="AA2074" s="63"/>
      <c r="AB2074" s="63"/>
      <c r="AC2074" s="63"/>
    </row>
    <row r="2075" spans="1:29" x14ac:dyDescent="0.25">
      <c r="A2075" s="108">
        <v>46059</v>
      </c>
      <c r="B2075" s="109">
        <v>118</v>
      </c>
      <c r="C2075" s="49" t="s">
        <v>19</v>
      </c>
      <c r="D2075" s="110" t="str">
        <f>IF(ISBLANK($B2075),"",IFERROR(VLOOKUP($B2075,ESTOQUE!$B$2:$D$97168,3,FALSE),"Produto não cadastrado"))</f>
        <v>MACACÃO DE PROTEÇÃO TYVEK</v>
      </c>
      <c r="E2075" s="99" t="str">
        <f>_xlfn.XLOOKUP(B2075,ESTOQUE!B:B,ESTOQUE!G:G,"",0)</f>
        <v>UND</v>
      </c>
      <c r="F2075" s="99">
        <v>51</v>
      </c>
      <c r="G2075" s="146"/>
      <c r="H2075" s="146"/>
      <c r="I2075" s="147"/>
      <c r="J2075" s="147"/>
      <c r="K2075" s="63"/>
      <c r="L2075" s="63"/>
      <c r="M2075" s="63"/>
      <c r="N2075" s="63"/>
      <c r="O2075" s="63"/>
      <c r="P2075" s="63"/>
      <c r="Q2075" s="63"/>
      <c r="R2075" s="63"/>
      <c r="S2075" s="63"/>
      <c r="T2075" s="63"/>
      <c r="U2075" s="63"/>
      <c r="V2075" s="63"/>
      <c r="W2075" s="63"/>
      <c r="X2075" s="63"/>
      <c r="Y2075" s="63"/>
      <c r="Z2075" s="63"/>
      <c r="AA2075" s="63"/>
      <c r="AB2075" s="63"/>
      <c r="AC2075" s="63"/>
    </row>
    <row r="2076" spans="1:29" x14ac:dyDescent="0.25">
      <c r="A2076" s="108">
        <v>46059</v>
      </c>
      <c r="B2076" s="109">
        <v>144</v>
      </c>
      <c r="C2076" s="49" t="s">
        <v>19</v>
      </c>
      <c r="D2076" s="110" t="str">
        <f>IF(ISBLANK($B2076),"",IFERROR(VLOOKUP($B2076,ESTOQUE!$B$2:$D$97168,3,FALSE),"Produto não cadastrado"))</f>
        <v>MASCARA PFF2-S C/ FILTRO</v>
      </c>
      <c r="E2076" s="99" t="str">
        <f>_xlfn.XLOOKUP(B2076,ESTOQUE!B:B,ESTOQUE!G:G,"",0)</f>
        <v>UND</v>
      </c>
      <c r="F2076" s="99">
        <v>30</v>
      </c>
      <c r="G2076" s="146"/>
      <c r="H2076" s="146"/>
      <c r="I2076" s="147"/>
      <c r="J2076" s="147"/>
      <c r="K2076" s="63"/>
      <c r="L2076" s="63"/>
      <c r="M2076" s="63"/>
      <c r="N2076" s="63"/>
      <c r="O2076" s="63"/>
      <c r="P2076" s="63"/>
      <c r="Q2076" s="63"/>
      <c r="R2076" s="63"/>
      <c r="S2076" s="63"/>
      <c r="T2076" s="63"/>
      <c r="U2076" s="63"/>
      <c r="V2076" s="63"/>
      <c r="W2076" s="63"/>
      <c r="X2076" s="63"/>
      <c r="Y2076" s="63"/>
      <c r="Z2076" s="63"/>
      <c r="AA2076" s="63"/>
      <c r="AB2076" s="63"/>
      <c r="AC2076" s="63"/>
    </row>
    <row r="2077" spans="1:29" x14ac:dyDescent="0.25">
      <c r="A2077" s="108">
        <v>46059</v>
      </c>
      <c r="B2077" s="109">
        <v>126</v>
      </c>
      <c r="C2077" s="49" t="s">
        <v>19</v>
      </c>
      <c r="D2077" s="110" t="str">
        <f>IF(ISBLANK($B2077),"",IFERROR(VLOOKUP($B2077,ESTOQUE!$B$2:$D$97168,3,FALSE),"Produto não cadastrado"))</f>
        <v>OCULOS DE PROTEÇÃO ESCURO</v>
      </c>
      <c r="E2077" s="99" t="str">
        <f>_xlfn.XLOOKUP(B2077,ESTOQUE!B:B,ESTOQUE!G:G,"",0)</f>
        <v>UND</v>
      </c>
      <c r="F2077" s="99">
        <v>120</v>
      </c>
      <c r="G2077" s="146"/>
      <c r="H2077" s="146"/>
      <c r="I2077" s="147"/>
      <c r="J2077" s="147"/>
      <c r="K2077" s="63"/>
      <c r="L2077" s="63"/>
      <c r="M2077" s="63"/>
      <c r="N2077" s="63"/>
      <c r="O2077" s="63"/>
      <c r="P2077" s="63"/>
      <c r="Q2077" s="63"/>
      <c r="R2077" s="63"/>
      <c r="S2077" s="63"/>
      <c r="T2077" s="63"/>
      <c r="U2077" s="63"/>
      <c r="V2077" s="63"/>
      <c r="W2077" s="63"/>
      <c r="X2077" s="63"/>
      <c r="Y2077" s="63"/>
      <c r="Z2077" s="63"/>
      <c r="AA2077" s="63"/>
      <c r="AB2077" s="63"/>
      <c r="AC2077" s="63"/>
    </row>
    <row r="2078" spans="1:29" x14ac:dyDescent="0.25">
      <c r="A2078" s="108">
        <v>46059</v>
      </c>
      <c r="B2078" s="109">
        <v>124</v>
      </c>
      <c r="C2078" s="49" t="s">
        <v>19</v>
      </c>
      <c r="D2078" s="110" t="str">
        <f>IF(ISBLANK($B2078),"",IFERROR(VLOOKUP($B2078,ESTOQUE!$B$2:$D$97168,3,FALSE),"Produto não cadastrado"))</f>
        <v xml:space="preserve">OCULOS DE PROTEÇÃO INCOLOR </v>
      </c>
      <c r="E2078" s="99" t="str">
        <f>_xlfn.XLOOKUP(B2078,ESTOQUE!B:B,ESTOQUE!G:G,"",0)</f>
        <v>UND</v>
      </c>
      <c r="F2078" s="99">
        <v>2</v>
      </c>
      <c r="G2078" s="146"/>
      <c r="H2078" s="146"/>
      <c r="I2078" s="147"/>
      <c r="J2078" s="147"/>
      <c r="K2078" s="63"/>
      <c r="L2078" s="63"/>
      <c r="M2078" s="63"/>
      <c r="N2078" s="63"/>
      <c r="O2078" s="63"/>
      <c r="P2078" s="63"/>
      <c r="Q2078" s="63"/>
      <c r="R2078" s="63"/>
      <c r="S2078" s="63"/>
      <c r="T2078" s="63"/>
      <c r="U2078" s="63"/>
      <c r="V2078" s="63"/>
      <c r="W2078" s="63"/>
      <c r="X2078" s="63"/>
      <c r="Y2078" s="63"/>
      <c r="Z2078" s="63"/>
      <c r="AA2078" s="63"/>
      <c r="AB2078" s="63"/>
      <c r="AC2078" s="63"/>
    </row>
    <row r="2079" spans="1:29" x14ac:dyDescent="0.25">
      <c r="A2079" s="108">
        <v>46059</v>
      </c>
      <c r="B2079" s="109">
        <v>135</v>
      </c>
      <c r="C2079" s="49" t="s">
        <v>19</v>
      </c>
      <c r="D2079" s="110" t="str">
        <f>IF(ISBLANK($B2079),"",IFERROR(VLOOKUP($B2079,ESTOQUE!$B$2:$D$97168,3,FALSE),"Produto não cadastrado"))</f>
        <v>TALABARTE DUPLO TIPO Y</v>
      </c>
      <c r="E2079" s="99" t="str">
        <f>_xlfn.XLOOKUP(B2079,ESTOQUE!B:B,ESTOQUE!G:G,"",0)</f>
        <v>UND</v>
      </c>
      <c r="F2079" s="99">
        <v>1</v>
      </c>
      <c r="G2079" s="146"/>
      <c r="H2079" s="146"/>
      <c r="I2079" s="147"/>
      <c r="J2079" s="147"/>
      <c r="K2079" s="63"/>
      <c r="L2079" s="63"/>
      <c r="M2079" s="63"/>
      <c r="N2079" s="63"/>
      <c r="O2079" s="63"/>
      <c r="P2079" s="63"/>
      <c r="Q2079" s="63"/>
      <c r="R2079" s="63"/>
      <c r="S2079" s="63"/>
      <c r="T2079" s="63"/>
      <c r="U2079" s="63"/>
      <c r="V2079" s="63"/>
      <c r="W2079" s="63"/>
      <c r="X2079" s="63"/>
      <c r="Y2079" s="63"/>
      <c r="Z2079" s="63"/>
      <c r="AA2079" s="63"/>
      <c r="AB2079" s="63"/>
      <c r="AC2079" s="63"/>
    </row>
    <row r="2080" spans="1:29" x14ac:dyDescent="0.25">
      <c r="A2080" s="108">
        <v>46059</v>
      </c>
      <c r="B2080" s="109">
        <v>130</v>
      </c>
      <c r="C2080" s="49" t="s">
        <v>19</v>
      </c>
      <c r="D2080" s="110" t="str">
        <f>IF(ISBLANK($B2080),"",IFERROR(VLOOKUP($B2080,ESTOQUE!$B$2:$D$97168,3,FALSE),"Produto não cadastrado"))</f>
        <v>PROTETOR AUDITIVO TIPO CONCHA L-300</v>
      </c>
      <c r="E2080" s="99" t="str">
        <f>_xlfn.XLOOKUP(B2080,ESTOQUE!B:B,ESTOQUE!G:G,"",0)</f>
        <v>UND</v>
      </c>
      <c r="F2080" s="99">
        <v>2</v>
      </c>
      <c r="G2080" s="146"/>
      <c r="H2080" s="146"/>
      <c r="I2080" s="147"/>
      <c r="J2080" s="147"/>
      <c r="K2080" s="63"/>
      <c r="L2080" s="63"/>
      <c r="M2080" s="63"/>
      <c r="N2080" s="63"/>
      <c r="O2080" s="63"/>
      <c r="P2080" s="63"/>
      <c r="Q2080" s="63"/>
      <c r="R2080" s="63"/>
      <c r="S2080" s="63"/>
      <c r="T2080" s="63"/>
      <c r="U2080" s="63"/>
      <c r="V2080" s="63"/>
      <c r="W2080" s="63"/>
      <c r="X2080" s="63"/>
      <c r="Y2080" s="63"/>
      <c r="Z2080" s="63"/>
      <c r="AA2080" s="63"/>
      <c r="AB2080" s="63"/>
      <c r="AC2080" s="63"/>
    </row>
    <row r="2081" spans="1:29" x14ac:dyDescent="0.25">
      <c r="A2081" s="108">
        <v>46059</v>
      </c>
      <c r="B2081" s="109">
        <v>137</v>
      </c>
      <c r="C2081" s="49" t="s">
        <v>19</v>
      </c>
      <c r="D2081" s="110" t="str">
        <f>IF(ISBLANK($B2081),"",IFERROR(VLOOKUP($B2081,ESTOQUE!$B$2:$D$97168,3,FALSE),"Produto não cadastrado"))</f>
        <v xml:space="preserve">TOUCA ARABE </v>
      </c>
      <c r="E2081" s="99" t="str">
        <f>_xlfn.XLOOKUP(B2081,ESTOQUE!B:B,ESTOQUE!G:G,"",0)</f>
        <v>UND</v>
      </c>
      <c r="F2081" s="99">
        <v>2</v>
      </c>
      <c r="G2081" s="146"/>
      <c r="H2081" s="146"/>
      <c r="I2081" s="147"/>
      <c r="J2081" s="147"/>
      <c r="K2081" s="63"/>
      <c r="L2081" s="63"/>
      <c r="M2081" s="63"/>
      <c r="N2081" s="63"/>
      <c r="O2081" s="63"/>
      <c r="P2081" s="63"/>
      <c r="Q2081" s="63"/>
      <c r="R2081" s="63"/>
      <c r="S2081" s="63"/>
      <c r="T2081" s="63"/>
      <c r="U2081" s="63"/>
      <c r="V2081" s="63"/>
      <c r="W2081" s="63"/>
      <c r="X2081" s="63"/>
      <c r="Y2081" s="63"/>
      <c r="Z2081" s="63"/>
      <c r="AA2081" s="63"/>
      <c r="AB2081" s="63"/>
      <c r="AC2081" s="63"/>
    </row>
    <row r="2082" spans="1:29" x14ac:dyDescent="0.25">
      <c r="A2082" s="108">
        <v>46060</v>
      </c>
      <c r="B2082" s="109">
        <v>30</v>
      </c>
      <c r="C2082" s="49" t="s">
        <v>19</v>
      </c>
      <c r="D2082" s="110" t="str">
        <f>IF(ISBLANK($B2082),"",IFERROR(VLOOKUP($B2082,ESTOQUE!$B$2:$D$97168,3,FALSE),"Produto não cadastrado"))</f>
        <v>BOTINA DE ELETRICISTA Nº 40</v>
      </c>
      <c r="E2082" s="99" t="str">
        <f>_xlfn.XLOOKUP(B2082,ESTOQUE!B:B,ESTOQUE!G:G,"",0)</f>
        <v>PAR</v>
      </c>
      <c r="F2082" s="99">
        <v>1</v>
      </c>
      <c r="G2082" s="146"/>
      <c r="H2082" s="146"/>
      <c r="I2082" s="147"/>
      <c r="J2082" s="147"/>
      <c r="K2082" s="63"/>
      <c r="L2082" s="63"/>
      <c r="M2082" s="63"/>
      <c r="N2082" s="63"/>
      <c r="O2082" s="63"/>
      <c r="P2082" s="63"/>
      <c r="Q2082" s="63"/>
      <c r="R2082" s="63"/>
      <c r="S2082" s="63"/>
      <c r="T2082" s="63"/>
      <c r="U2082" s="63"/>
      <c r="V2082" s="63"/>
      <c r="W2082" s="63"/>
      <c r="X2082" s="63"/>
      <c r="Y2082" s="63"/>
      <c r="Z2082" s="63"/>
      <c r="AA2082" s="63"/>
      <c r="AB2082" s="63"/>
      <c r="AC2082" s="63"/>
    </row>
    <row r="2083" spans="1:29" x14ac:dyDescent="0.25">
      <c r="A2083" s="108">
        <v>46060</v>
      </c>
      <c r="B2083" s="109">
        <v>40</v>
      </c>
      <c r="C2083" s="49" t="s">
        <v>19</v>
      </c>
      <c r="D2083" s="110" t="str">
        <f>IF(ISBLANK($B2083),"",IFERROR(VLOOKUP($B2083,ESTOQUE!$B$2:$D$97168,3,FALSE),"Produto não cadastrado"))</f>
        <v>BOTINA OP. BICO PVC Nº 42</v>
      </c>
      <c r="E2083" s="99" t="str">
        <f>_xlfn.XLOOKUP(B2083,ESTOQUE!B:B,ESTOQUE!G:G,"",0)</f>
        <v>PAR</v>
      </c>
      <c r="F2083" s="99">
        <v>0</v>
      </c>
      <c r="G2083" s="146"/>
      <c r="H2083" s="146"/>
      <c r="I2083" s="147"/>
      <c r="J2083" s="147"/>
      <c r="K2083" s="63"/>
      <c r="L2083" s="63"/>
      <c r="M2083" s="63"/>
      <c r="N2083" s="63"/>
      <c r="O2083" s="63"/>
      <c r="P2083" s="63"/>
      <c r="Q2083" s="63"/>
      <c r="R2083" s="63"/>
      <c r="S2083" s="63"/>
      <c r="T2083" s="63"/>
      <c r="U2083" s="63"/>
      <c r="V2083" s="63"/>
      <c r="W2083" s="63"/>
      <c r="X2083" s="63"/>
      <c r="Y2083" s="63"/>
      <c r="Z2083" s="63"/>
      <c r="AA2083" s="63"/>
      <c r="AB2083" s="63"/>
      <c r="AC2083" s="63"/>
    </row>
    <row r="2084" spans="1:29" x14ac:dyDescent="0.25">
      <c r="A2084" s="108">
        <v>46060</v>
      </c>
      <c r="B2084" s="109">
        <v>221</v>
      </c>
      <c r="C2084" s="49" t="s">
        <v>19</v>
      </c>
      <c r="D2084" s="110" t="str">
        <f>IF(ISBLANK($B2084),"",IFERROR(VLOOKUP($B2084,ESTOQUE!$B$2:$D$97168,3,FALSE),"Produto não cadastrado"))</f>
        <v>BOTINA SEGURANÇA METATARSO  44</v>
      </c>
      <c r="E2084" s="99" t="str">
        <f>_xlfn.XLOOKUP(B2084,ESTOQUE!B:B,ESTOQUE!G:G,"",0)</f>
        <v>PAR</v>
      </c>
      <c r="F2084" s="99">
        <v>1</v>
      </c>
      <c r="G2084" s="146"/>
      <c r="H2084" s="146"/>
      <c r="I2084" s="147"/>
      <c r="J2084" s="147"/>
      <c r="K2084" s="63"/>
      <c r="L2084" s="63"/>
      <c r="M2084" s="63"/>
      <c r="N2084" s="63"/>
      <c r="O2084" s="63"/>
      <c r="P2084" s="63"/>
      <c r="Q2084" s="63"/>
      <c r="R2084" s="63"/>
      <c r="S2084" s="63"/>
      <c r="T2084" s="63"/>
      <c r="U2084" s="63"/>
      <c r="V2084" s="63"/>
      <c r="W2084" s="63"/>
      <c r="X2084" s="63"/>
      <c r="Y2084" s="63"/>
      <c r="Z2084" s="63"/>
      <c r="AA2084" s="63"/>
      <c r="AB2084" s="63"/>
      <c r="AC2084" s="63"/>
    </row>
    <row r="2085" spans="1:29" x14ac:dyDescent="0.25">
      <c r="A2085" s="108">
        <v>46060</v>
      </c>
      <c r="B2085" s="109">
        <v>46</v>
      </c>
      <c r="C2085" s="49" t="s">
        <v>19</v>
      </c>
      <c r="D2085" s="110" t="str">
        <f>IF(ISBLANK($B2085),"",IFERROR(VLOOKUP($B2085,ESTOQUE!$B$2:$D$97168,3,FALSE),"Produto não cadastrado"))</f>
        <v>CALÇA CINZA OP. C/ FAIXA REFLETIVA TAM: G</v>
      </c>
      <c r="E2085" s="99" t="str">
        <f>_xlfn.XLOOKUP(B2085,ESTOQUE!B:B,ESTOQUE!G:G,"",0)</f>
        <v>UND</v>
      </c>
      <c r="F2085" s="99">
        <v>3</v>
      </c>
      <c r="G2085" s="146"/>
      <c r="H2085" s="146"/>
      <c r="I2085" s="147"/>
      <c r="J2085" s="147"/>
      <c r="K2085" s="63"/>
      <c r="L2085" s="63"/>
      <c r="M2085" s="63"/>
      <c r="N2085" s="63"/>
      <c r="O2085" s="63"/>
      <c r="P2085" s="63"/>
      <c r="Q2085" s="63"/>
      <c r="R2085" s="63"/>
      <c r="S2085" s="63"/>
      <c r="T2085" s="63"/>
      <c r="U2085" s="63"/>
      <c r="V2085" s="63"/>
      <c r="W2085" s="63"/>
      <c r="X2085" s="63"/>
      <c r="Y2085" s="63"/>
      <c r="Z2085" s="63"/>
      <c r="AA2085" s="63"/>
      <c r="AB2085" s="63"/>
      <c r="AC2085" s="63"/>
    </row>
    <row r="2086" spans="1:29" x14ac:dyDescent="0.25">
      <c r="A2086" s="108">
        <v>46060</v>
      </c>
      <c r="B2086" s="109">
        <v>47</v>
      </c>
      <c r="C2086" s="49" t="s">
        <v>19</v>
      </c>
      <c r="D2086" s="110" t="str">
        <f>IF(ISBLANK($B2086),"",IFERROR(VLOOKUP($B2086,ESTOQUE!$B$2:$D$97168,3,FALSE),"Produto não cadastrado"))</f>
        <v>CALÇA CINZA OP. C/ FAIXA REFLETIVA TAM: GG</v>
      </c>
      <c r="E2086" s="99" t="str">
        <f>_xlfn.XLOOKUP(B2086,ESTOQUE!B:B,ESTOQUE!G:G,"",0)</f>
        <v>UND</v>
      </c>
      <c r="F2086" s="99">
        <v>2</v>
      </c>
      <c r="G2086" s="146"/>
      <c r="H2086" s="146"/>
      <c r="I2086" s="147"/>
      <c r="J2086" s="147"/>
      <c r="K2086" s="63"/>
      <c r="L2086" s="63"/>
      <c r="M2086" s="63"/>
      <c r="N2086" s="63"/>
      <c r="O2086" s="63"/>
      <c r="P2086" s="63"/>
      <c r="Q2086" s="63"/>
      <c r="R2086" s="63"/>
      <c r="S2086" s="63"/>
      <c r="T2086" s="63"/>
      <c r="U2086" s="63"/>
      <c r="V2086" s="63"/>
      <c r="W2086" s="63"/>
      <c r="X2086" s="63"/>
      <c r="Y2086" s="63"/>
      <c r="Z2086" s="63"/>
      <c r="AA2086" s="63"/>
      <c r="AB2086" s="63"/>
      <c r="AC2086" s="63"/>
    </row>
    <row r="2087" spans="1:29" x14ac:dyDescent="0.25">
      <c r="A2087" s="108">
        <v>46060</v>
      </c>
      <c r="B2087" s="109">
        <v>48</v>
      </c>
      <c r="C2087" s="49" t="s">
        <v>19</v>
      </c>
      <c r="D2087" s="110" t="str">
        <f>IF(ISBLANK($B2087),"",IFERROR(VLOOKUP($B2087,ESTOQUE!$B$2:$D$97168,3,FALSE),"Produto não cadastrado"))</f>
        <v>CALÇA CINZA OP. C/ FAIXA REFLETIVA TAM: M</v>
      </c>
      <c r="E2087" s="99" t="str">
        <f>_xlfn.XLOOKUP(B2087,ESTOQUE!B:B,ESTOQUE!G:G,"",0)</f>
        <v>UND</v>
      </c>
      <c r="F2087" s="99">
        <v>4</v>
      </c>
      <c r="G2087" s="146"/>
      <c r="H2087" s="146"/>
      <c r="I2087" s="147"/>
      <c r="J2087" s="147"/>
      <c r="K2087" s="63"/>
      <c r="L2087" s="63"/>
      <c r="M2087" s="63"/>
      <c r="N2087" s="63"/>
      <c r="O2087" s="63"/>
      <c r="P2087" s="63"/>
      <c r="Q2087" s="63"/>
      <c r="R2087" s="63"/>
      <c r="S2087" s="63"/>
      <c r="T2087" s="63"/>
      <c r="U2087" s="63"/>
      <c r="V2087" s="63"/>
      <c r="W2087" s="63"/>
      <c r="X2087" s="63"/>
      <c r="Y2087" s="63"/>
      <c r="Z2087" s="63"/>
      <c r="AA2087" s="63"/>
      <c r="AB2087" s="63"/>
      <c r="AC2087" s="63"/>
    </row>
    <row r="2088" spans="1:29" x14ac:dyDescent="0.25">
      <c r="A2088" s="108">
        <v>46060</v>
      </c>
      <c r="B2088" s="109">
        <v>49</v>
      </c>
      <c r="C2088" s="49" t="s">
        <v>19</v>
      </c>
      <c r="D2088" s="110" t="str">
        <f>IF(ISBLANK($B2088),"",IFERROR(VLOOKUP($B2088,ESTOQUE!$B$2:$D$97168,3,FALSE),"Produto não cadastrado"))</f>
        <v>CALÇA CINZA OP. C/ FAIXA REFLETIVA TAM: P</v>
      </c>
      <c r="E2088" s="99" t="str">
        <f>_xlfn.XLOOKUP(B2088,ESTOQUE!B:B,ESTOQUE!G:G,"",0)</f>
        <v>UND</v>
      </c>
      <c r="F2088" s="99">
        <v>2</v>
      </c>
      <c r="G2088" s="146"/>
      <c r="H2088" s="146"/>
      <c r="I2088" s="147"/>
      <c r="J2088" s="147"/>
      <c r="K2088" s="63"/>
      <c r="L2088" s="63"/>
      <c r="M2088" s="63"/>
      <c r="N2088" s="63"/>
      <c r="O2088" s="63"/>
      <c r="P2088" s="63"/>
      <c r="Q2088" s="63"/>
      <c r="R2088" s="63"/>
      <c r="S2088" s="63"/>
      <c r="T2088" s="63"/>
      <c r="U2088" s="63"/>
      <c r="V2088" s="63"/>
      <c r="W2088" s="63"/>
      <c r="X2088" s="63"/>
      <c r="Y2088" s="63"/>
      <c r="Z2088" s="63"/>
      <c r="AA2088" s="63"/>
      <c r="AB2088" s="63"/>
      <c r="AC2088" s="63"/>
    </row>
    <row r="2089" spans="1:29" x14ac:dyDescent="0.25">
      <c r="A2089" s="108">
        <v>46060</v>
      </c>
      <c r="B2089" s="109">
        <v>67</v>
      </c>
      <c r="C2089" s="49" t="s">
        <v>19</v>
      </c>
      <c r="D2089" s="110" t="str">
        <f>IF(ISBLANK($B2089),"",IFERROR(VLOOKUP($B2089,ESTOQUE!$B$2:$D$97168,3,FALSE),"Produto não cadastrado"))</f>
        <v>CAMISA LARANJA OP. C/ FAIXA REFLETIVA TAM: G</v>
      </c>
      <c r="E2089" s="99" t="str">
        <f>_xlfn.XLOOKUP(B2089,ESTOQUE!B:B,ESTOQUE!G:G,"",0)</f>
        <v>UND</v>
      </c>
      <c r="F2089" s="99">
        <v>3</v>
      </c>
      <c r="G2089" s="146"/>
      <c r="H2089" s="146"/>
      <c r="I2089" s="147"/>
      <c r="J2089" s="147"/>
      <c r="K2089" s="63"/>
      <c r="L2089" s="63"/>
      <c r="M2089" s="63"/>
      <c r="N2089" s="63"/>
      <c r="O2089" s="63"/>
      <c r="P2089" s="63"/>
      <c r="Q2089" s="63"/>
      <c r="R2089" s="63"/>
      <c r="S2089" s="63"/>
      <c r="T2089" s="63"/>
      <c r="U2089" s="63"/>
      <c r="V2089" s="63"/>
      <c r="W2089" s="63"/>
      <c r="X2089" s="63"/>
      <c r="Y2089" s="63"/>
      <c r="Z2089" s="63"/>
      <c r="AA2089" s="63"/>
      <c r="AB2089" s="63"/>
      <c r="AC2089" s="63"/>
    </row>
    <row r="2090" spans="1:29" x14ac:dyDescent="0.25">
      <c r="A2090" s="108">
        <v>46060</v>
      </c>
      <c r="B2090" s="109">
        <v>68</v>
      </c>
      <c r="C2090" s="49" t="s">
        <v>19</v>
      </c>
      <c r="D2090" s="110" t="str">
        <f>IF(ISBLANK($B2090),"",IFERROR(VLOOKUP($B2090,ESTOQUE!$B$2:$D$97168,3,FALSE),"Produto não cadastrado"))</f>
        <v>CAMISA LARANJA OP. C/ FAIXA REFLETIVA TAM: GG</v>
      </c>
      <c r="E2090" s="99" t="str">
        <f>_xlfn.XLOOKUP(B2090,ESTOQUE!B:B,ESTOQUE!G:G,"",0)</f>
        <v>UND</v>
      </c>
      <c r="F2090" s="99">
        <v>3</v>
      </c>
      <c r="G2090" s="146"/>
      <c r="H2090" s="146"/>
      <c r="I2090" s="147"/>
      <c r="J2090" s="147"/>
      <c r="K2090" s="63"/>
      <c r="L2090" s="63"/>
      <c r="M2090" s="63"/>
      <c r="N2090" s="63"/>
      <c r="O2090" s="63"/>
      <c r="P2090" s="63"/>
      <c r="Q2090" s="63"/>
      <c r="R2090" s="63"/>
      <c r="S2090" s="63"/>
      <c r="T2090" s="63"/>
      <c r="U2090" s="63"/>
      <c r="V2090" s="63"/>
      <c r="W2090" s="63"/>
      <c r="X2090" s="63"/>
      <c r="Y2090" s="63"/>
      <c r="Z2090" s="63"/>
      <c r="AA2090" s="63"/>
      <c r="AB2090" s="63"/>
      <c r="AC2090" s="63"/>
    </row>
    <row r="2091" spans="1:29" x14ac:dyDescent="0.25">
      <c r="A2091" s="108">
        <v>46060</v>
      </c>
      <c r="B2091" s="109">
        <v>69</v>
      </c>
      <c r="C2091" s="49" t="s">
        <v>19</v>
      </c>
      <c r="D2091" s="110" t="str">
        <f>IF(ISBLANK($B2091),"",IFERROR(VLOOKUP($B2091,ESTOQUE!$B$2:$D$97168,3,FALSE),"Produto não cadastrado"))</f>
        <v>CAMISA LARANJA OP. C/ FAIXA REFLETIVA TAM: M</v>
      </c>
      <c r="E2091" s="99" t="str">
        <f>_xlfn.XLOOKUP(B2091,ESTOQUE!B:B,ESTOQUE!G:G,"",0)</f>
        <v>UND</v>
      </c>
      <c r="F2091" s="99">
        <v>2</v>
      </c>
      <c r="G2091" s="146"/>
      <c r="H2091" s="146"/>
      <c r="I2091" s="147"/>
      <c r="J2091" s="147"/>
      <c r="K2091" s="63"/>
      <c r="L2091" s="63"/>
      <c r="M2091" s="63"/>
      <c r="N2091" s="63"/>
      <c r="O2091" s="63"/>
      <c r="P2091" s="63"/>
      <c r="Q2091" s="63"/>
      <c r="R2091" s="63"/>
      <c r="S2091" s="63"/>
      <c r="T2091" s="63"/>
      <c r="U2091" s="63"/>
      <c r="V2091" s="63"/>
      <c r="W2091" s="63"/>
      <c r="X2091" s="63"/>
      <c r="Y2091" s="63"/>
      <c r="Z2091" s="63"/>
      <c r="AA2091" s="63"/>
      <c r="AB2091" s="63"/>
      <c r="AC2091" s="63"/>
    </row>
    <row r="2092" spans="1:29" x14ac:dyDescent="0.25">
      <c r="A2092" s="108">
        <v>46060</v>
      </c>
      <c r="B2092" s="109">
        <v>96</v>
      </c>
      <c r="C2092" s="49" t="s">
        <v>19</v>
      </c>
      <c r="D2092" s="110" t="str">
        <f>IF(ISBLANK($B2092),"",IFERROR(VLOOKUP($B2092,ESTOQUE!$B$2:$D$97168,3,FALSE),"Produto não cadastrado"))</f>
        <v xml:space="preserve">CINTO DE SEGURANÇA MODELO:C70 </v>
      </c>
      <c r="E2092" s="99" t="str">
        <f>_xlfn.XLOOKUP(B2092,ESTOQUE!B:B,ESTOQUE!G:G,"",0)</f>
        <v>UND</v>
      </c>
      <c r="F2092" s="99">
        <v>1</v>
      </c>
      <c r="G2092" s="146"/>
      <c r="H2092" s="146"/>
      <c r="I2092" s="147"/>
      <c r="J2092" s="147"/>
      <c r="K2092" s="63"/>
      <c r="L2092" s="63"/>
      <c r="M2092" s="63"/>
      <c r="N2092" s="63"/>
      <c r="O2092" s="63"/>
      <c r="P2092" s="63"/>
      <c r="Q2092" s="63"/>
      <c r="R2092" s="63"/>
      <c r="S2092" s="63"/>
      <c r="T2092" s="63"/>
      <c r="U2092" s="63"/>
      <c r="V2092" s="63"/>
      <c r="W2092" s="63"/>
      <c r="X2092" s="63"/>
      <c r="Y2092" s="63"/>
      <c r="Z2092" s="63"/>
      <c r="AA2092" s="63"/>
      <c r="AB2092" s="63"/>
      <c r="AC2092" s="63"/>
    </row>
    <row r="2093" spans="1:29" x14ac:dyDescent="0.25">
      <c r="A2093" s="108">
        <v>46060</v>
      </c>
      <c r="B2093" s="109">
        <v>97</v>
      </c>
      <c r="C2093" s="49" t="s">
        <v>19</v>
      </c>
      <c r="D2093" s="110" t="str">
        <f>IF(ISBLANK($B2093),"",IFERROR(VLOOKUP($B2093,ESTOQUE!$B$2:$D$97168,3,FALSE),"Produto não cadastrado"))</f>
        <v>COLETE REFLETIVO LARANJA M</v>
      </c>
      <c r="E2093" s="99" t="str">
        <f>_xlfn.XLOOKUP(B2093,ESTOQUE!B:B,ESTOQUE!G:G,"",0)</f>
        <v>UND</v>
      </c>
      <c r="F2093" s="99">
        <v>1</v>
      </c>
      <c r="G2093" s="146"/>
      <c r="H2093" s="146"/>
      <c r="I2093" s="147"/>
      <c r="J2093" s="147"/>
      <c r="K2093" s="63"/>
      <c r="L2093" s="63"/>
      <c r="M2093" s="63"/>
      <c r="N2093" s="63"/>
      <c r="O2093" s="63"/>
      <c r="P2093" s="63"/>
      <c r="Q2093" s="63"/>
      <c r="R2093" s="63"/>
      <c r="S2093" s="63"/>
      <c r="T2093" s="63"/>
      <c r="U2093" s="63"/>
      <c r="V2093" s="63"/>
      <c r="W2093" s="63"/>
      <c r="X2093" s="63"/>
      <c r="Y2093" s="63"/>
      <c r="Z2093" s="63"/>
      <c r="AA2093" s="63"/>
      <c r="AB2093" s="63"/>
      <c r="AC2093" s="63"/>
    </row>
    <row r="2094" spans="1:29" x14ac:dyDescent="0.25">
      <c r="A2094" s="108">
        <v>46060</v>
      </c>
      <c r="B2094" s="109">
        <v>111</v>
      </c>
      <c r="C2094" s="49" t="s">
        <v>19</v>
      </c>
      <c r="D2094" s="110" t="str">
        <f>IF(ISBLANK($B2094),"",IFERROR(VLOOKUP($B2094,ESTOQUE!$B$2:$D$97168,3,FALSE),"Produto não cadastrado"))</f>
        <v>LUVA DE VAQUETA MARROM</v>
      </c>
      <c r="E2094" s="99" t="str">
        <f>_xlfn.XLOOKUP(B2094,ESTOQUE!B:B,ESTOQUE!G:G,"",0)</f>
        <v>PAR</v>
      </c>
      <c r="F2094" s="99">
        <v>1</v>
      </c>
      <c r="G2094" s="146"/>
      <c r="H2094" s="146"/>
      <c r="I2094" s="147"/>
      <c r="J2094" s="147"/>
      <c r="K2094" s="63"/>
      <c r="L2094" s="63"/>
      <c r="M2094" s="63"/>
      <c r="N2094" s="63"/>
      <c r="O2094" s="63"/>
      <c r="P2094" s="63"/>
      <c r="Q2094" s="63"/>
      <c r="R2094" s="63"/>
      <c r="S2094" s="63"/>
      <c r="T2094" s="63"/>
      <c r="U2094" s="63"/>
      <c r="V2094" s="63"/>
      <c r="W2094" s="63"/>
      <c r="X2094" s="63"/>
      <c r="Y2094" s="63"/>
      <c r="Z2094" s="63"/>
      <c r="AA2094" s="63"/>
      <c r="AB2094" s="63"/>
      <c r="AC2094" s="63"/>
    </row>
    <row r="2095" spans="1:29" x14ac:dyDescent="0.25">
      <c r="A2095" s="108">
        <v>46060</v>
      </c>
      <c r="B2095" s="109">
        <v>114</v>
      </c>
      <c r="C2095" s="49" t="s">
        <v>19</v>
      </c>
      <c r="D2095" s="110" t="str">
        <f>IF(ISBLANK($B2095),"",IFERROR(VLOOKUP($B2095,ESTOQUE!$B$2:$D$97168,3,FALSE),"Produto não cadastrado"))</f>
        <v xml:space="preserve">LUVA LATEX NITRILICA </v>
      </c>
      <c r="E2095" s="99" t="str">
        <f>_xlfn.XLOOKUP(B2095,ESTOQUE!B:B,ESTOQUE!G:G,"",0)</f>
        <v>PAR</v>
      </c>
      <c r="F2095" s="99">
        <v>1</v>
      </c>
      <c r="G2095" s="146"/>
      <c r="H2095" s="146"/>
      <c r="I2095" s="147"/>
      <c r="J2095" s="147"/>
      <c r="K2095" s="63"/>
      <c r="L2095" s="63"/>
      <c r="M2095" s="63"/>
      <c r="N2095" s="63"/>
      <c r="O2095" s="63"/>
      <c r="P2095" s="63"/>
      <c r="Q2095" s="63"/>
      <c r="R2095" s="63"/>
      <c r="S2095" s="63"/>
      <c r="T2095" s="63"/>
      <c r="U2095" s="63"/>
      <c r="V2095" s="63"/>
      <c r="W2095" s="63"/>
      <c r="X2095" s="63"/>
      <c r="Y2095" s="63"/>
      <c r="Z2095" s="63"/>
      <c r="AA2095" s="63"/>
      <c r="AB2095" s="63"/>
      <c r="AC2095" s="63"/>
    </row>
    <row r="2096" spans="1:29" x14ac:dyDescent="0.25">
      <c r="A2096" s="108">
        <v>46060</v>
      </c>
      <c r="B2096" s="109">
        <v>257</v>
      </c>
      <c r="C2096" s="49" t="s">
        <v>19</v>
      </c>
      <c r="D2096" s="110" t="str">
        <f>IF(ISBLANK($B2096),"",IFERROR(VLOOKUP($B2096,ESTOQUE!$B$2:$D$97168,3,FALSE),"Produto não cadastrado"))</f>
        <v xml:space="preserve">LUVA MULTITATO </v>
      </c>
      <c r="E2096" s="99" t="str">
        <f>_xlfn.XLOOKUP(B2096,ESTOQUE!B:B,ESTOQUE!G:G,"",0)</f>
        <v>UND</v>
      </c>
      <c r="F2096" s="99">
        <v>1</v>
      </c>
      <c r="G2096" s="146"/>
      <c r="H2096" s="146"/>
      <c r="I2096" s="147"/>
      <c r="J2096" s="147"/>
      <c r="K2096" s="63"/>
      <c r="L2096" s="63"/>
      <c r="M2096" s="63"/>
      <c r="N2096" s="63"/>
      <c r="O2096" s="63"/>
      <c r="P2096" s="63"/>
      <c r="Q2096" s="63"/>
      <c r="R2096" s="63"/>
      <c r="S2096" s="63"/>
      <c r="T2096" s="63"/>
      <c r="U2096" s="63"/>
      <c r="V2096" s="63"/>
      <c r="W2096" s="63"/>
      <c r="X2096" s="63"/>
      <c r="Y2096" s="63"/>
      <c r="Z2096" s="63"/>
      <c r="AA2096" s="63"/>
      <c r="AB2096" s="63"/>
      <c r="AC2096" s="63"/>
    </row>
    <row r="2097" spans="1:29" x14ac:dyDescent="0.25">
      <c r="A2097" s="108">
        <v>46060</v>
      </c>
      <c r="B2097" s="109">
        <v>207</v>
      </c>
      <c r="C2097" s="49" t="s">
        <v>19</v>
      </c>
      <c r="D2097" s="110" t="str">
        <f>IF(ISBLANK($B2097),"",IFERROR(VLOOKUP($B2097,ESTOQUE!$B$2:$D$97168,3,FALSE),"Produto não cadastrado"))</f>
        <v>LUVA POLIESTER ANTICORTE BANHADA PU TAM 9</v>
      </c>
      <c r="E2097" s="99" t="str">
        <f>_xlfn.XLOOKUP(B2097,ESTOQUE!B:B,ESTOQUE!G:G,"",0)</f>
        <v>PAR</v>
      </c>
      <c r="F2097" s="99">
        <v>4</v>
      </c>
      <c r="G2097" s="146"/>
      <c r="H2097" s="146"/>
      <c r="I2097" s="147"/>
      <c r="J2097" s="147"/>
      <c r="K2097" s="63"/>
      <c r="L2097" s="63"/>
      <c r="M2097" s="63"/>
      <c r="N2097" s="63"/>
      <c r="O2097" s="63"/>
      <c r="P2097" s="63"/>
      <c r="Q2097" s="63"/>
      <c r="R2097" s="63"/>
      <c r="S2097" s="63"/>
      <c r="T2097" s="63"/>
      <c r="U2097" s="63"/>
      <c r="V2097" s="63"/>
      <c r="W2097" s="63"/>
      <c r="X2097" s="63"/>
      <c r="Y2097" s="63"/>
      <c r="Z2097" s="63"/>
      <c r="AA2097" s="63"/>
      <c r="AB2097" s="63"/>
      <c r="AC2097" s="63"/>
    </row>
    <row r="2098" spans="1:29" x14ac:dyDescent="0.25">
      <c r="A2098" s="108">
        <v>46060</v>
      </c>
      <c r="B2098" s="109">
        <v>118</v>
      </c>
      <c r="C2098" s="49" t="s">
        <v>19</v>
      </c>
      <c r="D2098" s="110" t="str">
        <f>IF(ISBLANK($B2098),"",IFERROR(VLOOKUP($B2098,ESTOQUE!$B$2:$D$97168,3,FALSE),"Produto não cadastrado"))</f>
        <v>MACACÃO DE PROTEÇÃO TYVEK</v>
      </c>
      <c r="E2098" s="99" t="str">
        <f>_xlfn.XLOOKUP(B2098,ESTOQUE!B:B,ESTOQUE!G:G,"",0)</f>
        <v>UND</v>
      </c>
      <c r="F2098" s="99">
        <v>1</v>
      </c>
      <c r="G2098" s="146"/>
      <c r="H2098" s="146"/>
      <c r="I2098" s="147"/>
      <c r="J2098" s="147"/>
      <c r="K2098" s="63"/>
      <c r="L2098" s="63"/>
      <c r="M2098" s="63"/>
      <c r="N2098" s="63"/>
      <c r="O2098" s="63"/>
      <c r="P2098" s="63"/>
      <c r="Q2098" s="63"/>
      <c r="R2098" s="63"/>
      <c r="S2098" s="63"/>
      <c r="T2098" s="63"/>
      <c r="U2098" s="63"/>
      <c r="V2098" s="63"/>
      <c r="W2098" s="63"/>
      <c r="X2098" s="63"/>
      <c r="Y2098" s="63"/>
      <c r="Z2098" s="63"/>
      <c r="AA2098" s="63"/>
      <c r="AB2098" s="63"/>
      <c r="AC2098" s="63"/>
    </row>
    <row r="2099" spans="1:29" x14ac:dyDescent="0.25">
      <c r="A2099" s="108">
        <v>46060</v>
      </c>
      <c r="B2099" s="109">
        <v>144</v>
      </c>
      <c r="C2099" s="49" t="s">
        <v>19</v>
      </c>
      <c r="D2099" s="110" t="str">
        <f>IF(ISBLANK($B2099),"",IFERROR(VLOOKUP($B2099,ESTOQUE!$B$2:$D$97168,3,FALSE),"Produto não cadastrado"))</f>
        <v>MASCARA PFF2-S C/ FILTRO</v>
      </c>
      <c r="E2099" s="99" t="str">
        <f>_xlfn.XLOOKUP(B2099,ESTOQUE!B:B,ESTOQUE!G:G,"",0)</f>
        <v>UND</v>
      </c>
      <c r="F2099" s="99">
        <v>4</v>
      </c>
      <c r="G2099" s="146"/>
      <c r="H2099" s="146"/>
      <c r="I2099" s="147"/>
      <c r="J2099" s="147"/>
      <c r="K2099" s="63"/>
      <c r="L2099" s="63"/>
      <c r="M2099" s="63"/>
      <c r="N2099" s="63"/>
      <c r="O2099" s="63"/>
      <c r="P2099" s="63"/>
      <c r="Q2099" s="63"/>
      <c r="R2099" s="63"/>
      <c r="S2099" s="63"/>
      <c r="T2099" s="63"/>
      <c r="U2099" s="63"/>
      <c r="V2099" s="63"/>
      <c r="W2099" s="63"/>
      <c r="X2099" s="63"/>
      <c r="Y2099" s="63"/>
      <c r="Z2099" s="63"/>
      <c r="AA2099" s="63"/>
      <c r="AB2099" s="63"/>
      <c r="AC2099" s="63"/>
    </row>
    <row r="2100" spans="1:29" x14ac:dyDescent="0.25">
      <c r="A2100" s="108">
        <v>46060</v>
      </c>
      <c r="B2100" s="109">
        <v>126</v>
      </c>
      <c r="C2100" s="49" t="s">
        <v>19</v>
      </c>
      <c r="D2100" s="110" t="str">
        <f>IF(ISBLANK($B2100),"",IFERROR(VLOOKUP($B2100,ESTOQUE!$B$2:$D$97168,3,FALSE),"Produto não cadastrado"))</f>
        <v>OCULOS DE PROTEÇÃO ESCURO</v>
      </c>
      <c r="E2100" s="99" t="str">
        <f>_xlfn.XLOOKUP(B2100,ESTOQUE!B:B,ESTOQUE!G:G,"",0)</f>
        <v>UND</v>
      </c>
      <c r="F2100" s="99">
        <v>1</v>
      </c>
      <c r="G2100" s="146"/>
      <c r="H2100" s="146"/>
      <c r="I2100" s="147"/>
      <c r="J2100" s="147"/>
      <c r="K2100" s="63"/>
      <c r="L2100" s="63"/>
      <c r="M2100" s="63"/>
      <c r="N2100" s="63"/>
      <c r="O2100" s="63"/>
      <c r="P2100" s="63"/>
      <c r="Q2100" s="63"/>
      <c r="R2100" s="63"/>
      <c r="S2100" s="63"/>
      <c r="T2100" s="63"/>
      <c r="U2100" s="63"/>
      <c r="V2100" s="63"/>
      <c r="W2100" s="63"/>
      <c r="X2100" s="63"/>
      <c r="Y2100" s="63"/>
      <c r="Z2100" s="63"/>
      <c r="AA2100" s="63"/>
      <c r="AB2100" s="63"/>
      <c r="AC2100" s="63"/>
    </row>
    <row r="2101" spans="1:29" x14ac:dyDescent="0.25">
      <c r="A2101" s="108">
        <v>46060</v>
      </c>
      <c r="B2101" s="109">
        <v>124</v>
      </c>
      <c r="C2101" s="49" t="s">
        <v>19</v>
      </c>
      <c r="D2101" s="110" t="str">
        <f>IF(ISBLANK($B2101),"",IFERROR(VLOOKUP($B2101,ESTOQUE!$B$2:$D$97168,3,FALSE),"Produto não cadastrado"))</f>
        <v xml:space="preserve">OCULOS DE PROTEÇÃO INCOLOR </v>
      </c>
      <c r="E2101" s="99" t="str">
        <f>_xlfn.XLOOKUP(B2101,ESTOQUE!B:B,ESTOQUE!G:G,"",0)</f>
        <v>UND</v>
      </c>
      <c r="F2101" s="99">
        <v>1</v>
      </c>
      <c r="G2101" s="146"/>
      <c r="H2101" s="146"/>
      <c r="I2101" s="147"/>
      <c r="J2101" s="147"/>
      <c r="K2101" s="63"/>
      <c r="L2101" s="63"/>
      <c r="M2101" s="63"/>
      <c r="N2101" s="63"/>
      <c r="O2101" s="63"/>
      <c r="P2101" s="63"/>
      <c r="Q2101" s="63"/>
      <c r="R2101" s="63"/>
      <c r="S2101" s="63"/>
      <c r="T2101" s="63"/>
      <c r="U2101" s="63"/>
      <c r="V2101" s="63"/>
      <c r="W2101" s="63"/>
      <c r="X2101" s="63"/>
      <c r="Y2101" s="63"/>
      <c r="Z2101" s="63"/>
      <c r="AA2101" s="63"/>
      <c r="AB2101" s="63"/>
      <c r="AC2101" s="63"/>
    </row>
    <row r="2102" spans="1:29" x14ac:dyDescent="0.25">
      <c r="A2102" s="108">
        <v>46060</v>
      </c>
      <c r="B2102" s="109">
        <v>137</v>
      </c>
      <c r="C2102" s="49" t="s">
        <v>19</v>
      </c>
      <c r="D2102" s="110" t="str">
        <f>IF(ISBLANK($B2102),"",IFERROR(VLOOKUP($B2102,ESTOQUE!$B$2:$D$97168,3,FALSE),"Produto não cadastrado"))</f>
        <v xml:space="preserve">TOUCA ARABE </v>
      </c>
      <c r="E2102" s="99" t="str">
        <f>_xlfn.XLOOKUP(B2102,ESTOQUE!B:B,ESTOQUE!G:G,"",0)</f>
        <v>UND</v>
      </c>
      <c r="F2102" s="99">
        <v>1</v>
      </c>
      <c r="G2102" s="146"/>
      <c r="H2102" s="146"/>
      <c r="I2102" s="147"/>
      <c r="J2102" s="147"/>
      <c r="K2102" s="63"/>
      <c r="L2102" s="63"/>
      <c r="M2102" s="63"/>
      <c r="N2102" s="63"/>
      <c r="O2102" s="63"/>
      <c r="P2102" s="63"/>
      <c r="Q2102" s="63"/>
      <c r="R2102" s="63"/>
      <c r="S2102" s="63"/>
      <c r="T2102" s="63"/>
      <c r="U2102" s="63"/>
      <c r="V2102" s="63"/>
      <c r="W2102" s="63"/>
      <c r="X2102" s="63"/>
      <c r="Y2102" s="63"/>
      <c r="Z2102" s="63"/>
      <c r="AA2102" s="63"/>
      <c r="AB2102" s="63"/>
      <c r="AC2102" s="63"/>
    </row>
    <row r="2103" spans="1:29" x14ac:dyDescent="0.25">
      <c r="A2103" s="108">
        <v>46061</v>
      </c>
      <c r="B2103" s="109">
        <v>12</v>
      </c>
      <c r="C2103" s="49" t="s">
        <v>19</v>
      </c>
      <c r="D2103" s="110" t="str">
        <f>IF(ISBLANK($B2103),"",IFERROR(VLOOKUP($B2103,ESTOQUE!$B$2:$D$97168,3,FALSE),"Produto não cadastrado"))</f>
        <v>BOTA PVC CANO LONGO Nº 44</v>
      </c>
      <c r="E2103" s="99" t="str">
        <f>_xlfn.XLOOKUP(B2103,ESTOQUE!B:B,ESTOQUE!G:G,"",0)</f>
        <v>PAR</v>
      </c>
      <c r="F2103" s="99">
        <v>1</v>
      </c>
      <c r="G2103" s="146"/>
      <c r="H2103" s="146"/>
      <c r="I2103" s="147"/>
      <c r="J2103" s="147"/>
      <c r="K2103" s="63"/>
      <c r="L2103" s="63"/>
      <c r="M2103" s="63"/>
      <c r="N2103" s="63"/>
      <c r="O2103" s="63"/>
      <c r="P2103" s="63"/>
      <c r="Q2103" s="63"/>
      <c r="R2103" s="63"/>
      <c r="S2103" s="63"/>
      <c r="T2103" s="63"/>
      <c r="U2103" s="63"/>
      <c r="V2103" s="63"/>
      <c r="W2103" s="63"/>
      <c r="X2103" s="63"/>
      <c r="Y2103" s="63"/>
      <c r="Z2103" s="63"/>
      <c r="AA2103" s="63"/>
      <c r="AB2103" s="63"/>
      <c r="AC2103" s="63"/>
    </row>
    <row r="2104" spans="1:29" x14ac:dyDescent="0.25">
      <c r="A2104" s="108">
        <v>46061</v>
      </c>
      <c r="B2104" s="109">
        <v>47</v>
      </c>
      <c r="C2104" s="49" t="s">
        <v>19</v>
      </c>
      <c r="D2104" s="110" t="str">
        <f>IF(ISBLANK($B2104),"",IFERROR(VLOOKUP($B2104,ESTOQUE!$B$2:$D$97168,3,FALSE),"Produto não cadastrado"))</f>
        <v>CALÇA CINZA OP. C/ FAIXA REFLETIVA TAM: GG</v>
      </c>
      <c r="E2104" s="99" t="str">
        <f>_xlfn.XLOOKUP(B2104,ESTOQUE!B:B,ESTOQUE!G:G,"",0)</f>
        <v>UND</v>
      </c>
      <c r="F2104" s="99">
        <v>1</v>
      </c>
      <c r="G2104" s="146"/>
      <c r="H2104" s="146"/>
      <c r="I2104" s="147"/>
      <c r="J2104" s="147"/>
      <c r="K2104" s="63"/>
      <c r="L2104" s="63"/>
      <c r="M2104" s="63"/>
      <c r="N2104" s="63"/>
      <c r="O2104" s="63"/>
      <c r="P2104" s="63"/>
      <c r="Q2104" s="63"/>
      <c r="R2104" s="63"/>
      <c r="S2104" s="63"/>
      <c r="T2104" s="63"/>
      <c r="U2104" s="63"/>
      <c r="V2104" s="63"/>
      <c r="W2104" s="63"/>
      <c r="X2104" s="63"/>
      <c r="Y2104" s="63"/>
      <c r="Z2104" s="63"/>
      <c r="AA2104" s="63"/>
      <c r="AB2104" s="63"/>
      <c r="AC2104" s="63"/>
    </row>
    <row r="2105" spans="1:29" x14ac:dyDescent="0.25">
      <c r="A2105" s="108">
        <v>46061</v>
      </c>
      <c r="B2105" s="109">
        <v>48</v>
      </c>
      <c r="C2105" s="49" t="s">
        <v>19</v>
      </c>
      <c r="D2105" s="110" t="str">
        <f>IF(ISBLANK($B2105),"",IFERROR(VLOOKUP($B2105,ESTOQUE!$B$2:$D$97168,3,FALSE),"Produto não cadastrado"))</f>
        <v>CALÇA CINZA OP. C/ FAIXA REFLETIVA TAM: M</v>
      </c>
      <c r="E2105" s="99" t="str">
        <f>_xlfn.XLOOKUP(B2105,ESTOQUE!B:B,ESTOQUE!G:G,"",0)</f>
        <v>UND</v>
      </c>
      <c r="F2105" s="99">
        <v>3</v>
      </c>
      <c r="G2105" s="146"/>
      <c r="H2105" s="146"/>
      <c r="I2105" s="147"/>
      <c r="J2105" s="147"/>
      <c r="K2105" s="63"/>
      <c r="L2105" s="63"/>
      <c r="M2105" s="63"/>
      <c r="N2105" s="63"/>
      <c r="O2105" s="63"/>
      <c r="P2105" s="63"/>
      <c r="Q2105" s="63"/>
      <c r="R2105" s="63"/>
      <c r="S2105" s="63"/>
      <c r="T2105" s="63"/>
      <c r="U2105" s="63"/>
      <c r="V2105" s="63"/>
      <c r="W2105" s="63"/>
      <c r="X2105" s="63"/>
      <c r="Y2105" s="63"/>
      <c r="Z2105" s="63"/>
      <c r="AA2105" s="63"/>
      <c r="AB2105" s="63"/>
      <c r="AC2105" s="63"/>
    </row>
    <row r="2106" spans="1:29" x14ac:dyDescent="0.25">
      <c r="A2106" s="108">
        <v>46061</v>
      </c>
      <c r="B2106" s="109">
        <v>67</v>
      </c>
      <c r="C2106" s="49" t="s">
        <v>19</v>
      </c>
      <c r="D2106" s="110" t="str">
        <f>IF(ISBLANK($B2106),"",IFERROR(VLOOKUP($B2106,ESTOQUE!$B$2:$D$97168,3,FALSE),"Produto não cadastrado"))</f>
        <v>CAMISA LARANJA OP. C/ FAIXA REFLETIVA TAM: G</v>
      </c>
      <c r="E2106" s="99" t="str">
        <f>_xlfn.XLOOKUP(B2106,ESTOQUE!B:B,ESTOQUE!G:G,"",0)</f>
        <v>UND</v>
      </c>
      <c r="F2106" s="99">
        <v>2</v>
      </c>
      <c r="G2106" s="146"/>
      <c r="H2106" s="146"/>
      <c r="I2106" s="147"/>
      <c r="J2106" s="147"/>
      <c r="K2106" s="63"/>
      <c r="L2106" s="63"/>
      <c r="M2106" s="63"/>
      <c r="N2106" s="63"/>
      <c r="O2106" s="63"/>
      <c r="P2106" s="63"/>
      <c r="Q2106" s="63"/>
      <c r="R2106" s="63"/>
      <c r="S2106" s="63"/>
      <c r="T2106" s="63"/>
      <c r="U2106" s="63"/>
      <c r="V2106" s="63"/>
      <c r="W2106" s="63"/>
      <c r="X2106" s="63"/>
      <c r="Y2106" s="63"/>
      <c r="Z2106" s="63"/>
      <c r="AA2106" s="63"/>
      <c r="AB2106" s="63"/>
      <c r="AC2106" s="63"/>
    </row>
    <row r="2107" spans="1:29" x14ac:dyDescent="0.25">
      <c r="A2107" s="108">
        <v>46061</v>
      </c>
      <c r="B2107" s="109">
        <v>68</v>
      </c>
      <c r="C2107" s="49" t="s">
        <v>19</v>
      </c>
      <c r="D2107" s="110" t="str">
        <f>IF(ISBLANK($B2107),"",IFERROR(VLOOKUP($B2107,ESTOQUE!$B$2:$D$97168,3,FALSE),"Produto não cadastrado"))</f>
        <v>CAMISA LARANJA OP. C/ FAIXA REFLETIVA TAM: GG</v>
      </c>
      <c r="E2107" s="99" t="str">
        <f>_xlfn.XLOOKUP(B2107,ESTOQUE!B:B,ESTOQUE!G:G,"",0)</f>
        <v>UND</v>
      </c>
      <c r="F2107" s="99">
        <v>1</v>
      </c>
      <c r="G2107" s="146"/>
      <c r="H2107" s="146"/>
      <c r="I2107" s="147"/>
      <c r="J2107" s="147"/>
      <c r="K2107" s="63"/>
      <c r="L2107" s="63"/>
      <c r="M2107" s="63"/>
      <c r="N2107" s="63"/>
      <c r="O2107" s="63"/>
      <c r="P2107" s="63"/>
      <c r="Q2107" s="63"/>
      <c r="R2107" s="63"/>
      <c r="S2107" s="63"/>
      <c r="T2107" s="63"/>
      <c r="U2107" s="63"/>
      <c r="V2107" s="63"/>
      <c r="W2107" s="63"/>
      <c r="X2107" s="63"/>
      <c r="Y2107" s="63"/>
      <c r="Z2107" s="63"/>
      <c r="AA2107" s="63"/>
      <c r="AB2107" s="63"/>
      <c r="AC2107" s="63"/>
    </row>
    <row r="2108" spans="1:29" x14ac:dyDescent="0.25">
      <c r="A2108" s="108">
        <v>46061</v>
      </c>
      <c r="B2108" s="109">
        <v>130</v>
      </c>
      <c r="C2108" s="49" t="s">
        <v>19</v>
      </c>
      <c r="D2108" s="110" t="str">
        <f>IF(ISBLANK($B2108),"",IFERROR(VLOOKUP($B2108,ESTOQUE!$B$2:$D$97168,3,FALSE),"Produto não cadastrado"))</f>
        <v>PROTETOR AUDITIVO TIPO CONCHA L-300</v>
      </c>
      <c r="E2108" s="99" t="str">
        <f>_xlfn.XLOOKUP(B2108,ESTOQUE!B:B,ESTOQUE!G:G,"",0)</f>
        <v>UND</v>
      </c>
      <c r="F2108" s="99">
        <v>1</v>
      </c>
      <c r="G2108" s="146"/>
      <c r="H2108" s="146"/>
      <c r="I2108" s="147"/>
      <c r="J2108" s="147"/>
      <c r="K2108" s="63"/>
      <c r="L2108" s="63"/>
      <c r="M2108" s="63"/>
      <c r="N2108" s="63"/>
      <c r="O2108" s="63"/>
      <c r="P2108" s="63"/>
      <c r="Q2108" s="63"/>
      <c r="R2108" s="63"/>
      <c r="S2108" s="63"/>
      <c r="T2108" s="63"/>
      <c r="U2108" s="63"/>
      <c r="V2108" s="63"/>
      <c r="W2108" s="63"/>
      <c r="X2108" s="63"/>
      <c r="Y2108" s="63"/>
      <c r="Z2108" s="63"/>
      <c r="AA2108" s="63"/>
      <c r="AB2108" s="63"/>
      <c r="AC2108" s="63"/>
    </row>
    <row r="2109" spans="1:29" x14ac:dyDescent="0.25">
      <c r="A2109" s="108">
        <v>46063</v>
      </c>
      <c r="B2109" s="109">
        <v>12</v>
      </c>
      <c r="C2109" s="49" t="s">
        <v>19</v>
      </c>
      <c r="D2109" s="110" t="str">
        <f>IF(ISBLANK($B2109),"",IFERROR(VLOOKUP($B2109,ESTOQUE!$B$2:$D$97168,3,FALSE),"Produto não cadastrado"))</f>
        <v>BOTA PVC CANO LONGO Nº 44</v>
      </c>
      <c r="E2109" s="99" t="str">
        <f>_xlfn.XLOOKUP(B2109,ESTOQUE!B:B,ESTOQUE!G:G,"",0)</f>
        <v>PAR</v>
      </c>
      <c r="F2109" s="99">
        <v>1</v>
      </c>
      <c r="G2109" s="146"/>
      <c r="H2109" s="146"/>
      <c r="I2109" s="147"/>
      <c r="J2109" s="147"/>
      <c r="K2109" s="63"/>
      <c r="L2109" s="63"/>
      <c r="M2109" s="63"/>
      <c r="N2109" s="63"/>
      <c r="O2109" s="63"/>
      <c r="P2109" s="63"/>
      <c r="Q2109" s="63"/>
      <c r="R2109" s="63"/>
      <c r="S2109" s="63"/>
      <c r="T2109" s="63"/>
      <c r="U2109" s="63"/>
      <c r="V2109" s="63"/>
      <c r="W2109" s="63"/>
      <c r="X2109" s="63"/>
      <c r="Y2109" s="63"/>
      <c r="Z2109" s="63"/>
      <c r="AA2109" s="63"/>
      <c r="AB2109" s="63"/>
      <c r="AC2109" s="63"/>
    </row>
    <row r="2110" spans="1:29" x14ac:dyDescent="0.25">
      <c r="A2110" s="108">
        <v>46063</v>
      </c>
      <c r="B2110" s="109">
        <v>28</v>
      </c>
      <c r="C2110" s="49" t="s">
        <v>19</v>
      </c>
      <c r="D2110" s="110" t="str">
        <f>IF(ISBLANK($B2110),"",IFERROR(VLOOKUP($B2110,ESTOQUE!$B$2:$D$97168,3,FALSE),"Produto não cadastrado"))</f>
        <v>BOTINA DE ELETRICISTA Nº 38</v>
      </c>
      <c r="E2110" s="99" t="str">
        <f>_xlfn.XLOOKUP(B2110,ESTOQUE!B:B,ESTOQUE!G:G,"",0)</f>
        <v>PAR</v>
      </c>
      <c r="F2110" s="99">
        <v>1</v>
      </c>
      <c r="G2110" s="146"/>
      <c r="H2110" s="146"/>
      <c r="I2110" s="147"/>
      <c r="J2110" s="147"/>
      <c r="K2110" s="63"/>
      <c r="L2110" s="63"/>
      <c r="M2110" s="63"/>
      <c r="N2110" s="63"/>
      <c r="O2110" s="63"/>
      <c r="P2110" s="63"/>
      <c r="Q2110" s="63"/>
      <c r="R2110" s="63"/>
      <c r="S2110" s="63"/>
      <c r="T2110" s="63"/>
      <c r="U2110" s="63"/>
      <c r="V2110" s="63"/>
      <c r="W2110" s="63"/>
      <c r="X2110" s="63"/>
      <c r="Y2110" s="63"/>
      <c r="Z2110" s="63"/>
      <c r="AA2110" s="63"/>
      <c r="AB2110" s="63"/>
      <c r="AC2110" s="63"/>
    </row>
    <row r="2111" spans="1:29" x14ac:dyDescent="0.25">
      <c r="A2111" s="108">
        <v>46063</v>
      </c>
      <c r="B2111" s="109">
        <v>30</v>
      </c>
      <c r="C2111" s="49" t="s">
        <v>19</v>
      </c>
      <c r="D2111" s="110" t="str">
        <f>IF(ISBLANK($B2111),"",IFERROR(VLOOKUP($B2111,ESTOQUE!$B$2:$D$97168,3,FALSE),"Produto não cadastrado"))</f>
        <v>BOTINA DE ELETRICISTA Nº 40</v>
      </c>
      <c r="E2111" s="99" t="str">
        <f>_xlfn.XLOOKUP(B2111,ESTOQUE!B:B,ESTOQUE!G:G,"",0)</f>
        <v>PAR</v>
      </c>
      <c r="F2111" s="99">
        <v>3</v>
      </c>
      <c r="G2111" s="146"/>
      <c r="H2111" s="146"/>
      <c r="I2111" s="147"/>
      <c r="J2111" s="147"/>
      <c r="K2111" s="63"/>
      <c r="L2111" s="63"/>
      <c r="M2111" s="63"/>
      <c r="N2111" s="63"/>
      <c r="O2111" s="63"/>
      <c r="P2111" s="63"/>
      <c r="Q2111" s="63"/>
      <c r="R2111" s="63"/>
      <c r="S2111" s="63"/>
      <c r="T2111" s="63"/>
      <c r="U2111" s="63"/>
      <c r="V2111" s="63"/>
      <c r="W2111" s="63"/>
      <c r="X2111" s="63"/>
      <c r="Y2111" s="63"/>
      <c r="Z2111" s="63"/>
      <c r="AA2111" s="63"/>
      <c r="AB2111" s="63"/>
      <c r="AC2111" s="63"/>
    </row>
    <row r="2112" spans="1:29" x14ac:dyDescent="0.25">
      <c r="A2112" s="108">
        <v>46063</v>
      </c>
      <c r="B2112" s="109">
        <v>41</v>
      </c>
      <c r="C2112" s="49" t="s">
        <v>19</v>
      </c>
      <c r="D2112" s="110" t="str">
        <f>IF(ISBLANK($B2112),"",IFERROR(VLOOKUP($B2112,ESTOQUE!$B$2:$D$97168,3,FALSE),"Produto não cadastrado"))</f>
        <v>BOTINA OP. BICO PVC Nº 43</v>
      </c>
      <c r="E2112" s="99" t="str">
        <f>_xlfn.XLOOKUP(B2112,ESTOQUE!B:B,ESTOQUE!G:G,"",0)</f>
        <v>PAR</v>
      </c>
      <c r="F2112" s="99">
        <v>1</v>
      </c>
      <c r="G2112" s="146"/>
      <c r="H2112" s="146"/>
      <c r="I2112" s="147"/>
      <c r="J2112" s="147"/>
      <c r="K2112" s="63"/>
      <c r="L2112" s="63"/>
      <c r="M2112" s="63"/>
      <c r="N2112" s="63"/>
      <c r="O2112" s="63"/>
      <c r="P2112" s="63"/>
      <c r="Q2112" s="63"/>
      <c r="R2112" s="63"/>
      <c r="S2112" s="63"/>
      <c r="T2112" s="63"/>
      <c r="U2112" s="63"/>
      <c r="V2112" s="63"/>
      <c r="W2112" s="63"/>
      <c r="X2112" s="63"/>
      <c r="Y2112" s="63"/>
      <c r="Z2112" s="63"/>
      <c r="AA2112" s="63"/>
      <c r="AB2112" s="63"/>
      <c r="AC2112" s="63"/>
    </row>
    <row r="2113" spans="1:29" x14ac:dyDescent="0.25">
      <c r="A2113" s="108">
        <v>46063</v>
      </c>
      <c r="B2113" s="109">
        <v>46</v>
      </c>
      <c r="C2113" s="49" t="s">
        <v>19</v>
      </c>
      <c r="D2113" s="110" t="str">
        <f>IF(ISBLANK($B2113),"",IFERROR(VLOOKUP($B2113,ESTOQUE!$B$2:$D$97168,3,FALSE),"Produto não cadastrado"))</f>
        <v>CALÇA CINZA OP. C/ FAIXA REFLETIVA TAM: G</v>
      </c>
      <c r="E2113" s="99" t="str">
        <f>_xlfn.XLOOKUP(B2113,ESTOQUE!B:B,ESTOQUE!G:G,"",0)</f>
        <v>UND</v>
      </c>
      <c r="F2113" s="99">
        <v>1</v>
      </c>
      <c r="G2113" s="146"/>
      <c r="H2113" s="146"/>
      <c r="I2113" s="147"/>
      <c r="J2113" s="147"/>
      <c r="K2113" s="63"/>
      <c r="L2113" s="63"/>
      <c r="M2113" s="63"/>
      <c r="N2113" s="63"/>
      <c r="O2113" s="63"/>
      <c r="P2113" s="63"/>
      <c r="Q2113" s="63"/>
      <c r="R2113" s="63"/>
      <c r="S2113" s="63"/>
      <c r="T2113" s="63"/>
      <c r="U2113" s="63"/>
      <c r="V2113" s="63"/>
      <c r="W2113" s="63"/>
      <c r="X2113" s="63"/>
      <c r="Y2113" s="63"/>
      <c r="Z2113" s="63"/>
      <c r="AA2113" s="63"/>
      <c r="AB2113" s="63"/>
      <c r="AC2113" s="63"/>
    </row>
    <row r="2114" spans="1:29" x14ac:dyDescent="0.25">
      <c r="A2114" s="108">
        <v>46063</v>
      </c>
      <c r="B2114" s="109">
        <v>47</v>
      </c>
      <c r="C2114" s="49" t="s">
        <v>19</v>
      </c>
      <c r="D2114" s="110" t="str">
        <f>IF(ISBLANK($B2114),"",IFERROR(VLOOKUP($B2114,ESTOQUE!$B$2:$D$97168,3,FALSE),"Produto não cadastrado"))</f>
        <v>CALÇA CINZA OP. C/ FAIXA REFLETIVA TAM: GG</v>
      </c>
      <c r="E2114" s="99" t="str">
        <f>_xlfn.XLOOKUP(B2114,ESTOQUE!B:B,ESTOQUE!G:G,"",0)</f>
        <v>UND</v>
      </c>
      <c r="F2114" s="99">
        <v>1</v>
      </c>
      <c r="G2114" s="146"/>
      <c r="H2114" s="146"/>
      <c r="I2114" s="147"/>
      <c r="J2114" s="147"/>
      <c r="K2114" s="63"/>
      <c r="L2114" s="63"/>
      <c r="M2114" s="63"/>
      <c r="N2114" s="63"/>
      <c r="O2114" s="63"/>
      <c r="P2114" s="63"/>
      <c r="Q2114" s="63"/>
      <c r="R2114" s="63"/>
      <c r="S2114" s="63"/>
      <c r="T2114" s="63"/>
      <c r="U2114" s="63"/>
      <c r="V2114" s="63"/>
      <c r="W2114" s="63"/>
      <c r="X2114" s="63"/>
      <c r="Y2114" s="63"/>
      <c r="Z2114" s="63"/>
      <c r="AA2114" s="63"/>
      <c r="AB2114" s="63"/>
      <c r="AC2114" s="63"/>
    </row>
    <row r="2115" spans="1:29" x14ac:dyDescent="0.25">
      <c r="A2115" s="108">
        <v>46063</v>
      </c>
      <c r="B2115" s="109">
        <v>48</v>
      </c>
      <c r="C2115" s="49" t="s">
        <v>19</v>
      </c>
      <c r="D2115" s="110" t="str">
        <f>IF(ISBLANK($B2115),"",IFERROR(VLOOKUP($B2115,ESTOQUE!$B$2:$D$97168,3,FALSE),"Produto não cadastrado"))</f>
        <v>CALÇA CINZA OP. C/ FAIXA REFLETIVA TAM: M</v>
      </c>
      <c r="E2115" s="99" t="str">
        <f>_xlfn.XLOOKUP(B2115,ESTOQUE!B:B,ESTOQUE!G:G,"",0)</f>
        <v>UND</v>
      </c>
      <c r="F2115" s="99">
        <v>1</v>
      </c>
      <c r="G2115" s="146"/>
      <c r="H2115" s="146"/>
      <c r="I2115" s="147"/>
      <c r="J2115" s="147"/>
      <c r="K2115" s="63"/>
      <c r="L2115" s="63"/>
      <c r="M2115" s="63"/>
      <c r="N2115" s="63"/>
      <c r="O2115" s="63"/>
      <c r="P2115" s="63"/>
      <c r="Q2115" s="63"/>
      <c r="R2115" s="63"/>
      <c r="S2115" s="63"/>
      <c r="T2115" s="63"/>
      <c r="U2115" s="63"/>
      <c r="V2115" s="63"/>
      <c r="W2115" s="63"/>
      <c r="X2115" s="63"/>
      <c r="Y2115" s="63"/>
      <c r="Z2115" s="63"/>
      <c r="AA2115" s="63"/>
      <c r="AB2115" s="63"/>
      <c r="AC2115" s="63"/>
    </row>
    <row r="2116" spans="1:29" x14ac:dyDescent="0.25">
      <c r="A2116" s="108">
        <v>46063</v>
      </c>
      <c r="B2116" s="109">
        <v>49</v>
      </c>
      <c r="C2116" s="49" t="s">
        <v>19</v>
      </c>
      <c r="D2116" s="110" t="str">
        <f>IF(ISBLANK($B2116),"",IFERROR(VLOOKUP($B2116,ESTOQUE!$B$2:$D$97168,3,FALSE),"Produto não cadastrado"))</f>
        <v>CALÇA CINZA OP. C/ FAIXA REFLETIVA TAM: P</v>
      </c>
      <c r="E2116" s="99" t="str">
        <f>_xlfn.XLOOKUP(B2116,ESTOQUE!B:B,ESTOQUE!G:G,"",0)</f>
        <v>UND</v>
      </c>
      <c r="F2116" s="99">
        <v>1</v>
      </c>
      <c r="G2116" s="146"/>
      <c r="H2116" s="146"/>
      <c r="I2116" s="147"/>
      <c r="J2116" s="147"/>
      <c r="K2116" s="63"/>
      <c r="L2116" s="63"/>
      <c r="M2116" s="63"/>
      <c r="N2116" s="63"/>
      <c r="O2116" s="63"/>
      <c r="P2116" s="63"/>
      <c r="Q2116" s="63"/>
      <c r="R2116" s="63"/>
      <c r="S2116" s="63"/>
      <c r="T2116" s="63"/>
      <c r="U2116" s="63"/>
      <c r="V2116" s="63"/>
      <c r="W2116" s="63"/>
      <c r="X2116" s="63"/>
      <c r="Y2116" s="63"/>
      <c r="Z2116" s="63"/>
      <c r="AA2116" s="63"/>
      <c r="AB2116" s="63"/>
      <c r="AC2116" s="63"/>
    </row>
    <row r="2117" spans="1:29" x14ac:dyDescent="0.25">
      <c r="A2117" s="108">
        <v>46063</v>
      </c>
      <c r="B2117" s="109">
        <v>67</v>
      </c>
      <c r="C2117" s="49" t="s">
        <v>19</v>
      </c>
      <c r="D2117" s="110" t="str">
        <f>IF(ISBLANK($B2117),"",IFERROR(VLOOKUP($B2117,ESTOQUE!$B$2:$D$97168,3,FALSE),"Produto não cadastrado"))</f>
        <v>CAMISA LARANJA OP. C/ FAIXA REFLETIVA TAM: G</v>
      </c>
      <c r="E2117" s="99" t="str">
        <f>_xlfn.XLOOKUP(B2117,ESTOQUE!B:B,ESTOQUE!G:G,"",0)</f>
        <v>UND</v>
      </c>
      <c r="F2117" s="99">
        <v>2</v>
      </c>
      <c r="G2117" s="146"/>
      <c r="H2117" s="146"/>
      <c r="I2117" s="147"/>
      <c r="J2117" s="147"/>
      <c r="K2117" s="63"/>
      <c r="L2117" s="63"/>
      <c r="M2117" s="63"/>
      <c r="N2117" s="63"/>
      <c r="O2117" s="63"/>
      <c r="P2117" s="63"/>
      <c r="Q2117" s="63"/>
      <c r="R2117" s="63"/>
      <c r="S2117" s="63"/>
      <c r="T2117" s="63"/>
      <c r="U2117" s="63"/>
      <c r="V2117" s="63"/>
      <c r="W2117" s="63"/>
      <c r="X2117" s="63"/>
      <c r="Y2117" s="63"/>
      <c r="Z2117" s="63"/>
      <c r="AA2117" s="63"/>
      <c r="AB2117" s="63"/>
      <c r="AC2117" s="63"/>
    </row>
    <row r="2118" spans="1:29" x14ac:dyDescent="0.25">
      <c r="A2118" s="108">
        <v>46063</v>
      </c>
      <c r="B2118" s="109">
        <v>69</v>
      </c>
      <c r="C2118" s="49" t="s">
        <v>19</v>
      </c>
      <c r="D2118" s="110" t="str">
        <f>IF(ISBLANK($B2118),"",IFERROR(VLOOKUP($B2118,ESTOQUE!$B$2:$D$97168,3,FALSE),"Produto não cadastrado"))</f>
        <v>CAMISA LARANJA OP. C/ FAIXA REFLETIVA TAM: M</v>
      </c>
      <c r="E2118" s="99" t="str">
        <f>_xlfn.XLOOKUP(B2118,ESTOQUE!B:B,ESTOQUE!G:G,"",0)</f>
        <v>UND</v>
      </c>
      <c r="F2118" s="99">
        <v>1</v>
      </c>
      <c r="G2118" s="146"/>
      <c r="H2118" s="146"/>
      <c r="I2118" s="147"/>
      <c r="J2118" s="147"/>
      <c r="K2118" s="63"/>
      <c r="L2118" s="63"/>
      <c r="M2118" s="63"/>
      <c r="N2118" s="63"/>
      <c r="O2118" s="63"/>
      <c r="P2118" s="63"/>
      <c r="Q2118" s="63"/>
      <c r="R2118" s="63"/>
      <c r="S2118" s="63"/>
      <c r="T2118" s="63"/>
      <c r="U2118" s="63"/>
      <c r="V2118" s="63"/>
      <c r="W2118" s="63"/>
      <c r="X2118" s="63"/>
      <c r="Y2118" s="63"/>
      <c r="Z2118" s="63"/>
      <c r="AA2118" s="63"/>
      <c r="AB2118" s="63"/>
      <c r="AC2118" s="63"/>
    </row>
    <row r="2119" spans="1:29" x14ac:dyDescent="0.25">
      <c r="A2119" s="108">
        <v>46063</v>
      </c>
      <c r="B2119" s="109">
        <v>70</v>
      </c>
      <c r="C2119" s="49" t="s">
        <v>19</v>
      </c>
      <c r="D2119" s="110" t="str">
        <f>IF(ISBLANK($B2119),"",IFERROR(VLOOKUP($B2119,ESTOQUE!$B$2:$D$97168,3,FALSE),"Produto não cadastrado"))</f>
        <v>CAMISA LARANJA OP. C/ FAIXA REFLETIVA TAM: P</v>
      </c>
      <c r="E2119" s="99" t="str">
        <f>_xlfn.XLOOKUP(B2119,ESTOQUE!B:B,ESTOQUE!G:G,"",0)</f>
        <v>UND</v>
      </c>
      <c r="F2119" s="99">
        <v>1</v>
      </c>
      <c r="G2119" s="146"/>
      <c r="H2119" s="146"/>
      <c r="I2119" s="147"/>
      <c r="J2119" s="147"/>
      <c r="K2119" s="63"/>
      <c r="L2119" s="63"/>
      <c r="M2119" s="63"/>
      <c r="N2119" s="63"/>
      <c r="O2119" s="63"/>
      <c r="P2119" s="63"/>
      <c r="Q2119" s="63"/>
      <c r="R2119" s="63"/>
      <c r="S2119" s="63"/>
      <c r="T2119" s="63"/>
      <c r="U2119" s="63"/>
      <c r="V2119" s="63"/>
      <c r="W2119" s="63"/>
      <c r="X2119" s="63"/>
      <c r="Y2119" s="63"/>
      <c r="Z2119" s="63"/>
      <c r="AA2119" s="63"/>
      <c r="AB2119" s="63"/>
      <c r="AC2119" s="63"/>
    </row>
    <row r="2120" spans="1:29" x14ac:dyDescent="0.25">
      <c r="A2120" s="108">
        <v>46063</v>
      </c>
      <c r="B2120" s="109">
        <v>161</v>
      </c>
      <c r="C2120" s="49" t="s">
        <v>19</v>
      </c>
      <c r="D2120" s="110" t="str">
        <f>IF(ISBLANK($B2120),"",IFERROR(VLOOKUP($B2120,ESTOQUE!$B$2:$D$97168,3,FALSE),"Produto não cadastrado"))</f>
        <v>JUGULAR</v>
      </c>
      <c r="E2120" s="99" t="str">
        <f>_xlfn.XLOOKUP(B2120,ESTOQUE!B:B,ESTOQUE!G:G,"",0)</f>
        <v>UND</v>
      </c>
      <c r="F2120" s="99">
        <v>1</v>
      </c>
      <c r="G2120" s="146"/>
      <c r="H2120" s="146"/>
      <c r="I2120" s="147"/>
      <c r="J2120" s="147"/>
      <c r="K2120" s="63"/>
      <c r="L2120" s="63"/>
      <c r="M2120" s="63"/>
      <c r="N2120" s="63"/>
      <c r="O2120" s="63"/>
      <c r="P2120" s="63"/>
      <c r="Q2120" s="63"/>
      <c r="R2120" s="63"/>
      <c r="S2120" s="63"/>
      <c r="T2120" s="63"/>
      <c r="U2120" s="63"/>
      <c r="V2120" s="63"/>
      <c r="W2120" s="63"/>
      <c r="X2120" s="63"/>
      <c r="Y2120" s="63"/>
      <c r="Z2120" s="63"/>
      <c r="AA2120" s="63"/>
      <c r="AB2120" s="63"/>
      <c r="AC2120" s="63"/>
    </row>
    <row r="2121" spans="1:29" x14ac:dyDescent="0.25">
      <c r="A2121" s="108">
        <v>46063</v>
      </c>
      <c r="B2121" s="109">
        <v>141</v>
      </c>
      <c r="C2121" s="49" t="s">
        <v>19</v>
      </c>
      <c r="D2121" s="110" t="str">
        <f>IF(ISBLANK($B2121),"",IFERROR(VLOOKUP($B2121,ESTOQUE!$B$2:$D$97168,3,FALSE),"Produto não cadastrado"))</f>
        <v xml:space="preserve">LUVA DE VAQUETA </v>
      </c>
      <c r="E2121" s="99" t="str">
        <f>_xlfn.XLOOKUP(B2121,ESTOQUE!B:B,ESTOQUE!G:G,"",0)</f>
        <v>PAR</v>
      </c>
      <c r="F2121" s="99">
        <v>1</v>
      </c>
      <c r="G2121" s="146"/>
      <c r="H2121" s="146"/>
      <c r="I2121" s="147"/>
      <c r="J2121" s="147"/>
      <c r="K2121" s="63"/>
      <c r="L2121" s="63"/>
      <c r="M2121" s="63"/>
      <c r="N2121" s="63"/>
      <c r="O2121" s="63"/>
      <c r="P2121" s="63"/>
      <c r="Q2121" s="63"/>
      <c r="R2121" s="63"/>
      <c r="S2121" s="63"/>
      <c r="T2121" s="63"/>
      <c r="U2121" s="63"/>
      <c r="V2121" s="63"/>
      <c r="W2121" s="63"/>
      <c r="X2121" s="63"/>
      <c r="Y2121" s="63"/>
      <c r="Z2121" s="63"/>
      <c r="AA2121" s="63"/>
      <c r="AB2121" s="63"/>
      <c r="AC2121" s="63"/>
    </row>
    <row r="2122" spans="1:29" x14ac:dyDescent="0.25">
      <c r="A2122" s="108">
        <v>46063</v>
      </c>
      <c r="B2122" s="109">
        <v>111</v>
      </c>
      <c r="C2122" s="49" t="s">
        <v>19</v>
      </c>
      <c r="D2122" s="110" t="str">
        <f>IF(ISBLANK($B2122),"",IFERROR(VLOOKUP($B2122,ESTOQUE!$B$2:$D$97168,3,FALSE),"Produto não cadastrado"))</f>
        <v>LUVA DE VAQUETA MARROM</v>
      </c>
      <c r="E2122" s="99" t="str">
        <f>_xlfn.XLOOKUP(B2122,ESTOQUE!B:B,ESTOQUE!G:G,"",0)</f>
        <v>PAR</v>
      </c>
      <c r="F2122" s="99">
        <v>15</v>
      </c>
      <c r="G2122" s="146"/>
      <c r="H2122" s="146"/>
      <c r="I2122" s="147"/>
      <c r="J2122" s="147"/>
      <c r="K2122" s="63"/>
      <c r="L2122" s="63"/>
      <c r="M2122" s="63"/>
      <c r="N2122" s="63"/>
      <c r="O2122" s="63"/>
      <c r="P2122" s="63"/>
      <c r="Q2122" s="63"/>
      <c r="R2122" s="63"/>
      <c r="S2122" s="63"/>
      <c r="T2122" s="63"/>
      <c r="U2122" s="63"/>
      <c r="V2122" s="63"/>
      <c r="W2122" s="63"/>
      <c r="X2122" s="63"/>
      <c r="Y2122" s="63"/>
      <c r="Z2122" s="63"/>
      <c r="AA2122" s="63"/>
      <c r="AB2122" s="63"/>
      <c r="AC2122" s="63"/>
    </row>
    <row r="2123" spans="1:29" x14ac:dyDescent="0.25">
      <c r="A2123" s="108">
        <v>46063</v>
      </c>
      <c r="B2123" s="99">
        <v>114</v>
      </c>
      <c r="C2123" s="49" t="s">
        <v>19</v>
      </c>
      <c r="D2123" s="110" t="str">
        <f>IF(ISBLANK($B2123),"",IFERROR(VLOOKUP($B2123,ESTOQUE!$B$2:$D$97168,3,FALSE),"Produto não cadastrado"))</f>
        <v xml:space="preserve">LUVA LATEX NITRILICA </v>
      </c>
      <c r="E2123" s="130" t="s">
        <v>31</v>
      </c>
      <c r="F2123" s="99">
        <v>5</v>
      </c>
      <c r="G2123" s="146"/>
      <c r="H2123" s="146"/>
      <c r="I2123" s="147"/>
      <c r="J2123" s="147"/>
      <c r="K2123" s="63"/>
      <c r="L2123" s="63"/>
      <c r="M2123" s="63"/>
      <c r="N2123" s="63"/>
      <c r="O2123" s="63"/>
      <c r="P2123" s="63"/>
      <c r="Q2123" s="63"/>
      <c r="R2123" s="63"/>
      <c r="S2123" s="63"/>
      <c r="T2123" s="63"/>
      <c r="U2123" s="63"/>
      <c r="V2123" s="63"/>
      <c r="W2123" s="63"/>
      <c r="X2123" s="63"/>
      <c r="Y2123" s="63"/>
      <c r="Z2123" s="63"/>
      <c r="AA2123" s="63"/>
      <c r="AB2123" s="63"/>
      <c r="AC2123" s="63"/>
    </row>
    <row r="2124" spans="1:29" x14ac:dyDescent="0.25">
      <c r="A2124" s="108">
        <v>46063</v>
      </c>
      <c r="B2124" s="109">
        <v>117</v>
      </c>
      <c r="C2124" s="49" t="s">
        <v>19</v>
      </c>
      <c r="D2124" s="110" t="str">
        <f>IF(ISBLANK($B2124),"",IFERROR(VLOOKUP($B2124,ESTOQUE!$B$2:$D$97168,3,FALSE),"Produto não cadastrado"))</f>
        <v>LUVA PIGMENTADA</v>
      </c>
      <c r="E2124" s="99" t="str">
        <f>_xlfn.XLOOKUP(B2124,ESTOQUE!B:B,ESTOQUE!G:G,"",0)</f>
        <v>PAR</v>
      </c>
      <c r="F2124" s="99">
        <v>25</v>
      </c>
      <c r="G2124" s="146"/>
      <c r="H2124" s="146"/>
      <c r="I2124" s="147"/>
      <c r="J2124" s="147"/>
      <c r="K2124" s="63"/>
      <c r="L2124" s="63"/>
      <c r="M2124" s="63"/>
      <c r="N2124" s="63"/>
      <c r="O2124" s="63"/>
      <c r="P2124" s="63"/>
      <c r="Q2124" s="63"/>
      <c r="R2124" s="63"/>
      <c r="S2124" s="63"/>
      <c r="T2124" s="63"/>
      <c r="U2124" s="63"/>
      <c r="V2124" s="63"/>
      <c r="W2124" s="63"/>
      <c r="X2124" s="63"/>
      <c r="Y2124" s="63"/>
      <c r="Z2124" s="63"/>
      <c r="AA2124" s="63"/>
      <c r="AB2124" s="63"/>
      <c r="AC2124" s="63"/>
    </row>
    <row r="2125" spans="1:29" x14ac:dyDescent="0.25">
      <c r="A2125" s="108">
        <v>46063</v>
      </c>
      <c r="B2125" s="109">
        <v>207</v>
      </c>
      <c r="C2125" s="49" t="s">
        <v>19</v>
      </c>
      <c r="D2125" s="110" t="str">
        <f>IF(ISBLANK($B2125),"",IFERROR(VLOOKUP($B2125,ESTOQUE!$B$2:$D$97168,3,FALSE),"Produto não cadastrado"))</f>
        <v>LUVA POLIESTER ANTICORTE BANHADA PU TAM 9</v>
      </c>
      <c r="E2125" s="99" t="str">
        <f>_xlfn.XLOOKUP(B2125,ESTOQUE!B:B,ESTOQUE!G:G,"",0)</f>
        <v>PAR</v>
      </c>
      <c r="F2125" s="99">
        <v>9</v>
      </c>
      <c r="G2125" s="146"/>
      <c r="H2125" s="146"/>
      <c r="I2125" s="147"/>
      <c r="J2125" s="147"/>
      <c r="K2125" s="63"/>
      <c r="L2125" s="63"/>
      <c r="M2125" s="63"/>
      <c r="N2125" s="63"/>
      <c r="O2125" s="63"/>
      <c r="P2125" s="63"/>
      <c r="Q2125" s="63"/>
      <c r="R2125" s="63"/>
      <c r="S2125" s="63"/>
      <c r="T2125" s="63"/>
      <c r="U2125" s="63"/>
      <c r="V2125" s="63"/>
      <c r="W2125" s="63"/>
      <c r="X2125" s="63"/>
      <c r="Y2125" s="63"/>
      <c r="Z2125" s="63"/>
      <c r="AA2125" s="63"/>
      <c r="AB2125" s="63"/>
      <c r="AC2125" s="63"/>
    </row>
    <row r="2126" spans="1:29" x14ac:dyDescent="0.25">
      <c r="A2126" s="108">
        <v>46063</v>
      </c>
      <c r="B2126" s="109">
        <v>118</v>
      </c>
      <c r="C2126" s="49" t="s">
        <v>19</v>
      </c>
      <c r="D2126" s="110" t="str">
        <f>IF(ISBLANK($B2126),"",IFERROR(VLOOKUP($B2126,ESTOQUE!$B$2:$D$97168,3,FALSE),"Produto não cadastrado"))</f>
        <v>MACACÃO DE PROTEÇÃO TYVEK</v>
      </c>
      <c r="E2126" s="99" t="str">
        <f>_xlfn.XLOOKUP(B2126,ESTOQUE!B:B,ESTOQUE!G:G,"",0)</f>
        <v>UND</v>
      </c>
      <c r="F2126" s="99">
        <v>15</v>
      </c>
      <c r="G2126" s="146"/>
      <c r="H2126" s="146"/>
      <c r="I2126" s="147"/>
      <c r="J2126" s="147"/>
      <c r="K2126" s="63"/>
      <c r="L2126" s="63"/>
      <c r="M2126" s="63"/>
      <c r="N2126" s="63"/>
      <c r="O2126" s="63"/>
      <c r="P2126" s="63"/>
      <c r="Q2126" s="63"/>
      <c r="R2126" s="63"/>
      <c r="S2126" s="63"/>
      <c r="T2126" s="63"/>
      <c r="U2126" s="63"/>
      <c r="V2126" s="63"/>
      <c r="W2126" s="63"/>
      <c r="X2126" s="63"/>
      <c r="Y2126" s="63"/>
      <c r="Z2126" s="63"/>
      <c r="AA2126" s="63"/>
      <c r="AB2126" s="63"/>
      <c r="AC2126" s="63"/>
    </row>
    <row r="2127" spans="1:29" x14ac:dyDescent="0.25">
      <c r="A2127" s="108">
        <v>46063</v>
      </c>
      <c r="B2127" s="109">
        <v>126</v>
      </c>
      <c r="C2127" s="49" t="s">
        <v>19</v>
      </c>
      <c r="D2127" s="110" t="str">
        <f>IF(ISBLANK($B2127),"",IFERROR(VLOOKUP($B2127,ESTOQUE!$B$2:$D$97168,3,FALSE),"Produto não cadastrado"))</f>
        <v>OCULOS DE PROTEÇÃO ESCURO</v>
      </c>
      <c r="E2127" s="99" t="str">
        <f>_xlfn.XLOOKUP(B2127,ESTOQUE!B:B,ESTOQUE!G:G,"",0)</f>
        <v>UND</v>
      </c>
      <c r="F2127" s="99">
        <v>2</v>
      </c>
      <c r="G2127" s="146"/>
      <c r="H2127" s="146"/>
      <c r="I2127" s="147"/>
      <c r="J2127" s="147"/>
      <c r="K2127" s="63"/>
      <c r="L2127" s="63"/>
      <c r="M2127" s="63"/>
      <c r="N2127" s="63"/>
      <c r="O2127" s="63"/>
      <c r="P2127" s="63"/>
      <c r="Q2127" s="63"/>
      <c r="R2127" s="63"/>
      <c r="S2127" s="63"/>
      <c r="T2127" s="63"/>
      <c r="U2127" s="63"/>
      <c r="V2127" s="63"/>
      <c r="W2127" s="63"/>
      <c r="X2127" s="63"/>
      <c r="Y2127" s="63"/>
      <c r="Z2127" s="63"/>
      <c r="AA2127" s="63"/>
      <c r="AB2127" s="63"/>
      <c r="AC2127" s="63"/>
    </row>
    <row r="2128" spans="1:29" x14ac:dyDescent="0.25">
      <c r="A2128" s="108">
        <v>46063</v>
      </c>
      <c r="B2128" s="109">
        <v>130</v>
      </c>
      <c r="C2128" s="49" t="s">
        <v>19</v>
      </c>
      <c r="D2128" s="110" t="str">
        <f>IF(ISBLANK($B2128),"",IFERROR(VLOOKUP($B2128,ESTOQUE!$B$2:$D$97168,3,FALSE),"Produto não cadastrado"))</f>
        <v>PROTETOR AUDITIVO TIPO CONCHA L-300</v>
      </c>
      <c r="E2128" s="99" t="str">
        <f>_xlfn.XLOOKUP(B2128,ESTOQUE!B:B,ESTOQUE!G:G,"",0)</f>
        <v>UND</v>
      </c>
      <c r="F2128" s="99">
        <v>1</v>
      </c>
      <c r="G2128" s="146"/>
      <c r="H2128" s="146"/>
      <c r="I2128" s="147"/>
      <c r="J2128" s="147"/>
      <c r="K2128" s="63"/>
      <c r="L2128" s="63"/>
      <c r="M2128" s="63"/>
      <c r="N2128" s="63"/>
      <c r="O2128" s="63"/>
      <c r="P2128" s="63"/>
      <c r="Q2128" s="63"/>
      <c r="R2128" s="63"/>
      <c r="S2128" s="63"/>
      <c r="T2128" s="63"/>
      <c r="U2128" s="63"/>
      <c r="V2128" s="63"/>
      <c r="W2128" s="63"/>
      <c r="X2128" s="63"/>
      <c r="Y2128" s="63"/>
      <c r="Z2128" s="63"/>
      <c r="AA2128" s="63"/>
      <c r="AB2128" s="63"/>
      <c r="AC2128" s="63"/>
    </row>
    <row r="2129" spans="1:29" x14ac:dyDescent="0.25">
      <c r="A2129" s="108">
        <v>46063</v>
      </c>
      <c r="B2129" s="109">
        <v>135</v>
      </c>
      <c r="C2129" s="49" t="s">
        <v>19</v>
      </c>
      <c r="D2129" s="110" t="str">
        <f>IF(ISBLANK($B2129),"",IFERROR(VLOOKUP($B2129,ESTOQUE!$B$2:$D$97168,3,FALSE),"Produto não cadastrado"))</f>
        <v>TALABARTE DUPLO TIPO Y</v>
      </c>
      <c r="E2129" s="99" t="s">
        <v>22</v>
      </c>
      <c r="F2129" s="99">
        <v>1</v>
      </c>
      <c r="G2129" s="146"/>
      <c r="H2129" s="146"/>
      <c r="I2129" s="147"/>
      <c r="J2129" s="147"/>
      <c r="K2129" s="63"/>
      <c r="L2129" s="63"/>
      <c r="M2129" s="63"/>
      <c r="N2129" s="63"/>
      <c r="O2129" s="63"/>
      <c r="P2129" s="63"/>
      <c r="Q2129" s="63"/>
      <c r="R2129" s="63"/>
      <c r="S2129" s="63"/>
      <c r="T2129" s="63"/>
      <c r="U2129" s="63"/>
      <c r="V2129" s="63"/>
      <c r="W2129" s="63"/>
      <c r="X2129" s="63"/>
      <c r="Y2129" s="63"/>
      <c r="Z2129" s="63"/>
      <c r="AA2129" s="63"/>
      <c r="AB2129" s="63"/>
      <c r="AC2129" s="63"/>
    </row>
    <row r="2130" spans="1:29" x14ac:dyDescent="0.25">
      <c r="A2130" s="108">
        <v>46064</v>
      </c>
      <c r="B2130" s="109">
        <v>212</v>
      </c>
      <c r="C2130" s="49" t="s">
        <v>19</v>
      </c>
      <c r="D2130" s="110" t="str">
        <f>IF(ISBLANK($B2130),"",IFERROR(VLOOKUP($B2130,ESTOQUE!$B$2:$D$97168,3,FALSE),"Produto não cadastrado"))</f>
        <v>BOTINA SEGURANÇA METATARSO  35</v>
      </c>
      <c r="E2130" s="99" t="s">
        <v>22</v>
      </c>
      <c r="F2130" s="99">
        <v>1</v>
      </c>
      <c r="G2130" s="146"/>
      <c r="H2130" s="146"/>
      <c r="I2130" s="147"/>
      <c r="J2130" s="147"/>
      <c r="K2130" s="63"/>
      <c r="L2130" s="63"/>
      <c r="M2130" s="63"/>
      <c r="N2130" s="63"/>
      <c r="O2130" s="63"/>
      <c r="P2130" s="63"/>
      <c r="Q2130" s="63"/>
      <c r="R2130" s="63"/>
      <c r="S2130" s="63"/>
      <c r="T2130" s="63"/>
      <c r="U2130" s="63"/>
      <c r="V2130" s="63"/>
      <c r="W2130" s="63"/>
      <c r="X2130" s="63"/>
      <c r="Y2130" s="63"/>
      <c r="Z2130" s="63"/>
      <c r="AA2130" s="63"/>
      <c r="AB2130" s="63"/>
      <c r="AC2130" s="63"/>
    </row>
    <row r="2131" spans="1:29" x14ac:dyDescent="0.25">
      <c r="A2131" s="108">
        <v>46064</v>
      </c>
      <c r="B2131" s="109">
        <v>216</v>
      </c>
      <c r="C2131" s="49" t="s">
        <v>19</v>
      </c>
      <c r="D2131" s="110" t="str">
        <f>IF(ISBLANK($B2131),"",IFERROR(VLOOKUP($B2131,ESTOQUE!$B$2:$D$97168,3,FALSE),"Produto não cadastrado"))</f>
        <v>BOTINA SEGURANÇA METATARSO  39</v>
      </c>
      <c r="E2131" s="99" t="s">
        <v>22</v>
      </c>
      <c r="F2131" s="99">
        <v>2</v>
      </c>
      <c r="G2131" s="146"/>
      <c r="H2131" s="146"/>
      <c r="I2131" s="147"/>
      <c r="J2131" s="147"/>
      <c r="K2131" s="63"/>
      <c r="L2131" s="63"/>
      <c r="M2131" s="63"/>
      <c r="N2131" s="63"/>
      <c r="O2131" s="63"/>
      <c r="P2131" s="63"/>
      <c r="Q2131" s="63"/>
      <c r="R2131" s="63"/>
      <c r="S2131" s="63"/>
      <c r="T2131" s="63"/>
      <c r="U2131" s="63"/>
      <c r="V2131" s="63"/>
      <c r="W2131" s="63"/>
      <c r="X2131" s="63"/>
      <c r="Y2131" s="63"/>
      <c r="Z2131" s="63"/>
      <c r="AA2131" s="63"/>
      <c r="AB2131" s="63"/>
      <c r="AC2131" s="63"/>
    </row>
    <row r="2132" spans="1:29" x14ac:dyDescent="0.25">
      <c r="A2132" s="108">
        <v>46064</v>
      </c>
      <c r="B2132" s="109">
        <v>217</v>
      </c>
      <c r="C2132" s="49" t="s">
        <v>19</v>
      </c>
      <c r="D2132" s="110" t="str">
        <f>IF(ISBLANK($B2132),"",IFERROR(VLOOKUP($B2132,ESTOQUE!$B$2:$D$97168,3,FALSE),"Produto não cadastrado"))</f>
        <v>BOTINA SEGURANÇA METATARSO  40</v>
      </c>
      <c r="E2132" s="99" t="s">
        <v>22</v>
      </c>
      <c r="F2132" s="99">
        <v>2</v>
      </c>
      <c r="G2132" s="146"/>
      <c r="H2132" s="146"/>
      <c r="I2132" s="147"/>
      <c r="J2132" s="147"/>
      <c r="K2132" s="63"/>
      <c r="L2132" s="63"/>
      <c r="M2132" s="63"/>
      <c r="N2132" s="63"/>
      <c r="O2132" s="63"/>
      <c r="P2132" s="63"/>
      <c r="Q2132" s="63"/>
      <c r="R2132" s="63"/>
      <c r="S2132" s="63"/>
      <c r="T2132" s="63"/>
      <c r="U2132" s="63"/>
      <c r="V2132" s="63"/>
      <c r="W2132" s="63"/>
      <c r="X2132" s="63"/>
      <c r="Y2132" s="63"/>
      <c r="Z2132" s="63"/>
      <c r="AA2132" s="63"/>
      <c r="AB2132" s="63"/>
      <c r="AC2132" s="63"/>
    </row>
    <row r="2133" spans="1:29" x14ac:dyDescent="0.25">
      <c r="A2133" s="108">
        <v>46064</v>
      </c>
      <c r="B2133" s="109">
        <v>219</v>
      </c>
      <c r="C2133" s="49" t="s">
        <v>19</v>
      </c>
      <c r="D2133" s="110" t="str">
        <f>IF(ISBLANK($B2133),"",IFERROR(VLOOKUP($B2133,ESTOQUE!$B$2:$D$97168,3,FALSE),"Produto não cadastrado"))</f>
        <v>BOTINA SEGURANÇA METATARSO  42</v>
      </c>
      <c r="E2133" s="99" t="s">
        <v>22</v>
      </c>
      <c r="F2133" s="99">
        <v>8</v>
      </c>
      <c r="G2133" s="146"/>
      <c r="H2133" s="146"/>
      <c r="I2133" s="147"/>
      <c r="J2133" s="147"/>
      <c r="K2133" s="63"/>
      <c r="L2133" s="63"/>
      <c r="M2133" s="63"/>
      <c r="N2133" s="63"/>
      <c r="O2133" s="63"/>
      <c r="P2133" s="63"/>
      <c r="Q2133" s="63"/>
      <c r="R2133" s="63"/>
      <c r="S2133" s="63"/>
      <c r="T2133" s="63"/>
      <c r="U2133" s="63"/>
      <c r="V2133" s="63"/>
      <c r="W2133" s="63"/>
      <c r="X2133" s="63"/>
      <c r="Y2133" s="63"/>
      <c r="Z2133" s="63"/>
      <c r="AA2133" s="63"/>
      <c r="AB2133" s="63"/>
      <c r="AC2133" s="63"/>
    </row>
    <row r="2134" spans="1:29" x14ac:dyDescent="0.25">
      <c r="A2134" s="108">
        <v>46064</v>
      </c>
      <c r="B2134" s="109">
        <v>221</v>
      </c>
      <c r="C2134" s="49" t="s">
        <v>19</v>
      </c>
      <c r="D2134" s="110" t="str">
        <f>IF(ISBLANK($B2134),"",IFERROR(VLOOKUP($B2134,ESTOQUE!$B$2:$D$97168,3,FALSE),"Produto não cadastrado"))</f>
        <v>BOTINA SEGURANÇA METATARSO  44</v>
      </c>
      <c r="E2134" s="99" t="s">
        <v>22</v>
      </c>
      <c r="F2134" s="99">
        <v>2</v>
      </c>
      <c r="G2134" s="146"/>
      <c r="H2134" s="146"/>
      <c r="I2134" s="147"/>
      <c r="J2134" s="147"/>
      <c r="K2134" s="63"/>
      <c r="L2134" s="63"/>
      <c r="M2134" s="63"/>
      <c r="N2134" s="63"/>
      <c r="O2134" s="63"/>
      <c r="P2134" s="63"/>
      <c r="Q2134" s="63"/>
      <c r="R2134" s="63"/>
      <c r="S2134" s="63"/>
      <c r="T2134" s="63"/>
      <c r="U2134" s="63"/>
      <c r="V2134" s="63"/>
      <c r="W2134" s="63"/>
      <c r="X2134" s="63"/>
      <c r="Y2134" s="63"/>
      <c r="Z2134" s="63"/>
      <c r="AA2134" s="63"/>
      <c r="AB2134" s="63"/>
      <c r="AC2134" s="63"/>
    </row>
    <row r="2135" spans="1:29" x14ac:dyDescent="0.25">
      <c r="A2135" s="108">
        <v>46064</v>
      </c>
      <c r="B2135" s="109">
        <v>29</v>
      </c>
      <c r="C2135" s="49" t="s">
        <v>19</v>
      </c>
      <c r="D2135" s="110" t="str">
        <f>IF(ISBLANK($B2135),"",IFERROR(VLOOKUP($B2135,ESTOQUE!$B$2:$D$97168,3,FALSE),"Produto não cadastrado"))</f>
        <v>BOTINA DE ELETRICISTA Nº 39</v>
      </c>
      <c r="E2135" s="99" t="s">
        <v>22</v>
      </c>
      <c r="F2135" s="99">
        <v>3</v>
      </c>
      <c r="G2135" s="146"/>
      <c r="H2135" s="146"/>
      <c r="I2135" s="147"/>
      <c r="J2135" s="147"/>
      <c r="K2135" s="63"/>
      <c r="L2135" s="63"/>
      <c r="M2135" s="63"/>
      <c r="N2135" s="63"/>
      <c r="O2135" s="63"/>
      <c r="P2135" s="63"/>
      <c r="Q2135" s="63"/>
      <c r="R2135" s="63"/>
      <c r="S2135" s="63"/>
      <c r="T2135" s="63"/>
      <c r="U2135" s="63"/>
      <c r="V2135" s="63"/>
      <c r="W2135" s="63"/>
      <c r="X2135" s="63"/>
      <c r="Y2135" s="63"/>
      <c r="Z2135" s="63"/>
      <c r="AA2135" s="63"/>
      <c r="AB2135" s="63"/>
      <c r="AC2135" s="63"/>
    </row>
    <row r="2136" spans="1:29" x14ac:dyDescent="0.25">
      <c r="A2136" s="108">
        <v>46064</v>
      </c>
      <c r="B2136" s="109">
        <v>30</v>
      </c>
      <c r="C2136" s="49" t="s">
        <v>19</v>
      </c>
      <c r="D2136" s="110" t="str">
        <f>IF(ISBLANK($B2136),"",IFERROR(VLOOKUP($B2136,ESTOQUE!$B$2:$D$97168,3,FALSE),"Produto não cadastrado"))</f>
        <v>BOTINA DE ELETRICISTA Nº 40</v>
      </c>
      <c r="E2136" s="99" t="s">
        <v>22</v>
      </c>
      <c r="F2136" s="99">
        <v>1</v>
      </c>
      <c r="G2136" s="146"/>
      <c r="H2136" s="146"/>
      <c r="I2136" s="147"/>
      <c r="J2136" s="147"/>
      <c r="K2136" s="63"/>
      <c r="L2136" s="63"/>
      <c r="M2136" s="63"/>
      <c r="N2136" s="63"/>
      <c r="O2136" s="63"/>
      <c r="P2136" s="63"/>
      <c r="Q2136" s="63"/>
      <c r="R2136" s="63"/>
      <c r="S2136" s="63"/>
      <c r="T2136" s="63"/>
      <c r="U2136" s="63"/>
      <c r="V2136" s="63"/>
      <c r="W2136" s="63"/>
      <c r="X2136" s="63"/>
      <c r="Y2136" s="63"/>
      <c r="Z2136" s="63"/>
      <c r="AA2136" s="63"/>
      <c r="AB2136" s="63"/>
      <c r="AC2136" s="63"/>
    </row>
    <row r="2137" spans="1:29" x14ac:dyDescent="0.25">
      <c r="A2137" s="108">
        <v>46064</v>
      </c>
      <c r="B2137" s="109">
        <v>42</v>
      </c>
      <c r="C2137" s="49" t="s">
        <v>19</v>
      </c>
      <c r="D2137" s="110" t="str">
        <f>IF(ISBLANK($B2137),"",IFERROR(VLOOKUP($B2137,ESTOQUE!$B$2:$D$97168,3,FALSE),"Produto não cadastrado"))</f>
        <v>BOTINA OP. BICO PVC Nº 44</v>
      </c>
      <c r="E2137" s="99" t="s">
        <v>22</v>
      </c>
      <c r="F2137" s="99">
        <v>1</v>
      </c>
      <c r="G2137" s="146"/>
      <c r="H2137" s="146"/>
      <c r="I2137" s="147"/>
      <c r="J2137" s="147"/>
      <c r="K2137" s="63"/>
      <c r="L2137" s="63"/>
      <c r="M2137" s="63"/>
      <c r="N2137" s="63"/>
      <c r="O2137" s="63"/>
      <c r="P2137" s="63"/>
      <c r="Q2137" s="63"/>
      <c r="R2137" s="63"/>
      <c r="S2137" s="63"/>
      <c r="T2137" s="63"/>
      <c r="U2137" s="63"/>
      <c r="V2137" s="63"/>
      <c r="W2137" s="63"/>
      <c r="X2137" s="63"/>
      <c r="Y2137" s="63"/>
      <c r="Z2137" s="63"/>
      <c r="AA2137" s="63"/>
      <c r="AB2137" s="63"/>
      <c r="AC2137" s="63"/>
    </row>
    <row r="2138" spans="1:29" x14ac:dyDescent="0.25">
      <c r="A2138" s="108">
        <v>46064</v>
      </c>
      <c r="B2138" s="109">
        <v>43</v>
      </c>
      <c r="C2138" s="49" t="s">
        <v>19</v>
      </c>
      <c r="D2138" s="110" t="str">
        <f>IF(ISBLANK($B2138),"",IFERROR(VLOOKUP($B2138,ESTOQUE!$B$2:$D$97168,3,FALSE),"Produto não cadastrado"))</f>
        <v>BOTINA OP. BICO PVC Nº 45</v>
      </c>
      <c r="E2138" s="99" t="s">
        <v>22</v>
      </c>
      <c r="F2138" s="99">
        <v>1</v>
      </c>
      <c r="G2138" s="146"/>
      <c r="H2138" s="146"/>
      <c r="I2138" s="147"/>
      <c r="J2138" s="147"/>
      <c r="K2138" s="63"/>
      <c r="L2138" s="63"/>
      <c r="M2138" s="63"/>
      <c r="N2138" s="63"/>
      <c r="O2138" s="63"/>
      <c r="P2138" s="63"/>
      <c r="Q2138" s="63"/>
      <c r="R2138" s="63"/>
      <c r="S2138" s="63"/>
      <c r="T2138" s="63"/>
      <c r="U2138" s="63"/>
      <c r="V2138" s="63"/>
      <c r="W2138" s="63"/>
      <c r="X2138" s="63"/>
      <c r="Y2138" s="63"/>
      <c r="Z2138" s="63"/>
      <c r="AA2138" s="63"/>
      <c r="AB2138" s="63"/>
      <c r="AC2138" s="63"/>
    </row>
    <row r="2139" spans="1:29" x14ac:dyDescent="0.25">
      <c r="A2139" s="108">
        <v>46064</v>
      </c>
      <c r="B2139" s="109">
        <v>218</v>
      </c>
      <c r="C2139" s="49" t="s">
        <v>19</v>
      </c>
      <c r="D2139" s="110" t="str">
        <f>IF(ISBLANK($B2139),"",IFERROR(VLOOKUP($B2139,ESTOQUE!$B$2:$D$97168,3,FALSE),"Produto não cadastrado"))</f>
        <v>BOTINA SEGURANÇA METATARSO  41</v>
      </c>
      <c r="E2139" s="99" t="s">
        <v>22</v>
      </c>
      <c r="F2139" s="99">
        <v>1</v>
      </c>
      <c r="G2139" s="146"/>
      <c r="H2139" s="146"/>
      <c r="I2139" s="147"/>
      <c r="J2139" s="147"/>
      <c r="K2139" s="63"/>
      <c r="L2139" s="63"/>
      <c r="M2139" s="63"/>
      <c r="N2139" s="63"/>
      <c r="O2139" s="63"/>
      <c r="P2139" s="63"/>
      <c r="Q2139" s="63"/>
      <c r="R2139" s="63"/>
      <c r="S2139" s="63"/>
      <c r="T2139" s="63"/>
      <c r="U2139" s="63"/>
      <c r="V2139" s="63"/>
      <c r="W2139" s="63"/>
      <c r="X2139" s="63"/>
      <c r="Y2139" s="63"/>
      <c r="Z2139" s="63"/>
      <c r="AA2139" s="63"/>
      <c r="AB2139" s="63"/>
      <c r="AC2139" s="63"/>
    </row>
    <row r="2140" spans="1:29" x14ac:dyDescent="0.25">
      <c r="A2140" s="108">
        <v>46064</v>
      </c>
      <c r="B2140" s="109">
        <v>219</v>
      </c>
      <c r="C2140" s="49" t="s">
        <v>19</v>
      </c>
      <c r="D2140" s="110" t="str">
        <f>IF(ISBLANK($B2140),"",IFERROR(VLOOKUP($B2140,ESTOQUE!$B$2:$D$97168,3,FALSE),"Produto não cadastrado"))</f>
        <v>BOTINA SEGURANÇA METATARSO  42</v>
      </c>
      <c r="E2140" s="99" t="s">
        <v>22</v>
      </c>
      <c r="F2140" s="99">
        <v>3</v>
      </c>
      <c r="G2140" s="146"/>
      <c r="H2140" s="146"/>
      <c r="I2140" s="147"/>
      <c r="J2140" s="147"/>
      <c r="K2140" s="63"/>
      <c r="L2140" s="63"/>
      <c r="M2140" s="63"/>
      <c r="N2140" s="63"/>
      <c r="O2140" s="63"/>
      <c r="P2140" s="63"/>
      <c r="Q2140" s="63"/>
      <c r="R2140" s="63"/>
      <c r="S2140" s="63"/>
      <c r="T2140" s="63"/>
      <c r="U2140" s="63"/>
      <c r="V2140" s="63"/>
      <c r="W2140" s="63"/>
      <c r="X2140" s="63"/>
      <c r="Y2140" s="63"/>
      <c r="Z2140" s="63"/>
      <c r="AA2140" s="63"/>
      <c r="AB2140" s="63"/>
      <c r="AC2140" s="63"/>
    </row>
    <row r="2141" spans="1:29" x14ac:dyDescent="0.25">
      <c r="A2141" s="108">
        <v>46064</v>
      </c>
      <c r="B2141" s="109">
        <v>46</v>
      </c>
      <c r="C2141" s="49" t="s">
        <v>19</v>
      </c>
      <c r="D2141" s="110" t="str">
        <f>IF(ISBLANK($B2141),"",IFERROR(VLOOKUP($B2141,ESTOQUE!$B$2:$D$97168,3,FALSE),"Produto não cadastrado"))</f>
        <v>CALÇA CINZA OP. C/ FAIXA REFLETIVA TAM: G</v>
      </c>
      <c r="E2141" s="99" t="s">
        <v>22</v>
      </c>
      <c r="F2141" s="99">
        <v>1</v>
      </c>
      <c r="G2141" s="146"/>
      <c r="H2141" s="146"/>
      <c r="I2141" s="147"/>
      <c r="J2141" s="147"/>
      <c r="K2141" s="63"/>
      <c r="L2141" s="63"/>
      <c r="M2141" s="63"/>
      <c r="N2141" s="63"/>
      <c r="O2141" s="63"/>
      <c r="P2141" s="63"/>
      <c r="Q2141" s="63"/>
      <c r="R2141" s="63"/>
      <c r="S2141" s="63"/>
      <c r="T2141" s="63"/>
      <c r="U2141" s="63"/>
      <c r="V2141" s="63"/>
      <c r="W2141" s="63"/>
      <c r="X2141" s="63"/>
      <c r="Y2141" s="63"/>
      <c r="Z2141" s="63"/>
      <c r="AA2141" s="63"/>
      <c r="AB2141" s="63"/>
      <c r="AC2141" s="63"/>
    </row>
    <row r="2142" spans="1:29" x14ac:dyDescent="0.25">
      <c r="A2142" s="108">
        <v>46064</v>
      </c>
      <c r="B2142" s="109">
        <v>47</v>
      </c>
      <c r="C2142" s="49" t="s">
        <v>19</v>
      </c>
      <c r="D2142" s="110" t="str">
        <f>IF(ISBLANK($B2142),"",IFERROR(VLOOKUP($B2142,ESTOQUE!$B$2:$D$97168,3,FALSE),"Produto não cadastrado"))</f>
        <v>CALÇA CINZA OP. C/ FAIXA REFLETIVA TAM: GG</v>
      </c>
      <c r="E2142" s="99" t="s">
        <v>22</v>
      </c>
      <c r="F2142" s="99">
        <v>1</v>
      </c>
      <c r="G2142" s="146"/>
      <c r="H2142" s="146"/>
      <c r="I2142" s="147"/>
      <c r="J2142" s="147"/>
      <c r="K2142" s="63"/>
      <c r="L2142" s="63"/>
      <c r="M2142" s="63"/>
      <c r="N2142" s="63"/>
      <c r="O2142" s="63"/>
      <c r="P2142" s="63"/>
      <c r="Q2142" s="63"/>
      <c r="R2142" s="63"/>
      <c r="S2142" s="63"/>
      <c r="T2142" s="63"/>
      <c r="U2142" s="63"/>
      <c r="V2142" s="63"/>
      <c r="W2142" s="63"/>
      <c r="X2142" s="63"/>
      <c r="Y2142" s="63"/>
      <c r="Z2142" s="63"/>
      <c r="AA2142" s="63"/>
      <c r="AB2142" s="63"/>
      <c r="AC2142" s="63"/>
    </row>
    <row r="2143" spans="1:29" x14ac:dyDescent="0.25">
      <c r="A2143" s="108">
        <v>46064</v>
      </c>
      <c r="B2143" s="109">
        <v>48</v>
      </c>
      <c r="C2143" s="49" t="s">
        <v>19</v>
      </c>
      <c r="D2143" s="110" t="str">
        <f>IF(ISBLANK($B2143),"",IFERROR(VLOOKUP($B2143,ESTOQUE!$B$2:$D$97168,3,FALSE),"Produto não cadastrado"))</f>
        <v>CALÇA CINZA OP. C/ FAIXA REFLETIVA TAM: M</v>
      </c>
      <c r="E2143" s="99" t="s">
        <v>22</v>
      </c>
      <c r="F2143" s="99">
        <v>10</v>
      </c>
      <c r="G2143" s="146"/>
      <c r="H2143" s="146"/>
      <c r="I2143" s="147"/>
      <c r="J2143" s="147"/>
      <c r="K2143" s="63"/>
      <c r="L2143" s="63"/>
      <c r="M2143" s="63"/>
      <c r="N2143" s="63"/>
      <c r="O2143" s="63"/>
      <c r="P2143" s="63"/>
      <c r="Q2143" s="63"/>
      <c r="R2143" s="63"/>
      <c r="S2143" s="63"/>
      <c r="T2143" s="63"/>
      <c r="U2143" s="63"/>
      <c r="V2143" s="63"/>
      <c r="W2143" s="63"/>
      <c r="X2143" s="63"/>
      <c r="Y2143" s="63"/>
      <c r="Z2143" s="63"/>
      <c r="AA2143" s="63"/>
      <c r="AB2143" s="63"/>
      <c r="AC2143" s="63"/>
    </row>
    <row r="2144" spans="1:29" x14ac:dyDescent="0.25">
      <c r="A2144" s="108">
        <v>46064</v>
      </c>
      <c r="B2144" s="109">
        <v>49</v>
      </c>
      <c r="C2144" s="49" t="s">
        <v>19</v>
      </c>
      <c r="D2144" s="110" t="str">
        <f>IF(ISBLANK($B2144),"",IFERROR(VLOOKUP($B2144,ESTOQUE!$B$2:$D$97168,3,FALSE),"Produto não cadastrado"))</f>
        <v>CALÇA CINZA OP. C/ FAIXA REFLETIVA TAM: P</v>
      </c>
      <c r="E2144" s="99" t="s">
        <v>22</v>
      </c>
      <c r="F2144" s="99">
        <v>2</v>
      </c>
      <c r="G2144" s="146"/>
      <c r="H2144" s="146"/>
      <c r="I2144" s="147"/>
      <c r="J2144" s="147"/>
      <c r="K2144" s="63"/>
      <c r="L2144" s="63"/>
      <c r="M2144" s="63"/>
      <c r="N2144" s="63"/>
      <c r="O2144" s="63"/>
      <c r="P2144" s="63"/>
      <c r="Q2144" s="63"/>
      <c r="R2144" s="63"/>
      <c r="S2144" s="63"/>
      <c r="T2144" s="63"/>
      <c r="U2144" s="63"/>
      <c r="V2144" s="63"/>
      <c r="W2144" s="63"/>
      <c r="X2144" s="63"/>
      <c r="Y2144" s="63"/>
      <c r="Z2144" s="63"/>
      <c r="AA2144" s="63"/>
      <c r="AB2144" s="63"/>
      <c r="AC2144" s="63"/>
    </row>
    <row r="2145" spans="1:29" x14ac:dyDescent="0.25">
      <c r="A2145" s="108">
        <v>46064</v>
      </c>
      <c r="B2145" s="109">
        <v>67</v>
      </c>
      <c r="C2145" s="49" t="s">
        <v>19</v>
      </c>
      <c r="D2145" s="110" t="str">
        <f>IF(ISBLANK($B2145),"",IFERROR(VLOOKUP($B2145,ESTOQUE!$B$2:$D$97168,3,FALSE),"Produto não cadastrado"))</f>
        <v>CAMISA LARANJA OP. C/ FAIXA REFLETIVA TAM: G</v>
      </c>
      <c r="E2145" s="99" t="s">
        <v>22</v>
      </c>
      <c r="F2145" s="99">
        <v>1</v>
      </c>
      <c r="G2145" s="146"/>
      <c r="H2145" s="146"/>
      <c r="I2145" s="147"/>
      <c r="J2145" s="147"/>
      <c r="K2145" s="63"/>
      <c r="L2145" s="63"/>
      <c r="M2145" s="63"/>
      <c r="N2145" s="63"/>
      <c r="O2145" s="63"/>
      <c r="P2145" s="63"/>
      <c r="Q2145" s="63"/>
      <c r="R2145" s="63"/>
      <c r="S2145" s="63"/>
      <c r="T2145" s="63"/>
      <c r="U2145" s="63"/>
      <c r="V2145" s="63"/>
      <c r="W2145" s="63"/>
      <c r="X2145" s="63"/>
      <c r="Y2145" s="63"/>
      <c r="Z2145" s="63"/>
      <c r="AA2145" s="63"/>
      <c r="AB2145" s="63"/>
      <c r="AC2145" s="63"/>
    </row>
    <row r="2146" spans="1:29" x14ac:dyDescent="0.25">
      <c r="A2146" s="108">
        <v>46064</v>
      </c>
      <c r="B2146" s="109">
        <v>68</v>
      </c>
      <c r="C2146" s="49" t="s">
        <v>19</v>
      </c>
      <c r="D2146" s="110" t="str">
        <f>IF(ISBLANK($B2146),"",IFERROR(VLOOKUP($B2146,ESTOQUE!$B$2:$D$97168,3,FALSE),"Produto não cadastrado"))</f>
        <v>CAMISA LARANJA OP. C/ FAIXA REFLETIVA TAM: GG</v>
      </c>
      <c r="E2146" s="99" t="s">
        <v>22</v>
      </c>
      <c r="F2146" s="99">
        <v>1</v>
      </c>
      <c r="G2146" s="146"/>
      <c r="H2146" s="146"/>
      <c r="I2146" s="147"/>
      <c r="J2146" s="147"/>
      <c r="K2146" s="63"/>
      <c r="L2146" s="63"/>
      <c r="M2146" s="63"/>
      <c r="N2146" s="63"/>
      <c r="O2146" s="63"/>
      <c r="P2146" s="63"/>
      <c r="Q2146" s="63"/>
      <c r="R2146" s="63"/>
      <c r="S2146" s="63"/>
      <c r="T2146" s="63"/>
      <c r="U2146" s="63"/>
      <c r="V2146" s="63"/>
      <c r="W2146" s="63"/>
      <c r="X2146" s="63"/>
      <c r="Y2146" s="63"/>
      <c r="Z2146" s="63"/>
      <c r="AA2146" s="63"/>
      <c r="AB2146" s="63"/>
      <c r="AC2146" s="63"/>
    </row>
    <row r="2147" spans="1:29" x14ac:dyDescent="0.25">
      <c r="A2147" s="108">
        <v>46064</v>
      </c>
      <c r="B2147" s="109">
        <v>69</v>
      </c>
      <c r="C2147" s="49" t="s">
        <v>19</v>
      </c>
      <c r="D2147" s="110" t="str">
        <f>IF(ISBLANK($B2147),"",IFERROR(VLOOKUP($B2147,ESTOQUE!$B$2:$D$97168,3,FALSE),"Produto não cadastrado"))</f>
        <v>CAMISA LARANJA OP. C/ FAIXA REFLETIVA TAM: M</v>
      </c>
      <c r="E2147" s="99" t="s">
        <v>22</v>
      </c>
      <c r="F2147" s="99">
        <v>2</v>
      </c>
      <c r="G2147" s="146"/>
      <c r="H2147" s="146"/>
      <c r="I2147" s="147"/>
      <c r="J2147" s="147"/>
      <c r="K2147" s="63"/>
      <c r="L2147" s="63"/>
      <c r="M2147" s="63"/>
      <c r="N2147" s="63"/>
      <c r="O2147" s="63"/>
      <c r="P2147" s="63"/>
      <c r="Q2147" s="63"/>
      <c r="R2147" s="63"/>
      <c r="S2147" s="63"/>
      <c r="T2147" s="63"/>
      <c r="U2147" s="63"/>
      <c r="V2147" s="63"/>
      <c r="W2147" s="63"/>
      <c r="X2147" s="63"/>
      <c r="Y2147" s="63"/>
      <c r="Z2147" s="63"/>
      <c r="AA2147" s="63"/>
      <c r="AB2147" s="63"/>
      <c r="AC2147" s="63"/>
    </row>
    <row r="2148" spans="1:29" x14ac:dyDescent="0.25">
      <c r="A2148" s="108">
        <v>46064</v>
      </c>
      <c r="B2148" s="109">
        <v>70</v>
      </c>
      <c r="C2148" s="49" t="s">
        <v>19</v>
      </c>
      <c r="D2148" s="110" t="str">
        <f>IF(ISBLANK($B2148),"",IFERROR(VLOOKUP($B2148,ESTOQUE!$B$2:$D$97168,3,FALSE),"Produto não cadastrado"))</f>
        <v>CAMISA LARANJA OP. C/ FAIXA REFLETIVA TAM: P</v>
      </c>
      <c r="E2148" s="99" t="s">
        <v>22</v>
      </c>
      <c r="F2148" s="99">
        <v>1</v>
      </c>
      <c r="G2148" s="146"/>
      <c r="H2148" s="146"/>
      <c r="I2148" s="147"/>
      <c r="J2148" s="147"/>
      <c r="K2148" s="63"/>
      <c r="L2148" s="63"/>
      <c r="M2148" s="63"/>
      <c r="N2148" s="63"/>
      <c r="O2148" s="63"/>
      <c r="P2148" s="63"/>
      <c r="Q2148" s="63"/>
      <c r="R2148" s="63"/>
      <c r="S2148" s="63"/>
      <c r="T2148" s="63"/>
      <c r="U2148" s="63"/>
      <c r="V2148" s="63"/>
      <c r="W2148" s="63"/>
      <c r="X2148" s="63"/>
      <c r="Y2148" s="63"/>
      <c r="Z2148" s="63"/>
      <c r="AA2148" s="63"/>
      <c r="AB2148" s="63"/>
      <c r="AC2148" s="63"/>
    </row>
    <row r="2149" spans="1:29" x14ac:dyDescent="0.25">
      <c r="A2149" s="108">
        <v>46064</v>
      </c>
      <c r="B2149" s="109">
        <v>73</v>
      </c>
      <c r="C2149" s="49" t="s">
        <v>19</v>
      </c>
      <c r="D2149" s="110" t="str">
        <f>IF(ISBLANK($B2149),"",IFERROR(VLOOKUP($B2149,ESTOQUE!$B$2:$D$97168,3,FALSE),"Produto não cadastrado"))</f>
        <v>CAPA DE CHUVA GG</v>
      </c>
      <c r="E2149" s="99" t="s">
        <v>22</v>
      </c>
      <c r="F2149" s="99">
        <v>1</v>
      </c>
      <c r="G2149" s="146"/>
      <c r="H2149" s="146"/>
      <c r="I2149" s="147"/>
      <c r="J2149" s="147"/>
      <c r="K2149" s="63"/>
      <c r="L2149" s="63"/>
      <c r="M2149" s="63"/>
      <c r="N2149" s="63"/>
      <c r="O2149" s="63"/>
      <c r="P2149" s="63"/>
      <c r="Q2149" s="63"/>
      <c r="R2149" s="63"/>
      <c r="S2149" s="63"/>
      <c r="T2149" s="63"/>
      <c r="U2149" s="63"/>
      <c r="V2149" s="63"/>
      <c r="W2149" s="63"/>
      <c r="X2149" s="63"/>
      <c r="Y2149" s="63"/>
      <c r="Z2149" s="63"/>
      <c r="AA2149" s="63"/>
      <c r="AB2149" s="63"/>
      <c r="AC2149" s="63"/>
    </row>
    <row r="2150" spans="1:29" x14ac:dyDescent="0.25">
      <c r="A2150" s="108">
        <v>46064</v>
      </c>
      <c r="B2150" s="109">
        <v>96</v>
      </c>
      <c r="C2150" s="49" t="s">
        <v>19</v>
      </c>
      <c r="D2150" s="110" t="str">
        <f>IF(ISBLANK($B2150),"",IFERROR(VLOOKUP($B2150,ESTOQUE!$B$2:$D$97168,3,FALSE),"Produto não cadastrado"))</f>
        <v xml:space="preserve">CINTO DE SEGURANÇA MODELO:C70 </v>
      </c>
      <c r="E2150" s="99" t="s">
        <v>22</v>
      </c>
      <c r="F2150" s="99">
        <v>1</v>
      </c>
      <c r="G2150" s="146"/>
      <c r="H2150" s="146"/>
      <c r="I2150" s="147"/>
      <c r="J2150" s="147"/>
      <c r="K2150" s="63"/>
      <c r="L2150" s="63"/>
      <c r="M2150" s="63"/>
      <c r="N2150" s="63"/>
      <c r="O2150" s="63"/>
      <c r="P2150" s="63"/>
      <c r="Q2150" s="63"/>
      <c r="R2150" s="63"/>
      <c r="S2150" s="63"/>
      <c r="T2150" s="63"/>
      <c r="U2150" s="63"/>
      <c r="V2150" s="63"/>
      <c r="W2150" s="63"/>
      <c r="X2150" s="63"/>
      <c r="Y2150" s="63"/>
      <c r="Z2150" s="63"/>
      <c r="AA2150" s="63"/>
      <c r="AB2150" s="63"/>
      <c r="AC2150" s="63"/>
    </row>
    <row r="2151" spans="1:29" x14ac:dyDescent="0.25">
      <c r="A2151" s="108">
        <v>46064</v>
      </c>
      <c r="B2151" s="109">
        <v>210</v>
      </c>
      <c r="C2151" s="49" t="s">
        <v>19</v>
      </c>
      <c r="D2151" s="110" t="str">
        <f>IF(ISBLANK($B2151),"",IFERROR(VLOOKUP($B2151,ESTOQUE!$B$2:$D$97168,3,FALSE),"Produto não cadastrado"))</f>
        <v>COLETE REFLETIVO LARANJA G</v>
      </c>
      <c r="E2151" s="99" t="s">
        <v>22</v>
      </c>
      <c r="F2151" s="99">
        <v>1</v>
      </c>
      <c r="G2151" s="146"/>
      <c r="H2151" s="146"/>
      <c r="I2151" s="147"/>
      <c r="J2151" s="147"/>
      <c r="K2151" s="63"/>
      <c r="L2151" s="63"/>
      <c r="M2151" s="63"/>
      <c r="N2151" s="63"/>
      <c r="O2151" s="63"/>
      <c r="P2151" s="63"/>
      <c r="Q2151" s="63"/>
      <c r="R2151" s="63"/>
      <c r="S2151" s="63"/>
      <c r="T2151" s="63"/>
      <c r="U2151" s="63"/>
      <c r="V2151" s="63"/>
      <c r="W2151" s="63"/>
      <c r="X2151" s="63"/>
      <c r="Y2151" s="63"/>
      <c r="Z2151" s="63"/>
      <c r="AA2151" s="63"/>
      <c r="AB2151" s="63"/>
      <c r="AC2151" s="63"/>
    </row>
    <row r="2152" spans="1:29" x14ac:dyDescent="0.25">
      <c r="A2152" s="108">
        <v>46064</v>
      </c>
      <c r="B2152" s="109">
        <v>97</v>
      </c>
      <c r="C2152" s="49" t="s">
        <v>19</v>
      </c>
      <c r="D2152" s="110" t="str">
        <f>IF(ISBLANK($B2152),"",IFERROR(VLOOKUP($B2152,ESTOQUE!$B$2:$D$97168,3,FALSE),"Produto não cadastrado"))</f>
        <v>COLETE REFLETIVO LARANJA M</v>
      </c>
      <c r="E2152" s="99" t="s">
        <v>22</v>
      </c>
      <c r="F2152" s="99">
        <v>2</v>
      </c>
      <c r="G2152" s="146"/>
      <c r="H2152" s="146"/>
      <c r="I2152" s="147"/>
      <c r="J2152" s="147"/>
      <c r="K2152" s="63"/>
      <c r="L2152" s="63"/>
      <c r="M2152" s="63"/>
      <c r="N2152" s="63"/>
      <c r="O2152" s="63"/>
      <c r="P2152" s="63"/>
      <c r="Q2152" s="63"/>
      <c r="R2152" s="63"/>
      <c r="S2152" s="63"/>
      <c r="T2152" s="63"/>
      <c r="U2152" s="63"/>
      <c r="V2152" s="63"/>
      <c r="W2152" s="63"/>
      <c r="X2152" s="63"/>
      <c r="Y2152" s="63"/>
      <c r="Z2152" s="63"/>
      <c r="AA2152" s="63"/>
      <c r="AB2152" s="63"/>
      <c r="AC2152" s="63"/>
    </row>
    <row r="2153" spans="1:29" x14ac:dyDescent="0.25">
      <c r="A2153" s="108">
        <v>46064</v>
      </c>
      <c r="B2153" s="109">
        <v>110</v>
      </c>
      <c r="C2153" s="49" t="s">
        <v>19</v>
      </c>
      <c r="D2153" s="110" t="str">
        <f>IF(ISBLANK($B2153),"",IFERROR(VLOOKUP($B2153,ESTOQUE!$B$2:$D$97168,3,FALSE),"Produto não cadastrado"))</f>
        <v>LUVA DE RASPA CANO LONGO</v>
      </c>
      <c r="E2153" s="99" t="s">
        <v>22</v>
      </c>
      <c r="F2153" s="99">
        <v>10</v>
      </c>
      <c r="G2153" s="146"/>
      <c r="H2153" s="146"/>
      <c r="I2153" s="147"/>
      <c r="J2153" s="147"/>
      <c r="K2153" s="63"/>
      <c r="L2153" s="63"/>
      <c r="M2153" s="63"/>
      <c r="N2153" s="63"/>
      <c r="O2153" s="63"/>
      <c r="P2153" s="63"/>
      <c r="Q2153" s="63"/>
      <c r="R2153" s="63"/>
      <c r="S2153" s="63"/>
      <c r="T2153" s="63"/>
      <c r="U2153" s="63"/>
      <c r="V2153" s="63"/>
      <c r="W2153" s="63"/>
      <c r="X2153" s="63"/>
      <c r="Y2153" s="63"/>
      <c r="Z2153" s="63"/>
      <c r="AA2153" s="63"/>
      <c r="AB2153" s="63"/>
      <c r="AC2153" s="63"/>
    </row>
    <row r="2154" spans="1:29" x14ac:dyDescent="0.25">
      <c r="A2154" s="108">
        <v>46064</v>
      </c>
      <c r="B2154" s="109">
        <v>141</v>
      </c>
      <c r="C2154" s="49" t="s">
        <v>19</v>
      </c>
      <c r="D2154" s="110" t="str">
        <f>IF(ISBLANK($B2154),"",IFERROR(VLOOKUP($B2154,ESTOQUE!$B$2:$D$97168,3,FALSE),"Produto não cadastrado"))</f>
        <v xml:space="preserve">LUVA DE VAQUETA </v>
      </c>
      <c r="E2154" s="99" t="s">
        <v>22</v>
      </c>
      <c r="F2154" s="99">
        <v>1</v>
      </c>
      <c r="G2154" s="146"/>
      <c r="H2154" s="146"/>
      <c r="I2154" s="147"/>
      <c r="J2154" s="147"/>
      <c r="K2154" s="63"/>
      <c r="L2154" s="63"/>
      <c r="M2154" s="63"/>
      <c r="N2154" s="63"/>
      <c r="O2154" s="63"/>
      <c r="P2154" s="63"/>
      <c r="Q2154" s="63"/>
      <c r="R2154" s="63"/>
      <c r="S2154" s="63"/>
      <c r="T2154" s="63"/>
      <c r="U2154" s="63"/>
      <c r="V2154" s="63"/>
      <c r="W2154" s="63"/>
      <c r="X2154" s="63"/>
      <c r="Y2154" s="63"/>
      <c r="Z2154" s="63"/>
      <c r="AA2154" s="63"/>
      <c r="AB2154" s="63"/>
      <c r="AC2154" s="63"/>
    </row>
    <row r="2155" spans="1:29" x14ac:dyDescent="0.25">
      <c r="A2155" s="108">
        <v>46064</v>
      </c>
      <c r="B2155" s="109">
        <v>111</v>
      </c>
      <c r="C2155" s="49" t="s">
        <v>19</v>
      </c>
      <c r="D2155" s="110" t="str">
        <f>IF(ISBLANK($B2155),"",IFERROR(VLOOKUP($B2155,ESTOQUE!$B$2:$D$97168,3,FALSE),"Produto não cadastrado"))</f>
        <v>LUVA DE VAQUETA MARROM</v>
      </c>
      <c r="E2155" s="99" t="s">
        <v>22</v>
      </c>
      <c r="F2155" s="99">
        <v>50</v>
      </c>
      <c r="G2155" s="146"/>
      <c r="H2155" s="146"/>
      <c r="I2155" s="147"/>
      <c r="J2155" s="147"/>
      <c r="K2155" s="63"/>
      <c r="L2155" s="63"/>
      <c r="M2155" s="63"/>
      <c r="N2155" s="63"/>
      <c r="O2155" s="63"/>
      <c r="P2155" s="63"/>
      <c r="Q2155" s="63"/>
      <c r="R2155" s="63"/>
      <c r="S2155" s="63"/>
      <c r="T2155" s="63"/>
      <c r="U2155" s="63"/>
      <c r="V2155" s="63"/>
      <c r="W2155" s="63"/>
      <c r="X2155" s="63"/>
      <c r="Y2155" s="63"/>
      <c r="Z2155" s="63"/>
      <c r="AA2155" s="63"/>
      <c r="AB2155" s="63"/>
      <c r="AC2155" s="63"/>
    </row>
    <row r="2156" spans="1:29" x14ac:dyDescent="0.25">
      <c r="A2156" s="108">
        <v>46064</v>
      </c>
      <c r="B2156" s="109">
        <v>114</v>
      </c>
      <c r="C2156" s="49" t="s">
        <v>19</v>
      </c>
      <c r="D2156" s="110" t="str">
        <f>IF(ISBLANK($B2156),"",IFERROR(VLOOKUP($B2156,ESTOQUE!$B$2:$D$97168,3,FALSE),"Produto não cadastrado"))</f>
        <v xml:space="preserve">LUVA LATEX NITRILICA </v>
      </c>
      <c r="E2156" s="99" t="s">
        <v>22</v>
      </c>
      <c r="F2156" s="99">
        <v>28</v>
      </c>
      <c r="G2156" s="146"/>
      <c r="H2156" s="146"/>
      <c r="I2156" s="147"/>
      <c r="J2156" s="147"/>
      <c r="K2156" s="63"/>
      <c r="L2156" s="63"/>
      <c r="M2156" s="63"/>
      <c r="N2156" s="63"/>
      <c r="O2156" s="63"/>
      <c r="P2156" s="63"/>
      <c r="Q2156" s="63"/>
      <c r="R2156" s="63"/>
      <c r="S2156" s="63"/>
      <c r="T2156" s="63"/>
      <c r="U2156" s="63"/>
      <c r="V2156" s="63"/>
      <c r="W2156" s="63"/>
      <c r="X2156" s="63"/>
      <c r="Y2156" s="63"/>
      <c r="Z2156" s="63"/>
      <c r="AA2156" s="63"/>
      <c r="AB2156" s="63"/>
      <c r="AC2156" s="63"/>
    </row>
    <row r="2157" spans="1:29" x14ac:dyDescent="0.25">
      <c r="A2157" s="108">
        <v>46064</v>
      </c>
      <c r="B2157" s="109">
        <v>257</v>
      </c>
      <c r="C2157" s="49" t="s">
        <v>19</v>
      </c>
      <c r="D2157" s="110" t="str">
        <f>IF(ISBLANK($B2157),"",IFERROR(VLOOKUP($B2157,ESTOQUE!$B$2:$D$97168,3,FALSE),"Produto não cadastrado"))</f>
        <v xml:space="preserve">LUVA MULTITATO </v>
      </c>
      <c r="E2157" s="99" t="s">
        <v>22</v>
      </c>
      <c r="F2157" s="99">
        <v>30</v>
      </c>
      <c r="G2157" s="146"/>
      <c r="H2157" s="146"/>
      <c r="I2157" s="147"/>
      <c r="J2157" s="147"/>
      <c r="K2157" s="63"/>
      <c r="L2157" s="63"/>
      <c r="M2157" s="63"/>
      <c r="N2157" s="63"/>
      <c r="O2157" s="63"/>
      <c r="P2157" s="63"/>
      <c r="Q2157" s="63"/>
      <c r="R2157" s="63"/>
      <c r="S2157" s="63"/>
      <c r="T2157" s="63"/>
      <c r="U2157" s="63"/>
      <c r="V2157" s="63"/>
      <c r="W2157" s="63"/>
      <c r="X2157" s="63"/>
      <c r="Y2157" s="63"/>
      <c r="Z2157" s="63"/>
      <c r="AA2157" s="63"/>
      <c r="AB2157" s="63"/>
      <c r="AC2157" s="63"/>
    </row>
    <row r="2158" spans="1:29" x14ac:dyDescent="0.25">
      <c r="A2158" s="108">
        <v>46064</v>
      </c>
      <c r="B2158" s="109">
        <v>117</v>
      </c>
      <c r="C2158" s="49" t="s">
        <v>19</v>
      </c>
      <c r="D2158" s="110" t="str">
        <f>IF(ISBLANK($B2158),"",IFERROR(VLOOKUP($B2158,ESTOQUE!$B$2:$D$97168,3,FALSE),"Produto não cadastrado"))</f>
        <v>LUVA PIGMENTADA</v>
      </c>
      <c r="E2158" s="99" t="s">
        <v>22</v>
      </c>
      <c r="F2158" s="99">
        <v>1</v>
      </c>
      <c r="G2158" s="146"/>
      <c r="H2158" s="146"/>
      <c r="I2158" s="147"/>
      <c r="J2158" s="147"/>
      <c r="K2158" s="63"/>
      <c r="L2158" s="63"/>
      <c r="M2158" s="63"/>
      <c r="N2158" s="63"/>
      <c r="O2158" s="63"/>
      <c r="P2158" s="63"/>
      <c r="Q2158" s="63"/>
      <c r="R2158" s="63"/>
      <c r="S2158" s="63"/>
      <c r="T2158" s="63"/>
      <c r="U2158" s="63"/>
      <c r="V2158" s="63"/>
      <c r="W2158" s="63"/>
      <c r="X2158" s="63"/>
      <c r="Y2158" s="63"/>
      <c r="Z2158" s="63"/>
      <c r="AA2158" s="63"/>
      <c r="AB2158" s="63"/>
      <c r="AC2158" s="63"/>
    </row>
    <row r="2159" spans="1:29" x14ac:dyDescent="0.25">
      <c r="A2159" s="108">
        <v>46064</v>
      </c>
      <c r="B2159" s="109">
        <v>207</v>
      </c>
      <c r="C2159" s="49" t="s">
        <v>19</v>
      </c>
      <c r="D2159" s="110" t="str">
        <f>IF(ISBLANK($B2159),"",IFERROR(VLOOKUP($B2159,ESTOQUE!$B$2:$D$97168,3,FALSE),"Produto não cadastrado"))</f>
        <v>LUVA POLIESTER ANTICORTE BANHADA PU TAM 9</v>
      </c>
      <c r="E2159" s="99" t="str">
        <f>_xlfn.XLOOKUP(B2159,ESTOQUE!B:B,ESTOQUE!G:G,"",0)</f>
        <v>PAR</v>
      </c>
      <c r="F2159" s="99">
        <v>29</v>
      </c>
      <c r="G2159" s="146"/>
      <c r="H2159" s="146"/>
      <c r="I2159" s="147"/>
      <c r="J2159" s="147"/>
      <c r="K2159" s="63"/>
      <c r="L2159" s="63"/>
      <c r="M2159" s="63"/>
      <c r="N2159" s="63"/>
      <c r="O2159" s="63"/>
      <c r="P2159" s="63"/>
      <c r="Q2159" s="63"/>
      <c r="R2159" s="63"/>
      <c r="S2159" s="63"/>
      <c r="T2159" s="63"/>
      <c r="U2159" s="63"/>
      <c r="V2159" s="63"/>
      <c r="W2159" s="63"/>
      <c r="X2159" s="63"/>
      <c r="Y2159" s="63"/>
      <c r="Z2159" s="63"/>
      <c r="AA2159" s="63"/>
      <c r="AB2159" s="63"/>
      <c r="AC2159" s="63"/>
    </row>
    <row r="2160" spans="1:29" x14ac:dyDescent="0.25">
      <c r="A2160" s="108">
        <v>46064</v>
      </c>
      <c r="B2160" s="109">
        <v>118</v>
      </c>
      <c r="C2160" s="49" t="s">
        <v>19</v>
      </c>
      <c r="D2160" s="110" t="str">
        <f>IF(ISBLANK($B2160),"",IFERROR(VLOOKUP($B2160,ESTOQUE!$B$2:$D$97168,3,FALSE),"Produto não cadastrado"))</f>
        <v>MACACÃO DE PROTEÇÃO TYVEK</v>
      </c>
      <c r="E2160" s="99" t="str">
        <f>_xlfn.XLOOKUP(B2160,ESTOQUE!B:B,ESTOQUE!G:G,"",0)</f>
        <v>UND</v>
      </c>
      <c r="F2160" s="99">
        <v>31</v>
      </c>
      <c r="G2160" s="146"/>
      <c r="H2160" s="146"/>
      <c r="I2160" s="147"/>
      <c r="J2160" s="147"/>
      <c r="K2160" s="63"/>
      <c r="L2160" s="63"/>
      <c r="M2160" s="63"/>
      <c r="N2160" s="63"/>
      <c r="O2160" s="63"/>
      <c r="P2160" s="63"/>
      <c r="Q2160" s="63"/>
      <c r="R2160" s="63"/>
      <c r="S2160" s="63"/>
      <c r="T2160" s="63"/>
      <c r="U2160" s="63"/>
      <c r="V2160" s="63"/>
      <c r="W2160" s="63"/>
      <c r="X2160" s="63"/>
      <c r="Y2160" s="63"/>
      <c r="Z2160" s="63"/>
      <c r="AA2160" s="63"/>
      <c r="AB2160" s="63"/>
      <c r="AC2160" s="63"/>
    </row>
    <row r="2161" spans="1:29" x14ac:dyDescent="0.25">
      <c r="A2161" s="108">
        <v>46064</v>
      </c>
      <c r="B2161" s="109">
        <v>144</v>
      </c>
      <c r="C2161" s="49" t="s">
        <v>19</v>
      </c>
      <c r="D2161" s="110" t="str">
        <f>IF(ISBLANK($B2161),"",IFERROR(VLOOKUP($B2161,ESTOQUE!$B$2:$D$97168,3,FALSE),"Produto não cadastrado"))</f>
        <v>MASCARA PFF2-S C/ FILTRO</v>
      </c>
      <c r="E2161" s="99" t="s">
        <v>22</v>
      </c>
      <c r="F2161" s="99">
        <v>50</v>
      </c>
      <c r="G2161" s="146"/>
      <c r="H2161" s="146"/>
      <c r="I2161" s="147"/>
      <c r="J2161" s="147"/>
      <c r="K2161" s="63"/>
      <c r="L2161" s="63"/>
      <c r="M2161" s="63"/>
      <c r="N2161" s="63"/>
      <c r="O2161" s="63"/>
      <c r="P2161" s="63"/>
      <c r="Q2161" s="63"/>
      <c r="R2161" s="63"/>
      <c r="S2161" s="63"/>
      <c r="T2161" s="63"/>
      <c r="U2161" s="63"/>
      <c r="V2161" s="63"/>
      <c r="W2161" s="63"/>
      <c r="X2161" s="63"/>
      <c r="Y2161" s="63"/>
      <c r="Z2161" s="63"/>
      <c r="AA2161" s="63"/>
      <c r="AB2161" s="63"/>
      <c r="AC2161" s="63"/>
    </row>
    <row r="2162" spans="1:29" x14ac:dyDescent="0.25">
      <c r="A2162" s="108">
        <v>46064</v>
      </c>
      <c r="B2162" s="109">
        <v>126</v>
      </c>
      <c r="C2162" s="49" t="s">
        <v>19</v>
      </c>
      <c r="D2162" s="110" t="str">
        <f>IF(ISBLANK($B2162),"",IFERROR(VLOOKUP($B2162,ESTOQUE!$B$2:$D$97168,3,FALSE),"Produto não cadastrado"))</f>
        <v>OCULOS DE PROTEÇÃO ESCURO</v>
      </c>
      <c r="E2162" s="99" t="str">
        <f>_xlfn.XLOOKUP(B2162,ESTOQUE!B:B,ESTOQUE!G:G,"",0)</f>
        <v>UND</v>
      </c>
      <c r="F2162" s="99">
        <v>1</v>
      </c>
      <c r="G2162" s="146"/>
      <c r="H2162" s="146"/>
      <c r="I2162" s="147"/>
      <c r="J2162" s="147"/>
      <c r="K2162" s="63"/>
      <c r="L2162" s="63"/>
      <c r="M2162" s="63"/>
      <c r="N2162" s="63"/>
      <c r="O2162" s="63"/>
      <c r="P2162" s="63"/>
      <c r="Q2162" s="63"/>
      <c r="R2162" s="63"/>
      <c r="S2162" s="63"/>
      <c r="T2162" s="63"/>
      <c r="U2162" s="63"/>
      <c r="V2162" s="63"/>
      <c r="W2162" s="63"/>
      <c r="X2162" s="63"/>
      <c r="Y2162" s="63"/>
      <c r="Z2162" s="63"/>
      <c r="AA2162" s="63"/>
      <c r="AB2162" s="63"/>
      <c r="AC2162" s="63"/>
    </row>
    <row r="2163" spans="1:29" x14ac:dyDescent="0.25">
      <c r="A2163" s="108">
        <v>46064</v>
      </c>
      <c r="B2163" s="109">
        <v>139</v>
      </c>
      <c r="C2163" s="49" t="s">
        <v>19</v>
      </c>
      <c r="D2163" s="110" t="str">
        <f>IF(ISBLANK($B2163),"",IFERROR(VLOOKUP($B2163,ESTOQUE!$B$2:$D$97168,3,FALSE),"Produto não cadastrado"))</f>
        <v>PROTETOR AURICULAR TIPO PLUG</v>
      </c>
      <c r="E2163" s="99" t="str">
        <f>_xlfn.XLOOKUP(B2163,ESTOQUE!B:B,ESTOQUE!G:G,"",0)</f>
        <v>UND</v>
      </c>
      <c r="F2163" s="99">
        <v>22</v>
      </c>
      <c r="G2163" s="146"/>
      <c r="H2163" s="146"/>
      <c r="I2163" s="147"/>
      <c r="J2163" s="147"/>
      <c r="K2163" s="63"/>
      <c r="L2163" s="63"/>
      <c r="M2163" s="63"/>
      <c r="N2163" s="63"/>
      <c r="O2163" s="63"/>
      <c r="P2163" s="63"/>
      <c r="Q2163" s="63"/>
      <c r="R2163" s="63"/>
      <c r="S2163" s="63"/>
      <c r="T2163" s="63"/>
      <c r="U2163" s="63"/>
      <c r="V2163" s="63"/>
      <c r="W2163" s="63"/>
      <c r="X2163" s="63"/>
      <c r="Y2163" s="63"/>
      <c r="Z2163" s="63"/>
      <c r="AA2163" s="63"/>
      <c r="AB2163" s="63"/>
      <c r="AC2163" s="63"/>
    </row>
    <row r="2164" spans="1:29" x14ac:dyDescent="0.25">
      <c r="A2164" s="108">
        <v>46064</v>
      </c>
      <c r="B2164" s="109">
        <v>135</v>
      </c>
      <c r="C2164" s="49" t="s">
        <v>19</v>
      </c>
      <c r="D2164" s="110" t="str">
        <f>IF(ISBLANK($B2164),"",IFERROR(VLOOKUP($B2164,ESTOQUE!$B$2:$D$97168,3,FALSE),"Produto não cadastrado"))</f>
        <v>TALABARTE DUPLO TIPO Y</v>
      </c>
      <c r="E2164" s="99" t="str">
        <f>_xlfn.XLOOKUP(B2164,ESTOQUE!B:B,ESTOQUE!G:G,"",0)</f>
        <v>UND</v>
      </c>
      <c r="F2164" s="99">
        <v>1</v>
      </c>
      <c r="G2164" s="146"/>
      <c r="H2164" s="146"/>
      <c r="I2164" s="147"/>
      <c r="J2164" s="147"/>
      <c r="K2164" s="63"/>
      <c r="L2164" s="63"/>
      <c r="M2164" s="63"/>
      <c r="N2164" s="63"/>
      <c r="O2164" s="63"/>
      <c r="P2164" s="63"/>
      <c r="Q2164" s="63"/>
      <c r="R2164" s="63"/>
      <c r="S2164" s="63"/>
      <c r="T2164" s="63"/>
      <c r="U2164" s="63"/>
      <c r="V2164" s="63"/>
      <c r="W2164" s="63"/>
      <c r="X2164" s="63"/>
      <c r="Y2164" s="63"/>
      <c r="Z2164" s="63"/>
      <c r="AA2164" s="63"/>
      <c r="AB2164" s="63"/>
      <c r="AC2164" s="63"/>
    </row>
    <row r="2165" spans="1:29" x14ac:dyDescent="0.25">
      <c r="A2165" s="108">
        <v>46064</v>
      </c>
      <c r="B2165" s="109">
        <v>137</v>
      </c>
      <c r="C2165" s="49" t="s">
        <v>19</v>
      </c>
      <c r="D2165" s="110" t="str">
        <f>IF(ISBLANK($B2165),"",IFERROR(VLOOKUP($B2165,ESTOQUE!$B$2:$D$97168,3,FALSE),"Produto não cadastrado"))</f>
        <v xml:space="preserve">TOUCA ARABE </v>
      </c>
      <c r="E2165" s="99" t="str">
        <f>_xlfn.XLOOKUP(B2165,ESTOQUE!B:B,ESTOQUE!G:G,"",0)</f>
        <v>UND</v>
      </c>
      <c r="F2165" s="99">
        <v>1</v>
      </c>
      <c r="G2165" s="146"/>
      <c r="H2165" s="146"/>
      <c r="I2165" s="147"/>
      <c r="J2165" s="147"/>
      <c r="K2165" s="63"/>
      <c r="L2165" s="63"/>
      <c r="M2165" s="63"/>
      <c r="N2165" s="63"/>
      <c r="O2165" s="63"/>
      <c r="P2165" s="63"/>
      <c r="Q2165" s="63"/>
      <c r="R2165" s="63"/>
      <c r="S2165" s="63"/>
      <c r="T2165" s="63"/>
      <c r="U2165" s="63"/>
      <c r="V2165" s="63"/>
      <c r="W2165" s="63"/>
      <c r="X2165" s="63"/>
      <c r="Y2165" s="63"/>
      <c r="Z2165" s="63"/>
      <c r="AA2165" s="63"/>
      <c r="AB2165" s="63"/>
      <c r="AC2165" s="63"/>
    </row>
    <row r="2166" spans="1:29" x14ac:dyDescent="0.25">
      <c r="A2166" s="108">
        <v>46065</v>
      </c>
      <c r="B2166" s="109">
        <v>174</v>
      </c>
      <c r="C2166" s="49" t="s">
        <v>19</v>
      </c>
      <c r="D2166" s="110" t="str">
        <f>IF(ISBLANK($B2166),"",IFERROR(VLOOKUP($B2166,ESTOQUE!$B$2:$D$97168,3,FALSE),"Produto não cadastrado"))</f>
        <v>BOTA PVC CANO CURTO Nº 43</v>
      </c>
      <c r="E2166" s="99" t="str">
        <f>_xlfn.XLOOKUP(B2166,ESTOQUE!B:B,ESTOQUE!G:G,"",0)</f>
        <v>PAR</v>
      </c>
      <c r="F2166" s="99">
        <v>1</v>
      </c>
      <c r="G2166" s="146"/>
      <c r="H2166" s="146"/>
      <c r="I2166" s="147"/>
      <c r="J2166" s="147"/>
      <c r="K2166" s="63"/>
      <c r="L2166" s="63"/>
      <c r="M2166" s="63"/>
      <c r="N2166" s="63"/>
      <c r="O2166" s="63"/>
      <c r="P2166" s="63"/>
      <c r="Q2166" s="63"/>
      <c r="R2166" s="63"/>
      <c r="S2166" s="63"/>
      <c r="T2166" s="63"/>
      <c r="U2166" s="63"/>
      <c r="V2166" s="63"/>
      <c r="W2166" s="63"/>
      <c r="X2166" s="63"/>
      <c r="Y2166" s="63"/>
      <c r="Z2166" s="63"/>
      <c r="AA2166" s="63"/>
      <c r="AB2166" s="63"/>
      <c r="AC2166" s="63"/>
    </row>
    <row r="2167" spans="1:29" x14ac:dyDescent="0.25">
      <c r="A2167" s="108">
        <v>46065</v>
      </c>
      <c r="B2167" s="109">
        <v>217</v>
      </c>
      <c r="C2167" s="49" t="s">
        <v>19</v>
      </c>
      <c r="D2167" s="110" t="str">
        <f>IF(ISBLANK($B2167),"",IFERROR(VLOOKUP($B2167,ESTOQUE!$B$2:$D$97168,3,FALSE),"Produto não cadastrado"))</f>
        <v>BOTINA SEGURANÇA METATARSO  40</v>
      </c>
      <c r="E2167" s="99" t="str">
        <f>_xlfn.XLOOKUP(B2167,ESTOQUE!B:B,ESTOQUE!G:G,"",0)</f>
        <v>PAR</v>
      </c>
      <c r="F2167" s="99">
        <v>3</v>
      </c>
      <c r="G2167" s="146"/>
      <c r="H2167" s="146"/>
      <c r="I2167" s="147"/>
      <c r="J2167" s="147"/>
      <c r="K2167" s="63"/>
      <c r="L2167" s="63"/>
      <c r="M2167" s="63"/>
      <c r="N2167" s="63"/>
      <c r="O2167" s="63"/>
      <c r="P2167" s="63"/>
      <c r="Q2167" s="63"/>
      <c r="R2167" s="63"/>
      <c r="S2167" s="63"/>
      <c r="T2167" s="63"/>
      <c r="U2167" s="63"/>
      <c r="V2167" s="63"/>
      <c r="W2167" s="63"/>
      <c r="X2167" s="63"/>
      <c r="Y2167" s="63"/>
      <c r="Z2167" s="63"/>
      <c r="AA2167" s="63"/>
      <c r="AB2167" s="63"/>
      <c r="AC2167" s="63"/>
    </row>
    <row r="2168" spans="1:29" x14ac:dyDescent="0.25">
      <c r="A2168" s="108">
        <v>46065</v>
      </c>
      <c r="B2168" s="109">
        <v>218</v>
      </c>
      <c r="C2168" s="49" t="s">
        <v>19</v>
      </c>
      <c r="D2168" s="110" t="str">
        <f>IF(ISBLANK($B2168),"",IFERROR(VLOOKUP($B2168,ESTOQUE!$B$2:$D$97168,3,FALSE),"Produto não cadastrado"))</f>
        <v>BOTINA SEGURANÇA METATARSO  41</v>
      </c>
      <c r="E2168" s="99" t="str">
        <f>_xlfn.XLOOKUP(B2168,ESTOQUE!B:B,ESTOQUE!G:G,"",0)</f>
        <v>PAR</v>
      </c>
      <c r="F2168" s="99">
        <v>1</v>
      </c>
      <c r="G2168" s="146"/>
      <c r="H2168" s="146"/>
      <c r="I2168" s="147"/>
      <c r="J2168" s="147"/>
      <c r="K2168" s="63"/>
      <c r="L2168" s="63"/>
      <c r="M2168" s="63"/>
      <c r="N2168" s="63"/>
      <c r="O2168" s="63"/>
      <c r="P2168" s="63"/>
      <c r="Q2168" s="63"/>
      <c r="R2168" s="63"/>
      <c r="S2168" s="63"/>
      <c r="T2168" s="63"/>
      <c r="U2168" s="63"/>
      <c r="V2168" s="63"/>
      <c r="W2168" s="63"/>
      <c r="X2168" s="63"/>
      <c r="Y2168" s="63"/>
      <c r="Z2168" s="63"/>
      <c r="AA2168" s="63"/>
      <c r="AB2168" s="63"/>
      <c r="AC2168" s="63"/>
    </row>
    <row r="2169" spans="1:29" x14ac:dyDescent="0.25">
      <c r="A2169" s="108">
        <v>46065</v>
      </c>
      <c r="B2169" s="109">
        <v>219</v>
      </c>
      <c r="C2169" s="49" t="s">
        <v>19</v>
      </c>
      <c r="D2169" s="110" t="str">
        <f>IF(ISBLANK($B2169),"",IFERROR(VLOOKUP($B2169,ESTOQUE!$B$2:$D$97168,3,FALSE),"Produto não cadastrado"))</f>
        <v>BOTINA SEGURANÇA METATARSO  42</v>
      </c>
      <c r="E2169" s="99" t="str">
        <f>_xlfn.XLOOKUP(B2169,ESTOQUE!B:B,ESTOQUE!G:G,"",0)</f>
        <v>PAR</v>
      </c>
      <c r="F2169" s="99">
        <v>3</v>
      </c>
      <c r="G2169" s="146"/>
      <c r="H2169" s="146"/>
      <c r="I2169" s="147"/>
      <c r="J2169" s="147"/>
      <c r="K2169" s="63"/>
      <c r="L2169" s="63"/>
      <c r="M2169" s="63"/>
      <c r="N2169" s="63"/>
      <c r="O2169" s="63"/>
      <c r="P2169" s="63"/>
      <c r="Q2169" s="63"/>
      <c r="R2169" s="63"/>
      <c r="S2169" s="63"/>
      <c r="T2169" s="63"/>
      <c r="U2169" s="63"/>
      <c r="V2169" s="63"/>
      <c r="W2169" s="63"/>
      <c r="X2169" s="63"/>
      <c r="Y2169" s="63"/>
      <c r="Z2169" s="63"/>
      <c r="AA2169" s="63"/>
      <c r="AB2169" s="63"/>
      <c r="AC2169" s="63"/>
    </row>
    <row r="2170" spans="1:29" x14ac:dyDescent="0.25">
      <c r="A2170" s="108">
        <v>46065</v>
      </c>
      <c r="B2170" s="109">
        <v>46</v>
      </c>
      <c r="C2170" s="49" t="s">
        <v>19</v>
      </c>
      <c r="D2170" s="110" t="str">
        <f>IF(ISBLANK($B2170),"",IFERROR(VLOOKUP($B2170,ESTOQUE!$B$2:$D$97168,3,FALSE),"Produto não cadastrado"))</f>
        <v>CALÇA CINZA OP. C/ FAIXA REFLETIVA TAM: G</v>
      </c>
      <c r="E2170" s="99" t="str">
        <f>_xlfn.XLOOKUP(B2170,ESTOQUE!B:B,ESTOQUE!G:G,"",0)</f>
        <v>UND</v>
      </c>
      <c r="F2170" s="99">
        <v>3</v>
      </c>
      <c r="G2170" s="146"/>
      <c r="H2170" s="146"/>
      <c r="I2170" s="147"/>
      <c r="J2170" s="147"/>
      <c r="K2170" s="63"/>
      <c r="L2170" s="63"/>
      <c r="M2170" s="63"/>
      <c r="N2170" s="63"/>
      <c r="O2170" s="63"/>
      <c r="P2170" s="63"/>
      <c r="Q2170" s="63"/>
      <c r="R2170" s="63"/>
      <c r="S2170" s="63"/>
      <c r="T2170" s="63"/>
      <c r="U2170" s="63"/>
      <c r="V2170" s="63"/>
      <c r="W2170" s="63"/>
      <c r="X2170" s="63"/>
      <c r="Y2170" s="63"/>
      <c r="Z2170" s="63"/>
      <c r="AA2170" s="63"/>
      <c r="AB2170" s="63"/>
      <c r="AC2170" s="63"/>
    </row>
    <row r="2171" spans="1:29" x14ac:dyDescent="0.25">
      <c r="A2171" s="108">
        <v>46065</v>
      </c>
      <c r="B2171" s="109">
        <v>47</v>
      </c>
      <c r="C2171" s="49" t="s">
        <v>19</v>
      </c>
      <c r="D2171" s="110" t="str">
        <f>IF(ISBLANK($B2171),"",IFERROR(VLOOKUP($B2171,ESTOQUE!$B$2:$D$97168,3,FALSE),"Produto não cadastrado"))</f>
        <v>CALÇA CINZA OP. C/ FAIXA REFLETIVA TAM: GG</v>
      </c>
      <c r="E2171" s="99" t="str">
        <f>_xlfn.XLOOKUP(B2171,ESTOQUE!B:B,ESTOQUE!G:G,"",0)</f>
        <v>UND</v>
      </c>
      <c r="F2171" s="99">
        <v>1</v>
      </c>
      <c r="G2171" s="146"/>
      <c r="H2171" s="146"/>
      <c r="I2171" s="147"/>
      <c r="J2171" s="147"/>
      <c r="K2171" s="63"/>
      <c r="L2171" s="63"/>
      <c r="M2171" s="63"/>
      <c r="N2171" s="63"/>
      <c r="O2171" s="63"/>
      <c r="P2171" s="63"/>
      <c r="Q2171" s="63"/>
      <c r="R2171" s="63"/>
      <c r="S2171" s="63"/>
      <c r="T2171" s="63"/>
      <c r="U2171" s="63"/>
      <c r="V2171" s="63"/>
      <c r="W2171" s="63"/>
      <c r="X2171" s="63"/>
      <c r="Y2171" s="63"/>
      <c r="Z2171" s="63"/>
      <c r="AA2171" s="63"/>
      <c r="AB2171" s="63"/>
      <c r="AC2171" s="63"/>
    </row>
    <row r="2172" spans="1:29" x14ac:dyDescent="0.25">
      <c r="A2172" s="108">
        <v>46065</v>
      </c>
      <c r="B2172" s="109">
        <v>48</v>
      </c>
      <c r="C2172" s="49" t="s">
        <v>19</v>
      </c>
      <c r="D2172" s="110" t="str">
        <f>IF(ISBLANK($B2172),"",IFERROR(VLOOKUP($B2172,ESTOQUE!$B$2:$D$97168,3,FALSE),"Produto não cadastrado"))</f>
        <v>CALÇA CINZA OP. C/ FAIXA REFLETIVA TAM: M</v>
      </c>
      <c r="E2172" s="99" t="str">
        <f>_xlfn.XLOOKUP(B2172,ESTOQUE!B:B,ESTOQUE!G:G,"",0)</f>
        <v>UND</v>
      </c>
      <c r="F2172" s="99">
        <v>8</v>
      </c>
      <c r="G2172" s="146"/>
      <c r="H2172" s="146"/>
      <c r="I2172" s="147"/>
      <c r="J2172" s="147"/>
      <c r="K2172" s="63"/>
      <c r="L2172" s="63"/>
      <c r="M2172" s="63"/>
      <c r="N2172" s="63"/>
      <c r="O2172" s="63"/>
      <c r="P2172" s="63"/>
      <c r="Q2172" s="63"/>
      <c r="R2172" s="63"/>
      <c r="S2172" s="63"/>
      <c r="T2172" s="63"/>
      <c r="U2172" s="63"/>
      <c r="V2172" s="63"/>
      <c r="W2172" s="63"/>
      <c r="X2172" s="63"/>
      <c r="Y2172" s="63"/>
      <c r="Z2172" s="63"/>
      <c r="AA2172" s="63"/>
      <c r="AB2172" s="63"/>
      <c r="AC2172" s="63"/>
    </row>
    <row r="2173" spans="1:29" x14ac:dyDescent="0.25">
      <c r="A2173" s="108">
        <v>46065</v>
      </c>
      <c r="B2173" s="109">
        <v>49</v>
      </c>
      <c r="C2173" s="49" t="s">
        <v>19</v>
      </c>
      <c r="D2173" s="110" t="str">
        <f>IF(ISBLANK($B2173),"",IFERROR(VLOOKUP($B2173,ESTOQUE!$B$2:$D$97168,3,FALSE),"Produto não cadastrado"))</f>
        <v>CALÇA CINZA OP. C/ FAIXA REFLETIVA TAM: P</v>
      </c>
      <c r="E2173" s="99" t="str">
        <f>_xlfn.XLOOKUP(B2173,ESTOQUE!B:B,ESTOQUE!G:G,"",0)</f>
        <v>UND</v>
      </c>
      <c r="F2173" s="99">
        <v>3</v>
      </c>
      <c r="G2173" s="146"/>
      <c r="H2173" s="146"/>
      <c r="I2173" s="147"/>
      <c r="J2173" s="147"/>
      <c r="K2173" s="63"/>
      <c r="L2173" s="63"/>
      <c r="M2173" s="63"/>
      <c r="N2173" s="63"/>
      <c r="O2173" s="63"/>
      <c r="P2173" s="63"/>
      <c r="Q2173" s="63"/>
      <c r="R2173" s="63"/>
      <c r="S2173" s="63"/>
      <c r="T2173" s="63"/>
      <c r="U2173" s="63"/>
      <c r="V2173" s="63"/>
      <c r="W2173" s="63"/>
      <c r="X2173" s="63"/>
      <c r="Y2173" s="63"/>
      <c r="Z2173" s="63"/>
      <c r="AA2173" s="63"/>
      <c r="AB2173" s="63"/>
      <c r="AC2173" s="63"/>
    </row>
    <row r="2174" spans="1:29" x14ac:dyDescent="0.25">
      <c r="A2174" s="108">
        <v>46065</v>
      </c>
      <c r="B2174" s="109">
        <v>67</v>
      </c>
      <c r="C2174" s="49" t="s">
        <v>19</v>
      </c>
      <c r="D2174" s="110" t="str">
        <f>IF(ISBLANK($B2174),"",IFERROR(VLOOKUP($B2174,ESTOQUE!$B$2:$D$97168,3,FALSE),"Produto não cadastrado"))</f>
        <v>CAMISA LARANJA OP. C/ FAIXA REFLETIVA TAM: G</v>
      </c>
      <c r="E2174" s="99" t="str">
        <f>_xlfn.XLOOKUP(B2174,ESTOQUE!B:B,ESTOQUE!G:G,"",0)</f>
        <v>UND</v>
      </c>
      <c r="F2174" s="99">
        <v>1</v>
      </c>
      <c r="G2174" s="146"/>
      <c r="H2174" s="146"/>
      <c r="I2174" s="147"/>
      <c r="J2174" s="147"/>
      <c r="K2174" s="63"/>
      <c r="L2174" s="63"/>
      <c r="M2174" s="63"/>
      <c r="N2174" s="63"/>
      <c r="O2174" s="63"/>
      <c r="P2174" s="63"/>
      <c r="Q2174" s="63"/>
      <c r="R2174" s="63"/>
      <c r="S2174" s="63"/>
      <c r="T2174" s="63"/>
      <c r="U2174" s="63"/>
      <c r="V2174" s="63"/>
      <c r="W2174" s="63"/>
      <c r="X2174" s="63"/>
      <c r="Y2174" s="63"/>
      <c r="Z2174" s="63"/>
      <c r="AA2174" s="63"/>
      <c r="AB2174" s="63"/>
      <c r="AC2174" s="63"/>
    </row>
    <row r="2175" spans="1:29" x14ac:dyDescent="0.25">
      <c r="A2175" s="108">
        <v>46065</v>
      </c>
      <c r="B2175" s="109">
        <v>68</v>
      </c>
      <c r="C2175" s="49" t="s">
        <v>19</v>
      </c>
      <c r="D2175" s="110" t="str">
        <f>IF(ISBLANK($B2175),"",IFERROR(VLOOKUP($B2175,ESTOQUE!$B$2:$D$97168,3,FALSE),"Produto não cadastrado"))</f>
        <v>CAMISA LARANJA OP. C/ FAIXA REFLETIVA TAM: GG</v>
      </c>
      <c r="E2175" s="99" t="str">
        <f>_xlfn.XLOOKUP(B2175,ESTOQUE!B:B,ESTOQUE!G:G,"",0)</f>
        <v>UND</v>
      </c>
      <c r="F2175" s="99">
        <v>1</v>
      </c>
      <c r="G2175" s="146"/>
      <c r="H2175" s="146"/>
      <c r="I2175" s="147"/>
      <c r="J2175" s="147"/>
      <c r="K2175" s="63"/>
      <c r="L2175" s="63"/>
      <c r="M2175" s="63"/>
      <c r="N2175" s="63"/>
      <c r="O2175" s="63"/>
      <c r="P2175" s="63"/>
      <c r="Q2175" s="63"/>
      <c r="R2175" s="63"/>
      <c r="S2175" s="63"/>
      <c r="T2175" s="63"/>
      <c r="U2175" s="63"/>
      <c r="V2175" s="63"/>
      <c r="W2175" s="63"/>
      <c r="X2175" s="63"/>
      <c r="Y2175" s="63"/>
      <c r="Z2175" s="63"/>
      <c r="AA2175" s="63"/>
      <c r="AB2175" s="63"/>
      <c r="AC2175" s="63"/>
    </row>
    <row r="2176" spans="1:29" x14ac:dyDescent="0.25">
      <c r="A2176" s="108">
        <v>46065</v>
      </c>
      <c r="B2176" s="109">
        <v>69</v>
      </c>
      <c r="C2176" s="49" t="s">
        <v>19</v>
      </c>
      <c r="D2176" s="110" t="str">
        <f>IF(ISBLANK($B2176),"",IFERROR(VLOOKUP($B2176,ESTOQUE!$B$2:$D$97168,3,FALSE),"Produto não cadastrado"))</f>
        <v>CAMISA LARANJA OP. C/ FAIXA REFLETIVA TAM: M</v>
      </c>
      <c r="E2176" s="99" t="str">
        <f>_xlfn.XLOOKUP(B2176,ESTOQUE!B:B,ESTOQUE!G:G,"",0)</f>
        <v>UND</v>
      </c>
      <c r="F2176" s="99">
        <v>4</v>
      </c>
      <c r="G2176" s="146"/>
      <c r="H2176" s="146"/>
      <c r="I2176" s="147"/>
      <c r="J2176" s="147"/>
      <c r="K2176" s="63"/>
      <c r="L2176" s="63"/>
      <c r="M2176" s="63"/>
      <c r="N2176" s="63"/>
      <c r="O2176" s="63"/>
      <c r="P2176" s="63"/>
      <c r="Q2176" s="63"/>
      <c r="R2176" s="63"/>
      <c r="S2176" s="63"/>
      <c r="T2176" s="63"/>
      <c r="U2176" s="63"/>
      <c r="V2176" s="63"/>
      <c r="W2176" s="63"/>
      <c r="X2176" s="63"/>
      <c r="Y2176" s="63"/>
      <c r="Z2176" s="63"/>
      <c r="AA2176" s="63"/>
      <c r="AB2176" s="63"/>
      <c r="AC2176" s="63"/>
    </row>
    <row r="2177" spans="1:29" x14ac:dyDescent="0.25">
      <c r="A2177" s="108">
        <v>46065</v>
      </c>
      <c r="B2177" s="109">
        <v>73</v>
      </c>
      <c r="C2177" s="49" t="s">
        <v>19</v>
      </c>
      <c r="D2177" s="110" t="str">
        <f>IF(ISBLANK($B2177),"",IFERROR(VLOOKUP($B2177,ESTOQUE!$B$2:$D$97168,3,FALSE),"Produto não cadastrado"))</f>
        <v>CAPA DE CHUVA GG</v>
      </c>
      <c r="E2177" s="99" t="str">
        <f>_xlfn.XLOOKUP(B2177,ESTOQUE!B:B,ESTOQUE!G:G,"",0)</f>
        <v>UND</v>
      </c>
      <c r="F2177" s="99">
        <v>41</v>
      </c>
      <c r="G2177" s="146"/>
      <c r="H2177" s="146"/>
      <c r="I2177" s="147"/>
      <c r="J2177" s="147"/>
      <c r="K2177" s="63"/>
      <c r="L2177" s="63"/>
      <c r="M2177" s="63"/>
      <c r="N2177" s="63"/>
      <c r="O2177" s="63"/>
      <c r="P2177" s="63"/>
      <c r="Q2177" s="63"/>
      <c r="R2177" s="63"/>
      <c r="S2177" s="63"/>
      <c r="T2177" s="63"/>
      <c r="U2177" s="63"/>
      <c r="V2177" s="63"/>
      <c r="W2177" s="63"/>
      <c r="X2177" s="63"/>
      <c r="Y2177" s="63"/>
      <c r="Z2177" s="63"/>
      <c r="AA2177" s="63"/>
      <c r="AB2177" s="63"/>
      <c r="AC2177" s="63"/>
    </row>
    <row r="2178" spans="1:29" x14ac:dyDescent="0.25">
      <c r="A2178" s="108">
        <v>46065</v>
      </c>
      <c r="B2178" s="109">
        <v>97</v>
      </c>
      <c r="C2178" s="49" t="s">
        <v>19</v>
      </c>
      <c r="D2178" s="110" t="str">
        <f>IF(ISBLANK($B2178),"",IFERROR(VLOOKUP($B2178,ESTOQUE!$B$2:$D$97168,3,FALSE),"Produto não cadastrado"))</f>
        <v>COLETE REFLETIVO LARANJA M</v>
      </c>
      <c r="E2178" s="99" t="str">
        <f>_xlfn.XLOOKUP(B2178,ESTOQUE!B:B,ESTOQUE!G:G,"",0)</f>
        <v>UND</v>
      </c>
      <c r="F2178" s="99">
        <v>1</v>
      </c>
      <c r="G2178" s="146"/>
      <c r="H2178" s="146"/>
      <c r="I2178" s="147"/>
      <c r="J2178" s="147"/>
      <c r="K2178" s="63"/>
      <c r="L2178" s="63"/>
      <c r="M2178" s="63"/>
      <c r="N2178" s="63"/>
      <c r="O2178" s="63"/>
      <c r="P2178" s="63"/>
      <c r="Q2178" s="63"/>
      <c r="R2178" s="63"/>
      <c r="S2178" s="63"/>
      <c r="T2178" s="63"/>
      <c r="U2178" s="63"/>
      <c r="V2178" s="63"/>
      <c r="W2178" s="63"/>
      <c r="X2178" s="63"/>
      <c r="Y2178" s="63"/>
      <c r="Z2178" s="63"/>
      <c r="AA2178" s="63"/>
      <c r="AB2178" s="63"/>
      <c r="AC2178" s="63"/>
    </row>
    <row r="2179" spans="1:29" x14ac:dyDescent="0.25">
      <c r="A2179" s="108">
        <v>46065</v>
      </c>
      <c r="B2179" s="109">
        <v>189</v>
      </c>
      <c r="C2179" s="49" t="s">
        <v>19</v>
      </c>
      <c r="D2179" s="110" t="str">
        <f>IF(ISBLANK($B2179),"",IFERROR(VLOOKUP($B2179,ESTOQUE!$B$2:$D$97168,3,FALSE),"Produto não cadastrado"))</f>
        <v xml:space="preserve">LUVA DE VAQUETA MISTA </v>
      </c>
      <c r="E2179" s="99" t="str">
        <f>_xlfn.XLOOKUP(B2179,ESTOQUE!B:B,ESTOQUE!G:G,"",0)</f>
        <v>UND</v>
      </c>
      <c r="F2179" s="99">
        <v>1</v>
      </c>
      <c r="G2179" s="146"/>
      <c r="H2179" s="146"/>
      <c r="I2179" s="147"/>
      <c r="J2179" s="147"/>
      <c r="K2179" s="63"/>
      <c r="L2179" s="63"/>
      <c r="M2179" s="63"/>
      <c r="N2179" s="63"/>
      <c r="O2179" s="63"/>
      <c r="P2179" s="63"/>
      <c r="Q2179" s="63"/>
      <c r="R2179" s="63"/>
      <c r="S2179" s="63"/>
      <c r="T2179" s="63"/>
      <c r="U2179" s="63"/>
      <c r="V2179" s="63"/>
      <c r="W2179" s="63"/>
      <c r="X2179" s="63"/>
      <c r="Y2179" s="63"/>
      <c r="Z2179" s="63"/>
      <c r="AA2179" s="63"/>
      <c r="AB2179" s="63"/>
      <c r="AC2179" s="63"/>
    </row>
    <row r="2180" spans="1:29" x14ac:dyDescent="0.25">
      <c r="A2180" s="108">
        <v>46065</v>
      </c>
      <c r="B2180" s="109">
        <v>114</v>
      </c>
      <c r="C2180" s="49" t="s">
        <v>19</v>
      </c>
      <c r="D2180" s="110" t="str">
        <f>IF(ISBLANK($B2180),"",IFERROR(VLOOKUP($B2180,ESTOQUE!$B$2:$D$97168,3,FALSE),"Produto não cadastrado"))</f>
        <v xml:space="preserve">LUVA LATEX NITRILICA </v>
      </c>
      <c r="E2180" s="99" t="str">
        <f>_xlfn.XLOOKUP(B2180,ESTOQUE!B:B,ESTOQUE!G:G,"",0)</f>
        <v>PAR</v>
      </c>
      <c r="F2180" s="99">
        <v>2</v>
      </c>
      <c r="G2180" s="146"/>
      <c r="H2180" s="146"/>
      <c r="I2180" s="147"/>
      <c r="J2180" s="147"/>
      <c r="K2180" s="63"/>
      <c r="L2180" s="63"/>
      <c r="M2180" s="63"/>
      <c r="N2180" s="63"/>
      <c r="O2180" s="63"/>
      <c r="P2180" s="63"/>
      <c r="Q2180" s="63"/>
      <c r="R2180" s="63"/>
      <c r="S2180" s="63"/>
      <c r="T2180" s="63"/>
      <c r="U2180" s="63"/>
      <c r="V2180" s="63"/>
      <c r="W2180" s="63"/>
      <c r="X2180" s="63"/>
      <c r="Y2180" s="63"/>
      <c r="Z2180" s="63"/>
      <c r="AA2180" s="63"/>
      <c r="AB2180" s="63"/>
      <c r="AC2180" s="63"/>
    </row>
    <row r="2181" spans="1:29" x14ac:dyDescent="0.25">
      <c r="A2181" s="108">
        <v>46065</v>
      </c>
      <c r="B2181" s="109">
        <v>207</v>
      </c>
      <c r="C2181" s="49" t="s">
        <v>19</v>
      </c>
      <c r="D2181" s="110" t="str">
        <f>IF(ISBLANK($B2181),"",IFERROR(VLOOKUP($B2181,ESTOQUE!$B$2:$D$97168,3,FALSE),"Produto não cadastrado"))</f>
        <v>LUVA POLIESTER ANTICORTE BANHADA PU TAM 9</v>
      </c>
      <c r="E2181" s="99" t="str">
        <f>_xlfn.XLOOKUP(B2181,ESTOQUE!B:B,ESTOQUE!G:G,"",0)</f>
        <v>PAR</v>
      </c>
      <c r="F2181" s="99">
        <v>5</v>
      </c>
      <c r="G2181" s="146"/>
      <c r="H2181" s="146"/>
      <c r="I2181" s="147"/>
      <c r="J2181" s="147"/>
      <c r="K2181" s="63"/>
      <c r="L2181" s="63"/>
      <c r="M2181" s="63"/>
      <c r="N2181" s="63"/>
      <c r="O2181" s="63"/>
      <c r="P2181" s="63"/>
      <c r="Q2181" s="63"/>
      <c r="R2181" s="63"/>
      <c r="S2181" s="63"/>
      <c r="T2181" s="63"/>
      <c r="U2181" s="63"/>
      <c r="V2181" s="63"/>
      <c r="W2181" s="63"/>
      <c r="X2181" s="63"/>
      <c r="Y2181" s="63"/>
      <c r="Z2181" s="63"/>
      <c r="AA2181" s="63"/>
      <c r="AB2181" s="63"/>
      <c r="AC2181" s="63"/>
    </row>
    <row r="2182" spans="1:29" x14ac:dyDescent="0.25">
      <c r="A2182" s="108">
        <v>46065</v>
      </c>
      <c r="B2182" s="109">
        <v>118</v>
      </c>
      <c r="C2182" s="49" t="s">
        <v>19</v>
      </c>
      <c r="D2182" s="110" t="str">
        <f>IF(ISBLANK($B2182),"",IFERROR(VLOOKUP($B2182,ESTOQUE!$B$2:$D$97168,3,FALSE),"Produto não cadastrado"))</f>
        <v>MACACÃO DE PROTEÇÃO TYVEK</v>
      </c>
      <c r="E2182" s="99" t="str">
        <f>_xlfn.XLOOKUP(B2182,ESTOQUE!B:B,ESTOQUE!G:G,"",0)</f>
        <v>UND</v>
      </c>
      <c r="F2182" s="99">
        <v>51</v>
      </c>
      <c r="G2182" s="146"/>
      <c r="H2182" s="146"/>
      <c r="I2182" s="147"/>
      <c r="J2182" s="147"/>
      <c r="K2182" s="63"/>
      <c r="L2182" s="63"/>
      <c r="M2182" s="63"/>
      <c r="N2182" s="63"/>
      <c r="O2182" s="63"/>
      <c r="P2182" s="63"/>
      <c r="Q2182" s="63"/>
      <c r="R2182" s="63"/>
      <c r="S2182" s="63"/>
      <c r="T2182" s="63"/>
      <c r="U2182" s="63"/>
      <c r="V2182" s="63"/>
      <c r="W2182" s="63"/>
      <c r="X2182" s="63"/>
      <c r="Y2182" s="63"/>
      <c r="Z2182" s="63"/>
      <c r="AA2182" s="63"/>
      <c r="AB2182" s="63"/>
      <c r="AC2182" s="63"/>
    </row>
    <row r="2183" spans="1:29" x14ac:dyDescent="0.25">
      <c r="A2183" s="108">
        <v>46065</v>
      </c>
      <c r="B2183" s="109">
        <v>144</v>
      </c>
      <c r="C2183" s="49" t="s">
        <v>19</v>
      </c>
      <c r="D2183" s="110" t="str">
        <f>IF(ISBLANK($B2183),"",IFERROR(VLOOKUP($B2183,ESTOQUE!$B$2:$D$97168,3,FALSE),"Produto não cadastrado"))</f>
        <v>MASCARA PFF2-S C/ FILTRO</v>
      </c>
      <c r="E2183" s="99" t="str">
        <f>_xlfn.XLOOKUP(B2183,ESTOQUE!B:B,ESTOQUE!G:G,"",0)</f>
        <v>UND</v>
      </c>
      <c r="F2183" s="99">
        <v>2</v>
      </c>
      <c r="G2183" s="146"/>
      <c r="H2183" s="146"/>
      <c r="I2183" s="147"/>
      <c r="J2183" s="147"/>
      <c r="K2183" s="63"/>
      <c r="L2183" s="63"/>
      <c r="M2183" s="63"/>
      <c r="N2183" s="63"/>
      <c r="O2183" s="63"/>
      <c r="P2183" s="63"/>
      <c r="Q2183" s="63"/>
      <c r="R2183" s="63"/>
      <c r="S2183" s="63"/>
      <c r="T2183" s="63"/>
      <c r="U2183" s="63"/>
      <c r="V2183" s="63"/>
      <c r="W2183" s="63"/>
      <c r="X2183" s="63"/>
      <c r="Y2183" s="63"/>
      <c r="Z2183" s="63"/>
      <c r="AA2183" s="63"/>
      <c r="AB2183" s="63"/>
      <c r="AC2183" s="63"/>
    </row>
    <row r="2184" spans="1:29" x14ac:dyDescent="0.25">
      <c r="A2184" s="108">
        <v>46065</v>
      </c>
      <c r="B2184" s="109">
        <v>126</v>
      </c>
      <c r="C2184" s="49" t="s">
        <v>19</v>
      </c>
      <c r="D2184" s="110" t="str">
        <f>IF(ISBLANK($B2184),"",IFERROR(VLOOKUP($B2184,ESTOQUE!$B$2:$D$97168,3,FALSE),"Produto não cadastrado"))</f>
        <v>OCULOS DE PROTEÇÃO ESCURO</v>
      </c>
      <c r="E2184" s="99" t="str">
        <f>_xlfn.XLOOKUP(B2184,ESTOQUE!B:B,ESTOQUE!G:G,"",0)</f>
        <v>UND</v>
      </c>
      <c r="F2184" s="99">
        <v>2</v>
      </c>
      <c r="G2184" s="146"/>
      <c r="H2184" s="146"/>
      <c r="I2184" s="147"/>
      <c r="J2184" s="147"/>
      <c r="K2184" s="63"/>
      <c r="L2184" s="63"/>
      <c r="M2184" s="63"/>
      <c r="N2184" s="63"/>
      <c r="O2184" s="63"/>
      <c r="P2184" s="63"/>
      <c r="Q2184" s="63"/>
      <c r="R2184" s="63"/>
      <c r="S2184" s="63"/>
      <c r="T2184" s="63"/>
      <c r="U2184" s="63"/>
      <c r="V2184" s="63"/>
      <c r="W2184" s="63"/>
      <c r="X2184" s="63"/>
      <c r="Y2184" s="63"/>
      <c r="Z2184" s="63"/>
      <c r="AA2184" s="63"/>
      <c r="AB2184" s="63"/>
      <c r="AC2184" s="63"/>
    </row>
    <row r="2185" spans="1:29" x14ac:dyDescent="0.25">
      <c r="A2185" s="108">
        <v>46065</v>
      </c>
      <c r="B2185" s="109">
        <v>139</v>
      </c>
      <c r="C2185" s="49" t="s">
        <v>19</v>
      </c>
      <c r="D2185" s="110" t="str">
        <f>IF(ISBLANK($B2185),"",IFERROR(VLOOKUP($B2185,ESTOQUE!$B$2:$D$97168,3,FALSE),"Produto não cadastrado"))</f>
        <v>PROTETOR AURICULAR TIPO PLUG</v>
      </c>
      <c r="E2185" s="99" t="str">
        <f>_xlfn.XLOOKUP(B2185,ESTOQUE!B:B,ESTOQUE!G:G,"",0)</f>
        <v>UND</v>
      </c>
      <c r="F2185" s="99">
        <v>1</v>
      </c>
      <c r="G2185" s="146"/>
      <c r="H2185" s="146"/>
      <c r="I2185" s="147"/>
      <c r="J2185" s="147"/>
      <c r="K2185" s="63"/>
      <c r="L2185" s="63"/>
      <c r="M2185" s="63"/>
      <c r="N2185" s="63"/>
      <c r="O2185" s="63"/>
      <c r="P2185" s="63"/>
      <c r="Q2185" s="63"/>
      <c r="R2185" s="63"/>
      <c r="S2185" s="63"/>
      <c r="T2185" s="63"/>
      <c r="U2185" s="63"/>
      <c r="V2185" s="63"/>
      <c r="W2185" s="63"/>
      <c r="X2185" s="63"/>
      <c r="Y2185" s="63"/>
      <c r="Z2185" s="63"/>
      <c r="AA2185" s="63"/>
      <c r="AB2185" s="63"/>
      <c r="AC2185" s="63"/>
    </row>
    <row r="2186" spans="1:29" x14ac:dyDescent="0.25">
      <c r="A2186" s="108">
        <v>46066</v>
      </c>
      <c r="B2186" s="109">
        <v>2</v>
      </c>
      <c r="C2186" s="49" t="s">
        <v>19</v>
      </c>
      <c r="D2186" s="110" t="str">
        <f>IF(ISBLANK($B2186),"",IFERROR(VLOOKUP($B2186,ESTOQUE!$B$2:$D$97168,3,FALSE),"Produto não cadastrado"))</f>
        <v>AVENTAL DE RASPA TAM 1X60MT</v>
      </c>
      <c r="E2186" s="99" t="str">
        <f>_xlfn.XLOOKUP(B2186,ESTOQUE!B:B,ESTOQUE!G:G,"",0)</f>
        <v>UND</v>
      </c>
      <c r="F2186" s="99">
        <v>10</v>
      </c>
      <c r="G2186" s="146"/>
      <c r="H2186" s="146"/>
      <c r="I2186" s="147"/>
      <c r="J2186" s="147"/>
      <c r="K2186" s="63"/>
      <c r="L2186" s="63"/>
      <c r="M2186" s="63"/>
      <c r="N2186" s="63"/>
      <c r="O2186" s="63"/>
      <c r="P2186" s="63"/>
      <c r="Q2186" s="63"/>
      <c r="R2186" s="63"/>
      <c r="S2186" s="63"/>
      <c r="T2186" s="63"/>
      <c r="U2186" s="63"/>
      <c r="V2186" s="63"/>
      <c r="W2186" s="63"/>
      <c r="X2186" s="63"/>
      <c r="Y2186" s="63"/>
      <c r="Z2186" s="63"/>
      <c r="AA2186" s="63"/>
      <c r="AB2186" s="63"/>
      <c r="AC2186" s="63"/>
    </row>
    <row r="2187" spans="1:29" x14ac:dyDescent="0.25">
      <c r="A2187" s="108">
        <v>46066</v>
      </c>
      <c r="B2187" s="109">
        <v>37</v>
      </c>
      <c r="C2187" s="49" t="s">
        <v>19</v>
      </c>
      <c r="D2187" s="110" t="str">
        <f>IF(ISBLANK($B2187),"",IFERROR(VLOOKUP($B2187,ESTOQUE!$B$2:$D$97168,3,FALSE),"Produto não cadastrado"))</f>
        <v>BOTINA OP. BICO PVC Nº 39</v>
      </c>
      <c r="E2187" s="99" t="str">
        <f>_xlfn.XLOOKUP(B2187,ESTOQUE!B:B,ESTOQUE!G:G,"",0)</f>
        <v>PAR</v>
      </c>
      <c r="F2187" s="99">
        <v>2</v>
      </c>
      <c r="G2187" s="146"/>
      <c r="H2187" s="146"/>
      <c r="I2187" s="147"/>
      <c r="J2187" s="147"/>
      <c r="K2187" s="63"/>
      <c r="L2187" s="63"/>
      <c r="M2187" s="63"/>
      <c r="N2187" s="63"/>
      <c r="O2187" s="63"/>
      <c r="P2187" s="63"/>
      <c r="Q2187" s="63"/>
      <c r="R2187" s="63"/>
      <c r="S2187" s="63"/>
      <c r="T2187" s="63"/>
      <c r="U2187" s="63"/>
      <c r="V2187" s="63"/>
      <c r="W2187" s="63"/>
      <c r="X2187" s="63"/>
      <c r="Y2187" s="63"/>
      <c r="Z2187" s="63"/>
      <c r="AA2187" s="63"/>
      <c r="AB2187" s="63"/>
      <c r="AC2187" s="63"/>
    </row>
    <row r="2188" spans="1:29" x14ac:dyDescent="0.25">
      <c r="A2188" s="108">
        <v>46066</v>
      </c>
      <c r="B2188" s="109">
        <v>38</v>
      </c>
      <c r="C2188" s="49" t="s">
        <v>19</v>
      </c>
      <c r="D2188" s="110" t="str">
        <f>IF(ISBLANK($B2188),"",IFERROR(VLOOKUP($B2188,ESTOQUE!$B$2:$D$97168,3,FALSE),"Produto não cadastrado"))</f>
        <v>BOTINA OP. BICO PVC Nº 40</v>
      </c>
      <c r="E2188" s="99" t="str">
        <f>_xlfn.XLOOKUP(B2188,ESTOQUE!B:B,ESTOQUE!G:G,"",0)</f>
        <v>PAR</v>
      </c>
      <c r="F2188" s="99">
        <v>2</v>
      </c>
      <c r="G2188" s="146"/>
      <c r="H2188" s="146"/>
      <c r="I2188" s="147"/>
      <c r="J2188" s="147"/>
      <c r="K2188" s="63"/>
      <c r="L2188" s="63"/>
      <c r="M2188" s="63"/>
      <c r="N2188" s="63"/>
      <c r="O2188" s="63"/>
      <c r="P2188" s="63"/>
      <c r="Q2188" s="63"/>
      <c r="R2188" s="63"/>
      <c r="S2188" s="63"/>
      <c r="T2188" s="63"/>
      <c r="U2188" s="63"/>
      <c r="V2188" s="63"/>
      <c r="W2188" s="63"/>
      <c r="X2188" s="63"/>
      <c r="Y2188" s="63"/>
      <c r="Z2188" s="63"/>
      <c r="AA2188" s="63"/>
      <c r="AB2188" s="63"/>
      <c r="AC2188" s="63"/>
    </row>
    <row r="2189" spans="1:29" x14ac:dyDescent="0.25">
      <c r="A2189" s="108">
        <v>46066</v>
      </c>
      <c r="B2189" s="109">
        <v>39</v>
      </c>
      <c r="C2189" s="49" t="s">
        <v>19</v>
      </c>
      <c r="D2189" s="110" t="str">
        <f>IF(ISBLANK($B2189),"",IFERROR(VLOOKUP($B2189,ESTOQUE!$B$2:$D$97168,3,FALSE),"Produto não cadastrado"))</f>
        <v>BOTINA OP. BICO PVC Nº 41</v>
      </c>
      <c r="E2189" s="99" t="str">
        <f>_xlfn.XLOOKUP(B2189,ESTOQUE!B:B,ESTOQUE!G:G,"",0)</f>
        <v>PAR</v>
      </c>
      <c r="F2189" s="99">
        <v>3</v>
      </c>
      <c r="G2189" s="146"/>
      <c r="H2189" s="146"/>
      <c r="I2189" s="147"/>
      <c r="J2189" s="147"/>
      <c r="K2189" s="63"/>
      <c r="L2189" s="63"/>
      <c r="M2189" s="63"/>
      <c r="N2189" s="63"/>
      <c r="O2189" s="63"/>
      <c r="P2189" s="63"/>
      <c r="Q2189" s="63"/>
      <c r="R2189" s="63"/>
      <c r="S2189" s="63"/>
      <c r="T2189" s="63"/>
      <c r="U2189" s="63"/>
      <c r="V2189" s="63"/>
      <c r="W2189" s="63"/>
      <c r="X2189" s="63"/>
      <c r="Y2189" s="63"/>
      <c r="Z2189" s="63"/>
      <c r="AA2189" s="63"/>
      <c r="AB2189" s="63"/>
      <c r="AC2189" s="63"/>
    </row>
    <row r="2190" spans="1:29" x14ac:dyDescent="0.25">
      <c r="A2190" s="108">
        <v>46066</v>
      </c>
      <c r="B2190" s="109">
        <v>40</v>
      </c>
      <c r="C2190" s="49" t="s">
        <v>19</v>
      </c>
      <c r="D2190" s="110" t="str">
        <f>IF(ISBLANK($B2190),"",IFERROR(VLOOKUP($B2190,ESTOQUE!$B$2:$D$97168,3,FALSE),"Produto não cadastrado"))</f>
        <v>BOTINA OP. BICO PVC Nº 42</v>
      </c>
      <c r="E2190" s="99" t="str">
        <f>_xlfn.XLOOKUP(B2190,ESTOQUE!B:B,ESTOQUE!G:G,"",0)</f>
        <v>PAR</v>
      </c>
      <c r="F2190" s="99">
        <v>2</v>
      </c>
      <c r="G2190" s="146"/>
      <c r="H2190" s="146"/>
      <c r="I2190" s="147"/>
      <c r="J2190" s="147"/>
      <c r="K2190" s="63"/>
      <c r="L2190" s="63"/>
      <c r="M2190" s="63"/>
      <c r="N2190" s="63"/>
      <c r="O2190" s="63"/>
      <c r="P2190" s="63"/>
      <c r="Q2190" s="63"/>
      <c r="R2190" s="63"/>
      <c r="S2190" s="63"/>
      <c r="T2190" s="63"/>
      <c r="U2190" s="63"/>
      <c r="V2190" s="63"/>
      <c r="W2190" s="63"/>
      <c r="X2190" s="63"/>
      <c r="Y2190" s="63"/>
      <c r="Z2190" s="63"/>
      <c r="AA2190" s="63"/>
      <c r="AB2190" s="63"/>
      <c r="AC2190" s="63"/>
    </row>
    <row r="2191" spans="1:29" x14ac:dyDescent="0.25">
      <c r="A2191" s="108">
        <v>46066</v>
      </c>
      <c r="B2191" s="109">
        <v>46</v>
      </c>
      <c r="C2191" s="49" t="s">
        <v>19</v>
      </c>
      <c r="D2191" s="110" t="str">
        <f>IF(ISBLANK($B2191),"",IFERROR(VLOOKUP($B2191,ESTOQUE!$B$2:$D$97168,3,FALSE),"Produto não cadastrado"))</f>
        <v>CALÇA CINZA OP. C/ FAIXA REFLETIVA TAM: G</v>
      </c>
      <c r="E2191" s="99" t="str">
        <f>_xlfn.XLOOKUP(B2191,ESTOQUE!B:B,ESTOQUE!G:G,"",0)</f>
        <v>UND</v>
      </c>
      <c r="F2191" s="99">
        <v>2</v>
      </c>
      <c r="G2191" s="146"/>
      <c r="H2191" s="146"/>
      <c r="I2191" s="147"/>
      <c r="J2191" s="147"/>
      <c r="K2191" s="63"/>
      <c r="L2191" s="63"/>
      <c r="M2191" s="63"/>
      <c r="N2191" s="63"/>
      <c r="O2191" s="63"/>
      <c r="P2191" s="63"/>
      <c r="Q2191" s="63"/>
      <c r="R2191" s="63"/>
      <c r="S2191" s="63"/>
      <c r="T2191" s="63"/>
      <c r="U2191" s="63"/>
      <c r="V2191" s="63"/>
      <c r="W2191" s="63"/>
      <c r="X2191" s="63"/>
      <c r="Y2191" s="63"/>
      <c r="Z2191" s="63"/>
      <c r="AA2191" s="63"/>
      <c r="AB2191" s="63"/>
      <c r="AC2191" s="63"/>
    </row>
    <row r="2192" spans="1:29" x14ac:dyDescent="0.25">
      <c r="A2192" s="108">
        <v>46066</v>
      </c>
      <c r="B2192" s="109">
        <v>47</v>
      </c>
      <c r="C2192" s="49" t="s">
        <v>19</v>
      </c>
      <c r="D2192" s="110" t="str">
        <f>IF(ISBLANK($B2192),"",IFERROR(VLOOKUP($B2192,ESTOQUE!$B$2:$D$97168,3,FALSE),"Produto não cadastrado"))</f>
        <v>CALÇA CINZA OP. C/ FAIXA REFLETIVA TAM: GG</v>
      </c>
      <c r="E2192" s="99" t="str">
        <f>_xlfn.XLOOKUP(B2192,ESTOQUE!B:B,ESTOQUE!G:G,"",0)</f>
        <v>UND</v>
      </c>
      <c r="F2192" s="99">
        <v>1</v>
      </c>
      <c r="G2192" s="146"/>
      <c r="H2192" s="146"/>
      <c r="I2192" s="147"/>
      <c r="J2192" s="147"/>
      <c r="K2192" s="63"/>
      <c r="L2192" s="63"/>
      <c r="M2192" s="63"/>
      <c r="N2192" s="63"/>
      <c r="O2192" s="63"/>
      <c r="P2192" s="63"/>
      <c r="Q2192" s="63"/>
      <c r="R2192" s="63"/>
      <c r="S2192" s="63"/>
      <c r="T2192" s="63"/>
      <c r="U2192" s="63"/>
      <c r="V2192" s="63"/>
      <c r="W2192" s="63"/>
      <c r="X2192" s="63"/>
      <c r="Y2192" s="63"/>
      <c r="Z2192" s="63"/>
      <c r="AA2192" s="63"/>
      <c r="AB2192" s="63"/>
      <c r="AC2192" s="63"/>
    </row>
    <row r="2193" spans="1:29" x14ac:dyDescent="0.25">
      <c r="A2193" s="108">
        <v>46066</v>
      </c>
      <c r="B2193" s="109">
        <v>48</v>
      </c>
      <c r="C2193" s="49" t="s">
        <v>19</v>
      </c>
      <c r="D2193" s="110" t="str">
        <f>IF(ISBLANK($B2193),"",IFERROR(VLOOKUP($B2193,ESTOQUE!$B$2:$D$97168,3,FALSE),"Produto não cadastrado"))</f>
        <v>CALÇA CINZA OP. C/ FAIXA REFLETIVA TAM: M</v>
      </c>
      <c r="E2193" s="99" t="str">
        <f>_xlfn.XLOOKUP(B2193,ESTOQUE!B:B,ESTOQUE!G:G,"",0)</f>
        <v>UND</v>
      </c>
      <c r="F2193" s="99">
        <v>3</v>
      </c>
      <c r="G2193" s="146"/>
      <c r="H2193" s="146"/>
      <c r="I2193" s="147"/>
      <c r="J2193" s="147"/>
      <c r="K2193" s="63"/>
      <c r="L2193" s="63"/>
      <c r="M2193" s="63"/>
      <c r="N2193" s="63"/>
      <c r="O2193" s="63"/>
      <c r="P2193" s="63"/>
      <c r="Q2193" s="63"/>
      <c r="R2193" s="63"/>
      <c r="S2193" s="63"/>
      <c r="T2193" s="63"/>
      <c r="U2193" s="63"/>
      <c r="V2193" s="63"/>
      <c r="W2193" s="63"/>
      <c r="X2193" s="63"/>
      <c r="Y2193" s="63"/>
      <c r="Z2193" s="63"/>
      <c r="AA2193" s="63"/>
      <c r="AB2193" s="63"/>
      <c r="AC2193" s="63"/>
    </row>
    <row r="2194" spans="1:29" x14ac:dyDescent="0.25">
      <c r="A2194" s="108">
        <v>46066</v>
      </c>
      <c r="B2194" s="109">
        <v>49</v>
      </c>
      <c r="C2194" s="49" t="s">
        <v>19</v>
      </c>
      <c r="D2194" s="110" t="str">
        <f>IF(ISBLANK($B2194),"",IFERROR(VLOOKUP($B2194,ESTOQUE!$B$2:$D$97168,3,FALSE),"Produto não cadastrado"))</f>
        <v>CALÇA CINZA OP. C/ FAIXA REFLETIVA TAM: P</v>
      </c>
      <c r="E2194" s="99" t="str">
        <f>_xlfn.XLOOKUP(B2194,ESTOQUE!B:B,ESTOQUE!G:G,"",0)</f>
        <v>UND</v>
      </c>
      <c r="F2194" s="99">
        <v>4</v>
      </c>
      <c r="G2194" s="146"/>
      <c r="H2194" s="146"/>
      <c r="I2194" s="147"/>
      <c r="J2194" s="147"/>
      <c r="K2194" s="63"/>
      <c r="L2194" s="63"/>
      <c r="M2194" s="63"/>
      <c r="N2194" s="63"/>
      <c r="O2194" s="63"/>
      <c r="P2194" s="63"/>
      <c r="Q2194" s="63"/>
      <c r="R2194" s="63"/>
      <c r="S2194" s="63"/>
      <c r="T2194" s="63"/>
      <c r="U2194" s="63"/>
      <c r="V2194" s="63"/>
      <c r="W2194" s="63"/>
      <c r="X2194" s="63"/>
      <c r="Y2194" s="63"/>
      <c r="Z2194" s="63"/>
      <c r="AA2194" s="63"/>
      <c r="AB2194" s="63"/>
      <c r="AC2194" s="63"/>
    </row>
    <row r="2195" spans="1:29" x14ac:dyDescent="0.25">
      <c r="A2195" s="108">
        <v>46066</v>
      </c>
      <c r="B2195" s="109">
        <v>67</v>
      </c>
      <c r="C2195" s="49" t="s">
        <v>19</v>
      </c>
      <c r="D2195" s="110" t="str">
        <f>IF(ISBLANK($B2195),"",IFERROR(VLOOKUP($B2195,ESTOQUE!$B$2:$D$97168,3,FALSE),"Produto não cadastrado"))</f>
        <v>CAMISA LARANJA OP. C/ FAIXA REFLETIVA TAM: G</v>
      </c>
      <c r="E2195" s="99" t="str">
        <f>_xlfn.XLOOKUP(B2195,ESTOQUE!B:B,ESTOQUE!G:G,"",0)</f>
        <v>UND</v>
      </c>
      <c r="F2195" s="99">
        <v>2</v>
      </c>
      <c r="G2195" s="146"/>
      <c r="H2195" s="146"/>
      <c r="I2195" s="147"/>
      <c r="J2195" s="147"/>
      <c r="K2195" s="63"/>
      <c r="L2195" s="63"/>
      <c r="M2195" s="63"/>
      <c r="N2195" s="63"/>
      <c r="O2195" s="63"/>
      <c r="P2195" s="63"/>
      <c r="Q2195" s="63"/>
      <c r="R2195" s="63"/>
      <c r="S2195" s="63"/>
      <c r="T2195" s="63"/>
      <c r="U2195" s="63"/>
      <c r="V2195" s="63"/>
      <c r="W2195" s="63"/>
      <c r="X2195" s="63"/>
      <c r="Y2195" s="63"/>
      <c r="Z2195" s="63"/>
      <c r="AA2195" s="63"/>
      <c r="AB2195" s="63"/>
      <c r="AC2195" s="63"/>
    </row>
    <row r="2196" spans="1:29" x14ac:dyDescent="0.25">
      <c r="A2196" s="108">
        <v>46066</v>
      </c>
      <c r="B2196" s="109">
        <v>70</v>
      </c>
      <c r="C2196" s="49" t="s">
        <v>19</v>
      </c>
      <c r="D2196" s="110" t="str">
        <f>IF(ISBLANK($B2196),"",IFERROR(VLOOKUP($B2196,ESTOQUE!$B$2:$D$97168,3,FALSE),"Produto não cadastrado"))</f>
        <v>CAMISA LARANJA OP. C/ FAIXA REFLETIVA TAM: P</v>
      </c>
      <c r="E2196" s="99" t="str">
        <f>_xlfn.XLOOKUP(B2196,ESTOQUE!B:B,ESTOQUE!G:G,"",0)</f>
        <v>UND</v>
      </c>
      <c r="F2196" s="99">
        <v>2</v>
      </c>
      <c r="G2196" s="146"/>
      <c r="H2196" s="146"/>
      <c r="I2196" s="147"/>
      <c r="J2196" s="147"/>
      <c r="K2196" s="63"/>
      <c r="L2196" s="63"/>
      <c r="M2196" s="63"/>
      <c r="N2196" s="63"/>
      <c r="O2196" s="63"/>
      <c r="P2196" s="63"/>
      <c r="Q2196" s="63"/>
      <c r="R2196" s="63"/>
      <c r="S2196" s="63"/>
      <c r="T2196" s="63"/>
      <c r="U2196" s="63"/>
      <c r="V2196" s="63"/>
      <c r="W2196" s="63"/>
      <c r="X2196" s="63"/>
      <c r="Y2196" s="63"/>
      <c r="Z2196" s="63"/>
      <c r="AA2196" s="63"/>
      <c r="AB2196" s="63"/>
      <c r="AC2196" s="63"/>
    </row>
    <row r="2197" spans="1:29" x14ac:dyDescent="0.25">
      <c r="A2197" s="108">
        <v>46066</v>
      </c>
      <c r="B2197" s="109">
        <v>72</v>
      </c>
      <c r="C2197" s="49" t="s">
        <v>19</v>
      </c>
      <c r="D2197" s="110" t="str">
        <f>IF(ISBLANK($B2197),"",IFERROR(VLOOKUP($B2197,ESTOQUE!$B$2:$D$97168,3,FALSE),"Produto não cadastrado"))</f>
        <v>CAPA DE CHUVA G</v>
      </c>
      <c r="E2197" s="99" t="str">
        <f>_xlfn.XLOOKUP(B2197,ESTOQUE!B:B,ESTOQUE!G:G,"",0)</f>
        <v>UND</v>
      </c>
      <c r="F2197" s="99">
        <v>1</v>
      </c>
      <c r="G2197" s="146"/>
      <c r="H2197" s="146"/>
      <c r="I2197" s="147"/>
      <c r="J2197" s="147"/>
      <c r="K2197" s="63"/>
      <c r="L2197" s="63"/>
      <c r="M2197" s="63"/>
      <c r="N2197" s="63"/>
      <c r="O2197" s="63"/>
      <c r="P2197" s="63"/>
      <c r="Q2197" s="63"/>
      <c r="R2197" s="63"/>
      <c r="S2197" s="63"/>
      <c r="T2197" s="63"/>
      <c r="U2197" s="63"/>
      <c r="V2197" s="63"/>
      <c r="W2197" s="63"/>
      <c r="X2197" s="63"/>
      <c r="Y2197" s="63"/>
      <c r="Z2197" s="63"/>
      <c r="AA2197" s="63"/>
      <c r="AB2197" s="63"/>
      <c r="AC2197" s="63"/>
    </row>
    <row r="2198" spans="1:29" x14ac:dyDescent="0.25">
      <c r="A2198" s="108">
        <v>46066</v>
      </c>
      <c r="B2198" s="109">
        <v>73</v>
      </c>
      <c r="C2198" s="49" t="s">
        <v>19</v>
      </c>
      <c r="D2198" s="110" t="str">
        <f>IF(ISBLANK($B2198),"",IFERROR(VLOOKUP($B2198,ESTOQUE!$B$2:$D$97168,3,FALSE),"Produto não cadastrado"))</f>
        <v>CAPA DE CHUVA GG</v>
      </c>
      <c r="E2198" s="99" t="str">
        <f>_xlfn.XLOOKUP(B2198,ESTOQUE!B:B,ESTOQUE!G:G,"",0)</f>
        <v>UND</v>
      </c>
      <c r="F2198" s="99">
        <v>61</v>
      </c>
      <c r="G2198" s="146"/>
      <c r="H2198" s="146"/>
      <c r="I2198" s="147"/>
      <c r="J2198" s="147"/>
      <c r="K2198" s="63"/>
      <c r="L2198" s="63"/>
      <c r="M2198" s="63"/>
      <c r="N2198" s="63"/>
      <c r="O2198" s="63"/>
      <c r="P2198" s="63"/>
      <c r="Q2198" s="63"/>
      <c r="R2198" s="63"/>
      <c r="S2198" s="63"/>
      <c r="T2198" s="63"/>
      <c r="U2198" s="63"/>
      <c r="V2198" s="63"/>
      <c r="W2198" s="63"/>
      <c r="X2198" s="63"/>
      <c r="Y2198" s="63"/>
      <c r="Z2198" s="63"/>
      <c r="AA2198" s="63"/>
      <c r="AB2198" s="63"/>
      <c r="AC2198" s="63"/>
    </row>
    <row r="2199" spans="1:29" x14ac:dyDescent="0.25">
      <c r="A2199" s="108">
        <v>46066</v>
      </c>
      <c r="B2199" s="109">
        <v>110</v>
      </c>
      <c r="C2199" s="49" t="s">
        <v>19</v>
      </c>
      <c r="D2199" s="110" t="str">
        <f>IF(ISBLANK($B2199),"",IFERROR(VLOOKUP($B2199,ESTOQUE!$B$2:$D$97168,3,FALSE),"Produto não cadastrado"))</f>
        <v>LUVA DE RASPA CANO LONGO</v>
      </c>
      <c r="E2199" s="99" t="str">
        <f>_xlfn.XLOOKUP(B2199,ESTOQUE!B:B,ESTOQUE!G:G,"",0)</f>
        <v>PAR</v>
      </c>
      <c r="F2199" s="99">
        <v>15</v>
      </c>
      <c r="G2199" s="146"/>
      <c r="H2199" s="146"/>
      <c r="I2199" s="147"/>
      <c r="J2199" s="147"/>
      <c r="K2199" s="63"/>
      <c r="L2199" s="63"/>
      <c r="M2199" s="63"/>
      <c r="N2199" s="63"/>
      <c r="O2199" s="63"/>
      <c r="P2199" s="63"/>
      <c r="Q2199" s="63"/>
      <c r="R2199" s="63"/>
      <c r="S2199" s="63"/>
      <c r="T2199" s="63"/>
      <c r="U2199" s="63"/>
      <c r="V2199" s="63"/>
      <c r="W2199" s="63"/>
      <c r="X2199" s="63"/>
      <c r="Y2199" s="63"/>
      <c r="Z2199" s="63"/>
      <c r="AA2199" s="63"/>
      <c r="AB2199" s="63"/>
      <c r="AC2199" s="63"/>
    </row>
    <row r="2200" spans="1:29" x14ac:dyDescent="0.25">
      <c r="A2200" s="108">
        <v>46066</v>
      </c>
      <c r="B2200" s="109">
        <v>111</v>
      </c>
      <c r="C2200" s="49" t="s">
        <v>19</v>
      </c>
      <c r="D2200" s="110" t="str">
        <f>IF(ISBLANK($B2200),"",IFERROR(VLOOKUP($B2200,ESTOQUE!$B$2:$D$97168,3,FALSE),"Produto não cadastrado"))</f>
        <v>LUVA DE VAQUETA MARROM</v>
      </c>
      <c r="E2200" s="99" t="str">
        <f>_xlfn.XLOOKUP(B2200,ESTOQUE!B:B,ESTOQUE!G:G,"",0)</f>
        <v>PAR</v>
      </c>
      <c r="F2200" s="99">
        <v>1</v>
      </c>
      <c r="G2200" s="146"/>
      <c r="H2200" s="146"/>
      <c r="I2200" s="147"/>
      <c r="J2200" s="147"/>
      <c r="K2200" s="63"/>
      <c r="L2200" s="63"/>
      <c r="M2200" s="63"/>
      <c r="N2200" s="63"/>
      <c r="O2200" s="63"/>
      <c r="P2200" s="63"/>
      <c r="Q2200" s="63"/>
      <c r="R2200" s="63"/>
      <c r="S2200" s="63"/>
      <c r="T2200" s="63"/>
      <c r="U2200" s="63"/>
      <c r="V2200" s="63"/>
      <c r="W2200" s="63"/>
      <c r="X2200" s="63"/>
      <c r="Y2200" s="63"/>
      <c r="Z2200" s="63"/>
      <c r="AA2200" s="63"/>
      <c r="AB2200" s="63"/>
      <c r="AC2200" s="63"/>
    </row>
    <row r="2201" spans="1:29" x14ac:dyDescent="0.25">
      <c r="A2201" s="108">
        <v>46066</v>
      </c>
      <c r="B2201" s="109">
        <v>117</v>
      </c>
      <c r="C2201" s="49" t="s">
        <v>19</v>
      </c>
      <c r="D2201" s="110" t="str">
        <f>IF(ISBLANK($B2201),"",IFERROR(VLOOKUP($B2201,ESTOQUE!$B$2:$D$97168,3,FALSE),"Produto não cadastrado"))</f>
        <v>LUVA PIGMENTADA</v>
      </c>
      <c r="E2201" s="99" t="str">
        <f>_xlfn.XLOOKUP(B2201,ESTOQUE!B:B,ESTOQUE!G:G,"",0)</f>
        <v>PAR</v>
      </c>
      <c r="F2201" s="99">
        <v>28</v>
      </c>
      <c r="G2201" s="146"/>
      <c r="H2201" s="146"/>
      <c r="I2201" s="147"/>
      <c r="J2201" s="147"/>
      <c r="K2201" s="63"/>
      <c r="L2201" s="63"/>
      <c r="M2201" s="63"/>
      <c r="N2201" s="63"/>
      <c r="O2201" s="63"/>
      <c r="P2201" s="63"/>
      <c r="Q2201" s="63"/>
      <c r="R2201" s="63"/>
      <c r="S2201" s="63"/>
      <c r="T2201" s="63"/>
      <c r="U2201" s="63"/>
      <c r="V2201" s="63"/>
      <c r="W2201" s="63"/>
      <c r="X2201" s="63"/>
      <c r="Y2201" s="63"/>
      <c r="Z2201" s="63"/>
      <c r="AA2201" s="63"/>
      <c r="AB2201" s="63"/>
      <c r="AC2201" s="63"/>
    </row>
    <row r="2202" spans="1:29" x14ac:dyDescent="0.25">
      <c r="A2202" s="108">
        <v>46066</v>
      </c>
      <c r="B2202" s="109">
        <v>207</v>
      </c>
      <c r="C2202" s="49" t="s">
        <v>19</v>
      </c>
      <c r="D2202" s="110" t="str">
        <f>IF(ISBLANK($B2202),"",IFERROR(VLOOKUP($B2202,ESTOQUE!$B$2:$D$97168,3,FALSE),"Produto não cadastrado"))</f>
        <v>LUVA POLIESTER ANTICORTE BANHADA PU TAM 9</v>
      </c>
      <c r="E2202" s="99" t="str">
        <f>_xlfn.XLOOKUP(B2202,ESTOQUE!B:B,ESTOQUE!G:G,"",0)</f>
        <v>PAR</v>
      </c>
      <c r="F2202" s="99">
        <v>1</v>
      </c>
      <c r="G2202" s="146"/>
      <c r="H2202" s="146"/>
      <c r="I2202" s="147"/>
      <c r="J2202" s="147"/>
      <c r="K2202" s="63"/>
      <c r="L2202" s="63"/>
      <c r="M2202" s="63"/>
      <c r="N2202" s="63"/>
      <c r="O2202" s="63"/>
      <c r="P2202" s="63"/>
      <c r="Q2202" s="63"/>
      <c r="R2202" s="63"/>
      <c r="S2202" s="63"/>
      <c r="T2202" s="63"/>
      <c r="U2202" s="63"/>
      <c r="V2202" s="63"/>
      <c r="W2202" s="63"/>
      <c r="X2202" s="63"/>
      <c r="Y2202" s="63"/>
      <c r="Z2202" s="63"/>
      <c r="AA2202" s="63"/>
      <c r="AB2202" s="63"/>
      <c r="AC2202" s="63"/>
    </row>
    <row r="2203" spans="1:29" x14ac:dyDescent="0.25">
      <c r="A2203" s="108">
        <v>46066</v>
      </c>
      <c r="B2203" s="109">
        <v>116</v>
      </c>
      <c r="C2203" s="49" t="s">
        <v>19</v>
      </c>
      <c r="D2203" s="110" t="str">
        <f>IF(ISBLANK($B2203),"",IFERROR(VLOOKUP($B2203,ESTOQUE!$B$2:$D$97168,3,FALSE),"Produto não cadastrado"))</f>
        <v>LUVA PVC LINEA - CANO LONGO</v>
      </c>
      <c r="E2203" s="99" t="str">
        <f>_xlfn.XLOOKUP(B2203,ESTOQUE!B:B,ESTOQUE!G:G,"",0)</f>
        <v>PAR</v>
      </c>
      <c r="F2203" s="99">
        <v>1</v>
      </c>
      <c r="G2203" s="146"/>
      <c r="H2203" s="146"/>
      <c r="I2203" s="147"/>
      <c r="J2203" s="147"/>
      <c r="K2203" s="63"/>
      <c r="L2203" s="63"/>
      <c r="M2203" s="63"/>
      <c r="N2203" s="63"/>
      <c r="O2203" s="63"/>
      <c r="P2203" s="63"/>
      <c r="Q2203" s="63"/>
      <c r="R2203" s="63"/>
      <c r="S2203" s="63"/>
      <c r="T2203" s="63"/>
      <c r="U2203" s="63"/>
      <c r="V2203" s="63"/>
      <c r="W2203" s="63"/>
      <c r="X2203" s="63"/>
      <c r="Y2203" s="63"/>
      <c r="Z2203" s="63"/>
      <c r="AA2203" s="63"/>
      <c r="AB2203" s="63"/>
      <c r="AC2203" s="63"/>
    </row>
    <row r="2204" spans="1:29" x14ac:dyDescent="0.25">
      <c r="A2204" s="108">
        <v>46066</v>
      </c>
      <c r="B2204" s="109">
        <v>118</v>
      </c>
      <c r="C2204" s="49" t="s">
        <v>19</v>
      </c>
      <c r="D2204" s="110" t="str">
        <f>IF(ISBLANK($B2204),"",IFERROR(VLOOKUP($B2204,ESTOQUE!$B$2:$D$97168,3,FALSE),"Produto não cadastrado"))</f>
        <v>MACACÃO DE PROTEÇÃO TYVEK</v>
      </c>
      <c r="E2204" s="99" t="str">
        <f>_xlfn.XLOOKUP(B2204,ESTOQUE!B:B,ESTOQUE!G:G,"",0)</f>
        <v>UND</v>
      </c>
      <c r="F2204" s="99">
        <v>52</v>
      </c>
      <c r="G2204" s="146"/>
      <c r="H2204" s="146"/>
      <c r="I2204" s="147"/>
      <c r="J2204" s="147"/>
      <c r="K2204" s="63"/>
      <c r="L2204" s="63"/>
      <c r="M2204" s="63"/>
      <c r="N2204" s="63"/>
      <c r="O2204" s="63"/>
      <c r="P2204" s="63"/>
      <c r="Q2204" s="63"/>
      <c r="R2204" s="63"/>
      <c r="S2204" s="63"/>
      <c r="T2204" s="63"/>
      <c r="U2204" s="63"/>
      <c r="V2204" s="63"/>
      <c r="W2204" s="63"/>
      <c r="X2204" s="63"/>
      <c r="Y2204" s="63"/>
      <c r="Z2204" s="63"/>
      <c r="AA2204" s="63"/>
      <c r="AB2204" s="63"/>
      <c r="AC2204" s="63"/>
    </row>
    <row r="2205" spans="1:29" x14ac:dyDescent="0.25">
      <c r="A2205" s="108">
        <v>46066</v>
      </c>
      <c r="B2205" s="109">
        <v>144</v>
      </c>
      <c r="C2205" s="49" t="s">
        <v>19</v>
      </c>
      <c r="D2205" s="110" t="str">
        <f>IF(ISBLANK($B2205),"",IFERROR(VLOOKUP($B2205,ESTOQUE!$B$2:$D$97168,3,FALSE),"Produto não cadastrado"))</f>
        <v>MASCARA PFF2-S C/ FILTRO</v>
      </c>
      <c r="E2205" s="99" t="str">
        <f>_xlfn.XLOOKUP(B2205,ESTOQUE!B:B,ESTOQUE!G:G,"",0)</f>
        <v>UND</v>
      </c>
      <c r="F2205" s="99">
        <v>13</v>
      </c>
      <c r="G2205" s="146"/>
      <c r="H2205" s="146"/>
      <c r="I2205" s="147"/>
      <c r="J2205" s="147"/>
      <c r="K2205" s="63"/>
      <c r="L2205" s="63"/>
      <c r="M2205" s="63"/>
      <c r="N2205" s="63"/>
      <c r="O2205" s="63"/>
      <c r="P2205" s="63"/>
      <c r="Q2205" s="63"/>
      <c r="R2205" s="63"/>
      <c r="S2205" s="63"/>
      <c r="T2205" s="63"/>
      <c r="U2205" s="63"/>
      <c r="V2205" s="63"/>
      <c r="W2205" s="63"/>
      <c r="X2205" s="63"/>
      <c r="Y2205" s="63"/>
      <c r="Z2205" s="63"/>
      <c r="AA2205" s="63"/>
      <c r="AB2205" s="63"/>
      <c r="AC2205" s="63"/>
    </row>
    <row r="2206" spans="1:29" x14ac:dyDescent="0.25">
      <c r="A2206" s="108">
        <v>46066</v>
      </c>
      <c r="B2206" s="109">
        <v>126</v>
      </c>
      <c r="C2206" s="49" t="s">
        <v>19</v>
      </c>
      <c r="D2206" s="110" t="str">
        <f>IF(ISBLANK($B2206),"",IFERROR(VLOOKUP($B2206,ESTOQUE!$B$2:$D$97168,3,FALSE),"Produto não cadastrado"))</f>
        <v>OCULOS DE PROTEÇÃO ESCURO</v>
      </c>
      <c r="E2206" s="99" t="str">
        <f>_xlfn.XLOOKUP(B2206,ESTOQUE!B:B,ESTOQUE!G:G,"",0)</f>
        <v>UND</v>
      </c>
      <c r="F2206" s="99">
        <v>11</v>
      </c>
      <c r="G2206" s="146"/>
      <c r="H2206" s="146"/>
      <c r="I2206" s="147"/>
      <c r="J2206" s="147"/>
      <c r="K2206" s="63"/>
      <c r="L2206" s="63"/>
      <c r="M2206" s="63"/>
      <c r="N2206" s="63"/>
      <c r="O2206" s="63"/>
      <c r="P2206" s="63"/>
      <c r="Q2206" s="63"/>
      <c r="R2206" s="63"/>
      <c r="S2206" s="63"/>
      <c r="T2206" s="63"/>
      <c r="U2206" s="63"/>
      <c r="V2206" s="63"/>
      <c r="W2206" s="63"/>
      <c r="X2206" s="63"/>
      <c r="Y2206" s="63"/>
      <c r="Z2206" s="63"/>
      <c r="AA2206" s="63"/>
      <c r="AB2206" s="63"/>
      <c r="AC2206" s="63"/>
    </row>
    <row r="2207" spans="1:29" x14ac:dyDescent="0.25">
      <c r="A2207" s="108">
        <v>46066</v>
      </c>
      <c r="B2207" s="109">
        <v>130</v>
      </c>
      <c r="C2207" s="49" t="s">
        <v>19</v>
      </c>
      <c r="D2207" s="110" t="str">
        <f>IF(ISBLANK($B2207),"",IFERROR(VLOOKUP($B2207,ESTOQUE!$B$2:$D$97168,3,FALSE),"Produto não cadastrado"))</f>
        <v>PROTETOR AUDITIVO TIPO CONCHA L-300</v>
      </c>
      <c r="E2207" s="99" t="str">
        <f>_xlfn.XLOOKUP(B2207,ESTOQUE!B:B,ESTOQUE!G:G,"",0)</f>
        <v>UND</v>
      </c>
      <c r="F2207" s="99">
        <v>1</v>
      </c>
      <c r="G2207" s="146"/>
      <c r="H2207" s="146"/>
      <c r="I2207" s="147"/>
      <c r="J2207" s="147"/>
      <c r="K2207" s="63"/>
      <c r="L2207" s="63"/>
      <c r="M2207" s="63"/>
      <c r="N2207" s="63"/>
      <c r="O2207" s="63"/>
      <c r="P2207" s="63"/>
      <c r="Q2207" s="63"/>
      <c r="R2207" s="63"/>
      <c r="S2207" s="63"/>
      <c r="T2207" s="63"/>
      <c r="U2207" s="63"/>
      <c r="V2207" s="63"/>
      <c r="W2207" s="63"/>
      <c r="X2207" s="63"/>
      <c r="Y2207" s="63"/>
      <c r="Z2207" s="63"/>
      <c r="AA2207" s="63"/>
      <c r="AB2207" s="63"/>
      <c r="AC2207" s="63"/>
    </row>
    <row r="2208" spans="1:29" x14ac:dyDescent="0.25">
      <c r="A2208" s="108">
        <v>46066</v>
      </c>
      <c r="B2208" s="109">
        <v>139</v>
      </c>
      <c r="C2208" s="49" t="s">
        <v>19</v>
      </c>
      <c r="D2208" s="110" t="str">
        <f>IF(ISBLANK($B2208),"",IFERROR(VLOOKUP($B2208,ESTOQUE!$B$2:$D$97168,3,FALSE),"Produto não cadastrado"))</f>
        <v>PROTETOR AURICULAR TIPO PLUG</v>
      </c>
      <c r="E2208" s="99" t="str">
        <f>_xlfn.XLOOKUP(B2208,ESTOQUE!B:B,ESTOQUE!G:G,"",0)</f>
        <v>UND</v>
      </c>
      <c r="F2208" s="99">
        <v>11</v>
      </c>
      <c r="G2208" s="146"/>
      <c r="H2208" s="146"/>
      <c r="I2208" s="147"/>
      <c r="J2208" s="147"/>
      <c r="K2208" s="63"/>
      <c r="L2208" s="63"/>
      <c r="M2208" s="63"/>
      <c r="N2208" s="63"/>
      <c r="O2208" s="63"/>
      <c r="P2208" s="63"/>
      <c r="Q2208" s="63"/>
      <c r="R2208" s="63"/>
      <c r="S2208" s="63"/>
      <c r="T2208" s="63"/>
      <c r="U2208" s="63"/>
      <c r="V2208" s="63"/>
      <c r="W2208" s="63"/>
      <c r="X2208" s="63"/>
      <c r="Y2208" s="63"/>
      <c r="Z2208" s="63"/>
      <c r="AA2208" s="63"/>
      <c r="AB2208" s="63"/>
      <c r="AC2208" s="63"/>
    </row>
    <row r="2209" spans="1:29" x14ac:dyDescent="0.25">
      <c r="A2209" s="108">
        <v>46066</v>
      </c>
      <c r="B2209" s="109">
        <v>135</v>
      </c>
      <c r="C2209" s="49" t="s">
        <v>19</v>
      </c>
      <c r="D2209" s="110" t="str">
        <f>IF(ISBLANK($B2209),"",IFERROR(VLOOKUP($B2209,ESTOQUE!$B$2:$D$97168,3,FALSE),"Produto não cadastrado"))</f>
        <v>TALABARTE DUPLO TIPO Y</v>
      </c>
      <c r="E2209" s="99" t="str">
        <f>_xlfn.XLOOKUP(B2209,ESTOQUE!B:B,ESTOQUE!G:G,"",0)</f>
        <v>UND</v>
      </c>
      <c r="F2209" s="99">
        <v>1</v>
      </c>
      <c r="G2209" s="146"/>
      <c r="H2209" s="146"/>
      <c r="I2209" s="147"/>
      <c r="J2209" s="147"/>
      <c r="K2209" s="63"/>
      <c r="L2209" s="63"/>
      <c r="M2209" s="63"/>
      <c r="N2209" s="63"/>
      <c r="O2209" s="63"/>
      <c r="P2209" s="63"/>
      <c r="Q2209" s="63"/>
      <c r="R2209" s="63"/>
      <c r="S2209" s="63"/>
      <c r="T2209" s="63"/>
      <c r="U2209" s="63"/>
      <c r="V2209" s="63"/>
      <c r="W2209" s="63"/>
      <c r="X2209" s="63"/>
      <c r="Y2209" s="63"/>
      <c r="Z2209" s="63"/>
      <c r="AA2209" s="63"/>
      <c r="AB2209" s="63"/>
      <c r="AC2209" s="63"/>
    </row>
    <row r="2210" spans="1:29" x14ac:dyDescent="0.25">
      <c r="A2210" s="108">
        <v>46066</v>
      </c>
      <c r="B2210" s="109">
        <v>265</v>
      </c>
      <c r="C2210" s="49" t="s">
        <v>19</v>
      </c>
      <c r="D2210" s="110" t="str">
        <f>IF(ISBLANK($B2210),"",IFERROR(VLOOKUP($B2210,ESTOQUE!$B$2:$D$97168,3,FALSE),"Produto não cadastrado"))</f>
        <v xml:space="preserve">TALABARTE  DUPLO ARAMIDA </v>
      </c>
      <c r="E2210" s="99" t="str">
        <f>_xlfn.XLOOKUP(B2210,ESTOQUE!B:B,ESTOQUE!G:G,"",0)</f>
        <v>UND</v>
      </c>
      <c r="F2210" s="99">
        <v>1</v>
      </c>
      <c r="G2210" s="146"/>
      <c r="H2210" s="146"/>
      <c r="I2210" s="147"/>
      <c r="J2210" s="147"/>
      <c r="K2210" s="63"/>
      <c r="L2210" s="63"/>
      <c r="M2210" s="63"/>
      <c r="N2210" s="63"/>
      <c r="O2210" s="63"/>
      <c r="P2210" s="63"/>
      <c r="Q2210" s="63"/>
      <c r="R2210" s="63"/>
      <c r="S2210" s="63"/>
      <c r="T2210" s="63"/>
      <c r="U2210" s="63"/>
      <c r="V2210" s="63"/>
      <c r="W2210" s="63"/>
      <c r="X2210" s="63"/>
      <c r="Y2210" s="63"/>
      <c r="Z2210" s="63"/>
      <c r="AA2210" s="63"/>
      <c r="AB2210" s="63"/>
      <c r="AC2210" s="63"/>
    </row>
    <row r="2211" spans="1:29" x14ac:dyDescent="0.25">
      <c r="A2211" s="108">
        <v>46067</v>
      </c>
      <c r="B2211" s="109">
        <v>20</v>
      </c>
      <c r="C2211" s="49" t="s">
        <v>19</v>
      </c>
      <c r="D2211" s="110" t="str">
        <f>IF(ISBLANK($B2211),"",IFERROR(VLOOKUP($B2211,ESTOQUE!$B$2:$D$97168,3,FALSE),"Produto não cadastrado"))</f>
        <v>BOTA PVC CANO MEDIO Nº 41</v>
      </c>
      <c r="E2211" s="99" t="str">
        <f>_xlfn.XLOOKUP(B2211,ESTOQUE!B:B,ESTOQUE!G:G,"",0)</f>
        <v>PAR</v>
      </c>
      <c r="F2211" s="99">
        <v>1</v>
      </c>
      <c r="G2211" s="146"/>
      <c r="H2211" s="146"/>
      <c r="I2211" s="147"/>
      <c r="J2211" s="147"/>
      <c r="K2211" s="63"/>
      <c r="L2211" s="63"/>
      <c r="M2211" s="63"/>
      <c r="N2211" s="63"/>
      <c r="O2211" s="63"/>
      <c r="P2211" s="63"/>
      <c r="Q2211" s="63"/>
      <c r="R2211" s="63"/>
      <c r="S2211" s="63"/>
      <c r="T2211" s="63"/>
      <c r="U2211" s="63"/>
      <c r="V2211" s="63"/>
      <c r="W2211" s="63"/>
      <c r="X2211" s="63"/>
      <c r="Y2211" s="63"/>
      <c r="Z2211" s="63"/>
      <c r="AA2211" s="63"/>
      <c r="AB2211" s="63"/>
      <c r="AC2211" s="63"/>
    </row>
    <row r="2212" spans="1:29" x14ac:dyDescent="0.25">
      <c r="A2212" s="108">
        <v>46067</v>
      </c>
      <c r="B2212" s="109">
        <v>38</v>
      </c>
      <c r="C2212" s="49" t="s">
        <v>19</v>
      </c>
      <c r="D2212" s="110" t="str">
        <f>IF(ISBLANK($B2212),"",IFERROR(VLOOKUP($B2212,ESTOQUE!$B$2:$D$97168,3,FALSE),"Produto não cadastrado"))</f>
        <v>BOTINA OP. BICO PVC Nº 40</v>
      </c>
      <c r="E2212" s="99" t="str">
        <f>_xlfn.XLOOKUP(B2212,ESTOQUE!B:B,ESTOQUE!G:G,"",0)</f>
        <v>PAR</v>
      </c>
      <c r="F2212" s="99">
        <v>1</v>
      </c>
      <c r="G2212" s="146"/>
      <c r="H2212" s="146"/>
      <c r="I2212" s="147"/>
      <c r="J2212" s="147"/>
      <c r="K2212" s="63"/>
      <c r="L2212" s="63"/>
      <c r="M2212" s="63"/>
      <c r="N2212" s="63"/>
      <c r="O2212" s="63"/>
      <c r="P2212" s="63"/>
      <c r="Q2212" s="63"/>
      <c r="R2212" s="63"/>
      <c r="S2212" s="63"/>
      <c r="T2212" s="63"/>
      <c r="U2212" s="63"/>
      <c r="V2212" s="63"/>
      <c r="W2212" s="63"/>
      <c r="X2212" s="63"/>
      <c r="Y2212" s="63"/>
      <c r="Z2212" s="63"/>
      <c r="AA2212" s="63"/>
      <c r="AB2212" s="63"/>
      <c r="AC2212" s="63"/>
    </row>
    <row r="2213" spans="1:29" x14ac:dyDescent="0.25">
      <c r="A2213" s="108">
        <v>46067</v>
      </c>
      <c r="B2213" s="109">
        <v>39</v>
      </c>
      <c r="C2213" s="49" t="s">
        <v>19</v>
      </c>
      <c r="D2213" s="110" t="str">
        <f>IF(ISBLANK($B2213),"",IFERROR(VLOOKUP($B2213,ESTOQUE!$B$2:$D$97168,3,FALSE),"Produto não cadastrado"))</f>
        <v>BOTINA OP. BICO PVC Nº 41</v>
      </c>
      <c r="E2213" s="99" t="str">
        <f>_xlfn.XLOOKUP(B2213,ESTOQUE!B:B,ESTOQUE!G:G,"",0)</f>
        <v>PAR</v>
      </c>
      <c r="F2213" s="99">
        <v>2</v>
      </c>
      <c r="G2213" s="146"/>
      <c r="H2213" s="146"/>
      <c r="I2213" s="147"/>
      <c r="J2213" s="147"/>
      <c r="K2213" s="63"/>
      <c r="L2213" s="63"/>
      <c r="M2213" s="63"/>
      <c r="N2213" s="63"/>
      <c r="O2213" s="63"/>
      <c r="P2213" s="63"/>
      <c r="Q2213" s="63"/>
      <c r="R2213" s="63"/>
      <c r="S2213" s="63"/>
      <c r="T2213" s="63"/>
      <c r="U2213" s="63"/>
      <c r="V2213" s="63"/>
      <c r="W2213" s="63"/>
      <c r="X2213" s="63"/>
      <c r="Y2213" s="63"/>
      <c r="Z2213" s="63"/>
      <c r="AA2213" s="63"/>
      <c r="AB2213" s="63"/>
      <c r="AC2213" s="63"/>
    </row>
    <row r="2214" spans="1:29" x14ac:dyDescent="0.25">
      <c r="A2214" s="108">
        <v>46067</v>
      </c>
      <c r="B2214" s="109">
        <v>218</v>
      </c>
      <c r="C2214" s="49" t="s">
        <v>19</v>
      </c>
      <c r="D2214" s="110" t="str">
        <f>IF(ISBLANK($B2214),"",IFERROR(VLOOKUP($B2214,ESTOQUE!$B$2:$D$97168,3,FALSE),"Produto não cadastrado"))</f>
        <v>BOTINA SEGURANÇA METATARSO  41</v>
      </c>
      <c r="E2214" s="99" t="str">
        <f>_xlfn.XLOOKUP(B2214,ESTOQUE!B:B,ESTOQUE!G:G,"",0)</f>
        <v>PAR</v>
      </c>
      <c r="F2214" s="99">
        <v>1</v>
      </c>
      <c r="G2214" s="146"/>
      <c r="H2214" s="146"/>
      <c r="I2214" s="147"/>
      <c r="J2214" s="147"/>
      <c r="K2214" s="63"/>
      <c r="L2214" s="63"/>
      <c r="M2214" s="63"/>
      <c r="N2214" s="63"/>
      <c r="O2214" s="63"/>
      <c r="P2214" s="63"/>
      <c r="Q2214" s="63"/>
      <c r="R2214" s="63"/>
      <c r="S2214" s="63"/>
      <c r="T2214" s="63"/>
      <c r="U2214" s="63"/>
      <c r="V2214" s="63"/>
      <c r="W2214" s="63"/>
      <c r="X2214" s="63"/>
      <c r="Y2214" s="63"/>
      <c r="Z2214" s="63"/>
      <c r="AA2214" s="63"/>
      <c r="AB2214" s="63"/>
      <c r="AC2214" s="63"/>
    </row>
    <row r="2215" spans="1:29" x14ac:dyDescent="0.25">
      <c r="A2215" s="108">
        <v>46067</v>
      </c>
      <c r="B2215" s="109">
        <v>219</v>
      </c>
      <c r="C2215" s="49" t="s">
        <v>19</v>
      </c>
      <c r="D2215" s="110" t="str">
        <f>IF(ISBLANK($B2215),"",IFERROR(VLOOKUP($B2215,ESTOQUE!$B$2:$D$97168,3,FALSE),"Produto não cadastrado"))</f>
        <v>BOTINA SEGURANÇA METATARSO  42</v>
      </c>
      <c r="E2215" s="99" t="str">
        <f>_xlfn.XLOOKUP(B2215,ESTOQUE!B:B,ESTOQUE!G:G,"",0)</f>
        <v>PAR</v>
      </c>
      <c r="F2215" s="99">
        <v>1</v>
      </c>
      <c r="G2215" s="146"/>
      <c r="H2215" s="146"/>
      <c r="I2215" s="147"/>
      <c r="J2215" s="147"/>
      <c r="K2215" s="63"/>
      <c r="L2215" s="63"/>
      <c r="M2215" s="63"/>
      <c r="N2215" s="63"/>
      <c r="O2215" s="63"/>
      <c r="P2215" s="63"/>
      <c r="Q2215" s="63"/>
      <c r="R2215" s="63"/>
      <c r="S2215" s="63"/>
      <c r="T2215" s="63"/>
      <c r="U2215" s="63"/>
      <c r="V2215" s="63"/>
      <c r="W2215" s="63"/>
      <c r="X2215" s="63"/>
      <c r="Y2215" s="63"/>
      <c r="Z2215" s="63"/>
      <c r="AA2215" s="63"/>
      <c r="AB2215" s="63"/>
      <c r="AC2215" s="63"/>
    </row>
    <row r="2216" spans="1:29" x14ac:dyDescent="0.25">
      <c r="A2216" s="108">
        <v>46067</v>
      </c>
      <c r="B2216" s="109">
        <v>46</v>
      </c>
      <c r="C2216" s="49" t="s">
        <v>19</v>
      </c>
      <c r="D2216" s="110" t="str">
        <f>IF(ISBLANK($B2216),"",IFERROR(VLOOKUP($B2216,ESTOQUE!$B$2:$D$97168,3,FALSE),"Produto não cadastrado"))</f>
        <v>CALÇA CINZA OP. C/ FAIXA REFLETIVA TAM: G</v>
      </c>
      <c r="E2216" s="99" t="str">
        <f>_xlfn.XLOOKUP(B2216,ESTOQUE!B:B,ESTOQUE!G:G,"",0)</f>
        <v>UND</v>
      </c>
      <c r="F2216" s="99">
        <v>4</v>
      </c>
      <c r="G2216" s="146"/>
      <c r="H2216" s="146"/>
      <c r="I2216" s="147"/>
      <c r="J2216" s="147"/>
      <c r="K2216" s="63"/>
      <c r="L2216" s="63"/>
      <c r="M2216" s="63"/>
      <c r="N2216" s="63"/>
      <c r="O2216" s="63"/>
      <c r="P2216" s="63"/>
      <c r="Q2216" s="63"/>
      <c r="R2216" s="63"/>
      <c r="S2216" s="63"/>
      <c r="T2216" s="63"/>
      <c r="U2216" s="63"/>
      <c r="V2216" s="63"/>
      <c r="W2216" s="63"/>
      <c r="X2216" s="63"/>
      <c r="Y2216" s="63"/>
      <c r="Z2216" s="63"/>
      <c r="AA2216" s="63"/>
      <c r="AB2216" s="63"/>
      <c r="AC2216" s="63"/>
    </row>
    <row r="2217" spans="1:29" x14ac:dyDescent="0.25">
      <c r="A2217" s="108">
        <v>46067</v>
      </c>
      <c r="B2217" s="109">
        <v>47</v>
      </c>
      <c r="C2217" s="49" t="s">
        <v>19</v>
      </c>
      <c r="D2217" s="110" t="str">
        <f>IF(ISBLANK($B2217),"",IFERROR(VLOOKUP($B2217,ESTOQUE!$B$2:$D$97168,3,FALSE),"Produto não cadastrado"))</f>
        <v>CALÇA CINZA OP. C/ FAIXA REFLETIVA TAM: GG</v>
      </c>
      <c r="E2217" s="99" t="str">
        <f>_xlfn.XLOOKUP(B2217,ESTOQUE!B:B,ESTOQUE!G:G,"",0)</f>
        <v>UND</v>
      </c>
      <c r="F2217" s="99">
        <v>1</v>
      </c>
      <c r="G2217" s="146"/>
      <c r="H2217" s="146"/>
      <c r="I2217" s="147"/>
      <c r="J2217" s="147"/>
      <c r="K2217" s="63"/>
      <c r="L2217" s="63"/>
      <c r="M2217" s="63"/>
      <c r="N2217" s="63"/>
      <c r="O2217" s="63"/>
      <c r="P2217" s="63"/>
      <c r="Q2217" s="63"/>
      <c r="R2217" s="63"/>
      <c r="S2217" s="63"/>
      <c r="T2217" s="63"/>
      <c r="U2217" s="63"/>
      <c r="V2217" s="63"/>
      <c r="W2217" s="63"/>
      <c r="X2217" s="63"/>
      <c r="Y2217" s="63"/>
      <c r="Z2217" s="63"/>
      <c r="AA2217" s="63"/>
      <c r="AB2217" s="63"/>
      <c r="AC2217" s="63"/>
    </row>
    <row r="2218" spans="1:29" x14ac:dyDescent="0.25">
      <c r="A2218" s="108">
        <v>46067</v>
      </c>
      <c r="B2218" s="109">
        <v>48</v>
      </c>
      <c r="C2218" s="49" t="s">
        <v>19</v>
      </c>
      <c r="D2218" s="110" t="str">
        <f>IF(ISBLANK($B2218),"",IFERROR(VLOOKUP($B2218,ESTOQUE!$B$2:$D$97168,3,FALSE),"Produto não cadastrado"))</f>
        <v>CALÇA CINZA OP. C/ FAIXA REFLETIVA TAM: M</v>
      </c>
      <c r="E2218" s="99" t="str">
        <f>_xlfn.XLOOKUP(B2218,ESTOQUE!B:B,ESTOQUE!G:G,"",0)</f>
        <v>UND</v>
      </c>
      <c r="F2218" s="99">
        <v>3</v>
      </c>
      <c r="G2218" s="146"/>
      <c r="H2218" s="146"/>
      <c r="I2218" s="147"/>
      <c r="J2218" s="147"/>
      <c r="K2218" s="63"/>
      <c r="L2218" s="63"/>
      <c r="M2218" s="63"/>
      <c r="N2218" s="63"/>
      <c r="O2218" s="63"/>
      <c r="P2218" s="63"/>
      <c r="Q2218" s="63"/>
      <c r="R2218" s="63"/>
      <c r="S2218" s="63"/>
      <c r="T2218" s="63"/>
      <c r="U2218" s="63"/>
      <c r="V2218" s="63"/>
      <c r="W2218" s="63"/>
      <c r="X2218" s="63"/>
      <c r="Y2218" s="63"/>
      <c r="Z2218" s="63"/>
      <c r="AA2218" s="63"/>
      <c r="AB2218" s="63"/>
      <c r="AC2218" s="63"/>
    </row>
    <row r="2219" spans="1:29" x14ac:dyDescent="0.25">
      <c r="A2219" s="108">
        <v>46067</v>
      </c>
      <c r="B2219" s="109">
        <v>49</v>
      </c>
      <c r="C2219" s="49" t="s">
        <v>19</v>
      </c>
      <c r="D2219" s="110" t="str">
        <f>IF(ISBLANK($B2219),"",IFERROR(VLOOKUP($B2219,ESTOQUE!$B$2:$D$97168,3,FALSE),"Produto não cadastrado"))</f>
        <v>CALÇA CINZA OP. C/ FAIXA REFLETIVA TAM: P</v>
      </c>
      <c r="E2219" s="99" t="str">
        <f>_xlfn.XLOOKUP(B2219,ESTOQUE!B:B,ESTOQUE!G:G,"",0)</f>
        <v>UND</v>
      </c>
      <c r="F2219" s="99">
        <v>2</v>
      </c>
      <c r="G2219" s="146"/>
      <c r="H2219" s="146"/>
      <c r="I2219" s="147"/>
      <c r="J2219" s="147"/>
      <c r="K2219" s="63"/>
      <c r="L2219" s="63"/>
      <c r="M2219" s="63"/>
      <c r="N2219" s="63"/>
      <c r="O2219" s="63"/>
      <c r="P2219" s="63"/>
      <c r="Q2219" s="63"/>
      <c r="R2219" s="63"/>
      <c r="S2219" s="63"/>
      <c r="T2219" s="63"/>
      <c r="U2219" s="63"/>
      <c r="V2219" s="63"/>
      <c r="W2219" s="63"/>
      <c r="X2219" s="63"/>
      <c r="Y2219" s="63"/>
      <c r="Z2219" s="63"/>
      <c r="AA2219" s="63"/>
      <c r="AB2219" s="63"/>
      <c r="AC2219" s="63"/>
    </row>
    <row r="2220" spans="1:29" x14ac:dyDescent="0.25">
      <c r="A2220" s="108">
        <v>46067</v>
      </c>
      <c r="B2220" s="109">
        <v>67</v>
      </c>
      <c r="C2220" s="49" t="s">
        <v>19</v>
      </c>
      <c r="D2220" s="110" t="str">
        <f>IF(ISBLANK($B2220),"",IFERROR(VLOOKUP($B2220,ESTOQUE!$B$2:$D$97168,3,FALSE),"Produto não cadastrado"))</f>
        <v>CAMISA LARANJA OP. C/ FAIXA REFLETIVA TAM: G</v>
      </c>
      <c r="E2220" s="99" t="str">
        <f>_xlfn.XLOOKUP(B2220,ESTOQUE!B:B,ESTOQUE!G:G,"",0)</f>
        <v>UND</v>
      </c>
      <c r="F2220" s="99">
        <v>3</v>
      </c>
      <c r="G2220" s="146"/>
      <c r="H2220" s="146"/>
      <c r="I2220" s="147"/>
      <c r="J2220" s="147"/>
      <c r="K2220" s="63"/>
      <c r="L2220" s="63"/>
      <c r="M2220" s="63"/>
      <c r="N2220" s="63"/>
      <c r="O2220" s="63"/>
      <c r="P2220" s="63"/>
      <c r="Q2220" s="63"/>
      <c r="R2220" s="63"/>
      <c r="S2220" s="63"/>
      <c r="T2220" s="63"/>
      <c r="U2220" s="63"/>
      <c r="V2220" s="63"/>
      <c r="W2220" s="63"/>
      <c r="X2220" s="63"/>
      <c r="Y2220" s="63"/>
      <c r="Z2220" s="63"/>
      <c r="AA2220" s="63"/>
      <c r="AB2220" s="63"/>
      <c r="AC2220" s="63"/>
    </row>
    <row r="2221" spans="1:29" x14ac:dyDescent="0.25">
      <c r="A2221" s="108">
        <v>46067</v>
      </c>
      <c r="B2221" s="109">
        <v>68</v>
      </c>
      <c r="C2221" s="49" t="s">
        <v>19</v>
      </c>
      <c r="D2221" s="110" t="str">
        <f>IF(ISBLANK($B2221),"",IFERROR(VLOOKUP($B2221,ESTOQUE!$B$2:$D$97168,3,FALSE),"Produto não cadastrado"))</f>
        <v>CAMISA LARANJA OP. C/ FAIXA REFLETIVA TAM: GG</v>
      </c>
      <c r="E2221" s="99" t="str">
        <f>_xlfn.XLOOKUP(B2221,ESTOQUE!B:B,ESTOQUE!G:G,"",0)</f>
        <v>UND</v>
      </c>
      <c r="F2221" s="99">
        <v>1</v>
      </c>
      <c r="G2221" s="146"/>
      <c r="H2221" s="146"/>
      <c r="I2221" s="147"/>
      <c r="J2221" s="147"/>
      <c r="K2221" s="63"/>
      <c r="L2221" s="63"/>
      <c r="M2221" s="63"/>
      <c r="N2221" s="63"/>
      <c r="O2221" s="63"/>
      <c r="P2221" s="63"/>
      <c r="Q2221" s="63"/>
      <c r="R2221" s="63"/>
      <c r="S2221" s="63"/>
      <c r="T2221" s="63"/>
      <c r="U2221" s="63"/>
      <c r="V2221" s="63"/>
      <c r="W2221" s="63"/>
      <c r="X2221" s="63"/>
      <c r="Y2221" s="63"/>
      <c r="Z2221" s="63"/>
      <c r="AA2221" s="63"/>
      <c r="AB2221" s="63"/>
      <c r="AC2221" s="63"/>
    </row>
    <row r="2222" spans="1:29" x14ac:dyDescent="0.25">
      <c r="A2222" s="108">
        <v>46067</v>
      </c>
      <c r="B2222" s="109">
        <v>69</v>
      </c>
      <c r="C2222" s="49" t="s">
        <v>19</v>
      </c>
      <c r="D2222" s="110" t="str">
        <f>IF(ISBLANK($B2222),"",IFERROR(VLOOKUP($B2222,ESTOQUE!$B$2:$D$97168,3,FALSE),"Produto não cadastrado"))</f>
        <v>CAMISA LARANJA OP. C/ FAIXA REFLETIVA TAM: M</v>
      </c>
      <c r="E2222" s="99" t="str">
        <f>_xlfn.XLOOKUP(B2222,ESTOQUE!B:B,ESTOQUE!G:G,"",0)</f>
        <v>UND</v>
      </c>
      <c r="F2222" s="99">
        <v>1</v>
      </c>
      <c r="G2222" s="146"/>
      <c r="H2222" s="146"/>
      <c r="I2222" s="147"/>
      <c r="J2222" s="147"/>
      <c r="K2222" s="63"/>
      <c r="L2222" s="63"/>
      <c r="M2222" s="63"/>
      <c r="N2222" s="63"/>
      <c r="O2222" s="63"/>
      <c r="P2222" s="63"/>
      <c r="Q2222" s="63"/>
      <c r="R2222" s="63"/>
      <c r="S2222" s="63"/>
      <c r="T2222" s="63"/>
      <c r="U2222" s="63"/>
      <c r="V2222" s="63"/>
      <c r="W2222" s="63"/>
      <c r="X2222" s="63"/>
      <c r="Y2222" s="63"/>
      <c r="Z2222" s="63"/>
      <c r="AA2222" s="63"/>
      <c r="AB2222" s="63"/>
      <c r="AC2222" s="63"/>
    </row>
    <row r="2223" spans="1:29" x14ac:dyDescent="0.25">
      <c r="A2223" s="108">
        <v>46067</v>
      </c>
      <c r="B2223" s="109">
        <v>111</v>
      </c>
      <c r="C2223" s="49" t="s">
        <v>19</v>
      </c>
      <c r="D2223" s="110" t="str">
        <f>IF(ISBLANK($B2223),"",IFERROR(VLOOKUP($B2223,ESTOQUE!$B$2:$D$97168,3,FALSE),"Produto não cadastrado"))</f>
        <v>LUVA DE VAQUETA MARROM</v>
      </c>
      <c r="E2223" s="99" t="str">
        <f>_xlfn.XLOOKUP(B2223,ESTOQUE!B:B,ESTOQUE!G:G,"",0)</f>
        <v>PAR</v>
      </c>
      <c r="F2223" s="99">
        <v>1</v>
      </c>
      <c r="G2223" s="146"/>
      <c r="H2223" s="146"/>
      <c r="I2223" s="147"/>
      <c r="J2223" s="147"/>
      <c r="K2223" s="63"/>
      <c r="L2223" s="63"/>
      <c r="M2223" s="63"/>
      <c r="N2223" s="63"/>
      <c r="O2223" s="63"/>
      <c r="P2223" s="63"/>
      <c r="Q2223" s="63"/>
      <c r="R2223" s="63"/>
      <c r="S2223" s="63"/>
      <c r="T2223" s="63"/>
      <c r="U2223" s="63"/>
      <c r="V2223" s="63"/>
      <c r="W2223" s="63"/>
      <c r="X2223" s="63"/>
      <c r="Y2223" s="63"/>
      <c r="Z2223" s="63"/>
      <c r="AA2223" s="63"/>
      <c r="AB2223" s="63"/>
      <c r="AC2223" s="63"/>
    </row>
    <row r="2224" spans="1:29" x14ac:dyDescent="0.25">
      <c r="A2224" s="108">
        <v>46067</v>
      </c>
      <c r="B2224" s="109">
        <v>117</v>
      </c>
      <c r="C2224" s="49" t="s">
        <v>19</v>
      </c>
      <c r="D2224" s="110" t="str">
        <f>IF(ISBLANK($B2224),"",IFERROR(VLOOKUP($B2224,ESTOQUE!$B$2:$D$97168,3,FALSE),"Produto não cadastrado"))</f>
        <v>LUVA PIGMENTADA</v>
      </c>
      <c r="E2224" s="99" t="str">
        <f>_xlfn.XLOOKUP(B2224,ESTOQUE!B:B,ESTOQUE!G:G,"",0)</f>
        <v>PAR</v>
      </c>
      <c r="F2224" s="99">
        <v>56</v>
      </c>
      <c r="G2224" s="146"/>
      <c r="H2224" s="146"/>
      <c r="I2224" s="147"/>
      <c r="J2224" s="147"/>
      <c r="K2224" s="63"/>
      <c r="L2224" s="63"/>
      <c r="M2224" s="63"/>
      <c r="N2224" s="63"/>
      <c r="O2224" s="63"/>
      <c r="P2224" s="63"/>
      <c r="Q2224" s="63"/>
      <c r="R2224" s="63"/>
      <c r="S2224" s="63"/>
      <c r="T2224" s="63"/>
      <c r="U2224" s="63"/>
      <c r="V2224" s="63"/>
      <c r="W2224" s="63"/>
      <c r="X2224" s="63"/>
      <c r="Y2224" s="63"/>
      <c r="Z2224" s="63"/>
      <c r="AA2224" s="63"/>
      <c r="AB2224" s="63"/>
      <c r="AC2224" s="63"/>
    </row>
    <row r="2225" spans="1:29" x14ac:dyDescent="0.25">
      <c r="A2225" s="108">
        <v>46067</v>
      </c>
      <c r="B2225" s="109">
        <v>207</v>
      </c>
      <c r="C2225" s="49" t="s">
        <v>19</v>
      </c>
      <c r="D2225" s="110" t="str">
        <f>IF(ISBLANK($B2225),"",IFERROR(VLOOKUP($B2225,ESTOQUE!$B$2:$D$97168,3,FALSE),"Produto não cadastrado"))</f>
        <v>LUVA POLIESTER ANTICORTE BANHADA PU TAM 9</v>
      </c>
      <c r="E2225" s="99" t="str">
        <f>_xlfn.XLOOKUP(B2225,ESTOQUE!B:B,ESTOQUE!G:G,"",0)</f>
        <v>PAR</v>
      </c>
      <c r="F2225" s="99">
        <v>62</v>
      </c>
      <c r="G2225" s="146"/>
      <c r="H2225" s="146"/>
      <c r="I2225" s="147"/>
      <c r="J2225" s="147"/>
      <c r="K2225" s="63"/>
      <c r="L2225" s="63"/>
      <c r="M2225" s="63"/>
      <c r="N2225" s="63"/>
      <c r="O2225" s="63"/>
      <c r="P2225" s="63"/>
      <c r="Q2225" s="63"/>
      <c r="R2225" s="63"/>
      <c r="S2225" s="63"/>
      <c r="T2225" s="63"/>
      <c r="U2225" s="63"/>
      <c r="V2225" s="63"/>
      <c r="W2225" s="63"/>
      <c r="X2225" s="63"/>
      <c r="Y2225" s="63"/>
      <c r="Z2225" s="63"/>
      <c r="AA2225" s="63"/>
      <c r="AB2225" s="63"/>
      <c r="AC2225" s="63"/>
    </row>
    <row r="2226" spans="1:29" x14ac:dyDescent="0.25">
      <c r="A2226" s="108">
        <v>46067</v>
      </c>
      <c r="B2226" s="109">
        <v>118</v>
      </c>
      <c r="C2226" s="49" t="s">
        <v>19</v>
      </c>
      <c r="D2226" s="110" t="str">
        <f>IF(ISBLANK($B2226),"",IFERROR(VLOOKUP($B2226,ESTOQUE!$B$2:$D$97168,3,FALSE),"Produto não cadastrado"))</f>
        <v>MACACÃO DE PROTEÇÃO TYVEK</v>
      </c>
      <c r="E2226" s="99" t="str">
        <f>_xlfn.XLOOKUP(B2226,ESTOQUE!B:B,ESTOQUE!G:G,"",0)</f>
        <v>UND</v>
      </c>
      <c r="F2226" s="99">
        <v>51</v>
      </c>
      <c r="G2226" s="146"/>
      <c r="H2226" s="146"/>
      <c r="I2226" s="147"/>
      <c r="J2226" s="147"/>
      <c r="K2226" s="63"/>
      <c r="L2226" s="63"/>
      <c r="M2226" s="63"/>
      <c r="N2226" s="63"/>
      <c r="O2226" s="63"/>
      <c r="P2226" s="63"/>
      <c r="Q2226" s="63"/>
      <c r="R2226" s="63"/>
      <c r="S2226" s="63"/>
      <c r="T2226" s="63"/>
      <c r="U2226" s="63"/>
      <c r="V2226" s="63"/>
      <c r="W2226" s="63"/>
      <c r="X2226" s="63"/>
      <c r="Y2226" s="63"/>
      <c r="Z2226" s="63"/>
      <c r="AA2226" s="63"/>
      <c r="AB2226" s="63"/>
      <c r="AC2226" s="63"/>
    </row>
    <row r="2227" spans="1:29" x14ac:dyDescent="0.25">
      <c r="A2227" s="108">
        <v>46067</v>
      </c>
      <c r="B2227" s="109">
        <v>144</v>
      </c>
      <c r="C2227" s="49" t="s">
        <v>19</v>
      </c>
      <c r="D2227" s="110" t="str">
        <f>IF(ISBLANK($B2227),"",IFERROR(VLOOKUP($B2227,ESTOQUE!$B$2:$D$97168,3,FALSE),"Produto não cadastrado"))</f>
        <v>MASCARA PFF2-S C/ FILTRO</v>
      </c>
      <c r="E2227" s="99" t="str">
        <f>_xlfn.XLOOKUP(B2227,ESTOQUE!B:B,ESTOQUE!G:G,"",0)</f>
        <v>UND</v>
      </c>
      <c r="F2227" s="99">
        <v>51</v>
      </c>
      <c r="G2227" s="146"/>
      <c r="H2227" s="146"/>
      <c r="I2227" s="147"/>
      <c r="J2227" s="147"/>
      <c r="K2227" s="63"/>
      <c r="L2227" s="63"/>
      <c r="M2227" s="63"/>
      <c r="N2227" s="63"/>
      <c r="O2227" s="63"/>
      <c r="P2227" s="63"/>
      <c r="Q2227" s="63"/>
      <c r="R2227" s="63"/>
      <c r="S2227" s="63"/>
      <c r="T2227" s="63"/>
      <c r="U2227" s="63"/>
      <c r="V2227" s="63"/>
      <c r="W2227" s="63"/>
      <c r="X2227" s="63"/>
      <c r="Y2227" s="63"/>
      <c r="Z2227" s="63"/>
      <c r="AA2227" s="63"/>
      <c r="AB2227" s="63"/>
      <c r="AC2227" s="63"/>
    </row>
    <row r="2228" spans="1:29" x14ac:dyDescent="0.25">
      <c r="A2228" s="108">
        <v>46067</v>
      </c>
      <c r="B2228" s="109">
        <v>126</v>
      </c>
      <c r="C2228" s="49" t="s">
        <v>19</v>
      </c>
      <c r="D2228" s="110" t="str">
        <f>IF(ISBLANK($B2228),"",IFERROR(VLOOKUP($B2228,ESTOQUE!$B$2:$D$97168,3,FALSE),"Produto não cadastrado"))</f>
        <v>OCULOS DE PROTEÇÃO ESCURO</v>
      </c>
      <c r="E2228" s="99" t="str">
        <f>_xlfn.XLOOKUP(B2228,ESTOQUE!B:B,ESTOQUE!G:G,"",0)</f>
        <v>UND</v>
      </c>
      <c r="F2228" s="99">
        <v>1</v>
      </c>
      <c r="G2228" s="146"/>
      <c r="H2228" s="146"/>
      <c r="I2228" s="147"/>
      <c r="J2228" s="147"/>
      <c r="K2228" s="63"/>
      <c r="L2228" s="63"/>
      <c r="M2228" s="63"/>
      <c r="N2228" s="63"/>
      <c r="O2228" s="63"/>
      <c r="P2228" s="63"/>
      <c r="Q2228" s="63"/>
      <c r="R2228" s="63"/>
      <c r="S2228" s="63"/>
      <c r="T2228" s="63"/>
      <c r="U2228" s="63"/>
      <c r="V2228" s="63"/>
      <c r="W2228" s="63"/>
      <c r="X2228" s="63"/>
      <c r="Y2228" s="63"/>
      <c r="Z2228" s="63"/>
      <c r="AA2228" s="63"/>
      <c r="AB2228" s="63"/>
      <c r="AC2228" s="63"/>
    </row>
    <row r="2229" spans="1:29" x14ac:dyDescent="0.25">
      <c r="A2229" s="108">
        <v>46067</v>
      </c>
      <c r="B2229" s="109">
        <v>124</v>
      </c>
      <c r="C2229" s="49" t="s">
        <v>19</v>
      </c>
      <c r="D2229" s="110" t="str">
        <f>IF(ISBLANK($B2229),"",IFERROR(VLOOKUP($B2229,ESTOQUE!$B$2:$D$97168,3,FALSE),"Produto não cadastrado"))</f>
        <v xml:space="preserve">OCULOS DE PROTEÇÃO INCOLOR </v>
      </c>
      <c r="E2229" s="99" t="str">
        <f>_xlfn.XLOOKUP(B2229,ESTOQUE!B:B,ESTOQUE!G:G,"",0)</f>
        <v>UND</v>
      </c>
      <c r="F2229" s="99">
        <v>20</v>
      </c>
      <c r="G2229" s="146"/>
      <c r="H2229" s="146"/>
      <c r="I2229" s="147"/>
      <c r="J2229" s="147"/>
      <c r="K2229" s="63"/>
      <c r="L2229" s="63"/>
      <c r="M2229" s="63"/>
      <c r="N2229" s="63"/>
      <c r="O2229" s="63"/>
      <c r="P2229" s="63"/>
      <c r="Q2229" s="63"/>
      <c r="R2229" s="63"/>
      <c r="S2229" s="63"/>
      <c r="T2229" s="63"/>
      <c r="U2229" s="63"/>
      <c r="V2229" s="63"/>
      <c r="W2229" s="63"/>
      <c r="X2229" s="63"/>
      <c r="Y2229" s="63"/>
      <c r="Z2229" s="63"/>
      <c r="AA2229" s="63"/>
      <c r="AB2229" s="63"/>
      <c r="AC2229" s="63"/>
    </row>
    <row r="2230" spans="1:29" x14ac:dyDescent="0.25">
      <c r="A2230" s="108">
        <v>46067</v>
      </c>
      <c r="B2230" s="109">
        <v>135</v>
      </c>
      <c r="C2230" s="49" t="s">
        <v>19</v>
      </c>
      <c r="D2230" s="110" t="str">
        <f>IF(ISBLANK($B2230),"",IFERROR(VLOOKUP($B2230,ESTOQUE!$B$2:$D$97168,3,FALSE),"Produto não cadastrado"))</f>
        <v>TALABARTE DUPLO TIPO Y</v>
      </c>
      <c r="E2230" s="99" t="str">
        <f>_xlfn.XLOOKUP(B2230,ESTOQUE!B:B,ESTOQUE!G:G,"",0)</f>
        <v>UND</v>
      </c>
      <c r="F2230" s="99">
        <v>1</v>
      </c>
      <c r="G2230" s="146"/>
      <c r="H2230" s="146"/>
      <c r="I2230" s="147"/>
      <c r="J2230" s="147"/>
      <c r="K2230" s="63"/>
      <c r="L2230" s="63"/>
      <c r="M2230" s="63"/>
      <c r="N2230" s="63"/>
      <c r="O2230" s="63"/>
      <c r="P2230" s="63"/>
      <c r="Q2230" s="63"/>
      <c r="R2230" s="63"/>
      <c r="S2230" s="63"/>
      <c r="T2230" s="63"/>
      <c r="U2230" s="63"/>
      <c r="V2230" s="63"/>
      <c r="W2230" s="63"/>
      <c r="X2230" s="63"/>
      <c r="Y2230" s="63"/>
      <c r="Z2230" s="63"/>
      <c r="AA2230" s="63"/>
      <c r="AB2230" s="63"/>
      <c r="AC2230" s="63"/>
    </row>
    <row r="2231" spans="1:29" x14ac:dyDescent="0.25">
      <c r="A2231" s="108">
        <v>46067</v>
      </c>
      <c r="B2231" s="109">
        <v>202</v>
      </c>
      <c r="C2231" s="49" t="s">
        <v>19</v>
      </c>
      <c r="D2231" s="110" t="str">
        <f>IF(ISBLANK($B2231),"",IFERROR(VLOOKUP($B2231,ESTOQUE!$B$2:$D$97168,3,FALSE),"Produto não cadastrado"))</f>
        <v>CALÇA DE ELETRICISTA NR.10 TAM: M</v>
      </c>
      <c r="E2231" s="99" t="str">
        <f>_xlfn.XLOOKUP(B2231,ESTOQUE!B:B,ESTOQUE!G:G,"",0)</f>
        <v>UND</v>
      </c>
      <c r="F2231" s="99">
        <v>1</v>
      </c>
      <c r="G2231" s="146"/>
      <c r="H2231" s="146"/>
      <c r="I2231" s="147"/>
      <c r="J2231" s="147"/>
      <c r="K2231" s="63"/>
      <c r="L2231" s="63"/>
      <c r="M2231" s="63"/>
      <c r="N2231" s="63"/>
      <c r="O2231" s="63"/>
      <c r="P2231" s="63"/>
      <c r="Q2231" s="63"/>
      <c r="R2231" s="63"/>
      <c r="S2231" s="63"/>
      <c r="T2231" s="63"/>
      <c r="U2231" s="63"/>
      <c r="V2231" s="63"/>
      <c r="W2231" s="63"/>
      <c r="X2231" s="63"/>
      <c r="Y2231" s="63"/>
      <c r="Z2231" s="63"/>
      <c r="AA2231" s="63"/>
      <c r="AB2231" s="63"/>
      <c r="AC2231" s="63"/>
    </row>
    <row r="2232" spans="1:29" x14ac:dyDescent="0.25">
      <c r="A2232" s="108">
        <v>46067</v>
      </c>
      <c r="B2232" s="109">
        <v>184</v>
      </c>
      <c r="C2232" s="49" t="s">
        <v>19</v>
      </c>
      <c r="D2232" s="110" t="str">
        <f>IF(ISBLANK($B2232),"",IFERROR(VLOOKUP($B2232,ESTOQUE!$B$2:$D$97168,3,FALSE),"Produto não cadastrado"))</f>
        <v>CAMISA DE ELETRICISTA NR.10 TAM: M</v>
      </c>
      <c r="E2232" s="99" t="str">
        <f>_xlfn.XLOOKUP(B2232,ESTOQUE!B:B,ESTOQUE!G:G,"",0)</f>
        <v>UND</v>
      </c>
      <c r="F2232" s="99">
        <v>1</v>
      </c>
      <c r="G2232" s="146"/>
      <c r="H2232" s="146"/>
      <c r="I2232" s="147"/>
      <c r="J2232" s="147"/>
      <c r="K2232" s="63"/>
      <c r="L2232" s="63"/>
      <c r="M2232" s="63"/>
      <c r="N2232" s="63"/>
      <c r="O2232" s="63"/>
      <c r="P2232" s="63"/>
      <c r="Q2232" s="63"/>
      <c r="R2232" s="63"/>
      <c r="S2232" s="63"/>
      <c r="T2232" s="63"/>
      <c r="U2232" s="63"/>
      <c r="V2232" s="63"/>
      <c r="W2232" s="63"/>
      <c r="X2232" s="63"/>
      <c r="Y2232" s="63"/>
      <c r="Z2232" s="63"/>
      <c r="AA2232" s="63"/>
      <c r="AB2232" s="63"/>
      <c r="AC2232" s="63"/>
    </row>
    <row r="2233" spans="1:29" x14ac:dyDescent="0.25">
      <c r="A2233" s="108">
        <v>46069</v>
      </c>
      <c r="B2233" s="109">
        <v>7</v>
      </c>
      <c r="C2233" s="49" t="s">
        <v>19</v>
      </c>
      <c r="D2233" s="110" t="str">
        <f>IF(ISBLANK($B2233),"",IFERROR(VLOOKUP($B2233,ESTOQUE!$B$2:$D$97168,3,FALSE),"Produto não cadastrado"))</f>
        <v>BOTA PVC CANO LONGO Nº 39</v>
      </c>
      <c r="E2233" s="99" t="str">
        <f>_xlfn.XLOOKUP(B2233,ESTOQUE!B:B,ESTOQUE!G:G,"",0)</f>
        <v>PAR</v>
      </c>
      <c r="F2233" s="99">
        <v>1</v>
      </c>
      <c r="G2233" s="146"/>
      <c r="H2233" s="146"/>
      <c r="I2233" s="147"/>
      <c r="J2233" s="147"/>
      <c r="K2233" s="63"/>
      <c r="L2233" s="63"/>
      <c r="M2233" s="63"/>
      <c r="N2233" s="63"/>
      <c r="O2233" s="63"/>
      <c r="P2233" s="63"/>
      <c r="Q2233" s="63"/>
      <c r="R2233" s="63"/>
      <c r="S2233" s="63"/>
      <c r="T2233" s="63"/>
      <c r="U2233" s="63"/>
      <c r="V2233" s="63"/>
      <c r="W2233" s="63"/>
      <c r="X2233" s="63"/>
      <c r="Y2233" s="63"/>
      <c r="Z2233" s="63"/>
      <c r="AA2233" s="63"/>
      <c r="AB2233" s="63"/>
      <c r="AC2233" s="63"/>
    </row>
    <row r="2234" spans="1:29" x14ac:dyDescent="0.25">
      <c r="A2234" s="108">
        <v>46069</v>
      </c>
      <c r="B2234" s="109">
        <v>8</v>
      </c>
      <c r="C2234" s="49" t="s">
        <v>19</v>
      </c>
      <c r="D2234" s="110" t="str">
        <f>IF(ISBLANK($B2234),"",IFERROR(VLOOKUP($B2234,ESTOQUE!$B$2:$D$97168,3,FALSE),"Produto não cadastrado"))</f>
        <v>BOTA PVC CANO LONGO Nº 40</v>
      </c>
      <c r="E2234" s="99" t="str">
        <f>_xlfn.XLOOKUP(B2234,ESTOQUE!B:B,ESTOQUE!G:G,"",0)</f>
        <v>PAR</v>
      </c>
      <c r="F2234" s="99">
        <v>2</v>
      </c>
      <c r="G2234" s="146"/>
      <c r="H2234" s="146"/>
      <c r="I2234" s="147"/>
      <c r="J2234" s="147"/>
      <c r="K2234" s="63"/>
      <c r="L2234" s="63"/>
      <c r="M2234" s="63"/>
      <c r="N2234" s="63"/>
      <c r="O2234" s="63"/>
      <c r="P2234" s="63"/>
      <c r="Q2234" s="63"/>
      <c r="R2234" s="63"/>
      <c r="S2234" s="63"/>
      <c r="T2234" s="63"/>
      <c r="U2234" s="63"/>
      <c r="V2234" s="63"/>
      <c r="W2234" s="63"/>
      <c r="X2234" s="63"/>
      <c r="Y2234" s="63"/>
      <c r="Z2234" s="63"/>
      <c r="AA2234" s="63"/>
      <c r="AB2234" s="63"/>
      <c r="AC2234" s="63"/>
    </row>
    <row r="2235" spans="1:29" x14ac:dyDescent="0.25">
      <c r="A2235" s="108">
        <v>46069</v>
      </c>
      <c r="B2235" s="109">
        <v>9</v>
      </c>
      <c r="C2235" s="49" t="s">
        <v>19</v>
      </c>
      <c r="D2235" s="110" t="str">
        <f>IF(ISBLANK($B2235),"",IFERROR(VLOOKUP($B2235,ESTOQUE!$B$2:$D$97168,3,FALSE),"Produto não cadastrado"))</f>
        <v>BOTA PVC CANO LONGO Nº 41</v>
      </c>
      <c r="E2235" s="99" t="str">
        <f>_xlfn.XLOOKUP(B2235,ESTOQUE!B:B,ESTOQUE!G:G,"",0)</f>
        <v>PAR</v>
      </c>
      <c r="F2235" s="99">
        <v>1</v>
      </c>
      <c r="G2235" s="146"/>
      <c r="H2235" s="146"/>
      <c r="I2235" s="147"/>
      <c r="J2235" s="147"/>
      <c r="K2235" s="63"/>
      <c r="L2235" s="63"/>
      <c r="M2235" s="63"/>
      <c r="N2235" s="63"/>
      <c r="O2235" s="63"/>
      <c r="P2235" s="63"/>
      <c r="Q2235" s="63"/>
      <c r="R2235" s="63"/>
      <c r="S2235" s="63"/>
      <c r="T2235" s="63"/>
      <c r="U2235" s="63"/>
      <c r="V2235" s="63"/>
      <c r="W2235" s="63"/>
      <c r="X2235" s="63"/>
      <c r="Y2235" s="63"/>
      <c r="Z2235" s="63"/>
      <c r="AA2235" s="63"/>
      <c r="AB2235" s="63"/>
      <c r="AC2235" s="63"/>
    </row>
    <row r="2236" spans="1:29" x14ac:dyDescent="0.25">
      <c r="A2236" s="108">
        <v>46069</v>
      </c>
      <c r="B2236" s="109">
        <v>10</v>
      </c>
      <c r="C2236" s="49" t="s">
        <v>19</v>
      </c>
      <c r="D2236" s="110" t="str">
        <f>IF(ISBLANK($B2236),"",IFERROR(VLOOKUP($B2236,ESTOQUE!$B$2:$D$97168,3,FALSE),"Produto não cadastrado"))</f>
        <v>BOTA PVC CANO LONGO Nº 42</v>
      </c>
      <c r="E2236" s="99" t="str">
        <f>_xlfn.XLOOKUP(B2236,ESTOQUE!B:B,ESTOQUE!G:G,"",0)</f>
        <v>PAR</v>
      </c>
      <c r="F2236" s="99">
        <v>1</v>
      </c>
      <c r="G2236" s="146"/>
      <c r="H2236" s="146"/>
      <c r="I2236" s="147"/>
      <c r="J2236" s="147"/>
      <c r="K2236" s="63"/>
      <c r="L2236" s="63"/>
      <c r="M2236" s="63"/>
      <c r="N2236" s="63"/>
      <c r="O2236" s="63"/>
      <c r="P2236" s="63"/>
      <c r="Q2236" s="63"/>
      <c r="R2236" s="63"/>
      <c r="S2236" s="63"/>
      <c r="T2236" s="63"/>
      <c r="U2236" s="63"/>
      <c r="V2236" s="63"/>
      <c r="W2236" s="63"/>
      <c r="X2236" s="63"/>
      <c r="Y2236" s="63"/>
      <c r="Z2236" s="63"/>
      <c r="AA2236" s="63"/>
      <c r="AB2236" s="63"/>
      <c r="AC2236" s="63"/>
    </row>
    <row r="2237" spans="1:29" x14ac:dyDescent="0.25">
      <c r="A2237" s="108">
        <v>46069</v>
      </c>
      <c r="B2237" s="109">
        <v>40</v>
      </c>
      <c r="C2237" s="49" t="s">
        <v>19</v>
      </c>
      <c r="D2237" s="110" t="str">
        <f>IF(ISBLANK($B2237),"",IFERROR(VLOOKUP($B2237,ESTOQUE!$B$2:$D$97168,3,FALSE),"Produto não cadastrado"))</f>
        <v>BOTINA OP. BICO PVC Nº 42</v>
      </c>
      <c r="E2237" s="99" t="str">
        <f>_xlfn.XLOOKUP(B2237,ESTOQUE!B:B,ESTOQUE!G:G,"",0)</f>
        <v>PAR</v>
      </c>
      <c r="F2237" s="99">
        <v>1</v>
      </c>
      <c r="G2237" s="146"/>
      <c r="H2237" s="146"/>
      <c r="I2237" s="147"/>
      <c r="J2237" s="147"/>
      <c r="K2237" s="63"/>
      <c r="L2237" s="63"/>
      <c r="M2237" s="63"/>
      <c r="N2237" s="63"/>
      <c r="O2237" s="63"/>
      <c r="P2237" s="63"/>
      <c r="Q2237" s="63"/>
      <c r="R2237" s="63"/>
      <c r="S2237" s="63"/>
      <c r="T2237" s="63"/>
      <c r="U2237" s="63"/>
      <c r="V2237" s="63"/>
      <c r="W2237" s="63"/>
      <c r="X2237" s="63"/>
      <c r="Y2237" s="63"/>
      <c r="Z2237" s="63"/>
      <c r="AA2237" s="63"/>
      <c r="AB2237" s="63"/>
      <c r="AC2237" s="63"/>
    </row>
    <row r="2238" spans="1:29" x14ac:dyDescent="0.25">
      <c r="A2238" s="108">
        <v>46069</v>
      </c>
      <c r="B2238" s="109">
        <v>219</v>
      </c>
      <c r="C2238" s="49" t="s">
        <v>19</v>
      </c>
      <c r="D2238" s="110" t="str">
        <f>IF(ISBLANK($B2238),"",IFERROR(VLOOKUP($B2238,ESTOQUE!$B$2:$D$97168,3,FALSE),"Produto não cadastrado"))</f>
        <v>BOTINA SEGURANÇA METATARSO  42</v>
      </c>
      <c r="E2238" s="99" t="str">
        <f>_xlfn.XLOOKUP(B2238,ESTOQUE!B:B,ESTOQUE!G:G,"",0)</f>
        <v>PAR</v>
      </c>
      <c r="F2238" s="99">
        <v>1</v>
      </c>
      <c r="G2238" s="146"/>
      <c r="H2238" s="146"/>
      <c r="I2238" s="147"/>
      <c r="J2238" s="147"/>
      <c r="K2238" s="63"/>
      <c r="L2238" s="63"/>
      <c r="M2238" s="63"/>
      <c r="N2238" s="63"/>
      <c r="O2238" s="63"/>
      <c r="P2238" s="63"/>
      <c r="Q2238" s="63"/>
      <c r="R2238" s="63"/>
      <c r="S2238" s="63"/>
      <c r="T2238" s="63"/>
      <c r="U2238" s="63"/>
      <c r="V2238" s="63"/>
      <c r="W2238" s="63"/>
      <c r="X2238" s="63"/>
      <c r="Y2238" s="63"/>
      <c r="Z2238" s="63"/>
      <c r="AA2238" s="63"/>
      <c r="AB2238" s="63"/>
      <c r="AC2238" s="63"/>
    </row>
    <row r="2239" spans="1:29" x14ac:dyDescent="0.25">
      <c r="A2239" s="108">
        <v>46069</v>
      </c>
      <c r="B2239" s="109">
        <v>46</v>
      </c>
      <c r="C2239" s="49" t="s">
        <v>19</v>
      </c>
      <c r="D2239" s="110" t="str">
        <f>IF(ISBLANK($B2239),"",IFERROR(VLOOKUP($B2239,ESTOQUE!$B$2:$D$97168,3,FALSE),"Produto não cadastrado"))</f>
        <v>CALÇA CINZA OP. C/ FAIXA REFLETIVA TAM: G</v>
      </c>
      <c r="E2239" s="99" t="str">
        <f>_xlfn.XLOOKUP(B2239,ESTOQUE!B:B,ESTOQUE!G:G,"",0)</f>
        <v>UND</v>
      </c>
      <c r="F2239" s="99">
        <v>1</v>
      </c>
      <c r="G2239" s="146"/>
      <c r="H2239" s="146"/>
      <c r="I2239" s="147"/>
      <c r="J2239" s="147"/>
      <c r="K2239" s="63"/>
      <c r="L2239" s="63"/>
      <c r="M2239" s="63"/>
      <c r="N2239" s="63"/>
      <c r="O2239" s="63"/>
      <c r="P2239" s="63"/>
      <c r="Q2239" s="63"/>
      <c r="R2239" s="63"/>
      <c r="S2239" s="63"/>
      <c r="T2239" s="63"/>
      <c r="U2239" s="63"/>
      <c r="V2239" s="63"/>
      <c r="W2239" s="63"/>
      <c r="X2239" s="63"/>
      <c r="Y2239" s="63"/>
      <c r="Z2239" s="63"/>
      <c r="AA2239" s="63"/>
      <c r="AB2239" s="63"/>
      <c r="AC2239" s="63"/>
    </row>
    <row r="2240" spans="1:29" x14ac:dyDescent="0.25">
      <c r="A2240" s="108">
        <v>46069</v>
      </c>
      <c r="B2240" s="109">
        <v>47</v>
      </c>
      <c r="C2240" s="49" t="s">
        <v>19</v>
      </c>
      <c r="D2240" s="110" t="str">
        <f>IF(ISBLANK($B2240),"",IFERROR(VLOOKUP($B2240,ESTOQUE!$B$2:$D$97168,3,FALSE),"Produto não cadastrado"))</f>
        <v>CALÇA CINZA OP. C/ FAIXA REFLETIVA TAM: GG</v>
      </c>
      <c r="E2240" s="99" t="str">
        <f>_xlfn.XLOOKUP(B2240,ESTOQUE!B:B,ESTOQUE!G:G,"",0)</f>
        <v>UND</v>
      </c>
      <c r="F2240" s="99">
        <v>1</v>
      </c>
      <c r="G2240" s="146"/>
      <c r="H2240" s="146"/>
      <c r="I2240" s="147"/>
      <c r="J2240" s="147"/>
      <c r="K2240" s="63"/>
      <c r="L2240" s="63"/>
      <c r="M2240" s="63"/>
      <c r="N2240" s="63"/>
      <c r="O2240" s="63"/>
      <c r="P2240" s="63"/>
      <c r="Q2240" s="63"/>
      <c r="R2240" s="63"/>
      <c r="S2240" s="63"/>
      <c r="T2240" s="63"/>
      <c r="U2240" s="63"/>
      <c r="V2240" s="63"/>
      <c r="W2240" s="63"/>
      <c r="X2240" s="63"/>
      <c r="Y2240" s="63"/>
      <c r="Z2240" s="63"/>
      <c r="AA2240" s="63"/>
      <c r="AB2240" s="63"/>
      <c r="AC2240" s="63"/>
    </row>
    <row r="2241" spans="1:29" x14ac:dyDescent="0.25">
      <c r="A2241" s="108">
        <v>46069</v>
      </c>
      <c r="B2241" s="109">
        <v>48</v>
      </c>
      <c r="C2241" s="49" t="s">
        <v>19</v>
      </c>
      <c r="D2241" s="110" t="str">
        <f>IF(ISBLANK($B2241),"",IFERROR(VLOOKUP($B2241,ESTOQUE!$B$2:$D$97168,3,FALSE),"Produto não cadastrado"))</f>
        <v>CALÇA CINZA OP. C/ FAIXA REFLETIVA TAM: M</v>
      </c>
      <c r="E2241" s="99" t="str">
        <f>_xlfn.XLOOKUP(B2241,ESTOQUE!B:B,ESTOQUE!G:G,"",0)</f>
        <v>UND</v>
      </c>
      <c r="F2241" s="99">
        <v>2</v>
      </c>
      <c r="G2241" s="146"/>
      <c r="H2241" s="146"/>
      <c r="I2241" s="147"/>
      <c r="J2241" s="147"/>
      <c r="K2241" s="63"/>
      <c r="L2241" s="63"/>
      <c r="M2241" s="63"/>
      <c r="N2241" s="63"/>
      <c r="O2241" s="63"/>
      <c r="P2241" s="63"/>
      <c r="Q2241" s="63"/>
      <c r="R2241" s="63"/>
      <c r="S2241" s="63"/>
      <c r="T2241" s="63"/>
      <c r="U2241" s="63"/>
      <c r="V2241" s="63"/>
      <c r="W2241" s="63"/>
      <c r="X2241" s="63"/>
      <c r="Y2241" s="63"/>
      <c r="Z2241" s="63"/>
      <c r="AA2241" s="63"/>
      <c r="AB2241" s="63"/>
      <c r="AC2241" s="63"/>
    </row>
    <row r="2242" spans="1:29" x14ac:dyDescent="0.25">
      <c r="A2242" s="108">
        <v>46069</v>
      </c>
      <c r="B2242" s="109">
        <v>49</v>
      </c>
      <c r="C2242" s="49" t="s">
        <v>19</v>
      </c>
      <c r="D2242" s="110" t="str">
        <f>IF(ISBLANK($B2242),"",IFERROR(VLOOKUP($B2242,ESTOQUE!$B$2:$D$97168,3,FALSE),"Produto não cadastrado"))</f>
        <v>CALÇA CINZA OP. C/ FAIXA REFLETIVA TAM: P</v>
      </c>
      <c r="E2242" s="99" t="str">
        <f>_xlfn.XLOOKUP(B2242,ESTOQUE!B:B,ESTOQUE!G:G,"",0)</f>
        <v>UND</v>
      </c>
      <c r="F2242" s="99">
        <v>4</v>
      </c>
      <c r="G2242" s="146"/>
      <c r="H2242" s="146"/>
      <c r="I2242" s="147"/>
      <c r="J2242" s="147"/>
      <c r="K2242" s="63"/>
      <c r="L2242" s="63"/>
      <c r="M2242" s="63"/>
      <c r="N2242" s="63"/>
      <c r="O2242" s="63"/>
      <c r="P2242" s="63"/>
      <c r="Q2242" s="63"/>
      <c r="R2242" s="63"/>
      <c r="S2242" s="63"/>
      <c r="T2242" s="63"/>
      <c r="U2242" s="63"/>
      <c r="V2242" s="63"/>
      <c r="W2242" s="63"/>
      <c r="X2242" s="63"/>
      <c r="Y2242" s="63"/>
      <c r="Z2242" s="63"/>
      <c r="AA2242" s="63"/>
      <c r="AB2242" s="63"/>
      <c r="AC2242" s="63"/>
    </row>
    <row r="2243" spans="1:29" x14ac:dyDescent="0.25">
      <c r="A2243" s="108">
        <v>46069</v>
      </c>
      <c r="B2243" s="109">
        <v>67</v>
      </c>
      <c r="C2243" s="49" t="s">
        <v>19</v>
      </c>
      <c r="D2243" s="110" t="str">
        <f>IF(ISBLANK($B2243),"",IFERROR(VLOOKUP($B2243,ESTOQUE!$B$2:$D$97168,3,FALSE),"Produto não cadastrado"))</f>
        <v>CAMISA LARANJA OP. C/ FAIXA REFLETIVA TAM: G</v>
      </c>
      <c r="E2243" s="99" t="str">
        <f>_xlfn.XLOOKUP(B2243,ESTOQUE!B:B,ESTOQUE!G:G,"",0)</f>
        <v>UND</v>
      </c>
      <c r="F2243" s="99">
        <v>1</v>
      </c>
      <c r="G2243" s="146"/>
      <c r="H2243" s="146"/>
      <c r="I2243" s="147"/>
      <c r="J2243" s="147"/>
      <c r="K2243" s="63"/>
      <c r="L2243" s="63"/>
      <c r="M2243" s="63"/>
      <c r="N2243" s="63"/>
      <c r="O2243" s="63"/>
      <c r="P2243" s="63"/>
      <c r="Q2243" s="63"/>
      <c r="R2243" s="63"/>
      <c r="S2243" s="63"/>
      <c r="T2243" s="63"/>
      <c r="U2243" s="63"/>
      <c r="V2243" s="63"/>
      <c r="W2243" s="63"/>
      <c r="X2243" s="63"/>
      <c r="Y2243" s="63"/>
      <c r="Z2243" s="63"/>
      <c r="AA2243" s="63"/>
      <c r="AB2243" s="63"/>
      <c r="AC2243" s="63"/>
    </row>
    <row r="2244" spans="1:29" x14ac:dyDescent="0.25">
      <c r="A2244" s="108">
        <v>46069</v>
      </c>
      <c r="B2244" s="109">
        <v>69</v>
      </c>
      <c r="C2244" s="49" t="s">
        <v>19</v>
      </c>
      <c r="D2244" s="110" t="str">
        <f>IF(ISBLANK($B2244),"",IFERROR(VLOOKUP($B2244,ESTOQUE!$B$2:$D$97168,3,FALSE),"Produto não cadastrado"))</f>
        <v>CAMISA LARANJA OP. C/ FAIXA REFLETIVA TAM: M</v>
      </c>
      <c r="E2244" s="99" t="str">
        <f>_xlfn.XLOOKUP(B2244,ESTOQUE!B:B,ESTOQUE!G:G,"",0)</f>
        <v>UND</v>
      </c>
      <c r="F2244" s="99">
        <v>2</v>
      </c>
      <c r="G2244" s="146"/>
      <c r="H2244" s="146"/>
      <c r="I2244" s="147"/>
      <c r="J2244" s="147"/>
      <c r="K2244" s="63"/>
      <c r="L2244" s="63"/>
      <c r="M2244" s="63"/>
      <c r="N2244" s="63"/>
      <c r="O2244" s="63"/>
      <c r="P2244" s="63"/>
      <c r="Q2244" s="63"/>
      <c r="R2244" s="63"/>
      <c r="S2244" s="63"/>
      <c r="T2244" s="63"/>
      <c r="U2244" s="63"/>
      <c r="V2244" s="63"/>
      <c r="W2244" s="63"/>
      <c r="X2244" s="63"/>
      <c r="Y2244" s="63"/>
      <c r="Z2244" s="63"/>
      <c r="AA2244" s="63"/>
      <c r="AB2244" s="63"/>
      <c r="AC2244" s="63"/>
    </row>
    <row r="2245" spans="1:29" x14ac:dyDescent="0.25">
      <c r="A2245" s="108">
        <v>46069</v>
      </c>
      <c r="B2245" s="109">
        <v>70</v>
      </c>
      <c r="C2245" s="49" t="s">
        <v>19</v>
      </c>
      <c r="D2245" s="110" t="str">
        <f>IF(ISBLANK($B2245),"",IFERROR(VLOOKUP($B2245,ESTOQUE!$B$2:$D$97168,3,FALSE),"Produto não cadastrado"))</f>
        <v>CAMISA LARANJA OP. C/ FAIXA REFLETIVA TAM: P</v>
      </c>
      <c r="E2245" s="99" t="str">
        <f>_xlfn.XLOOKUP(B2245,ESTOQUE!B:B,ESTOQUE!G:G,"",0)</f>
        <v>UND</v>
      </c>
      <c r="F2245" s="99">
        <v>1</v>
      </c>
      <c r="G2245" s="146"/>
      <c r="H2245" s="146"/>
      <c r="I2245" s="147"/>
      <c r="J2245" s="147"/>
      <c r="K2245" s="63"/>
      <c r="L2245" s="63"/>
      <c r="M2245" s="63"/>
      <c r="N2245" s="63"/>
      <c r="O2245" s="63"/>
      <c r="P2245" s="63"/>
      <c r="Q2245" s="63"/>
      <c r="R2245" s="63"/>
      <c r="S2245" s="63"/>
      <c r="T2245" s="63"/>
      <c r="U2245" s="63"/>
      <c r="V2245" s="63"/>
      <c r="W2245" s="63"/>
      <c r="X2245" s="63"/>
      <c r="Y2245" s="63"/>
      <c r="Z2245" s="63"/>
      <c r="AA2245" s="63"/>
      <c r="AB2245" s="63"/>
      <c r="AC2245" s="63"/>
    </row>
    <row r="2246" spans="1:29" x14ac:dyDescent="0.25">
      <c r="A2246" s="108">
        <v>46069</v>
      </c>
      <c r="B2246" s="109">
        <v>97</v>
      </c>
      <c r="C2246" s="49" t="s">
        <v>19</v>
      </c>
      <c r="D2246" s="110" t="str">
        <f>IF(ISBLANK($B2246),"",IFERROR(VLOOKUP($B2246,ESTOQUE!$B$2:$D$97168,3,FALSE),"Produto não cadastrado"))</f>
        <v>COLETE REFLETIVO LARANJA M</v>
      </c>
      <c r="E2246" s="99" t="str">
        <f>_xlfn.XLOOKUP(B2246,ESTOQUE!B:B,ESTOQUE!G:G,"",0)</f>
        <v>UND</v>
      </c>
      <c r="F2246" s="99">
        <v>2</v>
      </c>
      <c r="G2246" s="146"/>
      <c r="H2246" s="146"/>
      <c r="I2246" s="147"/>
      <c r="J2246" s="147"/>
      <c r="K2246" s="63"/>
      <c r="L2246" s="63"/>
      <c r="M2246" s="63"/>
      <c r="N2246" s="63"/>
      <c r="O2246" s="63"/>
      <c r="P2246" s="63"/>
      <c r="Q2246" s="63"/>
      <c r="R2246" s="63"/>
      <c r="S2246" s="63"/>
      <c r="T2246" s="63"/>
      <c r="U2246" s="63"/>
      <c r="V2246" s="63"/>
      <c r="W2246" s="63"/>
      <c r="X2246" s="63"/>
      <c r="Y2246" s="63"/>
      <c r="Z2246" s="63"/>
      <c r="AA2246" s="63"/>
      <c r="AB2246" s="63"/>
      <c r="AC2246" s="63"/>
    </row>
    <row r="2247" spans="1:29" x14ac:dyDescent="0.25">
      <c r="A2247" s="108">
        <v>46069</v>
      </c>
      <c r="B2247" s="109">
        <v>161</v>
      </c>
      <c r="C2247" s="49" t="s">
        <v>19</v>
      </c>
      <c r="D2247" s="110" t="str">
        <f>IF(ISBLANK($B2247),"",IFERROR(VLOOKUP($B2247,ESTOQUE!$B$2:$D$97168,3,FALSE),"Produto não cadastrado"))</f>
        <v>JUGULAR</v>
      </c>
      <c r="E2247" s="99" t="str">
        <f>_xlfn.XLOOKUP(B2247,ESTOQUE!B:B,ESTOQUE!G:G,"",0)</f>
        <v>UND</v>
      </c>
      <c r="F2247" s="99">
        <v>1</v>
      </c>
      <c r="G2247" s="146"/>
      <c r="H2247" s="146"/>
      <c r="I2247" s="147"/>
      <c r="J2247" s="147"/>
      <c r="K2247" s="63"/>
      <c r="L2247" s="63"/>
      <c r="M2247" s="63"/>
      <c r="N2247" s="63"/>
      <c r="O2247" s="63"/>
      <c r="P2247" s="63"/>
      <c r="Q2247" s="63"/>
      <c r="R2247" s="63"/>
      <c r="S2247" s="63"/>
      <c r="T2247" s="63"/>
      <c r="U2247" s="63"/>
      <c r="V2247" s="63"/>
      <c r="W2247" s="63"/>
      <c r="X2247" s="63"/>
      <c r="Y2247" s="63"/>
      <c r="Z2247" s="63"/>
      <c r="AA2247" s="63"/>
      <c r="AB2247" s="63"/>
      <c r="AC2247" s="63"/>
    </row>
    <row r="2248" spans="1:29" x14ac:dyDescent="0.25">
      <c r="A2248" s="108">
        <v>46069</v>
      </c>
      <c r="B2248" s="109">
        <v>111</v>
      </c>
      <c r="C2248" s="49" t="s">
        <v>19</v>
      </c>
      <c r="D2248" s="110" t="str">
        <f>IF(ISBLANK($B2248),"",IFERROR(VLOOKUP($B2248,ESTOQUE!$B$2:$D$97168,3,FALSE),"Produto não cadastrado"))</f>
        <v>LUVA DE VAQUETA MARROM</v>
      </c>
      <c r="E2248" s="99" t="str">
        <f>_xlfn.XLOOKUP(B2248,ESTOQUE!B:B,ESTOQUE!G:G,"",0)</f>
        <v>PAR</v>
      </c>
      <c r="F2248" s="99">
        <v>2</v>
      </c>
      <c r="G2248" s="146"/>
      <c r="H2248" s="146"/>
      <c r="I2248" s="147"/>
      <c r="J2248" s="147"/>
      <c r="K2248" s="63"/>
      <c r="L2248" s="63"/>
      <c r="M2248" s="63"/>
      <c r="N2248" s="63"/>
      <c r="O2248" s="63"/>
      <c r="P2248" s="63"/>
      <c r="Q2248" s="63"/>
      <c r="R2248" s="63"/>
      <c r="S2248" s="63"/>
      <c r="T2248" s="63"/>
      <c r="U2248" s="63"/>
      <c r="V2248" s="63"/>
      <c r="W2248" s="63"/>
      <c r="X2248" s="63"/>
      <c r="Y2248" s="63"/>
      <c r="Z2248" s="63"/>
      <c r="AA2248" s="63"/>
      <c r="AB2248" s="63"/>
      <c r="AC2248" s="63"/>
    </row>
    <row r="2249" spans="1:29" x14ac:dyDescent="0.25">
      <c r="A2249" s="108">
        <v>46069</v>
      </c>
      <c r="B2249" s="109">
        <v>114</v>
      </c>
      <c r="C2249" s="49" t="s">
        <v>19</v>
      </c>
      <c r="D2249" s="110" t="str">
        <f>IF(ISBLANK($B2249),"",IFERROR(VLOOKUP($B2249,ESTOQUE!$B$2:$D$97168,3,FALSE),"Produto não cadastrado"))</f>
        <v xml:space="preserve">LUVA LATEX NITRILICA </v>
      </c>
      <c r="E2249" s="99" t="str">
        <f>_xlfn.XLOOKUP(B2249,ESTOQUE!B:B,ESTOQUE!G:G,"",0)</f>
        <v>PAR</v>
      </c>
      <c r="F2249" s="99">
        <v>1</v>
      </c>
      <c r="G2249" s="146"/>
      <c r="H2249" s="146"/>
      <c r="I2249" s="147"/>
      <c r="J2249" s="147"/>
      <c r="K2249" s="63"/>
      <c r="L2249" s="63"/>
      <c r="M2249" s="63"/>
      <c r="N2249" s="63"/>
      <c r="O2249" s="63"/>
      <c r="P2249" s="63"/>
      <c r="Q2249" s="63"/>
      <c r="R2249" s="63"/>
      <c r="S2249" s="63"/>
      <c r="T2249" s="63"/>
      <c r="U2249" s="63"/>
      <c r="V2249" s="63"/>
      <c r="W2249" s="63"/>
      <c r="X2249" s="63"/>
      <c r="Y2249" s="63"/>
      <c r="Z2249" s="63"/>
      <c r="AA2249" s="63"/>
      <c r="AB2249" s="63"/>
      <c r="AC2249" s="63"/>
    </row>
    <row r="2250" spans="1:29" x14ac:dyDescent="0.25">
      <c r="A2250" s="108">
        <v>46069</v>
      </c>
      <c r="B2250" s="109">
        <v>257</v>
      </c>
      <c r="C2250" s="49" t="s">
        <v>19</v>
      </c>
      <c r="D2250" s="110" t="str">
        <f>IF(ISBLANK($B2250),"",IFERROR(VLOOKUP($B2250,ESTOQUE!$B$2:$D$97168,3,FALSE),"Produto não cadastrado"))</f>
        <v xml:space="preserve">LUVA MULTITATO </v>
      </c>
      <c r="E2250" s="99" t="str">
        <f>_xlfn.XLOOKUP(B2250,ESTOQUE!B:B,ESTOQUE!G:G,"",0)</f>
        <v>UND</v>
      </c>
      <c r="F2250" s="99">
        <v>2</v>
      </c>
      <c r="G2250" s="146"/>
      <c r="H2250" s="146"/>
      <c r="I2250" s="147"/>
      <c r="J2250" s="147"/>
      <c r="K2250" s="63"/>
      <c r="L2250" s="63"/>
      <c r="M2250" s="63"/>
      <c r="N2250" s="63"/>
      <c r="O2250" s="63"/>
      <c r="P2250" s="63"/>
      <c r="Q2250" s="63"/>
      <c r="R2250" s="63"/>
      <c r="S2250" s="63"/>
      <c r="T2250" s="63"/>
      <c r="U2250" s="63"/>
      <c r="V2250" s="63"/>
      <c r="W2250" s="63"/>
      <c r="X2250" s="63"/>
      <c r="Y2250" s="63"/>
      <c r="Z2250" s="63"/>
      <c r="AA2250" s="63"/>
      <c r="AB2250" s="63"/>
      <c r="AC2250" s="63"/>
    </row>
    <row r="2251" spans="1:29" x14ac:dyDescent="0.25">
      <c r="A2251" s="108">
        <v>46069</v>
      </c>
      <c r="B2251" s="109">
        <v>117</v>
      </c>
      <c r="C2251" s="49" t="s">
        <v>19</v>
      </c>
      <c r="D2251" s="110" t="str">
        <f>IF(ISBLANK($B2251),"",IFERROR(VLOOKUP($B2251,ESTOQUE!$B$2:$D$97168,3,FALSE),"Produto não cadastrado"))</f>
        <v>LUVA PIGMENTADA</v>
      </c>
      <c r="E2251" s="99" t="str">
        <f>_xlfn.XLOOKUP(B2251,ESTOQUE!B:B,ESTOQUE!G:G,"",0)</f>
        <v>PAR</v>
      </c>
      <c r="F2251" s="99">
        <v>1</v>
      </c>
      <c r="G2251" s="146"/>
      <c r="H2251" s="146"/>
      <c r="I2251" s="147"/>
      <c r="J2251" s="147"/>
      <c r="K2251" s="63"/>
      <c r="L2251" s="63"/>
      <c r="M2251" s="63"/>
      <c r="N2251" s="63"/>
      <c r="O2251" s="63"/>
      <c r="P2251" s="63"/>
      <c r="Q2251" s="63"/>
      <c r="R2251" s="63"/>
      <c r="S2251" s="63"/>
      <c r="T2251" s="63"/>
      <c r="U2251" s="63"/>
      <c r="V2251" s="63"/>
      <c r="W2251" s="63"/>
      <c r="X2251" s="63"/>
      <c r="Y2251" s="63"/>
      <c r="Z2251" s="63"/>
      <c r="AA2251" s="63"/>
      <c r="AB2251" s="63"/>
      <c r="AC2251" s="63"/>
    </row>
    <row r="2252" spans="1:29" x14ac:dyDescent="0.25">
      <c r="A2252" s="108">
        <v>46069</v>
      </c>
      <c r="B2252" s="109">
        <v>207</v>
      </c>
      <c r="C2252" s="49" t="s">
        <v>19</v>
      </c>
      <c r="D2252" s="110" t="str">
        <f>IF(ISBLANK($B2252),"",IFERROR(VLOOKUP($B2252,ESTOQUE!$B$2:$D$97168,3,FALSE),"Produto não cadastrado"))</f>
        <v>LUVA POLIESTER ANTICORTE BANHADA PU TAM 9</v>
      </c>
      <c r="E2252" s="99" t="str">
        <f>_xlfn.XLOOKUP(B2252,ESTOQUE!B:B,ESTOQUE!G:G,"",0)</f>
        <v>PAR</v>
      </c>
      <c r="F2252" s="99">
        <v>1</v>
      </c>
      <c r="G2252" s="146"/>
      <c r="H2252" s="146"/>
      <c r="I2252" s="147"/>
      <c r="J2252" s="147"/>
      <c r="K2252" s="63"/>
      <c r="L2252" s="63"/>
      <c r="M2252" s="63"/>
      <c r="N2252" s="63"/>
      <c r="O2252" s="63"/>
      <c r="P2252" s="63"/>
      <c r="Q2252" s="63"/>
      <c r="R2252" s="63"/>
      <c r="S2252" s="63"/>
      <c r="T2252" s="63"/>
      <c r="U2252" s="63"/>
      <c r="V2252" s="63"/>
      <c r="W2252" s="63"/>
      <c r="X2252" s="63"/>
      <c r="Y2252" s="63"/>
      <c r="Z2252" s="63"/>
      <c r="AA2252" s="63"/>
      <c r="AB2252" s="63"/>
      <c r="AC2252" s="63"/>
    </row>
    <row r="2253" spans="1:29" x14ac:dyDescent="0.25">
      <c r="A2253" s="108">
        <v>46069</v>
      </c>
      <c r="B2253" s="109">
        <v>144</v>
      </c>
      <c r="C2253" s="49" t="s">
        <v>19</v>
      </c>
      <c r="D2253" s="110" t="str">
        <f>IF(ISBLANK($B2253),"",IFERROR(VLOOKUP($B2253,ESTOQUE!$B$2:$D$97168,3,FALSE),"Produto não cadastrado"))</f>
        <v>MASCARA PFF2-S C/ FILTRO</v>
      </c>
      <c r="E2253" s="99" t="str">
        <f>_xlfn.XLOOKUP(B2253,ESTOQUE!B:B,ESTOQUE!G:G,"",0)</f>
        <v>UND</v>
      </c>
      <c r="F2253" s="99">
        <v>25</v>
      </c>
      <c r="G2253" s="146"/>
      <c r="H2253" s="146"/>
      <c r="I2253" s="147"/>
      <c r="J2253" s="147"/>
      <c r="K2253" s="63"/>
      <c r="L2253" s="63"/>
      <c r="M2253" s="63"/>
      <c r="N2253" s="63"/>
      <c r="O2253" s="63"/>
      <c r="P2253" s="63"/>
      <c r="Q2253" s="63"/>
      <c r="R2253" s="63"/>
      <c r="S2253" s="63"/>
      <c r="T2253" s="63"/>
      <c r="U2253" s="63"/>
      <c r="V2253" s="63"/>
      <c r="W2253" s="63"/>
      <c r="X2253" s="63"/>
      <c r="Y2253" s="63"/>
      <c r="Z2253" s="63"/>
      <c r="AA2253" s="63"/>
      <c r="AB2253" s="63"/>
      <c r="AC2253" s="63"/>
    </row>
    <row r="2254" spans="1:29" x14ac:dyDescent="0.25">
      <c r="A2254" s="108">
        <v>46069</v>
      </c>
      <c r="B2254" s="109">
        <v>126</v>
      </c>
      <c r="C2254" s="49" t="s">
        <v>19</v>
      </c>
      <c r="D2254" s="110" t="str">
        <f>IF(ISBLANK($B2254),"",IFERROR(VLOOKUP($B2254,ESTOQUE!$B$2:$D$97168,3,FALSE),"Produto não cadastrado"))</f>
        <v>OCULOS DE PROTEÇÃO ESCURO</v>
      </c>
      <c r="E2254" s="99" t="str">
        <f>_xlfn.XLOOKUP(B2254,ESTOQUE!B:B,ESTOQUE!G:G,"",0)</f>
        <v>UND</v>
      </c>
      <c r="F2254" s="99">
        <v>5</v>
      </c>
      <c r="G2254" s="146"/>
      <c r="H2254" s="146"/>
      <c r="I2254" s="147"/>
      <c r="J2254" s="147"/>
      <c r="K2254" s="63"/>
      <c r="L2254" s="63"/>
      <c r="M2254" s="63"/>
      <c r="N2254" s="63"/>
      <c r="O2254" s="63"/>
      <c r="P2254" s="63"/>
      <c r="Q2254" s="63"/>
      <c r="R2254" s="63"/>
      <c r="S2254" s="63"/>
      <c r="T2254" s="63"/>
      <c r="U2254" s="63"/>
      <c r="V2254" s="63"/>
      <c r="W2254" s="63"/>
      <c r="X2254" s="63"/>
      <c r="Y2254" s="63"/>
      <c r="Z2254" s="63"/>
      <c r="AA2254" s="63"/>
      <c r="AB2254" s="63"/>
      <c r="AC2254" s="63"/>
    </row>
    <row r="2255" spans="1:29" x14ac:dyDescent="0.25">
      <c r="A2255" s="108">
        <v>46069</v>
      </c>
      <c r="B2255" s="109">
        <v>124</v>
      </c>
      <c r="C2255" s="49" t="s">
        <v>19</v>
      </c>
      <c r="D2255" s="110" t="str">
        <f>IF(ISBLANK($B2255),"",IFERROR(VLOOKUP($B2255,ESTOQUE!$B$2:$D$97168,3,FALSE),"Produto não cadastrado"))</f>
        <v xml:space="preserve">OCULOS DE PROTEÇÃO INCOLOR </v>
      </c>
      <c r="E2255" s="99" t="str">
        <f>_xlfn.XLOOKUP(B2255,ESTOQUE!B:B,ESTOQUE!G:G,"",0)</f>
        <v>UND</v>
      </c>
      <c r="F2255" s="99">
        <v>1</v>
      </c>
      <c r="G2255" s="146"/>
      <c r="H2255" s="146"/>
      <c r="I2255" s="147"/>
      <c r="J2255" s="147"/>
      <c r="K2255" s="63"/>
      <c r="L2255" s="63"/>
      <c r="M2255" s="63"/>
      <c r="N2255" s="63"/>
      <c r="O2255" s="63"/>
      <c r="P2255" s="63"/>
      <c r="Q2255" s="63"/>
      <c r="R2255" s="63"/>
      <c r="S2255" s="63"/>
      <c r="T2255" s="63"/>
      <c r="U2255" s="63"/>
      <c r="V2255" s="63"/>
      <c r="W2255" s="63"/>
      <c r="X2255" s="63"/>
      <c r="Y2255" s="63"/>
      <c r="Z2255" s="63"/>
      <c r="AA2255" s="63"/>
      <c r="AB2255" s="63"/>
      <c r="AC2255" s="63"/>
    </row>
    <row r="2256" spans="1:29" x14ac:dyDescent="0.25">
      <c r="A2256" s="108">
        <v>46069</v>
      </c>
      <c r="B2256" s="109">
        <v>128</v>
      </c>
      <c r="C2256" s="49" t="s">
        <v>19</v>
      </c>
      <c r="D2256" s="110" t="str">
        <f>IF(ISBLANK($B2256),"",IFERROR(VLOOKUP($B2256,ESTOQUE!$B$2:$D$97168,3,FALSE),"Produto não cadastrado"))</f>
        <v>PERNEIRA PVC C/ VELCRO</v>
      </c>
      <c r="E2256" s="99" t="str">
        <f>_xlfn.XLOOKUP(B2256,ESTOQUE!B:B,ESTOQUE!G:G,"",0)</f>
        <v>PAR</v>
      </c>
      <c r="F2256" s="99">
        <v>1</v>
      </c>
      <c r="G2256" s="146"/>
      <c r="H2256" s="146"/>
      <c r="I2256" s="147"/>
      <c r="J2256" s="147"/>
      <c r="K2256" s="63"/>
      <c r="L2256" s="63"/>
      <c r="M2256" s="63"/>
      <c r="N2256" s="63"/>
      <c r="O2256" s="63"/>
      <c r="P2256" s="63"/>
      <c r="Q2256" s="63"/>
      <c r="R2256" s="63"/>
      <c r="S2256" s="63"/>
      <c r="T2256" s="63"/>
      <c r="U2256" s="63"/>
      <c r="V2256" s="63"/>
      <c r="W2256" s="63"/>
      <c r="X2256" s="63"/>
      <c r="Y2256" s="63"/>
      <c r="Z2256" s="63"/>
      <c r="AA2256" s="63"/>
      <c r="AB2256" s="63"/>
      <c r="AC2256" s="63"/>
    </row>
    <row r="2257" spans="1:29" x14ac:dyDescent="0.25">
      <c r="A2257" s="108">
        <v>46069</v>
      </c>
      <c r="B2257" s="109">
        <v>139</v>
      </c>
      <c r="C2257" s="49" t="s">
        <v>19</v>
      </c>
      <c r="D2257" s="110" t="str">
        <f>IF(ISBLANK($B2257),"",IFERROR(VLOOKUP($B2257,ESTOQUE!$B$2:$D$97168,3,FALSE),"Produto não cadastrado"))</f>
        <v>PROTETOR AURICULAR TIPO PLUG</v>
      </c>
      <c r="E2257" s="99" t="str">
        <f>_xlfn.XLOOKUP(B2257,ESTOQUE!B:B,ESTOQUE!G:G,"",0)</f>
        <v>UND</v>
      </c>
      <c r="F2257" s="99">
        <v>2</v>
      </c>
      <c r="G2257" s="146"/>
      <c r="H2257" s="146"/>
      <c r="I2257" s="147"/>
      <c r="J2257" s="147"/>
      <c r="K2257" s="63"/>
      <c r="L2257" s="63"/>
      <c r="M2257" s="63"/>
      <c r="N2257" s="63"/>
      <c r="O2257" s="63"/>
      <c r="P2257" s="63"/>
      <c r="Q2257" s="63"/>
      <c r="R2257" s="63"/>
      <c r="S2257" s="63"/>
      <c r="T2257" s="63"/>
      <c r="U2257" s="63"/>
      <c r="V2257" s="63"/>
      <c r="W2257" s="63"/>
      <c r="X2257" s="63"/>
      <c r="Y2257" s="63"/>
      <c r="Z2257" s="63"/>
      <c r="AA2257" s="63"/>
      <c r="AB2257" s="63"/>
      <c r="AC2257" s="63"/>
    </row>
    <row r="2258" spans="1:29" x14ac:dyDescent="0.25">
      <c r="A2258" s="108">
        <v>46070</v>
      </c>
      <c r="B2258" s="109">
        <v>36</v>
      </c>
      <c r="C2258" s="49" t="s">
        <v>19</v>
      </c>
      <c r="D2258" s="110" t="str">
        <f>IF(ISBLANK($B2258),"",IFERROR(VLOOKUP($B2258,ESTOQUE!$B$2:$D$97168,3,FALSE),"Produto não cadastrado"))</f>
        <v>BOTINA OP. BICO PVC Nº 38</v>
      </c>
      <c r="E2258" s="99" t="str">
        <f>_xlfn.XLOOKUP(B2258,ESTOQUE!B:B,ESTOQUE!G:G,"",0)</f>
        <v>PAR</v>
      </c>
      <c r="F2258" s="99">
        <v>1</v>
      </c>
      <c r="G2258" s="146"/>
      <c r="H2258" s="146"/>
      <c r="I2258" s="147"/>
      <c r="J2258" s="147"/>
      <c r="K2258" s="63"/>
      <c r="L2258" s="63"/>
      <c r="M2258" s="63"/>
      <c r="N2258" s="63"/>
      <c r="O2258" s="63"/>
      <c r="P2258" s="63"/>
      <c r="Q2258" s="63"/>
      <c r="R2258" s="63"/>
      <c r="S2258" s="63"/>
      <c r="T2258" s="63"/>
      <c r="U2258" s="63"/>
      <c r="V2258" s="63"/>
      <c r="W2258" s="63"/>
      <c r="X2258" s="63"/>
      <c r="Y2258" s="63"/>
      <c r="Z2258" s="63"/>
      <c r="AA2258" s="63"/>
      <c r="AB2258" s="63"/>
      <c r="AC2258" s="63"/>
    </row>
    <row r="2259" spans="1:29" x14ac:dyDescent="0.25">
      <c r="A2259" s="108">
        <v>46070</v>
      </c>
      <c r="B2259" s="109">
        <v>39</v>
      </c>
      <c r="C2259" s="49" t="s">
        <v>19</v>
      </c>
      <c r="D2259" s="110" t="str">
        <f>IF(ISBLANK($B2259),"",IFERROR(VLOOKUP($B2259,ESTOQUE!$B$2:$D$97168,3,FALSE),"Produto não cadastrado"))</f>
        <v>BOTINA OP. BICO PVC Nº 41</v>
      </c>
      <c r="E2259" s="99" t="str">
        <f>_xlfn.XLOOKUP(B2259,ESTOQUE!B:B,ESTOQUE!G:G,"",0)</f>
        <v>PAR</v>
      </c>
      <c r="F2259" s="99">
        <v>1</v>
      </c>
      <c r="G2259" s="146"/>
      <c r="H2259" s="146"/>
      <c r="I2259" s="147"/>
      <c r="J2259" s="147"/>
      <c r="K2259" s="63"/>
      <c r="L2259" s="63"/>
      <c r="M2259" s="63"/>
      <c r="N2259" s="63"/>
      <c r="O2259" s="63"/>
      <c r="P2259" s="63"/>
      <c r="Q2259" s="63"/>
      <c r="R2259" s="63"/>
      <c r="S2259" s="63"/>
      <c r="T2259" s="63"/>
      <c r="U2259" s="63"/>
      <c r="V2259" s="63"/>
      <c r="W2259" s="63"/>
      <c r="X2259" s="63"/>
      <c r="Y2259" s="63"/>
      <c r="Z2259" s="63"/>
      <c r="AA2259" s="63"/>
      <c r="AB2259" s="63"/>
      <c r="AC2259" s="63"/>
    </row>
    <row r="2260" spans="1:29" x14ac:dyDescent="0.25">
      <c r="A2260" s="108">
        <v>46070</v>
      </c>
      <c r="B2260" s="109">
        <v>40</v>
      </c>
      <c r="C2260" s="49" t="s">
        <v>19</v>
      </c>
      <c r="D2260" s="110" t="str">
        <f>IF(ISBLANK($B2260),"",IFERROR(VLOOKUP($B2260,ESTOQUE!$B$2:$D$97168,3,FALSE),"Produto não cadastrado"))</f>
        <v>BOTINA OP. BICO PVC Nº 42</v>
      </c>
      <c r="E2260" s="99" t="str">
        <f>_xlfn.XLOOKUP(B2260,ESTOQUE!B:B,ESTOQUE!G:G,"",0)</f>
        <v>PAR</v>
      </c>
      <c r="F2260" s="99">
        <v>1</v>
      </c>
      <c r="G2260" s="146"/>
      <c r="H2260" s="146"/>
      <c r="I2260" s="147"/>
      <c r="J2260" s="147"/>
      <c r="K2260" s="63"/>
      <c r="L2260" s="63"/>
      <c r="M2260" s="63"/>
      <c r="N2260" s="63"/>
      <c r="O2260" s="63"/>
      <c r="P2260" s="63"/>
      <c r="Q2260" s="63"/>
      <c r="R2260" s="63"/>
      <c r="S2260" s="63"/>
      <c r="T2260" s="63"/>
      <c r="U2260" s="63"/>
      <c r="V2260" s="63"/>
      <c r="W2260" s="63"/>
      <c r="X2260" s="63"/>
      <c r="Y2260" s="63"/>
      <c r="Z2260" s="63"/>
      <c r="AA2260" s="63"/>
      <c r="AB2260" s="63"/>
      <c r="AC2260" s="63"/>
    </row>
    <row r="2261" spans="1:29" x14ac:dyDescent="0.25">
      <c r="A2261" s="108">
        <v>46070</v>
      </c>
      <c r="B2261" s="109">
        <v>42</v>
      </c>
      <c r="C2261" s="49" t="s">
        <v>19</v>
      </c>
      <c r="D2261" s="110" t="str">
        <f>IF(ISBLANK($B2261),"",IFERROR(VLOOKUP($B2261,ESTOQUE!$B$2:$D$97168,3,FALSE),"Produto não cadastrado"))</f>
        <v>BOTINA OP. BICO PVC Nº 44</v>
      </c>
      <c r="E2261" s="99" t="str">
        <f>_xlfn.XLOOKUP(B2261,ESTOQUE!B:B,ESTOQUE!G:G,"",0)</f>
        <v>PAR</v>
      </c>
      <c r="F2261" s="99">
        <v>1</v>
      </c>
      <c r="G2261" s="146"/>
      <c r="H2261" s="146"/>
      <c r="I2261" s="147"/>
      <c r="J2261" s="147"/>
      <c r="K2261" s="63"/>
      <c r="L2261" s="63"/>
      <c r="M2261" s="63"/>
      <c r="N2261" s="63"/>
      <c r="O2261" s="63"/>
      <c r="P2261" s="63"/>
      <c r="Q2261" s="63"/>
      <c r="R2261" s="63"/>
      <c r="S2261" s="63"/>
      <c r="T2261" s="63"/>
      <c r="U2261" s="63"/>
      <c r="V2261" s="63"/>
      <c r="W2261" s="63"/>
      <c r="X2261" s="63"/>
      <c r="Y2261" s="63"/>
      <c r="Z2261" s="63"/>
      <c r="AA2261" s="63"/>
      <c r="AB2261" s="63"/>
      <c r="AC2261" s="63"/>
    </row>
    <row r="2262" spans="1:29" x14ac:dyDescent="0.25">
      <c r="A2262" s="108">
        <v>46070</v>
      </c>
      <c r="B2262" s="109">
        <v>46</v>
      </c>
      <c r="C2262" s="49" t="s">
        <v>19</v>
      </c>
      <c r="D2262" s="110" t="str">
        <f>IF(ISBLANK($B2262),"",IFERROR(VLOOKUP($B2262,ESTOQUE!$B$2:$D$97168,3,FALSE),"Produto não cadastrado"))</f>
        <v>CALÇA CINZA OP. C/ FAIXA REFLETIVA TAM: G</v>
      </c>
      <c r="E2262" s="99" t="str">
        <f>_xlfn.XLOOKUP(B2262,ESTOQUE!B:B,ESTOQUE!G:G,"",0)</f>
        <v>UND</v>
      </c>
      <c r="F2262" s="99">
        <v>2</v>
      </c>
      <c r="G2262" s="146"/>
      <c r="H2262" s="146"/>
      <c r="I2262" s="147"/>
      <c r="J2262" s="147"/>
      <c r="K2262" s="63"/>
      <c r="L2262" s="63"/>
      <c r="M2262" s="63"/>
      <c r="N2262" s="63"/>
      <c r="O2262" s="63"/>
      <c r="P2262" s="63"/>
      <c r="Q2262" s="63"/>
      <c r="R2262" s="63"/>
      <c r="S2262" s="63"/>
      <c r="T2262" s="63"/>
      <c r="U2262" s="63"/>
      <c r="V2262" s="63"/>
      <c r="W2262" s="63"/>
      <c r="X2262" s="63"/>
      <c r="Y2262" s="63"/>
      <c r="Z2262" s="63"/>
      <c r="AA2262" s="63"/>
      <c r="AB2262" s="63"/>
      <c r="AC2262" s="63"/>
    </row>
    <row r="2263" spans="1:29" x14ac:dyDescent="0.25">
      <c r="A2263" s="108">
        <v>46070</v>
      </c>
      <c r="B2263" s="109">
        <v>47</v>
      </c>
      <c r="C2263" s="49" t="s">
        <v>19</v>
      </c>
      <c r="D2263" s="110" t="str">
        <f>IF(ISBLANK($B2263),"",IFERROR(VLOOKUP($B2263,ESTOQUE!$B$2:$D$97168,3,FALSE),"Produto não cadastrado"))</f>
        <v>CALÇA CINZA OP. C/ FAIXA REFLETIVA TAM: GG</v>
      </c>
      <c r="E2263" s="99" t="str">
        <f>_xlfn.XLOOKUP(B2263,ESTOQUE!B:B,ESTOQUE!G:G,"",0)</f>
        <v>UND</v>
      </c>
      <c r="F2263" s="99">
        <v>1</v>
      </c>
      <c r="G2263" s="146"/>
      <c r="H2263" s="146"/>
      <c r="I2263" s="147"/>
      <c r="J2263" s="147"/>
      <c r="K2263" s="63"/>
      <c r="L2263" s="63"/>
      <c r="M2263" s="63"/>
      <c r="N2263" s="63"/>
      <c r="O2263" s="63"/>
      <c r="P2263" s="63"/>
      <c r="Q2263" s="63"/>
      <c r="R2263" s="63"/>
      <c r="S2263" s="63"/>
      <c r="T2263" s="63"/>
      <c r="U2263" s="63"/>
      <c r="V2263" s="63"/>
      <c r="W2263" s="63"/>
      <c r="X2263" s="63"/>
      <c r="Y2263" s="63"/>
      <c r="Z2263" s="63"/>
      <c r="AA2263" s="63"/>
      <c r="AB2263" s="63"/>
      <c r="AC2263" s="63"/>
    </row>
    <row r="2264" spans="1:29" x14ac:dyDescent="0.25">
      <c r="A2264" s="108">
        <v>46070</v>
      </c>
      <c r="B2264" s="109">
        <v>49</v>
      </c>
      <c r="C2264" s="49" t="s">
        <v>19</v>
      </c>
      <c r="D2264" s="110" t="str">
        <f>IF(ISBLANK($B2264),"",IFERROR(VLOOKUP($B2264,ESTOQUE!$B$2:$D$97168,3,FALSE),"Produto não cadastrado"))</f>
        <v>CALÇA CINZA OP. C/ FAIXA REFLETIVA TAM: P</v>
      </c>
      <c r="E2264" s="99" t="str">
        <f>_xlfn.XLOOKUP(B2264,ESTOQUE!B:B,ESTOQUE!G:G,"",0)</f>
        <v>UND</v>
      </c>
      <c r="F2264" s="99">
        <v>1</v>
      </c>
      <c r="G2264" s="146"/>
      <c r="H2264" s="146"/>
      <c r="I2264" s="147"/>
      <c r="J2264" s="147"/>
      <c r="K2264" s="63"/>
      <c r="L2264" s="63"/>
      <c r="M2264" s="63"/>
      <c r="N2264" s="63"/>
      <c r="O2264" s="63"/>
      <c r="P2264" s="63"/>
      <c r="Q2264" s="63"/>
      <c r="R2264" s="63"/>
      <c r="S2264" s="63"/>
      <c r="T2264" s="63"/>
      <c r="U2264" s="63"/>
      <c r="V2264" s="63"/>
      <c r="W2264" s="63"/>
      <c r="X2264" s="63"/>
      <c r="Y2264" s="63"/>
      <c r="Z2264" s="63"/>
      <c r="AA2264" s="63"/>
      <c r="AB2264" s="63"/>
      <c r="AC2264" s="63"/>
    </row>
    <row r="2265" spans="1:29" x14ac:dyDescent="0.25">
      <c r="A2265" s="108">
        <v>46070</v>
      </c>
      <c r="B2265" s="109">
        <v>67</v>
      </c>
      <c r="C2265" s="49" t="s">
        <v>19</v>
      </c>
      <c r="D2265" s="110" t="str">
        <f>IF(ISBLANK($B2265),"",IFERROR(VLOOKUP($B2265,ESTOQUE!$B$2:$D$97168,3,FALSE),"Produto não cadastrado"))</f>
        <v>CAMISA LARANJA OP. C/ FAIXA REFLETIVA TAM: G</v>
      </c>
      <c r="E2265" s="99" t="str">
        <f>_xlfn.XLOOKUP(B2265,ESTOQUE!B:B,ESTOQUE!G:G,"",0)</f>
        <v>UND</v>
      </c>
      <c r="F2265" s="99">
        <v>2</v>
      </c>
      <c r="G2265" s="146"/>
      <c r="H2265" s="146"/>
      <c r="I2265" s="147"/>
      <c r="J2265" s="147"/>
      <c r="K2265" s="63"/>
      <c r="L2265" s="63"/>
      <c r="M2265" s="63"/>
      <c r="N2265" s="63"/>
      <c r="O2265" s="63"/>
      <c r="P2265" s="63"/>
      <c r="Q2265" s="63"/>
      <c r="R2265" s="63"/>
      <c r="S2265" s="63"/>
      <c r="T2265" s="63"/>
      <c r="U2265" s="63"/>
      <c r="V2265" s="63"/>
      <c r="W2265" s="63"/>
      <c r="X2265" s="63"/>
      <c r="Y2265" s="63"/>
      <c r="Z2265" s="63"/>
      <c r="AA2265" s="63"/>
      <c r="AB2265" s="63"/>
      <c r="AC2265" s="63"/>
    </row>
    <row r="2266" spans="1:29" x14ac:dyDescent="0.25">
      <c r="A2266" s="108">
        <v>46070</v>
      </c>
      <c r="B2266" s="109">
        <v>69</v>
      </c>
      <c r="C2266" s="49" t="s">
        <v>19</v>
      </c>
      <c r="D2266" s="110" t="str">
        <f>IF(ISBLANK($B2266),"",IFERROR(VLOOKUP($B2266,ESTOQUE!$B$2:$D$97168,3,FALSE),"Produto não cadastrado"))</f>
        <v>CAMISA LARANJA OP. C/ FAIXA REFLETIVA TAM: M</v>
      </c>
      <c r="E2266" s="99" t="str">
        <f>_xlfn.XLOOKUP(B2266,ESTOQUE!B:B,ESTOQUE!G:G,"",0)</f>
        <v>UND</v>
      </c>
      <c r="F2266" s="99">
        <v>3</v>
      </c>
      <c r="G2266" s="146"/>
      <c r="H2266" s="146"/>
      <c r="I2266" s="147"/>
      <c r="J2266" s="147"/>
      <c r="K2266" s="63"/>
      <c r="L2266" s="63"/>
      <c r="M2266" s="63"/>
      <c r="N2266" s="63"/>
      <c r="O2266" s="63"/>
      <c r="P2266" s="63"/>
      <c r="Q2266" s="63"/>
      <c r="R2266" s="63"/>
      <c r="S2266" s="63"/>
      <c r="T2266" s="63"/>
      <c r="U2266" s="63"/>
      <c r="V2266" s="63"/>
      <c r="W2266" s="63"/>
      <c r="X2266" s="63"/>
      <c r="Y2266" s="63"/>
      <c r="Z2266" s="63"/>
      <c r="AA2266" s="63"/>
      <c r="AB2266" s="63"/>
      <c r="AC2266" s="63"/>
    </row>
    <row r="2267" spans="1:29" x14ac:dyDescent="0.25">
      <c r="A2267" s="108">
        <v>46070</v>
      </c>
      <c r="B2267" s="109">
        <v>70</v>
      </c>
      <c r="C2267" s="49" t="s">
        <v>19</v>
      </c>
      <c r="D2267" s="110" t="str">
        <f>IF(ISBLANK($B2267),"",IFERROR(VLOOKUP($B2267,ESTOQUE!$B$2:$D$97168,3,FALSE),"Produto não cadastrado"))</f>
        <v>CAMISA LARANJA OP. C/ FAIXA REFLETIVA TAM: P</v>
      </c>
      <c r="E2267" s="99" t="str">
        <f>_xlfn.XLOOKUP(B2267,ESTOQUE!B:B,ESTOQUE!G:G,"",0)</f>
        <v>UND</v>
      </c>
      <c r="F2267" s="99">
        <v>1</v>
      </c>
      <c r="G2267" s="146"/>
      <c r="H2267" s="146"/>
      <c r="I2267" s="147"/>
      <c r="J2267" s="147"/>
      <c r="K2267" s="63"/>
      <c r="L2267" s="63"/>
      <c r="M2267" s="63"/>
      <c r="N2267" s="63"/>
      <c r="O2267" s="63"/>
      <c r="P2267" s="63"/>
      <c r="Q2267" s="63"/>
      <c r="R2267" s="63"/>
      <c r="S2267" s="63"/>
      <c r="T2267" s="63"/>
      <c r="U2267" s="63"/>
      <c r="V2267" s="63"/>
      <c r="W2267" s="63"/>
      <c r="X2267" s="63"/>
      <c r="Y2267" s="63"/>
      <c r="Z2267" s="63"/>
      <c r="AA2267" s="63"/>
      <c r="AB2267" s="63"/>
      <c r="AC2267" s="63"/>
    </row>
    <row r="2268" spans="1:29" x14ac:dyDescent="0.25">
      <c r="A2268" s="108">
        <v>46070</v>
      </c>
      <c r="B2268" s="109">
        <v>161</v>
      </c>
      <c r="C2268" s="49" t="s">
        <v>19</v>
      </c>
      <c r="D2268" s="110" t="str">
        <f>IF(ISBLANK($B2268),"",IFERROR(VLOOKUP($B2268,ESTOQUE!$B$2:$D$97168,3,FALSE),"Produto não cadastrado"))</f>
        <v>JUGULAR</v>
      </c>
      <c r="E2268" s="99" t="str">
        <f>_xlfn.XLOOKUP(B2268,ESTOQUE!B:B,ESTOQUE!G:G,"",0)</f>
        <v>UND</v>
      </c>
      <c r="F2268" s="99">
        <v>1</v>
      </c>
      <c r="G2268" s="146"/>
      <c r="H2268" s="146"/>
      <c r="I2268" s="147"/>
      <c r="J2268" s="147"/>
      <c r="K2268" s="63"/>
      <c r="L2268" s="63"/>
      <c r="M2268" s="63"/>
      <c r="N2268" s="63"/>
      <c r="O2268" s="63"/>
      <c r="P2268" s="63"/>
      <c r="Q2268" s="63"/>
      <c r="R2268" s="63"/>
      <c r="S2268" s="63"/>
      <c r="T2268" s="63"/>
      <c r="U2268" s="63"/>
      <c r="V2268" s="63"/>
      <c r="W2268" s="63"/>
      <c r="X2268" s="63"/>
      <c r="Y2268" s="63"/>
      <c r="Z2268" s="63"/>
      <c r="AA2268" s="63"/>
      <c r="AB2268" s="63"/>
      <c r="AC2268" s="63"/>
    </row>
    <row r="2269" spans="1:29" x14ac:dyDescent="0.25">
      <c r="A2269" s="108">
        <v>46070</v>
      </c>
      <c r="B2269" s="109">
        <v>114</v>
      </c>
      <c r="C2269" s="49" t="s">
        <v>19</v>
      </c>
      <c r="D2269" s="110" t="str">
        <f>IF(ISBLANK($B2269),"",IFERROR(VLOOKUP($B2269,ESTOQUE!$B$2:$D$97168,3,FALSE),"Produto não cadastrado"))</f>
        <v xml:space="preserve">LUVA LATEX NITRILICA </v>
      </c>
      <c r="E2269" s="99" t="str">
        <f>_xlfn.XLOOKUP(B2269,ESTOQUE!B:B,ESTOQUE!G:G,"",0)</f>
        <v>PAR</v>
      </c>
      <c r="F2269" s="99">
        <v>1</v>
      </c>
      <c r="G2269" s="146"/>
      <c r="H2269" s="146"/>
      <c r="I2269" s="147"/>
      <c r="J2269" s="147"/>
      <c r="K2269" s="63"/>
      <c r="L2269" s="63"/>
      <c r="M2269" s="63"/>
      <c r="N2269" s="63"/>
      <c r="O2269" s="63"/>
      <c r="P2269" s="63"/>
      <c r="Q2269" s="63"/>
      <c r="R2269" s="63"/>
      <c r="S2269" s="63"/>
      <c r="T2269" s="63"/>
      <c r="U2269" s="63"/>
      <c r="V2269" s="63"/>
      <c r="W2269" s="63"/>
      <c r="X2269" s="63"/>
      <c r="Y2269" s="63"/>
      <c r="Z2269" s="63"/>
      <c r="AA2269" s="63"/>
      <c r="AB2269" s="63"/>
      <c r="AC2269" s="63"/>
    </row>
    <row r="2270" spans="1:29" x14ac:dyDescent="0.25">
      <c r="A2270" s="108">
        <v>46070</v>
      </c>
      <c r="B2270" s="109">
        <v>207</v>
      </c>
      <c r="C2270" s="49" t="s">
        <v>19</v>
      </c>
      <c r="D2270" s="110" t="str">
        <f>IF(ISBLANK($B2270),"",IFERROR(VLOOKUP($B2270,ESTOQUE!$B$2:$D$97168,3,FALSE),"Produto não cadastrado"))</f>
        <v>LUVA POLIESTER ANTICORTE BANHADA PU TAM 9</v>
      </c>
      <c r="E2270" s="99" t="str">
        <f>_xlfn.XLOOKUP(B2270,ESTOQUE!B:B,ESTOQUE!G:G,"",0)</f>
        <v>PAR</v>
      </c>
      <c r="F2270" s="99">
        <v>1</v>
      </c>
      <c r="G2270" s="146"/>
      <c r="H2270" s="146"/>
      <c r="I2270" s="147"/>
      <c r="J2270" s="147"/>
      <c r="K2270" s="63"/>
      <c r="L2270" s="63"/>
      <c r="M2270" s="63"/>
      <c r="N2270" s="63"/>
      <c r="O2270" s="63"/>
      <c r="P2270" s="63"/>
      <c r="Q2270" s="63"/>
      <c r="R2270" s="63"/>
      <c r="S2270" s="63"/>
      <c r="T2270" s="63"/>
      <c r="U2270" s="63"/>
      <c r="V2270" s="63"/>
      <c r="W2270" s="63"/>
      <c r="X2270" s="63"/>
      <c r="Y2270" s="63"/>
      <c r="Z2270" s="63"/>
      <c r="AA2270" s="63"/>
      <c r="AB2270" s="63"/>
      <c r="AC2270" s="63"/>
    </row>
    <row r="2271" spans="1:29" x14ac:dyDescent="0.25">
      <c r="A2271" s="108">
        <v>46070</v>
      </c>
      <c r="B2271" s="109">
        <v>118</v>
      </c>
      <c r="C2271" s="49" t="s">
        <v>19</v>
      </c>
      <c r="D2271" s="110" t="str">
        <f>IF(ISBLANK($B2271),"",IFERROR(VLOOKUP($B2271,ESTOQUE!$B$2:$D$97168,3,FALSE),"Produto não cadastrado"))</f>
        <v>MACACÃO DE PROTEÇÃO TYVEK</v>
      </c>
      <c r="E2271" s="99" t="str">
        <f>_xlfn.XLOOKUP(B2271,ESTOQUE!B:B,ESTOQUE!G:G,"",0)</f>
        <v>UND</v>
      </c>
      <c r="F2271" s="99">
        <v>2</v>
      </c>
      <c r="G2271" s="146"/>
      <c r="H2271" s="146"/>
      <c r="I2271" s="147"/>
      <c r="J2271" s="147"/>
      <c r="K2271" s="63"/>
      <c r="L2271" s="63"/>
      <c r="M2271" s="63"/>
      <c r="N2271" s="63"/>
      <c r="O2271" s="63"/>
      <c r="P2271" s="63"/>
      <c r="Q2271" s="63"/>
      <c r="R2271" s="63"/>
      <c r="S2271" s="63"/>
      <c r="T2271" s="63"/>
      <c r="U2271" s="63"/>
      <c r="V2271" s="63"/>
      <c r="W2271" s="63"/>
      <c r="X2271" s="63"/>
      <c r="Y2271" s="63"/>
      <c r="Z2271" s="63"/>
      <c r="AA2271" s="63"/>
      <c r="AB2271" s="63"/>
      <c r="AC2271" s="63"/>
    </row>
    <row r="2272" spans="1:29" x14ac:dyDescent="0.25">
      <c r="A2272" s="108">
        <v>46070</v>
      </c>
      <c r="B2272" s="109">
        <v>144</v>
      </c>
      <c r="C2272" s="49" t="s">
        <v>19</v>
      </c>
      <c r="D2272" s="110" t="str">
        <f>IF(ISBLANK($B2272),"",IFERROR(VLOOKUP($B2272,ESTOQUE!$B$2:$D$97168,3,FALSE),"Produto não cadastrado"))</f>
        <v>MASCARA PFF2-S C/ FILTRO</v>
      </c>
      <c r="E2272" s="99" t="str">
        <f>_xlfn.XLOOKUP(B2272,ESTOQUE!B:B,ESTOQUE!G:G,"",0)</f>
        <v>UND</v>
      </c>
      <c r="F2272" s="99">
        <v>5</v>
      </c>
      <c r="G2272" s="146"/>
      <c r="H2272" s="146"/>
      <c r="I2272" s="147"/>
      <c r="J2272" s="147"/>
      <c r="K2272" s="63"/>
      <c r="L2272" s="63"/>
      <c r="M2272" s="63"/>
      <c r="N2272" s="63"/>
      <c r="O2272" s="63"/>
      <c r="P2272" s="63"/>
      <c r="Q2272" s="63"/>
      <c r="R2272" s="63"/>
      <c r="S2272" s="63"/>
      <c r="T2272" s="63"/>
      <c r="U2272" s="63"/>
      <c r="V2272" s="63"/>
      <c r="W2272" s="63"/>
      <c r="X2272" s="63"/>
      <c r="Y2272" s="63"/>
      <c r="Z2272" s="63"/>
      <c r="AA2272" s="63"/>
      <c r="AB2272" s="63"/>
      <c r="AC2272" s="63"/>
    </row>
    <row r="2273" spans="1:29" x14ac:dyDescent="0.25">
      <c r="A2273" s="108">
        <v>46070</v>
      </c>
      <c r="B2273" s="109">
        <v>126</v>
      </c>
      <c r="C2273" s="49" t="s">
        <v>19</v>
      </c>
      <c r="D2273" s="110" t="str">
        <f>IF(ISBLANK($B2273),"",IFERROR(VLOOKUP($B2273,ESTOQUE!$B$2:$D$97168,3,FALSE),"Produto não cadastrado"))</f>
        <v>OCULOS DE PROTEÇÃO ESCURO</v>
      </c>
      <c r="E2273" s="99" t="str">
        <f>_xlfn.XLOOKUP(B2273,ESTOQUE!B:B,ESTOQUE!G:G,"",0)</f>
        <v>UND</v>
      </c>
      <c r="F2273" s="99">
        <v>3</v>
      </c>
      <c r="G2273" s="146"/>
      <c r="H2273" s="146"/>
      <c r="I2273" s="147"/>
      <c r="J2273" s="147"/>
      <c r="K2273" s="63"/>
      <c r="L2273" s="63"/>
      <c r="M2273" s="63"/>
      <c r="N2273" s="63"/>
      <c r="O2273" s="63"/>
      <c r="P2273" s="63"/>
      <c r="Q2273" s="63"/>
      <c r="R2273" s="63"/>
      <c r="S2273" s="63"/>
      <c r="T2273" s="63"/>
      <c r="U2273" s="63"/>
      <c r="V2273" s="63"/>
      <c r="W2273" s="63"/>
      <c r="X2273" s="63"/>
      <c r="Y2273" s="63"/>
      <c r="Z2273" s="63"/>
      <c r="AA2273" s="63"/>
      <c r="AB2273" s="63"/>
      <c r="AC2273" s="63"/>
    </row>
    <row r="2274" spans="1:29" x14ac:dyDescent="0.25">
      <c r="A2274" s="108">
        <v>46070</v>
      </c>
      <c r="B2274" s="109">
        <v>135</v>
      </c>
      <c r="C2274" s="49" t="s">
        <v>19</v>
      </c>
      <c r="D2274" s="110" t="str">
        <f>IF(ISBLANK($B2274),"",IFERROR(VLOOKUP($B2274,ESTOQUE!$B$2:$D$97168,3,FALSE),"Produto não cadastrado"))</f>
        <v>TALABARTE DUPLO TIPO Y</v>
      </c>
      <c r="E2274" s="99" t="str">
        <f>_xlfn.XLOOKUP(B2274,ESTOQUE!B:B,ESTOQUE!G:G,"",0)</f>
        <v>UND</v>
      </c>
      <c r="F2274" s="99">
        <v>1</v>
      </c>
      <c r="G2274" s="146"/>
      <c r="H2274" s="146"/>
      <c r="I2274" s="147"/>
      <c r="J2274" s="147"/>
      <c r="K2274" s="63"/>
      <c r="L2274" s="63"/>
      <c r="M2274" s="63"/>
      <c r="N2274" s="63"/>
      <c r="O2274" s="63"/>
      <c r="P2274" s="63"/>
      <c r="Q2274" s="63"/>
      <c r="R2274" s="63"/>
      <c r="S2274" s="63"/>
      <c r="T2274" s="63"/>
      <c r="U2274" s="63"/>
      <c r="V2274" s="63"/>
      <c r="W2274" s="63"/>
      <c r="X2274" s="63"/>
      <c r="Y2274" s="63"/>
      <c r="Z2274" s="63"/>
      <c r="AA2274" s="63"/>
      <c r="AB2274" s="63"/>
      <c r="AC2274" s="63"/>
    </row>
    <row r="2275" spans="1:29" x14ac:dyDescent="0.25">
      <c r="A2275" s="108">
        <v>46070</v>
      </c>
      <c r="B2275" s="109">
        <v>124</v>
      </c>
      <c r="C2275" s="49" t="s">
        <v>19</v>
      </c>
      <c r="D2275" s="110" t="str">
        <f>IF(ISBLANK($B2275),"",IFERROR(VLOOKUP($B2275,ESTOQUE!$B$2:$D$97168,3,FALSE),"Produto não cadastrado"))</f>
        <v xml:space="preserve">OCULOS DE PROTEÇÃO INCOLOR </v>
      </c>
      <c r="E2275" s="99" t="str">
        <f>_xlfn.XLOOKUP(B2275,ESTOQUE!B:B,ESTOQUE!G:G,"",0)</f>
        <v>UND</v>
      </c>
      <c r="F2275" s="99">
        <v>1</v>
      </c>
      <c r="G2275" s="146"/>
      <c r="H2275" s="146"/>
      <c r="I2275" s="147"/>
      <c r="J2275" s="147"/>
      <c r="K2275" s="63"/>
      <c r="L2275" s="63"/>
      <c r="M2275" s="63"/>
      <c r="N2275" s="63"/>
      <c r="O2275" s="63"/>
      <c r="P2275" s="63"/>
      <c r="Q2275" s="63"/>
      <c r="R2275" s="63"/>
      <c r="S2275" s="63"/>
      <c r="T2275" s="63"/>
      <c r="U2275" s="63"/>
      <c r="V2275" s="63"/>
      <c r="W2275" s="63"/>
      <c r="X2275" s="63"/>
      <c r="Y2275" s="63"/>
      <c r="Z2275" s="63"/>
      <c r="AA2275" s="63"/>
      <c r="AB2275" s="63"/>
      <c r="AC2275" s="63"/>
    </row>
    <row r="2276" spans="1:29" x14ac:dyDescent="0.25">
      <c r="A2276" s="108">
        <v>46071</v>
      </c>
      <c r="B2276" s="109">
        <v>137</v>
      </c>
      <c r="C2276" s="49" t="s">
        <v>19</v>
      </c>
      <c r="D2276" s="110" t="str">
        <f>IF(ISBLANK($B2276),"",IFERROR(VLOOKUP($B2276,ESTOQUE!$B$2:$D$97168,3,FALSE),"Produto não cadastrado"))</f>
        <v xml:space="preserve">TOUCA ARABE </v>
      </c>
      <c r="E2276" s="99" t="str">
        <f>_xlfn.XLOOKUP(B2276,ESTOQUE!B:B,ESTOQUE!G:G,"",0)</f>
        <v>UND</v>
      </c>
      <c r="F2276" s="99">
        <v>2</v>
      </c>
      <c r="G2276" s="146"/>
      <c r="H2276" s="146"/>
      <c r="I2276" s="147"/>
      <c r="J2276" s="147"/>
      <c r="K2276" s="63"/>
      <c r="L2276" s="63"/>
      <c r="M2276" s="63"/>
      <c r="N2276" s="63"/>
      <c r="O2276" s="63"/>
      <c r="P2276" s="63"/>
      <c r="Q2276" s="63"/>
      <c r="R2276" s="63"/>
      <c r="S2276" s="63"/>
      <c r="T2276" s="63"/>
      <c r="U2276" s="63"/>
      <c r="V2276" s="63"/>
      <c r="W2276" s="63"/>
      <c r="X2276" s="63"/>
      <c r="Y2276" s="63"/>
      <c r="Z2276" s="63"/>
      <c r="AA2276" s="63"/>
      <c r="AB2276" s="63"/>
      <c r="AC2276" s="63"/>
    </row>
    <row r="2277" spans="1:29" x14ac:dyDescent="0.25">
      <c r="A2277" s="108">
        <v>46071</v>
      </c>
      <c r="B2277" s="109">
        <v>39</v>
      </c>
      <c r="C2277" s="49" t="s">
        <v>19</v>
      </c>
      <c r="D2277" s="110" t="str">
        <f>IF(ISBLANK($B2277),"",IFERROR(VLOOKUP($B2277,ESTOQUE!$B$2:$D$97168,3,FALSE),"Produto não cadastrado"))</f>
        <v>BOTINA OP. BICO PVC Nº 41</v>
      </c>
      <c r="E2277" s="99" t="str">
        <f>_xlfn.XLOOKUP(B2277,ESTOQUE!B:B,ESTOQUE!G:G,"",0)</f>
        <v>PAR</v>
      </c>
      <c r="F2277" s="99">
        <v>1</v>
      </c>
      <c r="G2277" s="146"/>
      <c r="H2277" s="146"/>
      <c r="I2277" s="147"/>
      <c r="J2277" s="147"/>
      <c r="K2277" s="63"/>
      <c r="L2277" s="63"/>
      <c r="M2277" s="63"/>
      <c r="N2277" s="63"/>
      <c r="O2277" s="63"/>
      <c r="P2277" s="63"/>
      <c r="Q2277" s="63"/>
      <c r="R2277" s="63"/>
      <c r="S2277" s="63"/>
      <c r="T2277" s="63"/>
      <c r="U2277" s="63"/>
      <c r="V2277" s="63"/>
      <c r="W2277" s="63"/>
      <c r="X2277" s="63"/>
      <c r="Y2277" s="63"/>
      <c r="Z2277" s="63"/>
      <c r="AA2277" s="63"/>
      <c r="AB2277" s="63"/>
      <c r="AC2277" s="63"/>
    </row>
    <row r="2278" spans="1:29" x14ac:dyDescent="0.25">
      <c r="A2278" s="108">
        <v>46071</v>
      </c>
      <c r="B2278" s="109">
        <v>40</v>
      </c>
      <c r="C2278" s="49" t="s">
        <v>19</v>
      </c>
      <c r="D2278" s="110" t="str">
        <f>IF(ISBLANK($B2278),"",IFERROR(VLOOKUP($B2278,ESTOQUE!$B$2:$D$97168,3,FALSE),"Produto não cadastrado"))</f>
        <v>BOTINA OP. BICO PVC Nº 42</v>
      </c>
      <c r="E2278" s="99" t="str">
        <f>_xlfn.XLOOKUP(B2278,ESTOQUE!B:B,ESTOQUE!G:G,"",0)</f>
        <v>PAR</v>
      </c>
      <c r="F2278" s="99">
        <v>1</v>
      </c>
      <c r="G2278" s="146"/>
      <c r="H2278" s="146"/>
      <c r="I2278" s="147"/>
      <c r="J2278" s="147"/>
      <c r="K2278" s="63"/>
      <c r="L2278" s="63"/>
      <c r="M2278" s="63"/>
      <c r="N2278" s="63"/>
      <c r="O2278" s="63"/>
      <c r="P2278" s="63"/>
      <c r="Q2278" s="63"/>
      <c r="R2278" s="63"/>
      <c r="S2278" s="63"/>
      <c r="T2278" s="63"/>
      <c r="U2278" s="63"/>
      <c r="V2278" s="63"/>
      <c r="W2278" s="63"/>
      <c r="X2278" s="63"/>
      <c r="Y2278" s="63"/>
      <c r="Z2278" s="63"/>
      <c r="AA2278" s="63"/>
      <c r="AB2278" s="63"/>
      <c r="AC2278" s="63"/>
    </row>
    <row r="2279" spans="1:29" x14ac:dyDescent="0.25">
      <c r="A2279" s="108">
        <v>46071</v>
      </c>
      <c r="B2279" s="109">
        <v>42</v>
      </c>
      <c r="C2279" s="49" t="s">
        <v>19</v>
      </c>
      <c r="D2279" s="110" t="str">
        <f>IF(ISBLANK($B2279),"",IFERROR(VLOOKUP($B2279,ESTOQUE!$B$2:$D$97168,3,FALSE),"Produto não cadastrado"))</f>
        <v>BOTINA OP. BICO PVC Nº 44</v>
      </c>
      <c r="E2279" s="99" t="str">
        <f>_xlfn.XLOOKUP(B2279,ESTOQUE!B:B,ESTOQUE!G:G,"",0)</f>
        <v>PAR</v>
      </c>
      <c r="F2279" s="99">
        <v>1</v>
      </c>
      <c r="G2279" s="146"/>
      <c r="H2279" s="146"/>
      <c r="I2279" s="147"/>
      <c r="J2279" s="147"/>
      <c r="K2279" s="63"/>
      <c r="L2279" s="63"/>
      <c r="M2279" s="63"/>
      <c r="N2279" s="63"/>
      <c r="O2279" s="63"/>
      <c r="P2279" s="63"/>
      <c r="Q2279" s="63"/>
      <c r="R2279" s="63"/>
      <c r="S2279" s="63"/>
      <c r="T2279" s="63"/>
      <c r="U2279" s="63"/>
      <c r="V2279" s="63"/>
      <c r="W2279" s="63"/>
      <c r="X2279" s="63"/>
      <c r="Y2279" s="63"/>
      <c r="Z2279" s="63"/>
      <c r="AA2279" s="63"/>
      <c r="AB2279" s="63"/>
      <c r="AC2279" s="63"/>
    </row>
    <row r="2280" spans="1:29" x14ac:dyDescent="0.25">
      <c r="A2280" s="108">
        <v>46071</v>
      </c>
      <c r="B2280" s="109">
        <v>46</v>
      </c>
      <c r="C2280" s="49" t="s">
        <v>19</v>
      </c>
      <c r="D2280" s="110" t="str">
        <f>IF(ISBLANK($B2280),"",IFERROR(VLOOKUP($B2280,ESTOQUE!$B$2:$D$97168,3,FALSE),"Produto não cadastrado"))</f>
        <v>CALÇA CINZA OP. C/ FAIXA REFLETIVA TAM: G</v>
      </c>
      <c r="E2280" s="99" t="str">
        <f>_xlfn.XLOOKUP(B2280,ESTOQUE!B:B,ESTOQUE!G:G,"",0)</f>
        <v>UND</v>
      </c>
      <c r="F2280" s="99">
        <v>1</v>
      </c>
      <c r="G2280" s="146"/>
      <c r="H2280" s="146"/>
      <c r="I2280" s="147"/>
      <c r="J2280" s="147"/>
      <c r="K2280" s="63"/>
      <c r="L2280" s="63"/>
      <c r="M2280" s="63"/>
      <c r="N2280" s="63"/>
      <c r="O2280" s="63"/>
      <c r="P2280" s="63"/>
      <c r="Q2280" s="63"/>
      <c r="R2280" s="63"/>
      <c r="S2280" s="63"/>
      <c r="T2280" s="63"/>
      <c r="U2280" s="63"/>
      <c r="V2280" s="63"/>
      <c r="W2280" s="63"/>
      <c r="X2280" s="63"/>
      <c r="Y2280" s="63"/>
      <c r="Z2280" s="63"/>
      <c r="AA2280" s="63"/>
      <c r="AB2280" s="63"/>
      <c r="AC2280" s="63"/>
    </row>
    <row r="2281" spans="1:29" x14ac:dyDescent="0.25">
      <c r="A2281" s="108">
        <v>46071</v>
      </c>
      <c r="B2281" s="109">
        <v>47</v>
      </c>
      <c r="C2281" s="49" t="s">
        <v>19</v>
      </c>
      <c r="D2281" s="110" t="str">
        <f>IF(ISBLANK($B2281),"",IFERROR(VLOOKUP($B2281,ESTOQUE!$B$2:$D$97168,3,FALSE),"Produto não cadastrado"))</f>
        <v>CALÇA CINZA OP. C/ FAIXA REFLETIVA TAM: GG</v>
      </c>
      <c r="E2281" s="99" t="str">
        <f>_xlfn.XLOOKUP(B2281,ESTOQUE!B:B,ESTOQUE!G:G,"",0)</f>
        <v>UND</v>
      </c>
      <c r="F2281" s="99">
        <v>2</v>
      </c>
      <c r="G2281" s="146"/>
      <c r="H2281" s="146"/>
      <c r="I2281" s="147"/>
      <c r="J2281" s="147"/>
      <c r="K2281" s="63"/>
      <c r="L2281" s="63"/>
      <c r="M2281" s="63"/>
      <c r="N2281" s="63"/>
      <c r="O2281" s="63"/>
      <c r="P2281" s="63"/>
      <c r="Q2281" s="63"/>
      <c r="R2281" s="63"/>
      <c r="S2281" s="63"/>
      <c r="T2281" s="63"/>
      <c r="U2281" s="63"/>
      <c r="V2281" s="63"/>
      <c r="W2281" s="63"/>
      <c r="X2281" s="63"/>
      <c r="Y2281" s="63"/>
      <c r="Z2281" s="63"/>
      <c r="AA2281" s="63"/>
      <c r="AB2281" s="63"/>
      <c r="AC2281" s="63"/>
    </row>
    <row r="2282" spans="1:29" x14ac:dyDescent="0.25">
      <c r="A2282" s="108">
        <v>46071</v>
      </c>
      <c r="B2282" s="109">
        <v>48</v>
      </c>
      <c r="C2282" s="49" t="s">
        <v>19</v>
      </c>
      <c r="D2282" s="110" t="str">
        <f>IF(ISBLANK($B2282),"",IFERROR(VLOOKUP($B2282,ESTOQUE!$B$2:$D$97168,3,FALSE),"Produto não cadastrado"))</f>
        <v>CALÇA CINZA OP. C/ FAIXA REFLETIVA TAM: M</v>
      </c>
      <c r="E2282" s="99" t="str">
        <f>_xlfn.XLOOKUP(B2282,ESTOQUE!B:B,ESTOQUE!G:G,"",0)</f>
        <v>UND</v>
      </c>
      <c r="F2282" s="99">
        <v>5</v>
      </c>
      <c r="G2282" s="146"/>
      <c r="H2282" s="146"/>
      <c r="I2282" s="147"/>
      <c r="J2282" s="147"/>
      <c r="K2282" s="63"/>
      <c r="L2282" s="63"/>
      <c r="M2282" s="63"/>
      <c r="N2282" s="63"/>
      <c r="O2282" s="63"/>
      <c r="P2282" s="63"/>
      <c r="Q2282" s="63"/>
      <c r="R2282" s="63"/>
      <c r="S2282" s="63"/>
      <c r="T2282" s="63"/>
      <c r="U2282" s="63"/>
      <c r="V2282" s="63"/>
      <c r="W2282" s="63"/>
      <c r="X2282" s="63"/>
      <c r="Y2282" s="63"/>
      <c r="Z2282" s="63"/>
      <c r="AA2282" s="63"/>
      <c r="AB2282" s="63"/>
      <c r="AC2282" s="63"/>
    </row>
    <row r="2283" spans="1:29" x14ac:dyDescent="0.25">
      <c r="A2283" s="108">
        <v>46071</v>
      </c>
      <c r="B2283" s="109">
        <v>49</v>
      </c>
      <c r="C2283" s="49" t="s">
        <v>19</v>
      </c>
      <c r="D2283" s="110" t="str">
        <f>IF(ISBLANK($B2283),"",IFERROR(VLOOKUP($B2283,ESTOQUE!$B$2:$D$97168,3,FALSE),"Produto não cadastrado"))</f>
        <v>CALÇA CINZA OP. C/ FAIXA REFLETIVA TAM: P</v>
      </c>
      <c r="E2283" s="99" t="str">
        <f>_xlfn.XLOOKUP(B2283,ESTOQUE!B:B,ESTOQUE!G:G,"",0)</f>
        <v>UND</v>
      </c>
      <c r="F2283" s="99">
        <v>2</v>
      </c>
      <c r="G2283" s="146"/>
      <c r="H2283" s="146"/>
      <c r="I2283" s="147"/>
      <c r="J2283" s="147"/>
      <c r="K2283" s="63"/>
      <c r="L2283" s="63"/>
      <c r="M2283" s="63"/>
      <c r="N2283" s="63"/>
      <c r="O2283" s="63"/>
      <c r="P2283" s="63"/>
      <c r="Q2283" s="63"/>
      <c r="R2283" s="63"/>
      <c r="S2283" s="63"/>
      <c r="T2283" s="63"/>
      <c r="U2283" s="63"/>
      <c r="V2283" s="63"/>
      <c r="W2283" s="63"/>
      <c r="X2283" s="63"/>
      <c r="Y2283" s="63"/>
      <c r="Z2283" s="63"/>
      <c r="AA2283" s="63"/>
      <c r="AB2283" s="63"/>
      <c r="AC2283" s="63"/>
    </row>
    <row r="2284" spans="1:29" x14ac:dyDescent="0.25">
      <c r="A2284" s="108">
        <v>46071</v>
      </c>
      <c r="B2284" s="109">
        <v>50</v>
      </c>
      <c r="C2284" s="49" t="s">
        <v>19</v>
      </c>
      <c r="D2284" s="110" t="str">
        <f>IF(ISBLANK($B2284),"",IFERROR(VLOOKUP($B2284,ESTOQUE!$B$2:$D$97168,3,FALSE),"Produto não cadastrado"))</f>
        <v>CALÇA CINZA OP. C/ FAIXA REFLETIVA TAM: XG</v>
      </c>
      <c r="E2284" s="99" t="str">
        <f>_xlfn.XLOOKUP(B2284,ESTOQUE!B:B,ESTOQUE!G:G,"",0)</f>
        <v>UND</v>
      </c>
      <c r="F2284" s="99">
        <v>1</v>
      </c>
      <c r="G2284" s="146"/>
      <c r="H2284" s="146"/>
      <c r="I2284" s="147"/>
      <c r="J2284" s="147"/>
      <c r="K2284" s="63"/>
      <c r="L2284" s="63"/>
      <c r="M2284" s="63"/>
      <c r="N2284" s="63"/>
      <c r="O2284" s="63"/>
      <c r="P2284" s="63"/>
      <c r="Q2284" s="63"/>
      <c r="R2284" s="63"/>
      <c r="S2284" s="63"/>
      <c r="T2284" s="63"/>
      <c r="U2284" s="63"/>
      <c r="V2284" s="63"/>
      <c r="W2284" s="63"/>
      <c r="X2284" s="63"/>
      <c r="Y2284" s="63"/>
      <c r="Z2284" s="63"/>
      <c r="AA2284" s="63"/>
      <c r="AB2284" s="63"/>
      <c r="AC2284" s="63"/>
    </row>
    <row r="2285" spans="1:29" x14ac:dyDescent="0.25">
      <c r="A2285" s="108">
        <v>46071</v>
      </c>
      <c r="B2285" s="109">
        <v>67</v>
      </c>
      <c r="C2285" s="49" t="s">
        <v>19</v>
      </c>
      <c r="D2285" s="110" t="str">
        <f>IF(ISBLANK($B2285),"",IFERROR(VLOOKUP($B2285,ESTOQUE!$B$2:$D$97168,3,FALSE),"Produto não cadastrado"))</f>
        <v>CAMISA LARANJA OP. C/ FAIXA REFLETIVA TAM: G</v>
      </c>
      <c r="E2285" s="99" t="str">
        <f>_xlfn.XLOOKUP(B2285,ESTOQUE!B:B,ESTOQUE!G:G,"",0)</f>
        <v>UND</v>
      </c>
      <c r="F2285" s="99">
        <v>1</v>
      </c>
      <c r="G2285" s="146"/>
      <c r="H2285" s="146"/>
      <c r="I2285" s="147"/>
      <c r="J2285" s="147"/>
      <c r="K2285" s="63"/>
      <c r="L2285" s="63"/>
      <c r="M2285" s="63"/>
      <c r="N2285" s="63"/>
      <c r="O2285" s="63"/>
      <c r="P2285" s="63"/>
      <c r="Q2285" s="63"/>
      <c r="R2285" s="63"/>
      <c r="S2285" s="63"/>
      <c r="T2285" s="63"/>
      <c r="U2285" s="63"/>
      <c r="V2285" s="63"/>
      <c r="W2285" s="63"/>
      <c r="X2285" s="63"/>
      <c r="Y2285" s="63"/>
      <c r="Z2285" s="63"/>
      <c r="AA2285" s="63"/>
      <c r="AB2285" s="63"/>
      <c r="AC2285" s="63"/>
    </row>
    <row r="2286" spans="1:29" x14ac:dyDescent="0.25">
      <c r="A2286" s="108">
        <v>46071</v>
      </c>
      <c r="B2286" s="109">
        <v>68</v>
      </c>
      <c r="C2286" s="49" t="s">
        <v>19</v>
      </c>
      <c r="D2286" s="110" t="str">
        <f>IF(ISBLANK($B2286),"",IFERROR(VLOOKUP($B2286,ESTOQUE!$B$2:$D$97168,3,FALSE),"Produto não cadastrado"))</f>
        <v>CAMISA LARANJA OP. C/ FAIXA REFLETIVA TAM: GG</v>
      </c>
      <c r="E2286" s="99" t="str">
        <f>_xlfn.XLOOKUP(B2286,ESTOQUE!B:B,ESTOQUE!G:G,"",0)</f>
        <v>UND</v>
      </c>
      <c r="F2286" s="99">
        <v>1</v>
      </c>
      <c r="G2286" s="146"/>
      <c r="H2286" s="146"/>
      <c r="I2286" s="147"/>
      <c r="J2286" s="147"/>
      <c r="K2286" s="63"/>
      <c r="L2286" s="63"/>
      <c r="M2286" s="63"/>
      <c r="N2286" s="63"/>
      <c r="O2286" s="63"/>
      <c r="P2286" s="63"/>
      <c r="Q2286" s="63"/>
      <c r="R2286" s="63"/>
      <c r="S2286" s="63"/>
      <c r="T2286" s="63"/>
      <c r="U2286" s="63"/>
      <c r="V2286" s="63"/>
      <c r="W2286" s="63"/>
      <c r="X2286" s="63"/>
      <c r="Y2286" s="63"/>
      <c r="Z2286" s="63"/>
      <c r="AA2286" s="63"/>
      <c r="AB2286" s="63"/>
      <c r="AC2286" s="63"/>
    </row>
    <row r="2287" spans="1:29" x14ac:dyDescent="0.25">
      <c r="A2287" s="108">
        <v>46071</v>
      </c>
      <c r="B2287" s="109">
        <v>69</v>
      </c>
      <c r="C2287" s="49" t="s">
        <v>19</v>
      </c>
      <c r="D2287" s="110" t="str">
        <f>IF(ISBLANK($B2287),"",IFERROR(VLOOKUP($B2287,ESTOQUE!$B$2:$D$97168,3,FALSE),"Produto não cadastrado"))</f>
        <v>CAMISA LARANJA OP. C/ FAIXA REFLETIVA TAM: M</v>
      </c>
      <c r="E2287" s="99" t="str">
        <f>_xlfn.XLOOKUP(B2287,ESTOQUE!B:B,ESTOQUE!G:G,"",0)</f>
        <v>UND</v>
      </c>
      <c r="F2287" s="99">
        <v>1</v>
      </c>
      <c r="G2287" s="146"/>
      <c r="H2287" s="146"/>
      <c r="I2287" s="147"/>
      <c r="J2287" s="147"/>
      <c r="K2287" s="63"/>
      <c r="L2287" s="63"/>
      <c r="M2287" s="63"/>
      <c r="N2287" s="63"/>
      <c r="O2287" s="63"/>
      <c r="P2287" s="63"/>
      <c r="Q2287" s="63"/>
      <c r="R2287" s="63"/>
      <c r="S2287" s="63"/>
      <c r="T2287" s="63"/>
      <c r="U2287" s="63"/>
      <c r="V2287" s="63"/>
      <c r="W2287" s="63"/>
      <c r="X2287" s="63"/>
      <c r="Y2287" s="63"/>
      <c r="Z2287" s="63"/>
      <c r="AA2287" s="63"/>
      <c r="AB2287" s="63"/>
      <c r="AC2287" s="63"/>
    </row>
    <row r="2288" spans="1:29" x14ac:dyDescent="0.25">
      <c r="A2288" s="108">
        <v>46071</v>
      </c>
      <c r="B2288" s="109">
        <v>71</v>
      </c>
      <c r="C2288" s="49" t="s">
        <v>19</v>
      </c>
      <c r="D2288" s="110" t="str">
        <f>IF(ISBLANK($B2288),"",IFERROR(VLOOKUP($B2288,ESTOQUE!$B$2:$D$97168,3,FALSE),"Produto não cadastrado"))</f>
        <v>CAMISA LARANJA OP. C/ FAIXA REFLETIVA TAM: XG</v>
      </c>
      <c r="E2288" s="99" t="str">
        <f>_xlfn.XLOOKUP(B2288,ESTOQUE!B:B,ESTOQUE!G:G,"",0)</f>
        <v>UND</v>
      </c>
      <c r="F2288" s="99">
        <v>1</v>
      </c>
      <c r="G2288" s="146"/>
      <c r="H2288" s="146"/>
      <c r="I2288" s="147"/>
      <c r="J2288" s="147"/>
      <c r="K2288" s="63"/>
      <c r="L2288" s="63"/>
      <c r="M2288" s="63"/>
      <c r="N2288" s="63"/>
      <c r="O2288" s="63"/>
      <c r="P2288" s="63"/>
      <c r="Q2288" s="63"/>
      <c r="R2288" s="63"/>
      <c r="S2288" s="63"/>
      <c r="T2288" s="63"/>
      <c r="U2288" s="63"/>
      <c r="V2288" s="63"/>
      <c r="W2288" s="63"/>
      <c r="X2288" s="63"/>
      <c r="Y2288" s="63"/>
      <c r="Z2288" s="63"/>
      <c r="AA2288" s="63"/>
      <c r="AB2288" s="63"/>
      <c r="AC2288" s="63"/>
    </row>
    <row r="2289" spans="1:29" x14ac:dyDescent="0.25">
      <c r="A2289" s="108">
        <v>46071</v>
      </c>
      <c r="B2289" s="109">
        <v>110</v>
      </c>
      <c r="C2289" s="49" t="s">
        <v>19</v>
      </c>
      <c r="D2289" s="110" t="str">
        <f>IF(ISBLANK($B2289),"",IFERROR(VLOOKUP($B2289,ESTOQUE!$B$2:$D$97168,3,FALSE),"Produto não cadastrado"))</f>
        <v>LUVA DE RASPA CANO LONGO</v>
      </c>
      <c r="E2289" s="99" t="str">
        <f>_xlfn.XLOOKUP(B2289,ESTOQUE!B:B,ESTOQUE!G:G,"",0)</f>
        <v>PAR</v>
      </c>
      <c r="F2289" s="99">
        <v>1</v>
      </c>
      <c r="G2289" s="146"/>
      <c r="H2289" s="146"/>
      <c r="I2289" s="147"/>
      <c r="J2289" s="147"/>
      <c r="K2289" s="63"/>
      <c r="L2289" s="63"/>
      <c r="M2289" s="63"/>
      <c r="N2289" s="63"/>
      <c r="O2289" s="63"/>
      <c r="P2289" s="63"/>
      <c r="Q2289" s="63"/>
      <c r="R2289" s="63"/>
      <c r="S2289" s="63"/>
      <c r="T2289" s="63"/>
      <c r="U2289" s="63"/>
      <c r="V2289" s="63"/>
      <c r="W2289" s="63"/>
      <c r="X2289" s="63"/>
      <c r="Y2289" s="63"/>
      <c r="Z2289" s="63"/>
      <c r="AA2289" s="63"/>
      <c r="AB2289" s="63"/>
      <c r="AC2289" s="63"/>
    </row>
    <row r="2290" spans="1:29" x14ac:dyDescent="0.25">
      <c r="A2290" s="108">
        <v>46071</v>
      </c>
      <c r="B2290" s="109">
        <v>111</v>
      </c>
      <c r="C2290" s="49" t="s">
        <v>19</v>
      </c>
      <c r="D2290" s="110" t="str">
        <f>IF(ISBLANK($B2290),"",IFERROR(VLOOKUP($B2290,ESTOQUE!$B$2:$D$97168,3,FALSE),"Produto não cadastrado"))</f>
        <v>LUVA DE VAQUETA MARROM</v>
      </c>
      <c r="E2290" s="99" t="str">
        <f>_xlfn.XLOOKUP(B2290,ESTOQUE!B:B,ESTOQUE!G:G,"",0)</f>
        <v>PAR</v>
      </c>
      <c r="F2290" s="99">
        <v>15</v>
      </c>
      <c r="G2290" s="146"/>
      <c r="H2290" s="146"/>
      <c r="I2290" s="147"/>
      <c r="J2290" s="147"/>
      <c r="K2290" s="63"/>
      <c r="L2290" s="63"/>
      <c r="M2290" s="63"/>
      <c r="N2290" s="63"/>
      <c r="O2290" s="63"/>
      <c r="P2290" s="63"/>
      <c r="Q2290" s="63"/>
      <c r="R2290" s="63"/>
      <c r="S2290" s="63"/>
      <c r="T2290" s="63"/>
      <c r="U2290" s="63"/>
      <c r="V2290" s="63"/>
      <c r="W2290" s="63"/>
      <c r="X2290" s="63"/>
      <c r="Y2290" s="63"/>
      <c r="Z2290" s="63"/>
      <c r="AA2290" s="63"/>
      <c r="AB2290" s="63"/>
      <c r="AC2290" s="63"/>
    </row>
    <row r="2291" spans="1:29" x14ac:dyDescent="0.25">
      <c r="A2291" s="108">
        <v>46071</v>
      </c>
      <c r="B2291" s="109">
        <v>114</v>
      </c>
      <c r="C2291" s="49" t="s">
        <v>19</v>
      </c>
      <c r="D2291" s="110" t="str">
        <f>IF(ISBLANK($B2291),"",IFERROR(VLOOKUP($B2291,ESTOQUE!$B$2:$D$97168,3,FALSE),"Produto não cadastrado"))</f>
        <v xml:space="preserve">LUVA LATEX NITRILICA </v>
      </c>
      <c r="E2291" s="99" t="str">
        <f>_xlfn.XLOOKUP(B2291,ESTOQUE!B:B,ESTOQUE!G:G,"",0)</f>
        <v>PAR</v>
      </c>
      <c r="F2291" s="99">
        <v>28</v>
      </c>
      <c r="G2291" s="146"/>
      <c r="H2291" s="146"/>
      <c r="I2291" s="147"/>
      <c r="J2291" s="147"/>
      <c r="K2291" s="63"/>
      <c r="L2291" s="63"/>
      <c r="M2291" s="63"/>
      <c r="N2291" s="63"/>
      <c r="O2291" s="63"/>
      <c r="P2291" s="63"/>
      <c r="Q2291" s="63"/>
      <c r="R2291" s="63"/>
      <c r="S2291" s="63"/>
      <c r="T2291" s="63"/>
      <c r="U2291" s="63"/>
      <c r="V2291" s="63"/>
      <c r="W2291" s="63"/>
      <c r="X2291" s="63"/>
      <c r="Y2291" s="63"/>
      <c r="Z2291" s="63"/>
      <c r="AA2291" s="63"/>
      <c r="AB2291" s="63"/>
      <c r="AC2291" s="63"/>
    </row>
    <row r="2292" spans="1:29" x14ac:dyDescent="0.25">
      <c r="A2292" s="108">
        <v>46071</v>
      </c>
      <c r="B2292" s="109">
        <v>257</v>
      </c>
      <c r="C2292" s="49" t="s">
        <v>19</v>
      </c>
      <c r="D2292" s="110" t="str">
        <f>IF(ISBLANK($B2292),"",IFERROR(VLOOKUP($B2292,ESTOQUE!$B$2:$D$97168,3,FALSE),"Produto não cadastrado"))</f>
        <v xml:space="preserve">LUVA MULTITATO </v>
      </c>
      <c r="E2292" s="99" t="str">
        <f>_xlfn.XLOOKUP(B2292,ESTOQUE!B:B,ESTOQUE!G:G,"",0)</f>
        <v>UND</v>
      </c>
      <c r="F2292" s="99">
        <v>12</v>
      </c>
      <c r="G2292" s="146"/>
      <c r="H2292" s="146"/>
      <c r="I2292" s="147"/>
      <c r="J2292" s="147"/>
      <c r="K2292" s="63"/>
      <c r="L2292" s="63"/>
      <c r="M2292" s="63"/>
      <c r="N2292" s="63"/>
      <c r="O2292" s="63"/>
      <c r="P2292" s="63"/>
      <c r="Q2292" s="63"/>
      <c r="R2292" s="63"/>
      <c r="S2292" s="63"/>
      <c r="T2292" s="63"/>
      <c r="U2292" s="63"/>
      <c r="V2292" s="63"/>
      <c r="W2292" s="63"/>
      <c r="X2292" s="63"/>
      <c r="Y2292" s="63"/>
      <c r="Z2292" s="63"/>
      <c r="AA2292" s="63"/>
      <c r="AB2292" s="63"/>
      <c r="AC2292" s="63"/>
    </row>
    <row r="2293" spans="1:29" x14ac:dyDescent="0.25">
      <c r="A2293" s="108">
        <v>46071</v>
      </c>
      <c r="B2293" s="109">
        <v>117</v>
      </c>
      <c r="C2293" s="49" t="s">
        <v>19</v>
      </c>
      <c r="D2293" s="110" t="str">
        <f>IF(ISBLANK($B2293),"",IFERROR(VLOOKUP($B2293,ESTOQUE!$B$2:$D$97168,3,FALSE),"Produto não cadastrado"))</f>
        <v>LUVA PIGMENTADA</v>
      </c>
      <c r="E2293" s="99" t="str">
        <f>_xlfn.XLOOKUP(B2293,ESTOQUE!B:B,ESTOQUE!G:G,"",0)</f>
        <v>PAR</v>
      </c>
      <c r="F2293" s="99">
        <v>44</v>
      </c>
      <c r="G2293" s="146"/>
      <c r="H2293" s="146"/>
      <c r="I2293" s="147"/>
      <c r="J2293" s="147"/>
      <c r="K2293" s="63"/>
      <c r="L2293" s="63"/>
      <c r="M2293" s="63"/>
      <c r="N2293" s="63"/>
      <c r="O2293" s="63"/>
      <c r="P2293" s="63"/>
      <c r="Q2293" s="63"/>
      <c r="R2293" s="63"/>
      <c r="S2293" s="63"/>
      <c r="T2293" s="63"/>
      <c r="U2293" s="63"/>
      <c r="V2293" s="63"/>
      <c r="W2293" s="63"/>
      <c r="X2293" s="63"/>
      <c r="Y2293" s="63"/>
      <c r="Z2293" s="63"/>
      <c r="AA2293" s="63"/>
      <c r="AB2293" s="63"/>
      <c r="AC2293" s="63"/>
    </row>
    <row r="2294" spans="1:29" x14ac:dyDescent="0.25">
      <c r="A2294" s="108">
        <v>46071</v>
      </c>
      <c r="B2294" s="109">
        <v>207</v>
      </c>
      <c r="C2294" s="49" t="s">
        <v>19</v>
      </c>
      <c r="D2294" s="110" t="str">
        <f>IF(ISBLANK($B2294),"",IFERROR(VLOOKUP($B2294,ESTOQUE!$B$2:$D$97168,3,FALSE),"Produto não cadastrado"))</f>
        <v>LUVA POLIESTER ANTICORTE BANHADA PU TAM 9</v>
      </c>
      <c r="E2294" s="99" t="str">
        <f>_xlfn.XLOOKUP(B2294,ESTOQUE!B:B,ESTOQUE!G:G,"",0)</f>
        <v>PAR</v>
      </c>
      <c r="F2294" s="99">
        <v>3</v>
      </c>
      <c r="G2294" s="146"/>
      <c r="H2294" s="146"/>
      <c r="I2294" s="147"/>
      <c r="J2294" s="147"/>
      <c r="K2294" s="63"/>
      <c r="L2294" s="63"/>
      <c r="M2294" s="63"/>
      <c r="N2294" s="63"/>
      <c r="O2294" s="63"/>
      <c r="P2294" s="63"/>
      <c r="Q2294" s="63"/>
      <c r="R2294" s="63"/>
      <c r="S2294" s="63"/>
      <c r="T2294" s="63"/>
      <c r="U2294" s="63"/>
      <c r="V2294" s="63"/>
      <c r="W2294" s="63"/>
      <c r="X2294" s="63"/>
      <c r="Y2294" s="63"/>
      <c r="Z2294" s="63"/>
      <c r="AA2294" s="63"/>
      <c r="AB2294" s="63"/>
      <c r="AC2294" s="63"/>
    </row>
    <row r="2295" spans="1:29" x14ac:dyDescent="0.25">
      <c r="A2295" s="108">
        <v>46071</v>
      </c>
      <c r="B2295" s="109">
        <v>118</v>
      </c>
      <c r="C2295" s="49" t="s">
        <v>19</v>
      </c>
      <c r="D2295" s="110" t="str">
        <f>IF(ISBLANK($B2295),"",IFERROR(VLOOKUP($B2295,ESTOQUE!$B$2:$D$97168,3,FALSE),"Produto não cadastrado"))</f>
        <v>MACACÃO DE PROTEÇÃO TYVEK</v>
      </c>
      <c r="E2295" s="99" t="str">
        <f>_xlfn.XLOOKUP(B2295,ESTOQUE!B:B,ESTOQUE!G:G,"",0)</f>
        <v>UND</v>
      </c>
      <c r="F2295" s="99">
        <v>20</v>
      </c>
      <c r="G2295" s="146"/>
      <c r="H2295" s="146"/>
      <c r="I2295" s="147"/>
      <c r="J2295" s="147"/>
      <c r="K2295" s="63"/>
      <c r="L2295" s="63"/>
      <c r="M2295" s="63"/>
      <c r="N2295" s="63"/>
      <c r="O2295" s="63"/>
      <c r="P2295" s="63"/>
      <c r="Q2295" s="63"/>
      <c r="R2295" s="63"/>
      <c r="S2295" s="63"/>
      <c r="T2295" s="63"/>
      <c r="U2295" s="63"/>
      <c r="V2295" s="63"/>
      <c r="W2295" s="63"/>
      <c r="X2295" s="63"/>
      <c r="Y2295" s="63"/>
      <c r="Z2295" s="63"/>
      <c r="AA2295" s="63"/>
      <c r="AB2295" s="63"/>
      <c r="AC2295" s="63"/>
    </row>
    <row r="2296" spans="1:29" x14ac:dyDescent="0.25">
      <c r="A2296" s="108">
        <v>46071</v>
      </c>
      <c r="B2296" s="109">
        <v>144</v>
      </c>
      <c r="C2296" s="49" t="s">
        <v>19</v>
      </c>
      <c r="D2296" s="110" t="str">
        <f>IF(ISBLANK($B2296),"",IFERROR(VLOOKUP($B2296,ESTOQUE!$B$2:$D$97168,3,FALSE),"Produto não cadastrado"))</f>
        <v>MASCARA PFF2-S C/ FILTRO</v>
      </c>
      <c r="E2296" s="99" t="str">
        <f>_xlfn.XLOOKUP(B2296,ESTOQUE!B:B,ESTOQUE!G:G,"",0)</f>
        <v>UND</v>
      </c>
      <c r="F2296" s="99">
        <v>30</v>
      </c>
      <c r="G2296" s="146"/>
      <c r="H2296" s="146"/>
      <c r="I2296" s="147"/>
      <c r="J2296" s="147"/>
      <c r="K2296" s="63"/>
      <c r="L2296" s="63"/>
      <c r="M2296" s="63"/>
      <c r="N2296" s="63"/>
      <c r="O2296" s="63"/>
      <c r="P2296" s="63"/>
      <c r="Q2296" s="63"/>
      <c r="R2296" s="63"/>
      <c r="S2296" s="63"/>
      <c r="T2296" s="63"/>
      <c r="U2296" s="63"/>
      <c r="V2296" s="63"/>
      <c r="W2296" s="63"/>
      <c r="X2296" s="63"/>
      <c r="Y2296" s="63"/>
      <c r="Z2296" s="63"/>
      <c r="AA2296" s="63"/>
      <c r="AB2296" s="63"/>
      <c r="AC2296" s="63"/>
    </row>
    <row r="2297" spans="1:29" x14ac:dyDescent="0.25">
      <c r="A2297" s="108">
        <v>46071</v>
      </c>
      <c r="B2297" s="109">
        <v>126</v>
      </c>
      <c r="C2297" s="49" t="s">
        <v>19</v>
      </c>
      <c r="D2297" s="110" t="str">
        <f>IF(ISBLANK($B2297),"",IFERROR(VLOOKUP($B2297,ESTOQUE!$B$2:$D$97168,3,FALSE),"Produto não cadastrado"))</f>
        <v>OCULOS DE PROTEÇÃO ESCURO</v>
      </c>
      <c r="E2297" s="99" t="str">
        <f>_xlfn.XLOOKUP(B2297,ESTOQUE!B:B,ESTOQUE!G:G,"",0)</f>
        <v>UND</v>
      </c>
      <c r="F2297" s="99">
        <v>5</v>
      </c>
      <c r="G2297" s="146"/>
      <c r="H2297" s="146"/>
      <c r="I2297" s="147"/>
      <c r="J2297" s="147"/>
      <c r="K2297" s="63"/>
      <c r="L2297" s="63"/>
      <c r="M2297" s="63"/>
      <c r="N2297" s="63"/>
      <c r="O2297" s="63"/>
      <c r="P2297" s="63"/>
      <c r="Q2297" s="63"/>
      <c r="R2297" s="63"/>
      <c r="S2297" s="63"/>
      <c r="T2297" s="63"/>
      <c r="U2297" s="63"/>
      <c r="V2297" s="63"/>
      <c r="W2297" s="63"/>
      <c r="X2297" s="63"/>
      <c r="Y2297" s="63"/>
      <c r="Z2297" s="63"/>
      <c r="AA2297" s="63"/>
      <c r="AB2297" s="63"/>
      <c r="AC2297" s="63"/>
    </row>
    <row r="2298" spans="1:29" x14ac:dyDescent="0.25">
      <c r="A2298" s="108">
        <v>46072</v>
      </c>
      <c r="B2298" s="109">
        <v>144</v>
      </c>
      <c r="C2298" s="49" t="s">
        <v>19</v>
      </c>
      <c r="D2298" s="110" t="str">
        <f>IF(ISBLANK($B2298),"",IFERROR(VLOOKUP($B2298,ESTOQUE!$B$2:$D$97168,3,FALSE),"Produto não cadastrado"))</f>
        <v>MASCARA PFF2-S C/ FILTRO</v>
      </c>
      <c r="E2298" s="99" t="str">
        <f>_xlfn.XLOOKUP(B2298,ESTOQUE!B:B,ESTOQUE!G:G,"",0)</f>
        <v>UND</v>
      </c>
      <c r="F2298" s="99">
        <v>602</v>
      </c>
      <c r="G2298" s="146"/>
      <c r="H2298" s="146"/>
      <c r="I2298" s="147"/>
      <c r="J2298" s="147"/>
      <c r="K2298" s="63"/>
      <c r="L2298" s="63"/>
      <c r="M2298" s="63"/>
      <c r="N2298" s="63"/>
      <c r="O2298" s="63"/>
      <c r="P2298" s="63"/>
      <c r="Q2298" s="63"/>
      <c r="R2298" s="63"/>
      <c r="S2298" s="63"/>
      <c r="T2298" s="63"/>
      <c r="U2298" s="63"/>
      <c r="V2298" s="63"/>
      <c r="W2298" s="63"/>
      <c r="X2298" s="63"/>
      <c r="Y2298" s="63"/>
      <c r="Z2298" s="63"/>
      <c r="AA2298" s="63"/>
      <c r="AB2298" s="63"/>
      <c r="AC2298" s="63"/>
    </row>
    <row r="2299" spans="1:29" x14ac:dyDescent="0.25">
      <c r="A2299" s="108">
        <v>46072</v>
      </c>
      <c r="B2299" s="109">
        <v>28</v>
      </c>
      <c r="C2299" s="49" t="s">
        <v>19</v>
      </c>
      <c r="D2299" s="110" t="str">
        <f>IF(ISBLANK($B2299),"",IFERROR(VLOOKUP($B2299,ESTOQUE!$B$2:$D$97168,3,FALSE),"Produto não cadastrado"))</f>
        <v>BOTINA DE ELETRICISTA Nº 38</v>
      </c>
      <c r="E2299" s="99" t="str">
        <f>_xlfn.XLOOKUP(B2299,ESTOQUE!B:B,ESTOQUE!G:G,"",0)</f>
        <v>PAR</v>
      </c>
      <c r="F2299" s="99">
        <v>2</v>
      </c>
      <c r="G2299" s="146"/>
      <c r="H2299" s="146"/>
      <c r="I2299" s="147"/>
      <c r="J2299" s="147"/>
      <c r="K2299" s="63"/>
      <c r="L2299" s="63"/>
      <c r="M2299" s="63"/>
      <c r="N2299" s="63"/>
      <c r="O2299" s="63"/>
      <c r="P2299" s="63"/>
      <c r="Q2299" s="63"/>
      <c r="R2299" s="63"/>
      <c r="S2299" s="63"/>
      <c r="T2299" s="63"/>
      <c r="U2299" s="63"/>
      <c r="V2299" s="63"/>
      <c r="W2299" s="63"/>
      <c r="X2299" s="63"/>
      <c r="Y2299" s="63"/>
      <c r="Z2299" s="63"/>
      <c r="AA2299" s="63"/>
      <c r="AB2299" s="63"/>
      <c r="AC2299" s="63"/>
    </row>
    <row r="2300" spans="1:29" x14ac:dyDescent="0.25">
      <c r="A2300" s="108">
        <v>46072</v>
      </c>
      <c r="B2300" s="109">
        <v>134</v>
      </c>
      <c r="C2300" s="49" t="s">
        <v>19</v>
      </c>
      <c r="D2300" s="110" t="str">
        <f>IF(ISBLANK($B2300),"",IFERROR(VLOOKUP($B2300,ESTOQUE!$B$2:$D$97168,3,FALSE),"Produto não cadastrado"))</f>
        <v>PROTETOR SOLAR FACIAL ALGSUN 2L</v>
      </c>
      <c r="E2300" s="99" t="str">
        <f>_xlfn.XLOOKUP(B2300,ESTOQUE!B:B,ESTOQUE!G:G,"",0)</f>
        <v>UND</v>
      </c>
      <c r="F2300" s="99">
        <v>1</v>
      </c>
      <c r="G2300" s="146"/>
      <c r="H2300" s="146"/>
      <c r="I2300" s="147"/>
      <c r="J2300" s="147"/>
      <c r="K2300" s="63"/>
      <c r="L2300" s="63"/>
      <c r="M2300" s="63"/>
      <c r="N2300" s="63"/>
      <c r="O2300" s="63"/>
      <c r="P2300" s="63"/>
      <c r="Q2300" s="63"/>
      <c r="R2300" s="63"/>
      <c r="S2300" s="63"/>
      <c r="T2300" s="63"/>
      <c r="U2300" s="63"/>
      <c r="V2300" s="63"/>
      <c r="W2300" s="63"/>
      <c r="X2300" s="63"/>
      <c r="Y2300" s="63"/>
      <c r="Z2300" s="63"/>
      <c r="AA2300" s="63"/>
      <c r="AB2300" s="63"/>
      <c r="AC2300" s="63"/>
    </row>
    <row r="2301" spans="1:29" x14ac:dyDescent="0.25">
      <c r="A2301" s="108">
        <v>46072</v>
      </c>
      <c r="B2301" s="109">
        <v>228</v>
      </c>
      <c r="C2301" s="49" t="s">
        <v>19</v>
      </c>
      <c r="D2301" s="110" t="str">
        <f>IF(ISBLANK($B2301),"",IFERROR(VLOOKUP($B2301,ESTOQUE!$B$2:$D$97168,3,FALSE),"Produto não cadastrado"))</f>
        <v xml:space="preserve">BALACLAVA  </v>
      </c>
      <c r="E2301" s="99" t="str">
        <f>_xlfn.XLOOKUP(B2301,ESTOQUE!B:B,ESTOQUE!G:G,"",0)</f>
        <v>UND</v>
      </c>
      <c r="F2301" s="99">
        <v>1</v>
      </c>
      <c r="G2301" s="146"/>
      <c r="H2301" s="146"/>
      <c r="I2301" s="147"/>
      <c r="J2301" s="147"/>
      <c r="K2301" s="63"/>
      <c r="L2301" s="63"/>
      <c r="M2301" s="63"/>
      <c r="N2301" s="63"/>
      <c r="O2301" s="63"/>
      <c r="P2301" s="63"/>
      <c r="Q2301" s="63"/>
      <c r="R2301" s="63"/>
      <c r="S2301" s="63"/>
      <c r="T2301" s="63"/>
      <c r="U2301" s="63"/>
      <c r="V2301" s="63"/>
      <c r="W2301" s="63"/>
      <c r="X2301" s="63"/>
      <c r="Y2301" s="63"/>
      <c r="Z2301" s="63"/>
      <c r="AA2301" s="63"/>
      <c r="AB2301" s="63"/>
      <c r="AC2301" s="63"/>
    </row>
    <row r="2302" spans="1:29" x14ac:dyDescent="0.25">
      <c r="A2302" s="108">
        <v>46072</v>
      </c>
      <c r="B2302" s="109">
        <v>28</v>
      </c>
      <c r="C2302" s="49" t="s">
        <v>19</v>
      </c>
      <c r="D2302" s="110" t="str">
        <f>IF(ISBLANK($B2302),"",IFERROR(VLOOKUP($B2302,ESTOQUE!$B$2:$D$97168,3,FALSE),"Produto não cadastrado"))</f>
        <v>BOTINA DE ELETRICISTA Nº 38</v>
      </c>
      <c r="E2302" s="99" t="str">
        <f>_xlfn.XLOOKUP(B2302,ESTOQUE!B:B,ESTOQUE!G:G,"",0)</f>
        <v>PAR</v>
      </c>
      <c r="F2302" s="99">
        <v>1</v>
      </c>
      <c r="G2302" s="146"/>
      <c r="H2302" s="146"/>
      <c r="I2302" s="147"/>
      <c r="J2302" s="147"/>
      <c r="K2302" s="63"/>
      <c r="L2302" s="63"/>
      <c r="M2302" s="63"/>
      <c r="N2302" s="63"/>
      <c r="O2302" s="63"/>
      <c r="P2302" s="63"/>
      <c r="Q2302" s="63"/>
      <c r="R2302" s="63"/>
      <c r="S2302" s="63"/>
      <c r="T2302" s="63"/>
      <c r="U2302" s="63"/>
      <c r="V2302" s="63"/>
      <c r="W2302" s="63"/>
      <c r="X2302" s="63"/>
      <c r="Y2302" s="63"/>
      <c r="Z2302" s="63"/>
      <c r="AA2302" s="63"/>
      <c r="AB2302" s="63"/>
      <c r="AC2302" s="63"/>
    </row>
    <row r="2303" spans="1:29" x14ac:dyDescent="0.25">
      <c r="A2303" s="108">
        <v>46072</v>
      </c>
      <c r="B2303" s="109">
        <v>39</v>
      </c>
      <c r="C2303" s="49" t="s">
        <v>19</v>
      </c>
      <c r="D2303" s="110" t="str">
        <f>IF(ISBLANK($B2303),"",IFERROR(VLOOKUP($B2303,ESTOQUE!$B$2:$D$97168,3,FALSE),"Produto não cadastrado"))</f>
        <v>BOTINA OP. BICO PVC Nº 41</v>
      </c>
      <c r="E2303" s="99" t="str">
        <f>_xlfn.XLOOKUP(B2303,ESTOQUE!B:B,ESTOQUE!G:G,"",0)</f>
        <v>PAR</v>
      </c>
      <c r="F2303" s="99">
        <v>1</v>
      </c>
      <c r="G2303" s="146"/>
      <c r="H2303" s="146"/>
      <c r="I2303" s="147"/>
      <c r="J2303" s="147"/>
      <c r="K2303" s="63"/>
      <c r="L2303" s="63"/>
      <c r="M2303" s="63"/>
      <c r="N2303" s="63"/>
      <c r="O2303" s="63"/>
      <c r="P2303" s="63"/>
      <c r="Q2303" s="63"/>
      <c r="R2303" s="63"/>
      <c r="S2303" s="63"/>
      <c r="T2303" s="63"/>
      <c r="U2303" s="63"/>
      <c r="V2303" s="63"/>
      <c r="W2303" s="63"/>
      <c r="X2303" s="63"/>
      <c r="Y2303" s="63"/>
      <c r="Z2303" s="63"/>
      <c r="AA2303" s="63"/>
      <c r="AB2303" s="63"/>
      <c r="AC2303" s="63"/>
    </row>
    <row r="2304" spans="1:29" x14ac:dyDescent="0.25">
      <c r="A2304" s="108">
        <v>46072</v>
      </c>
      <c r="B2304" s="109">
        <v>40</v>
      </c>
      <c r="C2304" s="49" t="s">
        <v>19</v>
      </c>
      <c r="D2304" s="110" t="str">
        <f>IF(ISBLANK($B2304),"",IFERROR(VLOOKUP($B2304,ESTOQUE!$B$2:$D$97168,3,FALSE),"Produto não cadastrado"))</f>
        <v>BOTINA OP. BICO PVC Nº 42</v>
      </c>
      <c r="E2304" s="99" t="str">
        <f>_xlfn.XLOOKUP(B2304,ESTOQUE!B:B,ESTOQUE!G:G,"",0)</f>
        <v>PAR</v>
      </c>
      <c r="F2304" s="99">
        <v>1</v>
      </c>
      <c r="G2304" s="146"/>
      <c r="H2304" s="146"/>
      <c r="I2304" s="147"/>
      <c r="J2304" s="147"/>
      <c r="K2304" s="63"/>
      <c r="L2304" s="63"/>
      <c r="M2304" s="63"/>
      <c r="N2304" s="63"/>
      <c r="O2304" s="63"/>
      <c r="P2304" s="63"/>
      <c r="Q2304" s="63"/>
      <c r="R2304" s="63"/>
      <c r="S2304" s="63"/>
      <c r="T2304" s="63"/>
      <c r="U2304" s="63"/>
      <c r="V2304" s="63"/>
      <c r="W2304" s="63"/>
      <c r="X2304" s="63"/>
      <c r="Y2304" s="63"/>
      <c r="Z2304" s="63"/>
      <c r="AA2304" s="63"/>
      <c r="AB2304" s="63"/>
      <c r="AC2304" s="63"/>
    </row>
    <row r="2305" spans="1:29" x14ac:dyDescent="0.25">
      <c r="A2305" s="108">
        <v>46072</v>
      </c>
      <c r="B2305" s="109">
        <v>41</v>
      </c>
      <c r="C2305" s="49" t="s">
        <v>19</v>
      </c>
      <c r="D2305" s="110" t="str">
        <f>IF(ISBLANK($B2305),"",IFERROR(VLOOKUP($B2305,ESTOQUE!$B$2:$D$97168,3,FALSE),"Produto não cadastrado"))</f>
        <v>BOTINA OP. BICO PVC Nº 43</v>
      </c>
      <c r="E2305" s="99" t="str">
        <f>_xlfn.XLOOKUP(B2305,ESTOQUE!B:B,ESTOQUE!G:G,"",0)</f>
        <v>PAR</v>
      </c>
      <c r="F2305" s="99">
        <v>1</v>
      </c>
      <c r="G2305" s="146"/>
      <c r="H2305" s="146"/>
      <c r="I2305" s="147"/>
      <c r="J2305" s="147"/>
      <c r="K2305" s="63"/>
      <c r="L2305" s="63"/>
      <c r="M2305" s="63"/>
      <c r="N2305" s="63"/>
      <c r="O2305" s="63"/>
      <c r="P2305" s="63"/>
      <c r="Q2305" s="63"/>
      <c r="R2305" s="63"/>
      <c r="S2305" s="63"/>
      <c r="T2305" s="63"/>
      <c r="U2305" s="63"/>
      <c r="V2305" s="63"/>
      <c r="W2305" s="63"/>
      <c r="X2305" s="63"/>
      <c r="Y2305" s="63"/>
      <c r="Z2305" s="63"/>
      <c r="AA2305" s="63"/>
      <c r="AB2305" s="63"/>
      <c r="AC2305" s="63"/>
    </row>
    <row r="2306" spans="1:29" x14ac:dyDescent="0.25">
      <c r="A2306" s="108">
        <v>46072</v>
      </c>
      <c r="B2306" s="109">
        <v>46</v>
      </c>
      <c r="C2306" s="49" t="s">
        <v>19</v>
      </c>
      <c r="D2306" s="110" t="str">
        <f>IF(ISBLANK($B2306),"",IFERROR(VLOOKUP($B2306,ESTOQUE!$B$2:$D$97168,3,FALSE),"Produto não cadastrado"))</f>
        <v>CALÇA CINZA OP. C/ FAIXA REFLETIVA TAM: G</v>
      </c>
      <c r="E2306" s="99" t="str">
        <f>_xlfn.XLOOKUP(B2306,ESTOQUE!B:B,ESTOQUE!G:G,"",0)</f>
        <v>UND</v>
      </c>
      <c r="F2306" s="99">
        <v>6</v>
      </c>
      <c r="G2306" s="146"/>
      <c r="H2306" s="146"/>
      <c r="I2306" s="147"/>
      <c r="J2306" s="147"/>
      <c r="K2306" s="63"/>
      <c r="L2306" s="63"/>
      <c r="M2306" s="63"/>
      <c r="N2306" s="63"/>
      <c r="O2306" s="63"/>
      <c r="P2306" s="63"/>
      <c r="Q2306" s="63"/>
      <c r="R2306" s="63"/>
      <c r="S2306" s="63"/>
      <c r="T2306" s="63"/>
      <c r="U2306" s="63"/>
      <c r="V2306" s="63"/>
      <c r="W2306" s="63"/>
      <c r="X2306" s="63"/>
      <c r="Y2306" s="63"/>
      <c r="Z2306" s="63"/>
      <c r="AA2306" s="63"/>
      <c r="AB2306" s="63"/>
      <c r="AC2306" s="63"/>
    </row>
    <row r="2307" spans="1:29" x14ac:dyDescent="0.25">
      <c r="A2307" s="108">
        <v>46072</v>
      </c>
      <c r="B2307" s="109">
        <v>47</v>
      </c>
      <c r="C2307" s="49" t="s">
        <v>19</v>
      </c>
      <c r="D2307" s="110" t="str">
        <f>IF(ISBLANK($B2307),"",IFERROR(VLOOKUP($B2307,ESTOQUE!$B$2:$D$97168,3,FALSE),"Produto não cadastrado"))</f>
        <v>CALÇA CINZA OP. C/ FAIXA REFLETIVA TAM: GG</v>
      </c>
      <c r="E2307" s="99" t="str">
        <f>_xlfn.XLOOKUP(B2307,ESTOQUE!B:B,ESTOQUE!G:G,"",0)</f>
        <v>UND</v>
      </c>
      <c r="F2307" s="99">
        <v>3</v>
      </c>
      <c r="G2307" s="146"/>
      <c r="H2307" s="146"/>
      <c r="I2307" s="147"/>
      <c r="J2307" s="147"/>
      <c r="K2307" s="63"/>
      <c r="L2307" s="63"/>
      <c r="M2307" s="63"/>
      <c r="N2307" s="63"/>
      <c r="O2307" s="63"/>
      <c r="P2307" s="63"/>
      <c r="Q2307" s="63"/>
      <c r="R2307" s="63"/>
      <c r="S2307" s="63"/>
      <c r="T2307" s="63"/>
      <c r="U2307" s="63"/>
      <c r="V2307" s="63"/>
      <c r="W2307" s="63"/>
      <c r="X2307" s="63"/>
      <c r="Y2307" s="63"/>
      <c r="Z2307" s="63"/>
      <c r="AA2307" s="63"/>
      <c r="AB2307" s="63"/>
      <c r="AC2307" s="63"/>
    </row>
    <row r="2308" spans="1:29" x14ac:dyDescent="0.25">
      <c r="A2308" s="108">
        <v>46072</v>
      </c>
      <c r="B2308" s="109">
        <v>48</v>
      </c>
      <c r="C2308" s="49" t="s">
        <v>19</v>
      </c>
      <c r="D2308" s="110" t="str">
        <f>IF(ISBLANK($B2308),"",IFERROR(VLOOKUP($B2308,ESTOQUE!$B$2:$D$97168,3,FALSE),"Produto não cadastrado"))</f>
        <v>CALÇA CINZA OP. C/ FAIXA REFLETIVA TAM: M</v>
      </c>
      <c r="E2308" s="99" t="str">
        <f>_xlfn.XLOOKUP(B2308,ESTOQUE!B:B,ESTOQUE!G:G,"",0)</f>
        <v>UND</v>
      </c>
      <c r="F2308" s="99">
        <v>4</v>
      </c>
      <c r="G2308" s="146"/>
      <c r="H2308" s="146"/>
      <c r="I2308" s="147"/>
      <c r="J2308" s="147"/>
      <c r="K2308" s="63"/>
      <c r="L2308" s="63"/>
      <c r="M2308" s="63"/>
      <c r="N2308" s="63"/>
      <c r="O2308" s="63"/>
      <c r="P2308" s="63"/>
      <c r="Q2308" s="63"/>
      <c r="R2308" s="63"/>
      <c r="S2308" s="63"/>
      <c r="T2308" s="63"/>
      <c r="U2308" s="63"/>
      <c r="V2308" s="63"/>
      <c r="W2308" s="63"/>
      <c r="X2308" s="63"/>
      <c r="Y2308" s="63"/>
      <c r="Z2308" s="63"/>
      <c r="AA2308" s="63"/>
      <c r="AB2308" s="63"/>
      <c r="AC2308" s="63"/>
    </row>
    <row r="2309" spans="1:29" x14ac:dyDescent="0.25">
      <c r="A2309" s="108">
        <v>46072</v>
      </c>
      <c r="B2309" s="109">
        <v>49</v>
      </c>
      <c r="C2309" s="49" t="s">
        <v>19</v>
      </c>
      <c r="D2309" s="110" t="str">
        <f>IF(ISBLANK($B2309),"",IFERROR(VLOOKUP($B2309,ESTOQUE!$B$2:$D$97168,3,FALSE),"Produto não cadastrado"))</f>
        <v>CALÇA CINZA OP. C/ FAIXA REFLETIVA TAM: P</v>
      </c>
      <c r="E2309" s="99" t="str">
        <f>_xlfn.XLOOKUP(B2309,ESTOQUE!B:B,ESTOQUE!G:G,"",0)</f>
        <v>UND</v>
      </c>
      <c r="F2309" s="99">
        <v>2</v>
      </c>
      <c r="G2309" s="146"/>
      <c r="H2309" s="146"/>
      <c r="I2309" s="147"/>
      <c r="J2309" s="147"/>
      <c r="K2309" s="63"/>
      <c r="L2309" s="63"/>
      <c r="M2309" s="63"/>
      <c r="N2309" s="63"/>
      <c r="O2309" s="63"/>
      <c r="P2309" s="63"/>
      <c r="Q2309" s="63"/>
      <c r="R2309" s="63"/>
      <c r="S2309" s="63"/>
      <c r="T2309" s="63"/>
      <c r="U2309" s="63"/>
      <c r="V2309" s="63"/>
      <c r="W2309" s="63"/>
      <c r="X2309" s="63"/>
      <c r="Y2309" s="63"/>
      <c r="Z2309" s="63"/>
      <c r="AA2309" s="63"/>
      <c r="AB2309" s="63"/>
      <c r="AC2309" s="63"/>
    </row>
    <row r="2310" spans="1:29" x14ac:dyDescent="0.25">
      <c r="A2310" s="108">
        <v>46072</v>
      </c>
      <c r="B2310" s="109">
        <v>68</v>
      </c>
      <c r="C2310" s="49" t="s">
        <v>19</v>
      </c>
      <c r="D2310" s="110" t="str">
        <f>IF(ISBLANK($B2310),"",IFERROR(VLOOKUP($B2310,ESTOQUE!$B$2:$D$97168,3,FALSE),"Produto não cadastrado"))</f>
        <v>CAMISA LARANJA OP. C/ FAIXA REFLETIVA TAM: GG</v>
      </c>
      <c r="E2310" s="99" t="str">
        <f>_xlfn.XLOOKUP(B2310,ESTOQUE!B:B,ESTOQUE!G:G,"",0)</f>
        <v>UND</v>
      </c>
      <c r="F2310" s="99">
        <v>2</v>
      </c>
      <c r="G2310" s="146"/>
      <c r="H2310" s="146"/>
      <c r="I2310" s="147"/>
      <c r="J2310" s="147"/>
      <c r="K2310" s="63"/>
      <c r="L2310" s="63"/>
      <c r="M2310" s="63"/>
      <c r="N2310" s="63"/>
      <c r="O2310" s="63"/>
      <c r="P2310" s="63"/>
      <c r="Q2310" s="63"/>
      <c r="R2310" s="63"/>
      <c r="S2310" s="63"/>
      <c r="T2310" s="63"/>
      <c r="U2310" s="63"/>
      <c r="V2310" s="63"/>
      <c r="W2310" s="63"/>
      <c r="X2310" s="63"/>
      <c r="Y2310" s="63"/>
      <c r="Z2310" s="63"/>
      <c r="AA2310" s="63"/>
      <c r="AB2310" s="63"/>
      <c r="AC2310" s="63"/>
    </row>
    <row r="2311" spans="1:29" x14ac:dyDescent="0.25">
      <c r="A2311" s="108">
        <v>46072</v>
      </c>
      <c r="B2311" s="109">
        <v>69</v>
      </c>
      <c r="C2311" s="49" t="s">
        <v>19</v>
      </c>
      <c r="D2311" s="110" t="str">
        <f>IF(ISBLANK($B2311),"",IFERROR(VLOOKUP($B2311,ESTOQUE!$B$2:$D$97168,3,FALSE),"Produto não cadastrado"))</f>
        <v>CAMISA LARANJA OP. C/ FAIXA REFLETIVA TAM: M</v>
      </c>
      <c r="E2311" s="99" t="str">
        <f>_xlfn.XLOOKUP(B2311,ESTOQUE!B:B,ESTOQUE!G:G,"",0)</f>
        <v>UND</v>
      </c>
      <c r="F2311" s="99">
        <v>7</v>
      </c>
      <c r="G2311" s="146"/>
      <c r="H2311" s="146"/>
      <c r="I2311" s="147"/>
      <c r="J2311" s="147"/>
      <c r="K2311" s="63"/>
      <c r="L2311" s="63"/>
      <c r="M2311" s="63"/>
      <c r="N2311" s="63"/>
      <c r="O2311" s="63"/>
      <c r="P2311" s="63"/>
      <c r="Q2311" s="63"/>
      <c r="R2311" s="63"/>
      <c r="S2311" s="63"/>
      <c r="T2311" s="63"/>
      <c r="U2311" s="63"/>
      <c r="V2311" s="63"/>
      <c r="W2311" s="63"/>
      <c r="X2311" s="63"/>
      <c r="Y2311" s="63"/>
      <c r="Z2311" s="63"/>
      <c r="AA2311" s="63"/>
      <c r="AB2311" s="63"/>
      <c r="AC2311" s="63"/>
    </row>
    <row r="2312" spans="1:29" x14ac:dyDescent="0.25">
      <c r="A2312" s="108">
        <v>46072</v>
      </c>
      <c r="B2312" s="109">
        <v>70</v>
      </c>
      <c r="C2312" s="49" t="s">
        <v>19</v>
      </c>
      <c r="D2312" s="110" t="str">
        <f>IF(ISBLANK($B2312),"",IFERROR(VLOOKUP($B2312,ESTOQUE!$B$2:$D$97168,3,FALSE),"Produto não cadastrado"))</f>
        <v>CAMISA LARANJA OP. C/ FAIXA REFLETIVA TAM: P</v>
      </c>
      <c r="E2312" s="99" t="str">
        <f>_xlfn.XLOOKUP(B2312,ESTOQUE!B:B,ESTOQUE!G:G,"",0)</f>
        <v>UND</v>
      </c>
      <c r="F2312" s="99">
        <v>1</v>
      </c>
      <c r="G2312" s="146"/>
      <c r="H2312" s="146"/>
      <c r="I2312" s="147"/>
      <c r="J2312" s="147"/>
      <c r="K2312" s="63"/>
      <c r="L2312" s="63"/>
      <c r="M2312" s="63"/>
      <c r="N2312" s="63"/>
      <c r="O2312" s="63"/>
      <c r="P2312" s="63"/>
      <c r="Q2312" s="63"/>
      <c r="R2312" s="63"/>
      <c r="S2312" s="63"/>
      <c r="T2312" s="63"/>
      <c r="U2312" s="63"/>
      <c r="V2312" s="63"/>
      <c r="W2312" s="63"/>
      <c r="X2312" s="63"/>
      <c r="Y2312" s="63"/>
      <c r="Z2312" s="63"/>
      <c r="AA2312" s="63"/>
      <c r="AB2312" s="63"/>
      <c r="AC2312" s="63"/>
    </row>
    <row r="2313" spans="1:29" x14ac:dyDescent="0.25">
      <c r="A2313" s="108">
        <v>46072</v>
      </c>
      <c r="B2313" s="109">
        <v>114</v>
      </c>
      <c r="C2313" s="49" t="s">
        <v>19</v>
      </c>
      <c r="D2313" s="110" t="str">
        <f>IF(ISBLANK($B2313),"",IFERROR(VLOOKUP($B2313,ESTOQUE!$B$2:$D$97168,3,FALSE),"Produto não cadastrado"))</f>
        <v xml:space="preserve">LUVA LATEX NITRILICA </v>
      </c>
      <c r="E2313" s="99" t="str">
        <f>_xlfn.XLOOKUP(B2313,ESTOQUE!B:B,ESTOQUE!G:G,"",0)</f>
        <v>PAR</v>
      </c>
      <c r="F2313" s="99">
        <v>1</v>
      </c>
      <c r="G2313" s="146"/>
      <c r="H2313" s="146"/>
      <c r="I2313" s="147"/>
      <c r="J2313" s="147"/>
      <c r="K2313" s="63"/>
      <c r="L2313" s="63"/>
      <c r="M2313" s="63"/>
      <c r="N2313" s="63"/>
      <c r="O2313" s="63"/>
      <c r="P2313" s="63"/>
      <c r="Q2313" s="63"/>
      <c r="R2313" s="63"/>
      <c r="S2313" s="63"/>
      <c r="T2313" s="63"/>
      <c r="U2313" s="63"/>
      <c r="V2313" s="63"/>
      <c r="W2313" s="63"/>
      <c r="X2313" s="63"/>
      <c r="Y2313" s="63"/>
      <c r="Z2313" s="63"/>
      <c r="AA2313" s="63"/>
      <c r="AB2313" s="63"/>
      <c r="AC2313" s="63"/>
    </row>
    <row r="2314" spans="1:29" x14ac:dyDescent="0.25">
      <c r="A2314" s="108">
        <v>46072</v>
      </c>
      <c r="B2314" s="109">
        <v>117</v>
      </c>
      <c r="C2314" s="49" t="s">
        <v>19</v>
      </c>
      <c r="D2314" s="110" t="str">
        <f>IF(ISBLANK($B2314),"",IFERROR(VLOOKUP($B2314,ESTOQUE!$B$2:$D$97168,3,FALSE),"Produto não cadastrado"))</f>
        <v>LUVA PIGMENTADA</v>
      </c>
      <c r="E2314" s="99" t="str">
        <f>_xlfn.XLOOKUP(B2314,ESTOQUE!B:B,ESTOQUE!G:G,"",0)</f>
        <v>PAR</v>
      </c>
      <c r="F2314" s="99">
        <v>1</v>
      </c>
      <c r="G2314" s="146"/>
      <c r="H2314" s="146"/>
      <c r="I2314" s="147"/>
      <c r="J2314" s="147"/>
      <c r="K2314" s="63"/>
      <c r="L2314" s="63"/>
      <c r="M2314" s="63"/>
      <c r="N2314" s="63"/>
      <c r="O2314" s="63"/>
      <c r="P2314" s="63"/>
      <c r="Q2314" s="63"/>
      <c r="R2314" s="63"/>
      <c r="S2314" s="63"/>
      <c r="T2314" s="63"/>
      <c r="U2314" s="63"/>
      <c r="V2314" s="63"/>
      <c r="W2314" s="63"/>
      <c r="X2314" s="63"/>
      <c r="Y2314" s="63"/>
      <c r="Z2314" s="63"/>
      <c r="AA2314" s="63"/>
      <c r="AB2314" s="63"/>
      <c r="AC2314" s="63"/>
    </row>
    <row r="2315" spans="1:29" x14ac:dyDescent="0.25">
      <c r="A2315" s="108">
        <v>46072</v>
      </c>
      <c r="B2315" s="109">
        <v>207</v>
      </c>
      <c r="C2315" s="49" t="s">
        <v>19</v>
      </c>
      <c r="D2315" s="110" t="str">
        <f>IF(ISBLANK($B2315),"",IFERROR(VLOOKUP($B2315,ESTOQUE!$B$2:$D$97168,3,FALSE),"Produto não cadastrado"))</f>
        <v>LUVA POLIESTER ANTICORTE BANHADA PU TAM 9</v>
      </c>
      <c r="E2315" s="99" t="str">
        <f>_xlfn.XLOOKUP(B2315,ESTOQUE!B:B,ESTOQUE!G:G,"",0)</f>
        <v>PAR</v>
      </c>
      <c r="F2315" s="99">
        <v>3</v>
      </c>
      <c r="G2315" s="146"/>
      <c r="H2315" s="146"/>
      <c r="I2315" s="147"/>
      <c r="J2315" s="147"/>
      <c r="K2315" s="63"/>
      <c r="L2315" s="63"/>
      <c r="M2315" s="63"/>
      <c r="N2315" s="63"/>
      <c r="O2315" s="63"/>
      <c r="P2315" s="63"/>
      <c r="Q2315" s="63"/>
      <c r="R2315" s="63"/>
      <c r="S2315" s="63"/>
      <c r="T2315" s="63"/>
      <c r="U2315" s="63"/>
      <c r="V2315" s="63"/>
      <c r="W2315" s="63"/>
      <c r="X2315" s="63"/>
      <c r="Y2315" s="63"/>
      <c r="Z2315" s="63"/>
      <c r="AA2315" s="63"/>
      <c r="AB2315" s="63"/>
      <c r="AC2315" s="63"/>
    </row>
    <row r="2316" spans="1:29" x14ac:dyDescent="0.25">
      <c r="A2316" s="108">
        <v>46072</v>
      </c>
      <c r="B2316" s="109">
        <v>118</v>
      </c>
      <c r="C2316" s="49" t="s">
        <v>19</v>
      </c>
      <c r="D2316" s="110" t="str">
        <f>IF(ISBLANK($B2316),"",IFERROR(VLOOKUP($B2316,ESTOQUE!$B$2:$D$97168,3,FALSE),"Produto não cadastrado"))</f>
        <v>MACACÃO DE PROTEÇÃO TYVEK</v>
      </c>
      <c r="E2316" s="99" t="str">
        <f>_xlfn.XLOOKUP(B2316,ESTOQUE!B:B,ESTOQUE!G:G,"",0)</f>
        <v>UND</v>
      </c>
      <c r="F2316" s="99">
        <v>1</v>
      </c>
      <c r="G2316" s="146"/>
      <c r="H2316" s="146"/>
      <c r="I2316" s="147"/>
      <c r="J2316" s="147"/>
      <c r="K2316" s="63"/>
      <c r="L2316" s="63"/>
      <c r="M2316" s="63"/>
      <c r="N2316" s="63"/>
      <c r="O2316" s="63"/>
      <c r="P2316" s="63"/>
      <c r="Q2316" s="63"/>
      <c r="R2316" s="63"/>
      <c r="S2316" s="63"/>
      <c r="T2316" s="63"/>
      <c r="U2316" s="63"/>
      <c r="V2316" s="63"/>
      <c r="W2316" s="63"/>
      <c r="X2316" s="63"/>
      <c r="Y2316" s="63"/>
      <c r="Z2316" s="63"/>
      <c r="AA2316" s="63"/>
      <c r="AB2316" s="63"/>
      <c r="AC2316" s="63"/>
    </row>
    <row r="2317" spans="1:29" x14ac:dyDescent="0.25">
      <c r="A2317" s="108">
        <v>46072</v>
      </c>
      <c r="B2317" s="109">
        <v>144</v>
      </c>
      <c r="C2317" s="49" t="s">
        <v>19</v>
      </c>
      <c r="D2317" s="110" t="str">
        <f>IF(ISBLANK($B2317),"",IFERROR(VLOOKUP($B2317,ESTOQUE!$B$2:$D$97168,3,FALSE),"Produto não cadastrado"))</f>
        <v>MASCARA PFF2-S C/ FILTRO</v>
      </c>
      <c r="E2317" s="99" t="str">
        <f>_xlfn.XLOOKUP(B2317,ESTOQUE!B:B,ESTOQUE!G:G,"",0)</f>
        <v>UND</v>
      </c>
      <c r="F2317" s="99">
        <v>30</v>
      </c>
      <c r="G2317" s="146"/>
      <c r="H2317" s="146"/>
      <c r="I2317" s="147"/>
      <c r="J2317" s="147"/>
      <c r="K2317" s="63"/>
      <c r="L2317" s="63"/>
      <c r="M2317" s="63"/>
      <c r="N2317" s="63"/>
      <c r="O2317" s="63"/>
      <c r="P2317" s="63"/>
      <c r="Q2317" s="63"/>
      <c r="R2317" s="63"/>
      <c r="S2317" s="63"/>
      <c r="T2317" s="63"/>
      <c r="U2317" s="63"/>
      <c r="V2317" s="63"/>
      <c r="W2317" s="63"/>
      <c r="X2317" s="63"/>
      <c r="Y2317" s="63"/>
      <c r="Z2317" s="63"/>
      <c r="AA2317" s="63"/>
      <c r="AB2317" s="63"/>
      <c r="AC2317" s="63"/>
    </row>
    <row r="2318" spans="1:29" x14ac:dyDescent="0.25">
      <c r="A2318" s="108">
        <v>46072</v>
      </c>
      <c r="B2318" s="109">
        <v>126</v>
      </c>
      <c r="C2318" s="49" t="s">
        <v>19</v>
      </c>
      <c r="D2318" s="110" t="str">
        <f>IF(ISBLANK($B2318),"",IFERROR(VLOOKUP($B2318,ESTOQUE!$B$2:$D$97168,3,FALSE),"Produto não cadastrado"))</f>
        <v>OCULOS DE PROTEÇÃO ESCURO</v>
      </c>
      <c r="E2318" s="99" t="str">
        <f>_xlfn.XLOOKUP(B2318,ESTOQUE!B:B,ESTOQUE!G:G,"",0)</f>
        <v>UND</v>
      </c>
      <c r="F2318" s="99">
        <v>2</v>
      </c>
      <c r="G2318" s="146"/>
      <c r="H2318" s="146"/>
      <c r="I2318" s="147"/>
      <c r="J2318" s="147"/>
      <c r="K2318" s="63"/>
      <c r="L2318" s="63"/>
      <c r="M2318" s="63"/>
      <c r="N2318" s="63"/>
      <c r="O2318" s="63"/>
      <c r="P2318" s="63"/>
      <c r="Q2318" s="63"/>
      <c r="R2318" s="63"/>
      <c r="S2318" s="63"/>
      <c r="T2318" s="63"/>
      <c r="U2318" s="63"/>
      <c r="V2318" s="63"/>
      <c r="W2318" s="63"/>
      <c r="X2318" s="63"/>
      <c r="Y2318" s="63"/>
      <c r="Z2318" s="63"/>
      <c r="AA2318" s="63"/>
      <c r="AB2318" s="63"/>
      <c r="AC2318" s="63"/>
    </row>
    <row r="2319" spans="1:29" x14ac:dyDescent="0.25">
      <c r="A2319" s="108">
        <v>46072</v>
      </c>
      <c r="B2319" s="109">
        <v>124</v>
      </c>
      <c r="C2319" s="49" t="s">
        <v>19</v>
      </c>
      <c r="D2319" s="110" t="str">
        <f>IF(ISBLANK($B2319),"",IFERROR(VLOOKUP($B2319,ESTOQUE!$B$2:$D$97168,3,FALSE),"Produto não cadastrado"))</f>
        <v xml:space="preserve">OCULOS DE PROTEÇÃO INCOLOR </v>
      </c>
      <c r="E2319" s="99" t="str">
        <f>_xlfn.XLOOKUP(B2319,ESTOQUE!B:B,ESTOQUE!G:G,"",0)</f>
        <v>UND</v>
      </c>
      <c r="F2319" s="99">
        <v>1</v>
      </c>
      <c r="G2319" s="146"/>
      <c r="H2319" s="146"/>
      <c r="I2319" s="147"/>
      <c r="J2319" s="147"/>
      <c r="K2319" s="63"/>
      <c r="L2319" s="63"/>
      <c r="M2319" s="63"/>
      <c r="N2319" s="63"/>
      <c r="O2319" s="63"/>
      <c r="P2319" s="63"/>
      <c r="Q2319" s="63"/>
      <c r="R2319" s="63"/>
      <c r="S2319" s="63"/>
      <c r="T2319" s="63"/>
      <c r="U2319" s="63"/>
      <c r="V2319" s="63"/>
      <c r="W2319" s="63"/>
      <c r="X2319" s="63"/>
      <c r="Y2319" s="63"/>
      <c r="Z2319" s="63"/>
      <c r="AA2319" s="63"/>
      <c r="AB2319" s="63"/>
      <c r="AC2319" s="63"/>
    </row>
    <row r="2320" spans="1:29" x14ac:dyDescent="0.25">
      <c r="A2320" s="108">
        <v>46072</v>
      </c>
      <c r="B2320" s="109">
        <v>130</v>
      </c>
      <c r="C2320" s="49" t="s">
        <v>19</v>
      </c>
      <c r="D2320" s="110" t="str">
        <f>IF(ISBLANK($B2320),"",IFERROR(VLOOKUP($B2320,ESTOQUE!$B$2:$D$97168,3,FALSE),"Produto não cadastrado"))</f>
        <v>PROTETOR AUDITIVO TIPO CONCHA L-300</v>
      </c>
      <c r="E2320" s="99" t="str">
        <f>_xlfn.XLOOKUP(B2320,ESTOQUE!B:B,ESTOQUE!G:G,"",0)</f>
        <v>UND</v>
      </c>
      <c r="F2320" s="99">
        <v>4</v>
      </c>
      <c r="G2320" s="146"/>
      <c r="H2320" s="146"/>
      <c r="I2320" s="147"/>
      <c r="J2320" s="147"/>
      <c r="K2320" s="63"/>
      <c r="L2320" s="63"/>
      <c r="M2320" s="63"/>
      <c r="N2320" s="63"/>
      <c r="O2320" s="63"/>
      <c r="P2320" s="63"/>
      <c r="Q2320" s="63"/>
      <c r="R2320" s="63"/>
      <c r="S2320" s="63"/>
      <c r="T2320" s="63"/>
      <c r="U2320" s="63"/>
      <c r="V2320" s="63"/>
      <c r="W2320" s="63"/>
      <c r="X2320" s="63"/>
      <c r="Y2320" s="63"/>
      <c r="Z2320" s="63"/>
      <c r="AA2320" s="63"/>
      <c r="AB2320" s="63"/>
      <c r="AC2320" s="63"/>
    </row>
    <row r="2321" spans="1:29" x14ac:dyDescent="0.25">
      <c r="A2321" s="108">
        <v>46072</v>
      </c>
      <c r="B2321" s="109">
        <v>139</v>
      </c>
      <c r="C2321" s="49" t="s">
        <v>19</v>
      </c>
      <c r="D2321" s="110" t="str">
        <f>IF(ISBLANK($B2321),"",IFERROR(VLOOKUP($B2321,ESTOQUE!$B$2:$D$97168,3,FALSE),"Produto não cadastrado"))</f>
        <v>PROTETOR AURICULAR TIPO PLUG</v>
      </c>
      <c r="E2321" s="99" t="str">
        <f>_xlfn.XLOOKUP(B2321,ESTOQUE!B:B,ESTOQUE!G:G,"",0)</f>
        <v>UND</v>
      </c>
      <c r="F2321" s="99">
        <v>1</v>
      </c>
      <c r="G2321" s="146"/>
      <c r="H2321" s="146"/>
      <c r="I2321" s="147"/>
      <c r="J2321" s="147"/>
      <c r="K2321" s="63"/>
      <c r="L2321" s="63"/>
      <c r="M2321" s="63"/>
      <c r="N2321" s="63"/>
      <c r="O2321" s="63"/>
      <c r="P2321" s="63"/>
      <c r="Q2321" s="63"/>
      <c r="R2321" s="63"/>
      <c r="S2321" s="63"/>
      <c r="T2321" s="63"/>
      <c r="U2321" s="63"/>
      <c r="V2321" s="63"/>
      <c r="W2321" s="63"/>
      <c r="X2321" s="63"/>
      <c r="Y2321" s="63"/>
      <c r="Z2321" s="63"/>
      <c r="AA2321" s="63"/>
      <c r="AB2321" s="63"/>
      <c r="AC2321" s="63"/>
    </row>
    <row r="2322" spans="1:29" x14ac:dyDescent="0.25">
      <c r="A2322" s="108">
        <v>46072</v>
      </c>
      <c r="B2322" s="109">
        <v>135</v>
      </c>
      <c r="C2322" s="49" t="s">
        <v>19</v>
      </c>
      <c r="D2322" s="110" t="str">
        <f>IF(ISBLANK($B2322),"",IFERROR(VLOOKUP($B2322,ESTOQUE!$B$2:$D$97168,3,FALSE),"Produto não cadastrado"))</f>
        <v>TALABARTE DUPLO TIPO Y</v>
      </c>
      <c r="E2322" s="99" t="str">
        <f>_xlfn.XLOOKUP(B2322,ESTOQUE!B:B,ESTOQUE!G:G,"",0)</f>
        <v>UND</v>
      </c>
      <c r="F2322" s="99">
        <v>1</v>
      </c>
      <c r="G2322" s="146"/>
      <c r="H2322" s="146"/>
      <c r="I2322" s="147"/>
      <c r="J2322" s="147"/>
      <c r="K2322" s="63"/>
      <c r="L2322" s="63"/>
      <c r="M2322" s="63"/>
      <c r="N2322" s="63"/>
      <c r="O2322" s="63"/>
      <c r="P2322" s="63"/>
      <c r="Q2322" s="63"/>
      <c r="R2322" s="63"/>
      <c r="S2322" s="63"/>
      <c r="T2322" s="63"/>
      <c r="U2322" s="63"/>
      <c r="V2322" s="63"/>
      <c r="W2322" s="63"/>
      <c r="X2322" s="63"/>
      <c r="Y2322" s="63"/>
      <c r="Z2322" s="63"/>
      <c r="AA2322" s="63"/>
      <c r="AB2322" s="63"/>
      <c r="AC2322" s="63"/>
    </row>
    <row r="2323" spans="1:29" x14ac:dyDescent="0.25">
      <c r="A2323" s="108">
        <v>46073</v>
      </c>
      <c r="B2323" s="109">
        <v>228</v>
      </c>
      <c r="C2323" s="49" t="s">
        <v>19</v>
      </c>
      <c r="D2323" s="110" t="str">
        <f>IF(ISBLANK($B2323),"",IFERROR(VLOOKUP($B2323,ESTOQUE!$B$2:$D$97168,3,FALSE),"Produto não cadastrado"))</f>
        <v xml:space="preserve">BALACLAVA  </v>
      </c>
      <c r="E2323" s="99" t="str">
        <f>_xlfn.XLOOKUP(B2323,ESTOQUE!B:B,ESTOQUE!G:G,"",0)</f>
        <v>UND</v>
      </c>
      <c r="F2323" s="99">
        <v>6</v>
      </c>
      <c r="G2323" s="146"/>
      <c r="H2323" s="146"/>
      <c r="I2323" s="147"/>
      <c r="J2323" s="147"/>
      <c r="K2323" s="63"/>
      <c r="L2323" s="63"/>
      <c r="M2323" s="63"/>
      <c r="N2323" s="63"/>
      <c r="O2323" s="63"/>
      <c r="P2323" s="63"/>
      <c r="Q2323" s="63"/>
      <c r="R2323" s="63"/>
      <c r="S2323" s="63"/>
      <c r="T2323" s="63"/>
      <c r="U2323" s="63"/>
      <c r="V2323" s="63"/>
      <c r="W2323" s="63"/>
      <c r="X2323" s="63"/>
      <c r="Y2323" s="63"/>
      <c r="Z2323" s="63"/>
      <c r="AA2323" s="63"/>
      <c r="AB2323" s="63"/>
      <c r="AC2323" s="63"/>
    </row>
    <row r="2324" spans="1:29" x14ac:dyDescent="0.25">
      <c r="A2324" s="108">
        <v>46073</v>
      </c>
      <c r="B2324" s="109">
        <v>12</v>
      </c>
      <c r="C2324" s="49" t="s">
        <v>19</v>
      </c>
      <c r="D2324" s="110" t="str">
        <f>IF(ISBLANK($B2324),"",IFERROR(VLOOKUP($B2324,ESTOQUE!$B$2:$D$97168,3,FALSE),"Produto não cadastrado"))</f>
        <v>BOTA PVC CANO LONGO Nº 44</v>
      </c>
      <c r="E2324" s="99" t="str">
        <f>_xlfn.XLOOKUP(B2324,ESTOQUE!B:B,ESTOQUE!G:G,"",0)</f>
        <v>PAR</v>
      </c>
      <c r="F2324" s="99">
        <v>2</v>
      </c>
      <c r="G2324" s="146"/>
      <c r="H2324" s="146"/>
      <c r="I2324" s="147"/>
      <c r="J2324" s="147"/>
      <c r="K2324" s="63"/>
      <c r="L2324" s="63"/>
      <c r="M2324" s="63"/>
      <c r="N2324" s="63"/>
      <c r="O2324" s="63"/>
      <c r="P2324" s="63"/>
      <c r="Q2324" s="63"/>
      <c r="R2324" s="63"/>
      <c r="S2324" s="63"/>
      <c r="T2324" s="63"/>
      <c r="U2324" s="63"/>
      <c r="V2324" s="63"/>
      <c r="W2324" s="63"/>
      <c r="X2324" s="63"/>
      <c r="Y2324" s="63"/>
      <c r="Z2324" s="63"/>
      <c r="AA2324" s="63"/>
      <c r="AB2324" s="63"/>
      <c r="AC2324" s="63"/>
    </row>
    <row r="2325" spans="1:29" x14ac:dyDescent="0.25">
      <c r="A2325" s="108">
        <v>46073</v>
      </c>
      <c r="B2325" s="109">
        <v>30</v>
      </c>
      <c r="C2325" s="49" t="s">
        <v>19</v>
      </c>
      <c r="D2325" s="110" t="str">
        <f>IF(ISBLANK($B2325),"",IFERROR(VLOOKUP($B2325,ESTOQUE!$B$2:$D$97168,3,FALSE),"Produto não cadastrado"))</f>
        <v>BOTINA DE ELETRICISTA Nº 40</v>
      </c>
      <c r="E2325" s="99" t="str">
        <f>_xlfn.XLOOKUP(B2325,ESTOQUE!B:B,ESTOQUE!G:G,"",0)</f>
        <v>PAR</v>
      </c>
      <c r="F2325" s="99">
        <v>1</v>
      </c>
      <c r="G2325" s="146"/>
      <c r="H2325" s="146"/>
      <c r="I2325" s="147"/>
      <c r="J2325" s="147"/>
      <c r="K2325" s="63"/>
      <c r="L2325" s="63"/>
      <c r="M2325" s="63"/>
      <c r="N2325" s="63"/>
      <c r="O2325" s="63"/>
      <c r="P2325" s="63"/>
      <c r="Q2325" s="63"/>
      <c r="R2325" s="63"/>
      <c r="S2325" s="63"/>
      <c r="T2325" s="63"/>
      <c r="U2325" s="63"/>
      <c r="V2325" s="63"/>
      <c r="W2325" s="63"/>
      <c r="X2325" s="63"/>
      <c r="Y2325" s="63"/>
      <c r="Z2325" s="63"/>
      <c r="AA2325" s="63"/>
      <c r="AB2325" s="63"/>
      <c r="AC2325" s="63"/>
    </row>
    <row r="2326" spans="1:29" x14ac:dyDescent="0.25">
      <c r="A2326" s="108">
        <v>46073</v>
      </c>
      <c r="B2326" s="109">
        <v>46</v>
      </c>
      <c r="C2326" s="49" t="s">
        <v>19</v>
      </c>
      <c r="D2326" s="110" t="str">
        <f>IF(ISBLANK($B2326),"",IFERROR(VLOOKUP($B2326,ESTOQUE!$B$2:$D$97168,3,FALSE),"Produto não cadastrado"))</f>
        <v>CALÇA CINZA OP. C/ FAIXA REFLETIVA TAM: G</v>
      </c>
      <c r="E2326" s="99" t="str">
        <f>_xlfn.XLOOKUP(B2326,ESTOQUE!B:B,ESTOQUE!G:G,"",0)</f>
        <v>UND</v>
      </c>
      <c r="F2326" s="99">
        <v>4</v>
      </c>
      <c r="G2326" s="146"/>
      <c r="H2326" s="146"/>
      <c r="I2326" s="147"/>
      <c r="J2326" s="147"/>
      <c r="K2326" s="63"/>
      <c r="L2326" s="63"/>
      <c r="M2326" s="63"/>
      <c r="N2326" s="63"/>
      <c r="O2326" s="63"/>
      <c r="P2326" s="63"/>
      <c r="Q2326" s="63"/>
      <c r="R2326" s="63"/>
      <c r="S2326" s="63"/>
      <c r="T2326" s="63"/>
      <c r="U2326" s="63"/>
      <c r="V2326" s="63"/>
      <c r="W2326" s="63"/>
      <c r="X2326" s="63"/>
      <c r="Y2326" s="63"/>
      <c r="Z2326" s="63"/>
      <c r="AA2326" s="63"/>
      <c r="AB2326" s="63"/>
      <c r="AC2326" s="63"/>
    </row>
    <row r="2327" spans="1:29" x14ac:dyDescent="0.25">
      <c r="A2327" s="108">
        <v>46073</v>
      </c>
      <c r="B2327" s="109">
        <v>47</v>
      </c>
      <c r="C2327" s="49" t="s">
        <v>19</v>
      </c>
      <c r="D2327" s="110" t="str">
        <f>IF(ISBLANK($B2327),"",IFERROR(VLOOKUP($B2327,ESTOQUE!$B$2:$D$97168,3,FALSE),"Produto não cadastrado"))</f>
        <v>CALÇA CINZA OP. C/ FAIXA REFLETIVA TAM: GG</v>
      </c>
      <c r="E2327" s="99" t="str">
        <f>_xlfn.XLOOKUP(B2327,ESTOQUE!B:B,ESTOQUE!G:G,"",0)</f>
        <v>UND</v>
      </c>
      <c r="F2327" s="99">
        <v>1</v>
      </c>
      <c r="G2327" s="146"/>
      <c r="H2327" s="146"/>
      <c r="I2327" s="147"/>
      <c r="J2327" s="147"/>
      <c r="K2327" s="63"/>
      <c r="L2327" s="63"/>
      <c r="M2327" s="63"/>
      <c r="N2327" s="63"/>
      <c r="O2327" s="63"/>
      <c r="P2327" s="63"/>
      <c r="Q2327" s="63"/>
      <c r="R2327" s="63"/>
      <c r="S2327" s="63"/>
      <c r="T2327" s="63"/>
      <c r="U2327" s="63"/>
      <c r="V2327" s="63"/>
      <c r="W2327" s="63"/>
      <c r="X2327" s="63"/>
      <c r="Y2327" s="63"/>
      <c r="Z2327" s="63"/>
      <c r="AA2327" s="63"/>
      <c r="AB2327" s="63"/>
      <c r="AC2327" s="63"/>
    </row>
    <row r="2328" spans="1:29" x14ac:dyDescent="0.25">
      <c r="A2328" s="108">
        <v>46073</v>
      </c>
      <c r="B2328" s="109">
        <v>48</v>
      </c>
      <c r="C2328" s="49" t="s">
        <v>19</v>
      </c>
      <c r="D2328" s="110" t="str">
        <f>IF(ISBLANK($B2328),"",IFERROR(VLOOKUP($B2328,ESTOQUE!$B$2:$D$97168,3,FALSE),"Produto não cadastrado"))</f>
        <v>CALÇA CINZA OP. C/ FAIXA REFLETIVA TAM: M</v>
      </c>
      <c r="E2328" s="99" t="str">
        <f>_xlfn.XLOOKUP(B2328,ESTOQUE!B:B,ESTOQUE!G:G,"",0)</f>
        <v>UND</v>
      </c>
      <c r="F2328" s="99">
        <v>4</v>
      </c>
      <c r="G2328" s="146"/>
      <c r="H2328" s="146"/>
      <c r="I2328" s="147"/>
      <c r="J2328" s="147"/>
      <c r="K2328" s="63"/>
      <c r="L2328" s="63"/>
      <c r="M2328" s="63"/>
      <c r="N2328" s="63"/>
      <c r="O2328" s="63"/>
      <c r="P2328" s="63"/>
      <c r="Q2328" s="63"/>
      <c r="R2328" s="63"/>
      <c r="S2328" s="63"/>
      <c r="T2328" s="63"/>
      <c r="U2328" s="63"/>
      <c r="V2328" s="63"/>
      <c r="W2328" s="63"/>
      <c r="X2328" s="63"/>
      <c r="Y2328" s="63"/>
      <c r="Z2328" s="63"/>
      <c r="AA2328" s="63"/>
      <c r="AB2328" s="63"/>
      <c r="AC2328" s="63"/>
    </row>
    <row r="2329" spans="1:29" x14ac:dyDescent="0.25">
      <c r="A2329" s="108">
        <v>46073</v>
      </c>
      <c r="B2329" s="109">
        <v>49</v>
      </c>
      <c r="C2329" s="49" t="s">
        <v>19</v>
      </c>
      <c r="D2329" s="110" t="str">
        <f>IF(ISBLANK($B2329),"",IFERROR(VLOOKUP($B2329,ESTOQUE!$B$2:$D$97168,3,FALSE),"Produto não cadastrado"))</f>
        <v>CALÇA CINZA OP. C/ FAIXA REFLETIVA TAM: P</v>
      </c>
      <c r="E2329" s="99" t="str">
        <f>_xlfn.XLOOKUP(B2329,ESTOQUE!B:B,ESTOQUE!G:G,"",0)</f>
        <v>UND</v>
      </c>
      <c r="F2329" s="99">
        <v>3</v>
      </c>
      <c r="G2329" s="146"/>
      <c r="H2329" s="146"/>
      <c r="I2329" s="147"/>
      <c r="J2329" s="147"/>
      <c r="K2329" s="63"/>
      <c r="L2329" s="63"/>
      <c r="M2329" s="63"/>
      <c r="N2329" s="63"/>
      <c r="O2329" s="63"/>
      <c r="P2329" s="63"/>
      <c r="Q2329" s="63"/>
      <c r="R2329" s="63"/>
      <c r="S2329" s="63"/>
      <c r="T2329" s="63"/>
      <c r="U2329" s="63"/>
      <c r="V2329" s="63"/>
      <c r="W2329" s="63"/>
      <c r="X2329" s="63"/>
      <c r="Y2329" s="63"/>
      <c r="Z2329" s="63"/>
      <c r="AA2329" s="63"/>
      <c r="AB2329" s="63"/>
      <c r="AC2329" s="63"/>
    </row>
    <row r="2330" spans="1:29" x14ac:dyDescent="0.25">
      <c r="A2330" s="108">
        <v>46073</v>
      </c>
      <c r="B2330" s="109">
        <v>53</v>
      </c>
      <c r="C2330" s="49" t="s">
        <v>19</v>
      </c>
      <c r="D2330" s="110" t="str">
        <f>IF(ISBLANK($B2330),"",IFERROR(VLOOKUP($B2330,ESTOQUE!$B$2:$D$97168,3,FALSE),"Produto não cadastrado"))</f>
        <v>CALÇA DE ELETRICISTA NR.10 TAM: P</v>
      </c>
      <c r="E2330" s="99" t="str">
        <f>_xlfn.XLOOKUP(B2330,ESTOQUE!B:B,ESTOQUE!G:G,"",0)</f>
        <v>UND</v>
      </c>
      <c r="F2330" s="99">
        <v>1</v>
      </c>
      <c r="G2330" s="146"/>
      <c r="H2330" s="146"/>
      <c r="I2330" s="147"/>
      <c r="J2330" s="147"/>
      <c r="K2330" s="63"/>
      <c r="L2330" s="63"/>
      <c r="M2330" s="63"/>
      <c r="N2330" s="63"/>
      <c r="O2330" s="63"/>
      <c r="P2330" s="63"/>
      <c r="Q2330" s="63"/>
      <c r="R2330" s="63"/>
      <c r="S2330" s="63"/>
      <c r="T2330" s="63"/>
      <c r="U2330" s="63"/>
      <c r="V2330" s="63"/>
      <c r="W2330" s="63"/>
      <c r="X2330" s="63"/>
      <c r="Y2330" s="63"/>
      <c r="Z2330" s="63"/>
      <c r="AA2330" s="63"/>
      <c r="AB2330" s="63"/>
      <c r="AC2330" s="63"/>
    </row>
    <row r="2331" spans="1:29" x14ac:dyDescent="0.25">
      <c r="A2331" s="108">
        <v>46073</v>
      </c>
      <c r="B2331" s="109">
        <v>67</v>
      </c>
      <c r="C2331" s="49" t="s">
        <v>19</v>
      </c>
      <c r="D2331" s="110" t="str">
        <f>IF(ISBLANK($B2331),"",IFERROR(VLOOKUP($B2331,ESTOQUE!$B$2:$D$97168,3,FALSE),"Produto não cadastrado"))</f>
        <v>CAMISA LARANJA OP. C/ FAIXA REFLETIVA TAM: G</v>
      </c>
      <c r="E2331" s="99" t="str">
        <f>_xlfn.XLOOKUP(B2331,ESTOQUE!B:B,ESTOQUE!G:G,"",0)</f>
        <v>UND</v>
      </c>
      <c r="F2331" s="99">
        <v>3</v>
      </c>
      <c r="G2331" s="146"/>
      <c r="H2331" s="146"/>
      <c r="I2331" s="147"/>
      <c r="J2331" s="147"/>
      <c r="K2331" s="63"/>
      <c r="L2331" s="63"/>
      <c r="M2331" s="63"/>
      <c r="N2331" s="63"/>
      <c r="O2331" s="63"/>
      <c r="P2331" s="63"/>
      <c r="Q2331" s="63"/>
      <c r="R2331" s="63"/>
      <c r="S2331" s="63"/>
      <c r="T2331" s="63"/>
      <c r="U2331" s="63"/>
      <c r="V2331" s="63"/>
      <c r="W2331" s="63"/>
      <c r="X2331" s="63"/>
      <c r="Y2331" s="63"/>
      <c r="Z2331" s="63"/>
      <c r="AA2331" s="63"/>
      <c r="AB2331" s="63"/>
      <c r="AC2331" s="63"/>
    </row>
    <row r="2332" spans="1:29" x14ac:dyDescent="0.25">
      <c r="A2332" s="108">
        <v>46073</v>
      </c>
      <c r="B2332" s="109">
        <v>68</v>
      </c>
      <c r="C2332" s="49" t="s">
        <v>19</v>
      </c>
      <c r="D2332" s="110" t="str">
        <f>IF(ISBLANK($B2332),"",IFERROR(VLOOKUP($B2332,ESTOQUE!$B$2:$D$97168,3,FALSE),"Produto não cadastrado"))</f>
        <v>CAMISA LARANJA OP. C/ FAIXA REFLETIVA TAM: GG</v>
      </c>
      <c r="E2332" s="99" t="str">
        <f>_xlfn.XLOOKUP(B2332,ESTOQUE!B:B,ESTOQUE!G:G,"",0)</f>
        <v>UND</v>
      </c>
      <c r="F2332" s="99">
        <v>1</v>
      </c>
      <c r="G2332" s="146"/>
      <c r="H2332" s="146"/>
      <c r="I2332" s="147"/>
      <c r="J2332" s="147"/>
      <c r="K2332" s="63"/>
      <c r="L2332" s="63"/>
      <c r="M2332" s="63"/>
      <c r="N2332" s="63"/>
      <c r="O2332" s="63"/>
      <c r="P2332" s="63"/>
      <c r="Q2332" s="63"/>
      <c r="R2332" s="63"/>
      <c r="S2332" s="63"/>
      <c r="T2332" s="63"/>
      <c r="U2332" s="63"/>
      <c r="V2332" s="63"/>
      <c r="W2332" s="63"/>
      <c r="X2332" s="63"/>
      <c r="Y2332" s="63"/>
      <c r="Z2332" s="63"/>
      <c r="AA2332" s="63"/>
      <c r="AB2332" s="63"/>
      <c r="AC2332" s="63"/>
    </row>
    <row r="2333" spans="1:29" x14ac:dyDescent="0.25">
      <c r="A2333" s="108">
        <v>46073</v>
      </c>
      <c r="B2333" s="109">
        <v>69</v>
      </c>
      <c r="C2333" s="49" t="s">
        <v>19</v>
      </c>
      <c r="D2333" s="110" t="str">
        <f>IF(ISBLANK($B2333),"",IFERROR(VLOOKUP($B2333,ESTOQUE!$B$2:$D$97168,3,FALSE),"Produto não cadastrado"))</f>
        <v>CAMISA LARANJA OP. C/ FAIXA REFLETIVA TAM: M</v>
      </c>
      <c r="E2333" s="99" t="str">
        <f>_xlfn.XLOOKUP(B2333,ESTOQUE!B:B,ESTOQUE!G:G,"",0)</f>
        <v>UND</v>
      </c>
      <c r="F2333" s="99">
        <v>3</v>
      </c>
      <c r="G2333" s="146"/>
      <c r="H2333" s="146"/>
      <c r="I2333" s="147"/>
      <c r="J2333" s="147"/>
      <c r="K2333" s="63"/>
      <c r="L2333" s="63"/>
      <c r="M2333" s="63"/>
      <c r="N2333" s="63"/>
      <c r="O2333" s="63"/>
      <c r="P2333" s="63"/>
      <c r="Q2333" s="63"/>
      <c r="R2333" s="63"/>
      <c r="S2333" s="63"/>
      <c r="T2333" s="63"/>
      <c r="U2333" s="63"/>
      <c r="V2333" s="63"/>
      <c r="W2333" s="63"/>
      <c r="X2333" s="63"/>
      <c r="Y2333" s="63"/>
      <c r="Z2333" s="63"/>
      <c r="AA2333" s="63"/>
      <c r="AB2333" s="63"/>
      <c r="AC2333" s="63"/>
    </row>
    <row r="2334" spans="1:29" x14ac:dyDescent="0.25">
      <c r="A2334" s="108">
        <v>46073</v>
      </c>
      <c r="B2334" s="109">
        <v>87</v>
      </c>
      <c r="C2334" s="49" t="s">
        <v>19</v>
      </c>
      <c r="D2334" s="110" t="str">
        <f>IF(ISBLANK($B2334),"",IFERROR(VLOOKUP($B2334,ESTOQUE!$B$2:$D$97168,3,FALSE),"Produto não cadastrado"))</f>
        <v>CAPACETE PLASTCOR AMARELO</v>
      </c>
      <c r="E2334" s="99" t="str">
        <f>_xlfn.XLOOKUP(B2334,ESTOQUE!B:B,ESTOQUE!G:G,"",0)</f>
        <v>UND</v>
      </c>
      <c r="F2334" s="99">
        <v>1</v>
      </c>
      <c r="G2334" s="146"/>
      <c r="H2334" s="146"/>
      <c r="I2334" s="147"/>
      <c r="J2334" s="147"/>
      <c r="K2334" s="63"/>
      <c r="L2334" s="63"/>
      <c r="M2334" s="63"/>
      <c r="N2334" s="63"/>
      <c r="O2334" s="63"/>
      <c r="P2334" s="63"/>
      <c r="Q2334" s="63"/>
      <c r="R2334" s="63"/>
      <c r="S2334" s="63"/>
      <c r="T2334" s="63"/>
      <c r="U2334" s="63"/>
      <c r="V2334" s="63"/>
      <c r="W2334" s="63"/>
      <c r="X2334" s="63"/>
      <c r="Y2334" s="63"/>
      <c r="Z2334" s="63"/>
      <c r="AA2334" s="63"/>
      <c r="AB2334" s="63"/>
      <c r="AC2334" s="63"/>
    </row>
    <row r="2335" spans="1:29" x14ac:dyDescent="0.25">
      <c r="A2335" s="108">
        <v>46073</v>
      </c>
      <c r="B2335" s="109">
        <v>103</v>
      </c>
      <c r="C2335" s="49" t="s">
        <v>19</v>
      </c>
      <c r="D2335" s="110" t="str">
        <f>IF(ISBLANK($B2335),"",IFERROR(VLOOKUP($B2335,ESTOQUE!$B$2:$D$97168,3,FALSE),"Produto não cadastrado"))</f>
        <v>JARDINEIRA AMARELA BOTA Nº 41</v>
      </c>
      <c r="E2335" s="99" t="str">
        <f>_xlfn.XLOOKUP(B2335,ESTOQUE!B:B,ESTOQUE!G:G,"",0)</f>
        <v>UND</v>
      </c>
      <c r="F2335" s="99">
        <v>1</v>
      </c>
      <c r="G2335" s="146"/>
      <c r="H2335" s="146"/>
      <c r="I2335" s="147"/>
      <c r="J2335" s="147"/>
      <c r="K2335" s="63"/>
      <c r="L2335" s="63"/>
      <c r="M2335" s="63"/>
      <c r="N2335" s="63"/>
      <c r="O2335" s="63"/>
      <c r="P2335" s="63"/>
      <c r="Q2335" s="63"/>
      <c r="R2335" s="63"/>
      <c r="S2335" s="63"/>
      <c r="T2335" s="63"/>
      <c r="U2335" s="63"/>
      <c r="V2335" s="63"/>
      <c r="W2335" s="63"/>
      <c r="X2335" s="63"/>
      <c r="Y2335" s="63"/>
      <c r="Z2335" s="63"/>
      <c r="AA2335" s="63"/>
      <c r="AB2335" s="63"/>
      <c r="AC2335" s="63"/>
    </row>
    <row r="2336" spans="1:29" x14ac:dyDescent="0.25">
      <c r="A2336" s="108">
        <v>46073</v>
      </c>
      <c r="B2336" s="109">
        <v>105</v>
      </c>
      <c r="C2336" s="49" t="s">
        <v>19</v>
      </c>
      <c r="D2336" s="110" t="str">
        <f>IF(ISBLANK($B2336),"",IFERROR(VLOOKUP($B2336,ESTOQUE!$B$2:$D$97168,3,FALSE),"Produto não cadastrado"))</f>
        <v>JARDINEIRA AMARELA BOTA Nº 43</v>
      </c>
      <c r="E2336" s="99" t="str">
        <f>_xlfn.XLOOKUP(B2336,ESTOQUE!B:B,ESTOQUE!G:G,"",0)</f>
        <v>UND</v>
      </c>
      <c r="F2336" s="99">
        <v>1</v>
      </c>
      <c r="G2336" s="146"/>
      <c r="H2336" s="146"/>
      <c r="I2336" s="147"/>
      <c r="J2336" s="147"/>
      <c r="K2336" s="63"/>
      <c r="L2336" s="63"/>
      <c r="M2336" s="63"/>
      <c r="N2336" s="63"/>
      <c r="O2336" s="63"/>
      <c r="P2336" s="63"/>
      <c r="Q2336" s="63"/>
      <c r="R2336" s="63"/>
      <c r="S2336" s="63"/>
      <c r="T2336" s="63"/>
      <c r="U2336" s="63"/>
      <c r="V2336" s="63"/>
      <c r="W2336" s="63"/>
      <c r="X2336" s="63"/>
      <c r="Y2336" s="63"/>
      <c r="Z2336" s="63"/>
      <c r="AA2336" s="63"/>
      <c r="AB2336" s="63"/>
      <c r="AC2336" s="63"/>
    </row>
    <row r="2337" spans="1:29" x14ac:dyDescent="0.25">
      <c r="A2337" s="108">
        <v>46073</v>
      </c>
      <c r="B2337" s="109">
        <v>189</v>
      </c>
      <c r="C2337" s="49" t="s">
        <v>19</v>
      </c>
      <c r="D2337" s="110" t="str">
        <f>IF(ISBLANK($B2337),"",IFERROR(VLOOKUP($B2337,ESTOQUE!$B$2:$D$97168,3,FALSE),"Produto não cadastrado"))</f>
        <v xml:space="preserve">LUVA DE VAQUETA MISTA </v>
      </c>
      <c r="E2337" s="99" t="str">
        <f>_xlfn.XLOOKUP(B2337,ESTOQUE!B:B,ESTOQUE!G:G,"",0)</f>
        <v>UND</v>
      </c>
      <c r="F2337" s="99">
        <v>20</v>
      </c>
      <c r="G2337" s="146"/>
      <c r="H2337" s="146"/>
      <c r="I2337" s="147"/>
      <c r="J2337" s="147"/>
      <c r="K2337" s="63"/>
      <c r="L2337" s="63"/>
      <c r="M2337" s="63"/>
      <c r="N2337" s="63"/>
      <c r="O2337" s="63"/>
      <c r="P2337" s="63"/>
      <c r="Q2337" s="63"/>
      <c r="R2337" s="63"/>
      <c r="S2337" s="63"/>
      <c r="T2337" s="63"/>
      <c r="U2337" s="63"/>
      <c r="V2337" s="63"/>
      <c r="W2337" s="63"/>
      <c r="X2337" s="63"/>
      <c r="Y2337" s="63"/>
      <c r="Z2337" s="63"/>
      <c r="AA2337" s="63"/>
      <c r="AB2337" s="63"/>
      <c r="AC2337" s="63"/>
    </row>
    <row r="2338" spans="1:29" x14ac:dyDescent="0.25">
      <c r="A2338" s="108">
        <v>46073</v>
      </c>
      <c r="B2338" s="109">
        <v>114</v>
      </c>
      <c r="C2338" s="49" t="s">
        <v>19</v>
      </c>
      <c r="D2338" s="110" t="str">
        <f>IF(ISBLANK($B2338),"",IFERROR(VLOOKUP($B2338,ESTOQUE!$B$2:$D$97168,3,FALSE),"Produto não cadastrado"))</f>
        <v xml:space="preserve">LUVA LATEX NITRILICA </v>
      </c>
      <c r="E2338" s="99" t="str">
        <f>_xlfn.XLOOKUP(B2338,ESTOQUE!B:B,ESTOQUE!G:G,"",0)</f>
        <v>PAR</v>
      </c>
      <c r="F2338" s="99">
        <v>2</v>
      </c>
      <c r="G2338" s="146"/>
      <c r="H2338" s="146"/>
      <c r="I2338" s="147"/>
      <c r="J2338" s="147"/>
      <c r="K2338" s="63"/>
      <c r="L2338" s="63"/>
      <c r="M2338" s="63"/>
      <c r="N2338" s="63"/>
      <c r="O2338" s="63"/>
      <c r="P2338" s="63"/>
      <c r="Q2338" s="63"/>
      <c r="R2338" s="63"/>
      <c r="S2338" s="63"/>
      <c r="T2338" s="63"/>
      <c r="U2338" s="63"/>
      <c r="V2338" s="63"/>
      <c r="W2338" s="63"/>
      <c r="X2338" s="63"/>
      <c r="Y2338" s="63"/>
      <c r="Z2338" s="63"/>
      <c r="AA2338" s="63"/>
      <c r="AB2338" s="63"/>
      <c r="AC2338" s="63"/>
    </row>
    <row r="2339" spans="1:29" x14ac:dyDescent="0.25">
      <c r="A2339" s="108">
        <v>46073</v>
      </c>
      <c r="B2339" s="109">
        <v>207</v>
      </c>
      <c r="C2339" s="49" t="s">
        <v>19</v>
      </c>
      <c r="D2339" s="110" t="str">
        <f>IF(ISBLANK($B2339),"",IFERROR(VLOOKUP($B2339,ESTOQUE!$B$2:$D$97168,3,FALSE),"Produto não cadastrado"))</f>
        <v>LUVA POLIESTER ANTICORTE BANHADA PU TAM 9</v>
      </c>
      <c r="E2339" s="99" t="str">
        <f>_xlfn.XLOOKUP(B2339,ESTOQUE!B:B,ESTOQUE!G:G,"",0)</f>
        <v>PAR</v>
      </c>
      <c r="F2339" s="99">
        <v>3</v>
      </c>
      <c r="G2339" s="146"/>
      <c r="H2339" s="146"/>
      <c r="I2339" s="147"/>
      <c r="J2339" s="147"/>
      <c r="K2339" s="63"/>
      <c r="L2339" s="63"/>
      <c r="M2339" s="63"/>
      <c r="N2339" s="63"/>
      <c r="O2339" s="63"/>
      <c r="P2339" s="63"/>
      <c r="Q2339" s="63"/>
      <c r="R2339" s="63"/>
      <c r="S2339" s="63"/>
      <c r="T2339" s="63"/>
      <c r="U2339" s="63"/>
      <c r="V2339" s="63"/>
      <c r="W2339" s="63"/>
      <c r="X2339" s="63"/>
      <c r="Y2339" s="63"/>
      <c r="Z2339" s="63"/>
      <c r="AA2339" s="63"/>
      <c r="AB2339" s="63"/>
      <c r="AC2339" s="63"/>
    </row>
    <row r="2340" spans="1:29" x14ac:dyDescent="0.25">
      <c r="A2340" s="108">
        <v>46073</v>
      </c>
      <c r="B2340" s="109">
        <v>144</v>
      </c>
      <c r="C2340" s="49" t="s">
        <v>19</v>
      </c>
      <c r="D2340" s="110" t="str">
        <f>IF(ISBLANK($B2340),"",IFERROR(VLOOKUP($B2340,ESTOQUE!$B$2:$D$97168,3,FALSE),"Produto não cadastrado"))</f>
        <v>MASCARA PFF2-S C/ FILTRO</v>
      </c>
      <c r="E2340" s="99" t="str">
        <f>_xlfn.XLOOKUP(B2340,ESTOQUE!B:B,ESTOQUE!G:G,"",0)</f>
        <v>UND</v>
      </c>
      <c r="F2340" s="99">
        <v>23</v>
      </c>
      <c r="G2340" s="146"/>
      <c r="H2340" s="146"/>
      <c r="I2340" s="147"/>
      <c r="J2340" s="147"/>
      <c r="K2340" s="63"/>
      <c r="L2340" s="63"/>
      <c r="M2340" s="63"/>
      <c r="N2340" s="63"/>
      <c r="O2340" s="63"/>
      <c r="P2340" s="63"/>
      <c r="Q2340" s="63"/>
      <c r="R2340" s="63"/>
      <c r="S2340" s="63"/>
      <c r="T2340" s="63"/>
      <c r="U2340" s="63"/>
      <c r="V2340" s="63"/>
      <c r="W2340" s="63"/>
      <c r="X2340" s="63"/>
      <c r="Y2340" s="63"/>
      <c r="Z2340" s="63"/>
      <c r="AA2340" s="63"/>
      <c r="AB2340" s="63"/>
      <c r="AC2340" s="63"/>
    </row>
    <row r="2341" spans="1:29" x14ac:dyDescent="0.25">
      <c r="A2341" s="108">
        <v>46073</v>
      </c>
      <c r="B2341" s="109">
        <v>126</v>
      </c>
      <c r="C2341" s="49" t="s">
        <v>19</v>
      </c>
      <c r="D2341" s="110" t="str">
        <f>IF(ISBLANK($B2341),"",IFERROR(VLOOKUP($B2341,ESTOQUE!$B$2:$D$97168,3,FALSE),"Produto não cadastrado"))</f>
        <v>OCULOS DE PROTEÇÃO ESCURO</v>
      </c>
      <c r="E2341" s="99" t="str">
        <f>_xlfn.XLOOKUP(B2341,ESTOQUE!B:B,ESTOQUE!G:G,"",0)</f>
        <v>UND</v>
      </c>
      <c r="F2341" s="99">
        <v>4</v>
      </c>
      <c r="G2341" s="146"/>
      <c r="H2341" s="146"/>
      <c r="I2341" s="147"/>
      <c r="J2341" s="147"/>
      <c r="K2341" s="63"/>
      <c r="L2341" s="63"/>
      <c r="M2341" s="63"/>
      <c r="N2341" s="63"/>
      <c r="O2341" s="63"/>
      <c r="P2341" s="63"/>
      <c r="Q2341" s="63"/>
      <c r="R2341" s="63"/>
      <c r="S2341" s="63"/>
      <c r="T2341" s="63"/>
      <c r="U2341" s="63"/>
      <c r="V2341" s="63"/>
      <c r="W2341" s="63"/>
      <c r="X2341" s="63"/>
      <c r="Y2341" s="63"/>
      <c r="Z2341" s="63"/>
      <c r="AA2341" s="63"/>
      <c r="AB2341" s="63"/>
      <c r="AC2341" s="63"/>
    </row>
    <row r="2342" spans="1:29" x14ac:dyDescent="0.25">
      <c r="A2342" s="108">
        <v>46073</v>
      </c>
      <c r="B2342" s="109">
        <v>139</v>
      </c>
      <c r="C2342" s="49" t="s">
        <v>19</v>
      </c>
      <c r="D2342" s="110" t="str">
        <f>IF(ISBLANK($B2342),"",IFERROR(VLOOKUP($B2342,ESTOQUE!$B$2:$D$97168,3,FALSE),"Produto não cadastrado"))</f>
        <v>PROTETOR AURICULAR TIPO PLUG</v>
      </c>
      <c r="E2342" s="99" t="str">
        <f>_xlfn.XLOOKUP(B2342,ESTOQUE!B:B,ESTOQUE!G:G,"",0)</f>
        <v>UND</v>
      </c>
      <c r="F2342" s="99">
        <v>1</v>
      </c>
      <c r="G2342" s="146"/>
      <c r="H2342" s="146"/>
      <c r="I2342" s="147"/>
      <c r="J2342" s="147"/>
      <c r="K2342" s="63"/>
      <c r="L2342" s="63"/>
      <c r="M2342" s="63"/>
      <c r="N2342" s="63"/>
      <c r="O2342" s="63"/>
      <c r="P2342" s="63"/>
      <c r="Q2342" s="63"/>
      <c r="R2342" s="63"/>
      <c r="S2342" s="63"/>
      <c r="T2342" s="63"/>
      <c r="U2342" s="63"/>
      <c r="V2342" s="63"/>
      <c r="W2342" s="63"/>
      <c r="X2342" s="63"/>
      <c r="Y2342" s="63"/>
      <c r="Z2342" s="63"/>
      <c r="AA2342" s="63"/>
      <c r="AB2342" s="63"/>
      <c r="AC2342" s="63"/>
    </row>
    <row r="2343" spans="1:29" x14ac:dyDescent="0.25">
      <c r="A2343" s="108">
        <v>46074</v>
      </c>
      <c r="B2343" s="109">
        <v>228</v>
      </c>
      <c r="C2343" s="49" t="s">
        <v>19</v>
      </c>
      <c r="D2343" s="110" t="str">
        <f>IF(ISBLANK($B2343),"",IFERROR(VLOOKUP($B2343,ESTOQUE!$B$2:$D$97168,3,FALSE),"Produto não cadastrado"))</f>
        <v xml:space="preserve">BALACLAVA  </v>
      </c>
      <c r="E2343" s="99" t="str">
        <f>_xlfn.XLOOKUP(B2343,ESTOQUE!B:B,ESTOQUE!G:G,"",0)</f>
        <v>UND</v>
      </c>
      <c r="F2343" s="99">
        <v>1</v>
      </c>
      <c r="G2343" s="146"/>
      <c r="H2343" s="146"/>
      <c r="I2343" s="147"/>
      <c r="J2343" s="147"/>
      <c r="K2343" s="63"/>
      <c r="L2343" s="63"/>
      <c r="M2343" s="63"/>
      <c r="N2343" s="63"/>
      <c r="O2343" s="63"/>
      <c r="P2343" s="63"/>
      <c r="Q2343" s="63"/>
      <c r="R2343" s="63"/>
      <c r="S2343" s="63"/>
      <c r="T2343" s="63"/>
      <c r="U2343" s="63"/>
      <c r="V2343" s="63"/>
      <c r="W2343" s="63"/>
      <c r="X2343" s="63"/>
      <c r="Y2343" s="63"/>
      <c r="Z2343" s="63"/>
      <c r="AA2343" s="63"/>
      <c r="AB2343" s="63"/>
      <c r="AC2343" s="63"/>
    </row>
    <row r="2344" spans="1:29" x14ac:dyDescent="0.25">
      <c r="A2344" s="108">
        <v>46074</v>
      </c>
      <c r="B2344" s="109">
        <v>70</v>
      </c>
      <c r="C2344" s="49" t="s">
        <v>19</v>
      </c>
      <c r="D2344" s="110" t="str">
        <f>IF(ISBLANK($B2344),"",IFERROR(VLOOKUP($B2344,ESTOQUE!$B$2:$D$97168,3,FALSE),"Produto não cadastrado"))</f>
        <v>CAMISA LARANJA OP. C/ FAIXA REFLETIVA TAM: P</v>
      </c>
      <c r="E2344" s="99" t="str">
        <f>_xlfn.XLOOKUP(B2344,ESTOQUE!B:B,ESTOQUE!G:G,"",0)</f>
        <v>UND</v>
      </c>
      <c r="F2344" s="99">
        <v>1</v>
      </c>
      <c r="G2344" s="146"/>
      <c r="H2344" s="146"/>
      <c r="I2344" s="147"/>
      <c r="J2344" s="147"/>
      <c r="K2344" s="63"/>
      <c r="L2344" s="63"/>
      <c r="M2344" s="63"/>
      <c r="N2344" s="63"/>
      <c r="O2344" s="63"/>
      <c r="P2344" s="63"/>
      <c r="Q2344" s="63"/>
      <c r="R2344" s="63"/>
      <c r="S2344" s="63"/>
      <c r="T2344" s="63"/>
      <c r="U2344" s="63"/>
      <c r="V2344" s="63"/>
      <c r="W2344" s="63"/>
      <c r="X2344" s="63"/>
      <c r="Y2344" s="63"/>
      <c r="Z2344" s="63"/>
      <c r="AA2344" s="63"/>
      <c r="AB2344" s="63"/>
      <c r="AC2344" s="63"/>
    </row>
    <row r="2345" spans="1:29" x14ac:dyDescent="0.25">
      <c r="A2345" s="108">
        <v>46074</v>
      </c>
      <c r="B2345" s="109">
        <v>49</v>
      </c>
      <c r="C2345" s="49" t="s">
        <v>19</v>
      </c>
      <c r="D2345" s="110" t="str">
        <f>IF(ISBLANK($B2345),"",IFERROR(VLOOKUP($B2345,ESTOQUE!$B$2:$D$97168,3,FALSE),"Produto não cadastrado"))</f>
        <v>CALÇA CINZA OP. C/ FAIXA REFLETIVA TAM: P</v>
      </c>
      <c r="E2345" s="99" t="str">
        <f>_xlfn.XLOOKUP(B2345,ESTOQUE!B:B,ESTOQUE!G:G,"",0)</f>
        <v>UND</v>
      </c>
      <c r="F2345" s="99">
        <v>1</v>
      </c>
      <c r="G2345" s="146"/>
      <c r="H2345" s="146"/>
      <c r="I2345" s="147"/>
      <c r="J2345" s="147"/>
      <c r="K2345" s="63"/>
      <c r="L2345" s="63"/>
      <c r="M2345" s="63"/>
      <c r="N2345" s="63"/>
      <c r="O2345" s="63"/>
      <c r="P2345" s="63"/>
      <c r="Q2345" s="63"/>
      <c r="R2345" s="63"/>
      <c r="S2345" s="63"/>
      <c r="T2345" s="63"/>
      <c r="U2345" s="63"/>
      <c r="V2345" s="63"/>
      <c r="W2345" s="63"/>
      <c r="X2345" s="63"/>
      <c r="Y2345" s="63"/>
      <c r="Z2345" s="63"/>
      <c r="AA2345" s="63"/>
      <c r="AB2345" s="63"/>
      <c r="AC2345" s="63"/>
    </row>
    <row r="2346" spans="1:29" x14ac:dyDescent="0.25">
      <c r="A2346" s="108">
        <v>46074</v>
      </c>
      <c r="B2346" s="109">
        <v>219</v>
      </c>
      <c r="C2346" s="49" t="s">
        <v>19</v>
      </c>
      <c r="D2346" s="110" t="str">
        <f>IF(ISBLANK($B2346),"",IFERROR(VLOOKUP($B2346,ESTOQUE!$B$2:$D$97168,3,FALSE),"Produto não cadastrado"))</f>
        <v>BOTINA SEGURANÇA METATARSO  42</v>
      </c>
      <c r="E2346" s="99" t="str">
        <f>_xlfn.XLOOKUP(B2346,ESTOQUE!B:B,ESTOQUE!G:G,"",0)</f>
        <v>PAR</v>
      </c>
      <c r="F2346" s="99">
        <v>1</v>
      </c>
      <c r="G2346" s="146"/>
      <c r="H2346" s="146"/>
      <c r="I2346" s="147"/>
      <c r="J2346" s="147"/>
      <c r="K2346" s="63"/>
      <c r="L2346" s="63"/>
      <c r="M2346" s="63"/>
      <c r="N2346" s="63"/>
      <c r="O2346" s="63"/>
      <c r="P2346" s="63"/>
      <c r="Q2346" s="63"/>
      <c r="R2346" s="63"/>
      <c r="S2346" s="63"/>
      <c r="T2346" s="63"/>
      <c r="U2346" s="63"/>
      <c r="V2346" s="63"/>
      <c r="W2346" s="63"/>
      <c r="X2346" s="63"/>
      <c r="Y2346" s="63"/>
      <c r="Z2346" s="63"/>
      <c r="AA2346" s="63"/>
      <c r="AB2346" s="63"/>
      <c r="AC2346" s="63"/>
    </row>
    <row r="2347" spans="1:29" x14ac:dyDescent="0.25">
      <c r="A2347" s="108">
        <v>46074</v>
      </c>
      <c r="B2347" s="109">
        <v>126</v>
      </c>
      <c r="C2347" s="49" t="s">
        <v>19</v>
      </c>
      <c r="D2347" s="110" t="str">
        <f>IF(ISBLANK($B2347),"",IFERROR(VLOOKUP($B2347,ESTOQUE!$B$2:$D$97168,3,FALSE),"Produto não cadastrado"))</f>
        <v>OCULOS DE PROTEÇÃO ESCURO</v>
      </c>
      <c r="E2347" s="99" t="str">
        <f>_xlfn.XLOOKUP(B2347,ESTOQUE!B:B,ESTOQUE!G:G,"",0)</f>
        <v>UND</v>
      </c>
      <c r="F2347" s="99">
        <v>1</v>
      </c>
      <c r="G2347" s="146"/>
      <c r="H2347" s="146"/>
      <c r="I2347" s="147"/>
      <c r="J2347" s="147"/>
      <c r="K2347" s="63"/>
      <c r="L2347" s="63"/>
      <c r="M2347" s="63"/>
      <c r="N2347" s="63"/>
      <c r="O2347" s="63"/>
      <c r="P2347" s="63"/>
      <c r="Q2347" s="63"/>
      <c r="R2347" s="63"/>
      <c r="S2347" s="63"/>
      <c r="T2347" s="63"/>
      <c r="U2347" s="63"/>
      <c r="V2347" s="63"/>
      <c r="W2347" s="63"/>
      <c r="X2347" s="63"/>
      <c r="Y2347" s="63"/>
      <c r="Z2347" s="63"/>
      <c r="AA2347" s="63"/>
      <c r="AB2347" s="63"/>
      <c r="AC2347" s="63"/>
    </row>
    <row r="2348" spans="1:29" x14ac:dyDescent="0.25">
      <c r="A2348" s="108">
        <v>46074</v>
      </c>
      <c r="B2348" s="109">
        <v>67</v>
      </c>
      <c r="C2348" s="49" t="s">
        <v>19</v>
      </c>
      <c r="D2348" s="110" t="str">
        <f>IF(ISBLANK($B2348),"",IFERROR(VLOOKUP($B2348,ESTOQUE!$B$2:$D$97168,3,FALSE),"Produto não cadastrado"))</f>
        <v>CAMISA LARANJA OP. C/ FAIXA REFLETIVA TAM: G</v>
      </c>
      <c r="E2348" s="99" t="str">
        <f>_xlfn.XLOOKUP(B2348,ESTOQUE!B:B,ESTOQUE!G:G,"",0)</f>
        <v>UND</v>
      </c>
      <c r="F2348" s="99">
        <v>1</v>
      </c>
      <c r="G2348" s="146"/>
      <c r="H2348" s="146"/>
      <c r="I2348" s="147"/>
      <c r="J2348" s="147"/>
      <c r="K2348" s="63"/>
      <c r="L2348" s="63"/>
      <c r="M2348" s="63"/>
      <c r="N2348" s="63"/>
      <c r="O2348" s="63"/>
      <c r="P2348" s="63"/>
      <c r="Q2348" s="63"/>
      <c r="R2348" s="63"/>
      <c r="S2348" s="63"/>
      <c r="T2348" s="63"/>
      <c r="U2348" s="63"/>
      <c r="V2348" s="63"/>
      <c r="W2348" s="63"/>
      <c r="X2348" s="63"/>
      <c r="Y2348" s="63"/>
      <c r="Z2348" s="63"/>
      <c r="AA2348" s="63"/>
      <c r="AB2348" s="63"/>
      <c r="AC2348" s="63"/>
    </row>
    <row r="2349" spans="1:29" x14ac:dyDescent="0.25">
      <c r="A2349" s="108">
        <v>46074</v>
      </c>
      <c r="B2349" s="109">
        <v>207</v>
      </c>
      <c r="C2349" s="49" t="s">
        <v>19</v>
      </c>
      <c r="D2349" s="110" t="str">
        <f>IF(ISBLANK($B2349),"",IFERROR(VLOOKUP($B2349,ESTOQUE!$B$2:$D$97168,3,FALSE),"Produto não cadastrado"))</f>
        <v>LUVA POLIESTER ANTICORTE BANHADA PU TAM 9</v>
      </c>
      <c r="E2349" s="99" t="str">
        <f>_xlfn.XLOOKUP(B2349,ESTOQUE!B:B,ESTOQUE!G:G,"",0)</f>
        <v>PAR</v>
      </c>
      <c r="F2349" s="99">
        <v>1</v>
      </c>
      <c r="G2349" s="146"/>
      <c r="H2349" s="146"/>
      <c r="I2349" s="147"/>
      <c r="J2349" s="147"/>
      <c r="K2349" s="63"/>
      <c r="L2349" s="63"/>
      <c r="M2349" s="63"/>
      <c r="N2349" s="63"/>
      <c r="O2349" s="63"/>
      <c r="P2349" s="63"/>
      <c r="Q2349" s="63"/>
      <c r="R2349" s="63"/>
      <c r="S2349" s="63"/>
      <c r="T2349" s="63"/>
      <c r="U2349" s="63"/>
      <c r="V2349" s="63"/>
      <c r="W2349" s="63"/>
      <c r="X2349" s="63"/>
      <c r="Y2349" s="63"/>
      <c r="Z2349" s="63"/>
      <c r="AA2349" s="63"/>
      <c r="AB2349" s="63"/>
      <c r="AC2349" s="63"/>
    </row>
    <row r="2350" spans="1:29" x14ac:dyDescent="0.25">
      <c r="A2350" s="108">
        <v>46074</v>
      </c>
      <c r="B2350" s="109">
        <v>46</v>
      </c>
      <c r="C2350" s="49" t="s">
        <v>19</v>
      </c>
      <c r="D2350" s="110" t="str">
        <f>IF(ISBLANK($B2350),"",IFERROR(VLOOKUP($B2350,ESTOQUE!$B$2:$D$97168,3,FALSE),"Produto não cadastrado"))</f>
        <v>CALÇA CINZA OP. C/ FAIXA REFLETIVA TAM: G</v>
      </c>
      <c r="E2350" s="99" t="str">
        <f>_xlfn.XLOOKUP(B2350,ESTOQUE!B:B,ESTOQUE!G:G,"",0)</f>
        <v>UND</v>
      </c>
      <c r="F2350" s="99">
        <v>1</v>
      </c>
      <c r="G2350" s="146"/>
      <c r="H2350" s="146"/>
      <c r="I2350" s="147"/>
      <c r="J2350" s="147"/>
      <c r="K2350" s="63"/>
      <c r="L2350" s="63"/>
      <c r="M2350" s="63"/>
      <c r="N2350" s="63"/>
      <c r="O2350" s="63"/>
      <c r="P2350" s="63"/>
      <c r="Q2350" s="63"/>
      <c r="R2350" s="63"/>
      <c r="S2350" s="63"/>
      <c r="T2350" s="63"/>
      <c r="U2350" s="63"/>
      <c r="V2350" s="63"/>
      <c r="W2350" s="63"/>
      <c r="X2350" s="63"/>
      <c r="Y2350" s="63"/>
      <c r="Z2350" s="63"/>
      <c r="AA2350" s="63"/>
      <c r="AB2350" s="63"/>
      <c r="AC2350" s="63"/>
    </row>
    <row r="2351" spans="1:29" x14ac:dyDescent="0.25">
      <c r="A2351" s="108">
        <v>46074</v>
      </c>
      <c r="B2351" s="109">
        <v>49</v>
      </c>
      <c r="C2351" s="49" t="s">
        <v>19</v>
      </c>
      <c r="D2351" s="110" t="str">
        <f>IF(ISBLANK($B2351),"",IFERROR(VLOOKUP($B2351,ESTOQUE!$B$2:$D$97168,3,FALSE),"Produto não cadastrado"))</f>
        <v>CALÇA CINZA OP. C/ FAIXA REFLETIVA TAM: P</v>
      </c>
      <c r="E2351" s="99" t="str">
        <f>_xlfn.XLOOKUP(B2351,ESTOQUE!B:B,ESTOQUE!G:G,"",0)</f>
        <v>UND</v>
      </c>
      <c r="F2351" s="99">
        <v>1</v>
      </c>
      <c r="G2351" s="146"/>
      <c r="H2351" s="146"/>
      <c r="I2351" s="147"/>
      <c r="J2351" s="147"/>
      <c r="K2351" s="63"/>
      <c r="L2351" s="63"/>
      <c r="M2351" s="63"/>
      <c r="N2351" s="63"/>
      <c r="O2351" s="63"/>
      <c r="P2351" s="63"/>
      <c r="Q2351" s="63"/>
      <c r="R2351" s="63"/>
      <c r="S2351" s="63"/>
      <c r="T2351" s="63"/>
      <c r="U2351" s="63"/>
      <c r="V2351" s="63"/>
      <c r="W2351" s="63"/>
      <c r="X2351" s="63"/>
      <c r="Y2351" s="63"/>
      <c r="Z2351" s="63"/>
      <c r="AA2351" s="63"/>
      <c r="AB2351" s="63"/>
      <c r="AC2351" s="63"/>
    </row>
    <row r="2352" spans="1:29" x14ac:dyDescent="0.25">
      <c r="A2352" s="108">
        <v>46074</v>
      </c>
      <c r="B2352" s="109">
        <v>41</v>
      </c>
      <c r="C2352" s="49" t="s">
        <v>19</v>
      </c>
      <c r="D2352" s="110" t="str">
        <f>IF(ISBLANK($B2352),"",IFERROR(VLOOKUP($B2352,ESTOQUE!$B$2:$D$97168,3,FALSE),"Produto não cadastrado"))</f>
        <v>BOTINA OP. BICO PVC Nº 43</v>
      </c>
      <c r="E2352" s="99" t="str">
        <f>_xlfn.XLOOKUP(B2352,ESTOQUE!B:B,ESTOQUE!G:G,"",0)</f>
        <v>PAR</v>
      </c>
      <c r="F2352" s="99">
        <v>1</v>
      </c>
      <c r="G2352" s="146"/>
      <c r="H2352" s="146"/>
      <c r="I2352" s="147"/>
      <c r="J2352" s="147"/>
      <c r="K2352" s="63"/>
      <c r="L2352" s="63"/>
      <c r="M2352" s="63"/>
      <c r="N2352" s="63"/>
      <c r="O2352" s="63"/>
      <c r="P2352" s="63"/>
      <c r="Q2352" s="63"/>
      <c r="R2352" s="63"/>
      <c r="S2352" s="63"/>
      <c r="T2352" s="63"/>
      <c r="U2352" s="63"/>
      <c r="V2352" s="63"/>
      <c r="W2352" s="63"/>
      <c r="X2352" s="63"/>
      <c r="Y2352" s="63"/>
      <c r="Z2352" s="63"/>
      <c r="AA2352" s="63"/>
      <c r="AB2352" s="63"/>
      <c r="AC2352" s="63"/>
    </row>
    <row r="2353" spans="1:29" x14ac:dyDescent="0.25">
      <c r="A2353" s="108">
        <v>46074</v>
      </c>
      <c r="B2353" s="109">
        <v>39</v>
      </c>
      <c r="C2353" s="49" t="s">
        <v>19</v>
      </c>
      <c r="D2353" s="110" t="str">
        <f>IF(ISBLANK($B2353),"",IFERROR(VLOOKUP($B2353,ESTOQUE!$B$2:$D$97168,3,FALSE),"Produto não cadastrado"))</f>
        <v>BOTINA OP. BICO PVC Nº 41</v>
      </c>
      <c r="E2353" s="99" t="str">
        <f>_xlfn.XLOOKUP(B2353,ESTOQUE!B:B,ESTOQUE!G:G,"",0)</f>
        <v>PAR</v>
      </c>
      <c r="F2353" s="99">
        <v>2</v>
      </c>
      <c r="G2353" s="146"/>
      <c r="H2353" s="146"/>
      <c r="I2353" s="147"/>
      <c r="J2353" s="147"/>
      <c r="K2353" s="63"/>
      <c r="L2353" s="63"/>
      <c r="M2353" s="63"/>
      <c r="N2353" s="63"/>
      <c r="O2353" s="63"/>
      <c r="P2353" s="63"/>
      <c r="Q2353" s="63"/>
      <c r="R2353" s="63"/>
      <c r="S2353" s="63"/>
      <c r="T2353" s="63"/>
      <c r="U2353" s="63"/>
      <c r="V2353" s="63"/>
      <c r="W2353" s="63"/>
      <c r="X2353" s="63"/>
      <c r="Y2353" s="63"/>
      <c r="Z2353" s="63"/>
      <c r="AA2353" s="63"/>
      <c r="AB2353" s="63"/>
      <c r="AC2353" s="63"/>
    </row>
    <row r="2354" spans="1:29" x14ac:dyDescent="0.25">
      <c r="A2354" s="108">
        <v>46074</v>
      </c>
      <c r="B2354" s="109">
        <v>75</v>
      </c>
      <c r="C2354" s="49" t="s">
        <v>19</v>
      </c>
      <c r="D2354" s="110" t="str">
        <f>IF(ISBLANK($B2354),"",IFERROR(VLOOKUP($B2354,ESTOQUE!$B$2:$D$97168,3,FALSE),"Produto não cadastrado"))</f>
        <v>CAPACETE CAMPER AZUL ESCURO</v>
      </c>
      <c r="E2354" s="99" t="str">
        <f>_xlfn.XLOOKUP(B2354,ESTOQUE!B:B,ESTOQUE!G:G,"",0)</f>
        <v>UND</v>
      </c>
      <c r="F2354" s="99">
        <v>1</v>
      </c>
      <c r="G2354" s="146"/>
      <c r="H2354" s="146"/>
      <c r="I2354" s="147"/>
      <c r="J2354" s="147"/>
      <c r="K2354" s="63"/>
      <c r="L2354" s="63"/>
      <c r="M2354" s="63"/>
      <c r="N2354" s="63"/>
      <c r="O2354" s="63"/>
      <c r="P2354" s="63"/>
      <c r="Q2354" s="63"/>
      <c r="R2354" s="63"/>
      <c r="S2354" s="63"/>
      <c r="T2354" s="63"/>
      <c r="U2354" s="63"/>
      <c r="V2354" s="63"/>
      <c r="W2354" s="63"/>
      <c r="X2354" s="63"/>
      <c r="Y2354" s="63"/>
      <c r="Z2354" s="63"/>
      <c r="AA2354" s="63"/>
      <c r="AB2354" s="63"/>
      <c r="AC2354" s="63"/>
    </row>
    <row r="2355" spans="1:29" x14ac:dyDescent="0.25">
      <c r="A2355" s="108">
        <v>46074</v>
      </c>
      <c r="B2355" s="109">
        <v>83</v>
      </c>
      <c r="C2355" s="49" t="s">
        <v>19</v>
      </c>
      <c r="D2355" s="110" t="str">
        <f>IF(ISBLANK($B2355),"",IFERROR(VLOOKUP($B2355,ESTOQUE!$B$2:$D$97168,3,FALSE),"Produto não cadastrado"))</f>
        <v>CAPACETE LIBUS LARANJA</v>
      </c>
      <c r="E2355" s="99" t="str">
        <f>_xlfn.XLOOKUP(B2355,ESTOQUE!B:B,ESTOQUE!G:G,"",0)</f>
        <v>UND</v>
      </c>
      <c r="F2355" s="99">
        <v>1</v>
      </c>
      <c r="G2355" s="146"/>
      <c r="H2355" s="146"/>
      <c r="I2355" s="147"/>
      <c r="J2355" s="147"/>
      <c r="K2355" s="63"/>
      <c r="L2355" s="63"/>
      <c r="M2355" s="63"/>
      <c r="N2355" s="63"/>
      <c r="O2355" s="63"/>
      <c r="P2355" s="63"/>
      <c r="Q2355" s="63"/>
      <c r="R2355" s="63"/>
      <c r="S2355" s="63"/>
      <c r="T2355" s="63"/>
      <c r="U2355" s="63"/>
      <c r="V2355" s="63"/>
      <c r="W2355" s="63"/>
      <c r="X2355" s="63"/>
      <c r="Y2355" s="63"/>
      <c r="Z2355" s="63"/>
      <c r="AA2355" s="63"/>
      <c r="AB2355" s="63"/>
      <c r="AC2355" s="63"/>
    </row>
    <row r="2356" spans="1:29" x14ac:dyDescent="0.25">
      <c r="A2356" s="108">
        <v>46074</v>
      </c>
      <c r="B2356" s="109">
        <v>124</v>
      </c>
      <c r="C2356" s="49" t="s">
        <v>19</v>
      </c>
      <c r="D2356" s="110" t="str">
        <f>IF(ISBLANK($B2356),"",IFERROR(VLOOKUP($B2356,ESTOQUE!$B$2:$D$97168,3,FALSE),"Produto não cadastrado"))</f>
        <v xml:space="preserve">OCULOS DE PROTEÇÃO INCOLOR </v>
      </c>
      <c r="E2356" s="99" t="str">
        <f>_xlfn.XLOOKUP(B2356,ESTOQUE!B:B,ESTOQUE!G:G,"",0)</f>
        <v>UND</v>
      </c>
      <c r="F2356" s="99">
        <v>1</v>
      </c>
      <c r="G2356" s="146"/>
      <c r="H2356" s="146"/>
      <c r="I2356" s="147"/>
      <c r="J2356" s="147"/>
      <c r="K2356" s="63"/>
      <c r="L2356" s="63"/>
      <c r="M2356" s="63"/>
      <c r="N2356" s="63"/>
      <c r="O2356" s="63"/>
      <c r="P2356" s="63"/>
      <c r="Q2356" s="63"/>
      <c r="R2356" s="63"/>
      <c r="S2356" s="63"/>
      <c r="T2356" s="63"/>
      <c r="U2356" s="63"/>
      <c r="V2356" s="63"/>
      <c r="W2356" s="63"/>
      <c r="X2356" s="63"/>
      <c r="Y2356" s="63"/>
      <c r="Z2356" s="63"/>
      <c r="AA2356" s="63"/>
      <c r="AB2356" s="63"/>
      <c r="AC2356" s="63"/>
    </row>
    <row r="2357" spans="1:29" x14ac:dyDescent="0.25">
      <c r="A2357" s="108">
        <v>46074</v>
      </c>
      <c r="B2357" s="109">
        <v>88</v>
      </c>
      <c r="C2357" s="49" t="s">
        <v>19</v>
      </c>
      <c r="D2357" s="110" t="str">
        <f>IF(ISBLANK($B2357),"",IFERROR(VLOOKUP($B2357,ESTOQUE!$B$2:$D$97168,3,FALSE),"Produto não cadastrado"))</f>
        <v>CAPACETE PLASTCOR AZUL ESCURO</v>
      </c>
      <c r="E2357" s="99" t="str">
        <f>_xlfn.XLOOKUP(B2357,ESTOQUE!B:B,ESTOQUE!G:G,"",0)</f>
        <v>UND</v>
      </c>
      <c r="F2357" s="99">
        <v>1</v>
      </c>
      <c r="G2357" s="146"/>
      <c r="H2357" s="146"/>
      <c r="I2357" s="147"/>
      <c r="J2357" s="147"/>
      <c r="K2357" s="63"/>
      <c r="L2357" s="63"/>
      <c r="M2357" s="63"/>
      <c r="N2357" s="63"/>
      <c r="O2357" s="63"/>
      <c r="P2357" s="63"/>
      <c r="Q2357" s="63"/>
      <c r="R2357" s="63"/>
      <c r="S2357" s="63"/>
      <c r="T2357" s="63"/>
      <c r="U2357" s="63"/>
      <c r="V2357" s="63"/>
      <c r="W2357" s="63"/>
      <c r="X2357" s="63"/>
      <c r="Y2357" s="63"/>
      <c r="Z2357" s="63"/>
      <c r="AA2357" s="63"/>
      <c r="AB2357" s="63"/>
      <c r="AC2357" s="63"/>
    </row>
    <row r="2358" spans="1:29" x14ac:dyDescent="0.25">
      <c r="A2358" s="108">
        <v>46074</v>
      </c>
      <c r="B2358" s="109">
        <v>94</v>
      </c>
      <c r="C2358" s="49" t="s">
        <v>19</v>
      </c>
      <c r="D2358" s="110" t="str">
        <f>IF(ISBLANK($B2358),"",IFERROR(VLOOKUP($B2358,ESTOQUE!$B$2:$D$97168,3,FALSE),"Produto não cadastrado"))</f>
        <v>CARNEIRA P/ CAPACETE CAMPER</v>
      </c>
      <c r="E2358" s="99" t="str">
        <f>_xlfn.XLOOKUP(B2358,ESTOQUE!B:B,ESTOQUE!G:G,"",0)</f>
        <v>UND</v>
      </c>
      <c r="F2358" s="99">
        <v>4</v>
      </c>
      <c r="G2358" s="146"/>
      <c r="H2358" s="146"/>
      <c r="I2358" s="147"/>
      <c r="J2358" s="147"/>
      <c r="K2358" s="63"/>
      <c r="L2358" s="63"/>
      <c r="M2358" s="63"/>
      <c r="N2358" s="63"/>
      <c r="O2358" s="63"/>
      <c r="P2358" s="63"/>
      <c r="Q2358" s="63"/>
      <c r="R2358" s="63"/>
      <c r="S2358" s="63"/>
      <c r="T2358" s="63"/>
      <c r="U2358" s="63"/>
      <c r="V2358" s="63"/>
      <c r="W2358" s="63"/>
      <c r="X2358" s="63"/>
      <c r="Y2358" s="63"/>
      <c r="Z2358" s="63"/>
      <c r="AA2358" s="63"/>
      <c r="AB2358" s="63"/>
      <c r="AC2358" s="63"/>
    </row>
    <row r="2359" spans="1:29" x14ac:dyDescent="0.25">
      <c r="A2359" s="108">
        <v>46074</v>
      </c>
      <c r="B2359" s="109">
        <v>41</v>
      </c>
      <c r="C2359" s="49" t="s">
        <v>19</v>
      </c>
      <c r="D2359" s="110" t="str">
        <f>IF(ISBLANK($B2359),"",IFERROR(VLOOKUP($B2359,ESTOQUE!$B$2:$D$97168,3,FALSE),"Produto não cadastrado"))</f>
        <v>BOTINA OP. BICO PVC Nº 43</v>
      </c>
      <c r="E2359" s="99" t="str">
        <f>_xlfn.XLOOKUP(B2359,ESTOQUE!B:B,ESTOQUE!G:G,"",0)</f>
        <v>PAR</v>
      </c>
      <c r="F2359" s="99">
        <v>1</v>
      </c>
      <c r="G2359" s="146"/>
      <c r="H2359" s="146"/>
      <c r="I2359" s="147"/>
      <c r="J2359" s="147"/>
      <c r="K2359" s="63"/>
      <c r="L2359" s="63"/>
      <c r="M2359" s="63"/>
      <c r="N2359" s="63"/>
      <c r="O2359" s="63"/>
      <c r="P2359" s="63"/>
      <c r="Q2359" s="63"/>
      <c r="R2359" s="63"/>
      <c r="S2359" s="63"/>
      <c r="T2359" s="63"/>
      <c r="U2359" s="63"/>
      <c r="V2359" s="63"/>
      <c r="W2359" s="63"/>
      <c r="X2359" s="63"/>
      <c r="Y2359" s="63"/>
      <c r="Z2359" s="63"/>
      <c r="AA2359" s="63"/>
      <c r="AB2359" s="63"/>
      <c r="AC2359" s="63"/>
    </row>
    <row r="2360" spans="1:29" x14ac:dyDescent="0.25">
      <c r="A2360" s="108">
        <v>46074</v>
      </c>
      <c r="B2360" s="109">
        <v>39</v>
      </c>
      <c r="C2360" s="49" t="s">
        <v>19</v>
      </c>
      <c r="D2360" s="110" t="str">
        <f>IF(ISBLANK($B2360),"",IFERROR(VLOOKUP($B2360,ESTOQUE!$B$2:$D$97168,3,FALSE),"Produto não cadastrado"))</f>
        <v>BOTINA OP. BICO PVC Nº 41</v>
      </c>
      <c r="E2360" s="99" t="str">
        <f>_xlfn.XLOOKUP(B2360,ESTOQUE!B:B,ESTOQUE!G:G,"",0)</f>
        <v>PAR</v>
      </c>
      <c r="F2360" s="99">
        <v>1</v>
      </c>
      <c r="G2360" s="146"/>
      <c r="H2360" s="146"/>
      <c r="I2360" s="147"/>
      <c r="J2360" s="147"/>
      <c r="K2360" s="63"/>
      <c r="L2360" s="63"/>
      <c r="M2360" s="63"/>
      <c r="N2360" s="63"/>
      <c r="O2360" s="63"/>
      <c r="P2360" s="63"/>
      <c r="Q2360" s="63"/>
      <c r="R2360" s="63"/>
      <c r="S2360" s="63"/>
      <c r="T2360" s="63"/>
      <c r="U2360" s="63"/>
      <c r="V2360" s="63"/>
      <c r="W2360" s="63"/>
      <c r="X2360" s="63"/>
      <c r="Y2360" s="63"/>
      <c r="Z2360" s="63"/>
      <c r="AA2360" s="63"/>
      <c r="AB2360" s="63"/>
      <c r="AC2360" s="63"/>
    </row>
    <row r="2361" spans="1:29" x14ac:dyDescent="0.25">
      <c r="A2361" s="108">
        <v>46074</v>
      </c>
      <c r="B2361" s="109">
        <v>144</v>
      </c>
      <c r="C2361" s="49" t="s">
        <v>19</v>
      </c>
      <c r="D2361" s="110" t="str">
        <f>IF(ISBLANK($B2361),"",IFERROR(VLOOKUP($B2361,ESTOQUE!$B$2:$D$97168,3,FALSE),"Produto não cadastrado"))</f>
        <v>MASCARA PFF2-S C/ FILTRO</v>
      </c>
      <c r="E2361" s="99" t="str">
        <f>_xlfn.XLOOKUP(B2361,ESTOQUE!B:B,ESTOQUE!G:G,"",0)</f>
        <v>UND</v>
      </c>
      <c r="F2361" s="99">
        <v>2</v>
      </c>
      <c r="G2361" s="146"/>
      <c r="H2361" s="146"/>
      <c r="I2361" s="147"/>
      <c r="J2361" s="147"/>
      <c r="K2361" s="63"/>
      <c r="L2361" s="63"/>
      <c r="M2361" s="63"/>
      <c r="N2361" s="63"/>
      <c r="O2361" s="63"/>
      <c r="P2361" s="63"/>
      <c r="Q2361" s="63"/>
      <c r="R2361" s="63"/>
      <c r="S2361" s="63"/>
      <c r="T2361" s="63"/>
      <c r="U2361" s="63"/>
      <c r="V2361" s="63"/>
      <c r="W2361" s="63"/>
      <c r="X2361" s="63"/>
      <c r="Y2361" s="63"/>
      <c r="Z2361" s="63"/>
      <c r="AA2361" s="63"/>
      <c r="AB2361" s="63"/>
      <c r="AC2361" s="63"/>
    </row>
    <row r="2362" spans="1:29" x14ac:dyDescent="0.25">
      <c r="A2362" s="108">
        <v>46074</v>
      </c>
      <c r="B2362" s="109">
        <v>29</v>
      </c>
      <c r="C2362" s="49" t="s">
        <v>19</v>
      </c>
      <c r="D2362" s="110" t="str">
        <f>IF(ISBLANK($B2362),"",IFERROR(VLOOKUP($B2362,ESTOQUE!$B$2:$D$97168,3,FALSE),"Produto não cadastrado"))</f>
        <v>BOTINA DE ELETRICISTA Nº 39</v>
      </c>
      <c r="E2362" s="99" t="str">
        <f>_xlfn.XLOOKUP(B2362,ESTOQUE!B:B,ESTOQUE!G:G,"",0)</f>
        <v>PAR</v>
      </c>
      <c r="F2362" s="99">
        <v>1</v>
      </c>
      <c r="G2362" s="146"/>
      <c r="H2362" s="146"/>
      <c r="I2362" s="147"/>
      <c r="J2362" s="147"/>
      <c r="K2362" s="63"/>
      <c r="L2362" s="63"/>
      <c r="M2362" s="63"/>
      <c r="N2362" s="63"/>
      <c r="O2362" s="63"/>
      <c r="P2362" s="63"/>
      <c r="Q2362" s="63"/>
      <c r="R2362" s="63"/>
      <c r="S2362" s="63"/>
      <c r="T2362" s="63"/>
      <c r="U2362" s="63"/>
      <c r="V2362" s="63"/>
      <c r="W2362" s="63"/>
      <c r="X2362" s="63"/>
      <c r="Y2362" s="63"/>
      <c r="Z2362" s="63"/>
      <c r="AA2362" s="63"/>
      <c r="AB2362" s="63"/>
      <c r="AC2362" s="63"/>
    </row>
    <row r="2363" spans="1:29" x14ac:dyDescent="0.25">
      <c r="A2363" s="108">
        <v>46074</v>
      </c>
      <c r="B2363" s="109">
        <v>48</v>
      </c>
      <c r="C2363" s="49" t="s">
        <v>19</v>
      </c>
      <c r="D2363" s="110" t="str">
        <f>IF(ISBLANK($B2363),"",IFERROR(VLOOKUP($B2363,ESTOQUE!$B$2:$D$97168,3,FALSE),"Produto não cadastrado"))</f>
        <v>CALÇA CINZA OP. C/ FAIXA REFLETIVA TAM: M</v>
      </c>
      <c r="E2363" s="99" t="str">
        <f>_xlfn.XLOOKUP(B2363,ESTOQUE!B:B,ESTOQUE!G:G,"",0)</f>
        <v>UND</v>
      </c>
      <c r="F2363" s="99">
        <v>1</v>
      </c>
      <c r="G2363" s="146"/>
      <c r="H2363" s="146"/>
      <c r="I2363" s="147"/>
      <c r="J2363" s="147"/>
      <c r="K2363" s="63"/>
      <c r="L2363" s="63"/>
      <c r="M2363" s="63"/>
      <c r="N2363" s="63"/>
      <c r="O2363" s="63"/>
      <c r="P2363" s="63"/>
      <c r="Q2363" s="63"/>
      <c r="R2363" s="63"/>
      <c r="S2363" s="63"/>
      <c r="T2363" s="63"/>
      <c r="U2363" s="63"/>
      <c r="V2363" s="63"/>
      <c r="W2363" s="63"/>
      <c r="X2363" s="63"/>
      <c r="Y2363" s="63"/>
      <c r="Z2363" s="63"/>
      <c r="AA2363" s="63"/>
      <c r="AB2363" s="63"/>
      <c r="AC2363" s="63"/>
    </row>
    <row r="2364" spans="1:29" x14ac:dyDescent="0.25">
      <c r="A2364" s="108">
        <v>46074</v>
      </c>
      <c r="B2364" s="109">
        <v>69</v>
      </c>
      <c r="C2364" s="49" t="s">
        <v>19</v>
      </c>
      <c r="D2364" s="110" t="str">
        <f>IF(ISBLANK($B2364),"",IFERROR(VLOOKUP($B2364,ESTOQUE!$B$2:$D$97168,3,FALSE),"Produto não cadastrado"))</f>
        <v>CAMISA LARANJA OP. C/ FAIXA REFLETIVA TAM: M</v>
      </c>
      <c r="E2364" s="99" t="str">
        <f>_xlfn.XLOOKUP(B2364,ESTOQUE!B:B,ESTOQUE!G:G,"",0)</f>
        <v>UND</v>
      </c>
      <c r="F2364" s="99">
        <v>1</v>
      </c>
      <c r="G2364" s="146"/>
      <c r="H2364" s="146"/>
      <c r="I2364" s="147"/>
      <c r="J2364" s="147"/>
      <c r="K2364" s="63"/>
      <c r="L2364" s="63"/>
      <c r="M2364" s="63"/>
      <c r="N2364" s="63"/>
      <c r="O2364" s="63"/>
      <c r="P2364" s="63"/>
      <c r="Q2364" s="63"/>
      <c r="R2364" s="63"/>
      <c r="S2364" s="63"/>
      <c r="T2364" s="63"/>
      <c r="U2364" s="63"/>
      <c r="V2364" s="63"/>
      <c r="W2364" s="63"/>
      <c r="X2364" s="63"/>
      <c r="Y2364" s="63"/>
      <c r="Z2364" s="63"/>
      <c r="AA2364" s="63"/>
      <c r="AB2364" s="63"/>
      <c r="AC2364" s="63"/>
    </row>
    <row r="2365" spans="1:29" x14ac:dyDescent="0.25">
      <c r="A2365" s="108">
        <v>46074</v>
      </c>
      <c r="B2365" s="109">
        <v>124</v>
      </c>
      <c r="C2365" s="49" t="s">
        <v>19</v>
      </c>
      <c r="D2365" s="110" t="str">
        <f>IF(ISBLANK($B2365),"",IFERROR(VLOOKUP($B2365,ESTOQUE!$B$2:$D$97168,3,FALSE),"Produto não cadastrado"))</f>
        <v xml:space="preserve">OCULOS DE PROTEÇÃO INCOLOR </v>
      </c>
      <c r="E2365" s="99" t="str">
        <f>_xlfn.XLOOKUP(B2365,ESTOQUE!B:B,ESTOQUE!G:G,"",0)</f>
        <v>UND</v>
      </c>
      <c r="F2365" s="99">
        <v>1</v>
      </c>
      <c r="G2365" s="146"/>
      <c r="H2365" s="146"/>
      <c r="I2365" s="147"/>
      <c r="J2365" s="147"/>
      <c r="K2365" s="63"/>
      <c r="L2365" s="63"/>
      <c r="M2365" s="63"/>
      <c r="N2365" s="63"/>
      <c r="O2365" s="63"/>
      <c r="P2365" s="63"/>
      <c r="Q2365" s="63"/>
      <c r="R2365" s="63"/>
      <c r="S2365" s="63"/>
      <c r="T2365" s="63"/>
      <c r="U2365" s="63"/>
      <c r="V2365" s="63"/>
      <c r="W2365" s="63"/>
      <c r="X2365" s="63"/>
      <c r="Y2365" s="63"/>
      <c r="Z2365" s="63"/>
      <c r="AA2365" s="63"/>
      <c r="AB2365" s="63"/>
      <c r="AC2365" s="63"/>
    </row>
    <row r="2366" spans="1:29" x14ac:dyDescent="0.25">
      <c r="A2366" s="108">
        <v>46074</v>
      </c>
      <c r="B2366" s="109">
        <v>228</v>
      </c>
      <c r="C2366" s="49" t="s">
        <v>19</v>
      </c>
      <c r="D2366" s="110" t="str">
        <f>IF(ISBLANK($B2366),"",IFERROR(VLOOKUP($B2366,ESTOQUE!$B$2:$D$97168,3,FALSE),"Produto não cadastrado"))</f>
        <v xml:space="preserve">BALACLAVA  </v>
      </c>
      <c r="E2366" s="99" t="str">
        <f>_xlfn.XLOOKUP(B2366,ESTOQUE!B:B,ESTOQUE!G:G,"",0)</f>
        <v>UND</v>
      </c>
      <c r="F2366" s="99">
        <v>10</v>
      </c>
      <c r="G2366" s="146"/>
      <c r="H2366" s="146"/>
      <c r="I2366" s="147"/>
      <c r="J2366" s="147"/>
      <c r="K2366" s="63"/>
      <c r="L2366" s="63"/>
      <c r="M2366" s="63"/>
      <c r="N2366" s="63"/>
      <c r="O2366" s="63"/>
      <c r="P2366" s="63"/>
      <c r="Q2366" s="63"/>
      <c r="R2366" s="63"/>
      <c r="S2366" s="63"/>
      <c r="T2366" s="63"/>
      <c r="U2366" s="63"/>
      <c r="V2366" s="63"/>
      <c r="W2366" s="63"/>
      <c r="X2366" s="63"/>
      <c r="Y2366" s="63"/>
      <c r="Z2366" s="63"/>
      <c r="AA2366" s="63"/>
      <c r="AB2366" s="63"/>
      <c r="AC2366" s="63"/>
    </row>
    <row r="2367" spans="1:29" x14ac:dyDescent="0.25">
      <c r="A2367" s="108">
        <v>46074</v>
      </c>
      <c r="B2367" s="109">
        <v>263</v>
      </c>
      <c r="C2367" s="49" t="s">
        <v>19</v>
      </c>
      <c r="D2367" s="110" t="str">
        <f>IF(ISBLANK($B2367),"",IFERROR(VLOOKUP($B2367,ESTOQUE!$B$2:$D$97168,3,FALSE),"Produto não cadastrado"))</f>
        <v>LUVA DE VAUQETA CINZA</v>
      </c>
      <c r="E2367" s="99" t="str">
        <f>_xlfn.XLOOKUP(B2367,ESTOQUE!B:B,ESTOQUE!G:G,"",0)</f>
        <v>UND</v>
      </c>
      <c r="F2367" s="99">
        <v>20</v>
      </c>
      <c r="G2367" s="146"/>
      <c r="H2367" s="146"/>
      <c r="I2367" s="147"/>
      <c r="J2367" s="147"/>
      <c r="K2367" s="63"/>
      <c r="L2367" s="63"/>
      <c r="M2367" s="63"/>
      <c r="N2367" s="63"/>
      <c r="O2367" s="63"/>
      <c r="P2367" s="63"/>
      <c r="Q2367" s="63"/>
      <c r="R2367" s="63"/>
      <c r="S2367" s="63"/>
      <c r="T2367" s="63"/>
      <c r="U2367" s="63"/>
      <c r="V2367" s="63"/>
      <c r="W2367" s="63"/>
      <c r="X2367" s="63"/>
      <c r="Y2367" s="63"/>
      <c r="Z2367" s="63"/>
      <c r="AA2367" s="63"/>
      <c r="AB2367" s="63"/>
      <c r="AC2367" s="63"/>
    </row>
    <row r="2368" spans="1:29" x14ac:dyDescent="0.25">
      <c r="A2368" s="108">
        <v>46074</v>
      </c>
      <c r="B2368" s="109">
        <v>117</v>
      </c>
      <c r="C2368" s="49" t="s">
        <v>19</v>
      </c>
      <c r="D2368" s="110" t="str">
        <f>IF(ISBLANK($B2368),"",IFERROR(VLOOKUP($B2368,ESTOQUE!$B$2:$D$97168,3,FALSE),"Produto não cadastrado"))</f>
        <v>LUVA PIGMENTADA</v>
      </c>
      <c r="E2368" s="99" t="str">
        <f>_xlfn.XLOOKUP(B2368,ESTOQUE!B:B,ESTOQUE!G:G,"",0)</f>
        <v>PAR</v>
      </c>
      <c r="F2368" s="99">
        <v>10</v>
      </c>
      <c r="G2368" s="146"/>
      <c r="H2368" s="146"/>
      <c r="I2368" s="147"/>
      <c r="J2368" s="147"/>
      <c r="K2368" s="63"/>
      <c r="L2368" s="63"/>
      <c r="M2368" s="63"/>
      <c r="N2368" s="63"/>
      <c r="O2368" s="63"/>
      <c r="P2368" s="63"/>
      <c r="Q2368" s="63"/>
      <c r="R2368" s="63"/>
      <c r="S2368" s="63"/>
      <c r="T2368" s="63"/>
      <c r="U2368" s="63"/>
      <c r="V2368" s="63"/>
      <c r="W2368" s="63"/>
      <c r="X2368" s="63"/>
      <c r="Y2368" s="63"/>
      <c r="Z2368" s="63"/>
      <c r="AA2368" s="63"/>
      <c r="AB2368" s="63"/>
      <c r="AC2368" s="63"/>
    </row>
    <row r="2369" spans="1:29" x14ac:dyDescent="0.25">
      <c r="A2369" s="108">
        <v>46074</v>
      </c>
      <c r="B2369" s="109">
        <v>139</v>
      </c>
      <c r="C2369" s="49" t="s">
        <v>19</v>
      </c>
      <c r="D2369" s="110" t="str">
        <f>IF(ISBLANK($B2369),"",IFERROR(VLOOKUP($B2369,ESTOQUE!$B$2:$D$97168,3,FALSE),"Produto não cadastrado"))</f>
        <v>PROTETOR AURICULAR TIPO PLUG</v>
      </c>
      <c r="E2369" s="99" t="str">
        <f>_xlfn.XLOOKUP(B2369,ESTOQUE!B:B,ESTOQUE!G:G,"",0)</f>
        <v>UND</v>
      </c>
      <c r="F2369" s="99">
        <v>20</v>
      </c>
      <c r="G2369" s="146"/>
      <c r="H2369" s="146"/>
      <c r="I2369" s="147"/>
      <c r="J2369" s="147"/>
      <c r="K2369" s="63"/>
      <c r="L2369" s="63"/>
      <c r="M2369" s="63"/>
      <c r="N2369" s="63"/>
      <c r="O2369" s="63"/>
      <c r="P2369" s="63"/>
      <c r="Q2369" s="63"/>
      <c r="R2369" s="63"/>
      <c r="S2369" s="63"/>
      <c r="T2369" s="63"/>
      <c r="U2369" s="63"/>
      <c r="V2369" s="63"/>
      <c r="W2369" s="63"/>
      <c r="X2369" s="63"/>
      <c r="Y2369" s="63"/>
      <c r="Z2369" s="63"/>
      <c r="AA2369" s="63"/>
      <c r="AB2369" s="63"/>
      <c r="AC2369" s="63"/>
    </row>
    <row r="2370" spans="1:29" x14ac:dyDescent="0.25">
      <c r="A2370" s="108">
        <v>46074</v>
      </c>
      <c r="B2370" s="109">
        <v>207</v>
      </c>
      <c r="C2370" s="49" t="s">
        <v>19</v>
      </c>
      <c r="D2370" s="110" t="str">
        <f>IF(ISBLANK($B2370),"",IFERROR(VLOOKUP($B2370,ESTOQUE!$B$2:$D$97168,3,FALSE),"Produto não cadastrado"))</f>
        <v>LUVA POLIESTER ANTICORTE BANHADA PU TAM 9</v>
      </c>
      <c r="E2370" s="99" t="str">
        <f>_xlfn.XLOOKUP(B2370,ESTOQUE!B:B,ESTOQUE!G:G,"",0)</f>
        <v>PAR</v>
      </c>
      <c r="F2370" s="99">
        <v>1</v>
      </c>
      <c r="G2370" s="146"/>
      <c r="H2370" s="146"/>
      <c r="I2370" s="147"/>
      <c r="J2370" s="147"/>
      <c r="K2370" s="63"/>
      <c r="L2370" s="63"/>
      <c r="M2370" s="63"/>
      <c r="N2370" s="63"/>
      <c r="O2370" s="63"/>
      <c r="P2370" s="63"/>
      <c r="Q2370" s="63"/>
      <c r="R2370" s="63"/>
      <c r="S2370" s="63"/>
      <c r="T2370" s="63"/>
      <c r="U2370" s="63"/>
      <c r="V2370" s="63"/>
      <c r="W2370" s="63"/>
      <c r="X2370" s="63"/>
      <c r="Y2370" s="63"/>
      <c r="Z2370" s="63"/>
      <c r="AA2370" s="63"/>
      <c r="AB2370" s="63"/>
      <c r="AC2370" s="63"/>
    </row>
    <row r="2371" spans="1:29" x14ac:dyDescent="0.25">
      <c r="A2371" s="108">
        <v>46074</v>
      </c>
      <c r="B2371" s="109">
        <v>69</v>
      </c>
      <c r="C2371" s="49" t="s">
        <v>19</v>
      </c>
      <c r="D2371" s="110" t="str">
        <f>IF(ISBLANK($B2371),"",IFERROR(VLOOKUP($B2371,ESTOQUE!$B$2:$D$97168,3,FALSE),"Produto não cadastrado"))</f>
        <v>CAMISA LARANJA OP. C/ FAIXA REFLETIVA TAM: M</v>
      </c>
      <c r="E2371" s="99" t="str">
        <f>_xlfn.XLOOKUP(B2371,ESTOQUE!B:B,ESTOQUE!G:G,"",0)</f>
        <v>UND</v>
      </c>
      <c r="F2371" s="99">
        <v>1</v>
      </c>
      <c r="G2371" s="146"/>
      <c r="H2371" s="146"/>
      <c r="I2371" s="147"/>
      <c r="J2371" s="147"/>
      <c r="K2371" s="63"/>
      <c r="L2371" s="63"/>
      <c r="M2371" s="63"/>
      <c r="N2371" s="63"/>
      <c r="O2371" s="63"/>
      <c r="P2371" s="63"/>
      <c r="Q2371" s="63"/>
      <c r="R2371" s="63"/>
      <c r="S2371" s="63"/>
      <c r="T2371" s="63"/>
      <c r="U2371" s="63"/>
      <c r="V2371" s="63"/>
      <c r="W2371" s="63"/>
      <c r="X2371" s="63"/>
      <c r="Y2371" s="63"/>
      <c r="Z2371" s="63"/>
      <c r="AA2371" s="63"/>
      <c r="AB2371" s="63"/>
      <c r="AC2371" s="63"/>
    </row>
    <row r="2372" spans="1:29" x14ac:dyDescent="0.25">
      <c r="A2372" s="108">
        <v>46074</v>
      </c>
      <c r="B2372" s="109">
        <v>46</v>
      </c>
      <c r="C2372" s="49" t="s">
        <v>19</v>
      </c>
      <c r="D2372" s="110" t="str">
        <f>IF(ISBLANK($B2372),"",IFERROR(VLOOKUP($B2372,ESTOQUE!$B$2:$D$97168,3,FALSE),"Produto não cadastrado"))</f>
        <v>CALÇA CINZA OP. C/ FAIXA REFLETIVA TAM: G</v>
      </c>
      <c r="E2372" s="99" t="str">
        <f>_xlfn.XLOOKUP(B2372,ESTOQUE!B:B,ESTOQUE!G:G,"",0)</f>
        <v>UND</v>
      </c>
      <c r="F2372" s="99">
        <v>1</v>
      </c>
      <c r="G2372" s="146"/>
      <c r="H2372" s="146"/>
      <c r="I2372" s="147"/>
      <c r="J2372" s="147"/>
      <c r="K2372" s="63"/>
      <c r="L2372" s="63"/>
      <c r="M2372" s="63"/>
      <c r="N2372" s="63"/>
      <c r="O2372" s="63"/>
      <c r="P2372" s="63"/>
      <c r="Q2372" s="63"/>
      <c r="R2372" s="63"/>
      <c r="S2372" s="63"/>
      <c r="T2372" s="63"/>
      <c r="U2372" s="63"/>
      <c r="V2372" s="63"/>
      <c r="W2372" s="63"/>
      <c r="X2372" s="63"/>
      <c r="Y2372" s="63"/>
      <c r="Z2372" s="63"/>
      <c r="AA2372" s="63"/>
      <c r="AB2372" s="63"/>
      <c r="AC2372" s="63"/>
    </row>
    <row r="2373" spans="1:29" x14ac:dyDescent="0.25">
      <c r="A2373" s="108">
        <v>46074</v>
      </c>
      <c r="B2373" s="109">
        <v>10</v>
      </c>
      <c r="C2373" s="49" t="s">
        <v>19</v>
      </c>
      <c r="D2373" s="110" t="str">
        <f>IF(ISBLANK($B2373),"",IFERROR(VLOOKUP($B2373,ESTOQUE!$B$2:$D$97168,3,FALSE),"Produto não cadastrado"))</f>
        <v>BOTA PVC CANO LONGO Nº 42</v>
      </c>
      <c r="E2373" s="99" t="str">
        <f>_xlfn.XLOOKUP(B2373,ESTOQUE!B:B,ESTOQUE!G:G,"",0)</f>
        <v>PAR</v>
      </c>
      <c r="F2373" s="99">
        <v>3</v>
      </c>
      <c r="G2373" s="146"/>
      <c r="H2373" s="146"/>
      <c r="I2373" s="147"/>
      <c r="J2373" s="147"/>
      <c r="K2373" s="63"/>
      <c r="L2373" s="63"/>
      <c r="M2373" s="63"/>
      <c r="N2373" s="63"/>
      <c r="O2373" s="63"/>
      <c r="P2373" s="63"/>
      <c r="Q2373" s="63"/>
      <c r="R2373" s="63"/>
      <c r="S2373" s="63"/>
      <c r="T2373" s="63"/>
      <c r="U2373" s="63"/>
      <c r="V2373" s="63"/>
      <c r="W2373" s="63"/>
      <c r="X2373" s="63"/>
      <c r="Y2373" s="63"/>
      <c r="Z2373" s="63"/>
      <c r="AA2373" s="63"/>
      <c r="AB2373" s="63"/>
      <c r="AC2373" s="63"/>
    </row>
    <row r="2374" spans="1:29" x14ac:dyDescent="0.25">
      <c r="A2374" s="108">
        <v>46074</v>
      </c>
      <c r="B2374" s="109">
        <v>126</v>
      </c>
      <c r="C2374" s="49" t="s">
        <v>19</v>
      </c>
      <c r="D2374" s="110" t="str">
        <f>IF(ISBLANK($B2374),"",IFERROR(VLOOKUP($B2374,ESTOQUE!$B$2:$D$97168,3,FALSE),"Produto não cadastrado"))</f>
        <v>OCULOS DE PROTEÇÃO ESCURO</v>
      </c>
      <c r="E2374" s="99" t="str">
        <f>_xlfn.XLOOKUP(B2374,ESTOQUE!B:B,ESTOQUE!G:G,"",0)</f>
        <v>UND</v>
      </c>
      <c r="F2374" s="99">
        <v>1</v>
      </c>
      <c r="G2374" s="146"/>
      <c r="H2374" s="146"/>
      <c r="I2374" s="147"/>
      <c r="J2374" s="147"/>
      <c r="K2374" s="63"/>
      <c r="L2374" s="63"/>
      <c r="M2374" s="63"/>
      <c r="N2374" s="63"/>
      <c r="O2374" s="63"/>
      <c r="P2374" s="63"/>
      <c r="Q2374" s="63"/>
      <c r="R2374" s="63"/>
      <c r="S2374" s="63"/>
      <c r="T2374" s="63"/>
      <c r="U2374" s="63"/>
      <c r="V2374" s="63"/>
      <c r="W2374" s="63"/>
      <c r="X2374" s="63"/>
      <c r="Y2374" s="63"/>
      <c r="Z2374" s="63"/>
      <c r="AA2374" s="63"/>
      <c r="AB2374" s="63"/>
      <c r="AC2374" s="63"/>
    </row>
    <row r="2375" spans="1:29" x14ac:dyDescent="0.25">
      <c r="A2375" s="108">
        <v>46074</v>
      </c>
      <c r="B2375" s="109">
        <v>48</v>
      </c>
      <c r="C2375" s="49" t="s">
        <v>19</v>
      </c>
      <c r="D2375" s="110" t="str">
        <f>IF(ISBLANK($B2375),"",IFERROR(VLOOKUP($B2375,ESTOQUE!$B$2:$D$97168,3,FALSE),"Produto não cadastrado"))</f>
        <v>CALÇA CINZA OP. C/ FAIXA REFLETIVA TAM: M</v>
      </c>
      <c r="E2375" s="99" t="str">
        <f>_xlfn.XLOOKUP(B2375,ESTOQUE!B:B,ESTOQUE!G:G,"",0)</f>
        <v>UND</v>
      </c>
      <c r="F2375" s="99">
        <v>1</v>
      </c>
      <c r="G2375" s="146"/>
      <c r="H2375" s="146"/>
      <c r="I2375" s="147"/>
      <c r="J2375" s="147"/>
      <c r="K2375" s="63"/>
      <c r="L2375" s="63"/>
      <c r="M2375" s="63"/>
      <c r="N2375" s="63"/>
      <c r="O2375" s="63"/>
      <c r="P2375" s="63"/>
      <c r="Q2375" s="63"/>
      <c r="R2375" s="63"/>
      <c r="S2375" s="63"/>
      <c r="T2375" s="63"/>
      <c r="U2375" s="63"/>
      <c r="V2375" s="63"/>
      <c r="W2375" s="63"/>
      <c r="X2375" s="63"/>
      <c r="Y2375" s="63"/>
      <c r="Z2375" s="63"/>
      <c r="AA2375" s="63"/>
      <c r="AB2375" s="63"/>
      <c r="AC2375" s="63"/>
    </row>
    <row r="2376" spans="1:29" x14ac:dyDescent="0.25">
      <c r="A2376" s="108">
        <v>46074</v>
      </c>
      <c r="B2376" s="109">
        <v>49</v>
      </c>
      <c r="C2376" s="49" t="s">
        <v>19</v>
      </c>
      <c r="D2376" s="110" t="str">
        <f>IF(ISBLANK($B2376),"",IFERROR(VLOOKUP($B2376,ESTOQUE!$B$2:$D$97168,3,FALSE),"Produto não cadastrado"))</f>
        <v>CALÇA CINZA OP. C/ FAIXA REFLETIVA TAM: P</v>
      </c>
      <c r="E2376" s="99" t="str">
        <f>_xlfn.XLOOKUP(B2376,ESTOQUE!B:B,ESTOQUE!G:G,"",0)</f>
        <v>UND</v>
      </c>
      <c r="F2376" s="99">
        <v>1</v>
      </c>
      <c r="G2376" s="146"/>
      <c r="H2376" s="146"/>
      <c r="I2376" s="147"/>
      <c r="J2376" s="147"/>
      <c r="K2376" s="63"/>
      <c r="L2376" s="63"/>
      <c r="M2376" s="63"/>
      <c r="N2376" s="63"/>
      <c r="O2376" s="63"/>
      <c r="P2376" s="63"/>
      <c r="Q2376" s="63"/>
      <c r="R2376" s="63"/>
      <c r="S2376" s="63"/>
      <c r="T2376" s="63"/>
      <c r="U2376" s="63"/>
      <c r="V2376" s="63"/>
      <c r="W2376" s="63"/>
      <c r="X2376" s="63"/>
      <c r="Y2376" s="63"/>
      <c r="Z2376" s="63"/>
      <c r="AA2376" s="63"/>
      <c r="AB2376" s="63"/>
      <c r="AC2376" s="63"/>
    </row>
    <row r="2377" spans="1:29" x14ac:dyDescent="0.25">
      <c r="A2377" s="108">
        <v>46074</v>
      </c>
      <c r="B2377" s="109">
        <v>69</v>
      </c>
      <c r="C2377" s="49" t="s">
        <v>19</v>
      </c>
      <c r="D2377" s="110" t="str">
        <f>IF(ISBLANK($B2377),"",IFERROR(VLOOKUP($B2377,ESTOQUE!$B$2:$D$97168,3,FALSE),"Produto não cadastrado"))</f>
        <v>CAMISA LARANJA OP. C/ FAIXA REFLETIVA TAM: M</v>
      </c>
      <c r="E2377" s="99" t="str">
        <f>_xlfn.XLOOKUP(B2377,ESTOQUE!B:B,ESTOQUE!G:G,"",0)</f>
        <v>UND</v>
      </c>
      <c r="F2377" s="99">
        <v>1</v>
      </c>
      <c r="G2377" s="146"/>
      <c r="H2377" s="146"/>
      <c r="I2377" s="147"/>
      <c r="J2377" s="147"/>
      <c r="K2377" s="63"/>
      <c r="L2377" s="63"/>
      <c r="M2377" s="63"/>
      <c r="N2377" s="63"/>
      <c r="O2377" s="63"/>
      <c r="P2377" s="63"/>
      <c r="Q2377" s="63"/>
      <c r="R2377" s="63"/>
      <c r="S2377" s="63"/>
      <c r="T2377" s="63"/>
      <c r="U2377" s="63"/>
      <c r="V2377" s="63"/>
      <c r="W2377" s="63"/>
      <c r="X2377" s="63"/>
      <c r="Y2377" s="63"/>
      <c r="Z2377" s="63"/>
      <c r="AA2377" s="63"/>
      <c r="AB2377" s="63"/>
      <c r="AC2377" s="63"/>
    </row>
    <row r="2378" spans="1:29" x14ac:dyDescent="0.25">
      <c r="A2378" s="108">
        <v>46074</v>
      </c>
      <c r="B2378" s="109">
        <v>207</v>
      </c>
      <c r="C2378" s="49" t="s">
        <v>19</v>
      </c>
      <c r="D2378" s="110" t="str">
        <f>IF(ISBLANK($B2378),"",IFERROR(VLOOKUP($B2378,ESTOQUE!$B$2:$D$97168,3,FALSE),"Produto não cadastrado"))</f>
        <v>LUVA POLIESTER ANTICORTE BANHADA PU TAM 9</v>
      </c>
      <c r="E2378" s="99" t="str">
        <f>_xlfn.XLOOKUP(B2378,ESTOQUE!B:B,ESTOQUE!G:G,"",0)</f>
        <v>PAR</v>
      </c>
      <c r="F2378" s="99">
        <v>1</v>
      </c>
      <c r="G2378" s="146"/>
      <c r="H2378" s="146"/>
      <c r="I2378" s="147"/>
      <c r="J2378" s="147"/>
      <c r="K2378" s="63"/>
      <c r="L2378" s="63"/>
      <c r="M2378" s="63"/>
      <c r="N2378" s="63"/>
      <c r="O2378" s="63"/>
      <c r="P2378" s="63"/>
      <c r="Q2378" s="63"/>
      <c r="R2378" s="63"/>
      <c r="S2378" s="63"/>
      <c r="T2378" s="63"/>
      <c r="U2378" s="63"/>
      <c r="V2378" s="63"/>
      <c r="W2378" s="63"/>
      <c r="X2378" s="63"/>
      <c r="Y2378" s="63"/>
      <c r="Z2378" s="63"/>
      <c r="AA2378" s="63"/>
      <c r="AB2378" s="63"/>
      <c r="AC2378" s="63"/>
    </row>
    <row r="2379" spans="1:29" x14ac:dyDescent="0.25">
      <c r="A2379" s="108">
        <v>46075</v>
      </c>
      <c r="B2379" s="109">
        <v>97</v>
      </c>
      <c r="C2379" s="49" t="s">
        <v>19</v>
      </c>
      <c r="D2379" s="110" t="str">
        <f>IF(ISBLANK($B2379),"",IFERROR(VLOOKUP($B2379,ESTOQUE!$B$2:$D$97168,3,FALSE),"Produto não cadastrado"))</f>
        <v>COLETE REFLETIVO LARANJA M</v>
      </c>
      <c r="E2379" s="99" t="str">
        <f>_xlfn.XLOOKUP(B2379,ESTOQUE!B:B,ESTOQUE!G:G,"",0)</f>
        <v>UND</v>
      </c>
      <c r="F2379" s="99">
        <v>1</v>
      </c>
      <c r="G2379" s="146"/>
      <c r="H2379" s="146"/>
      <c r="I2379" s="147"/>
      <c r="J2379" s="147"/>
      <c r="K2379" s="63"/>
      <c r="L2379" s="63"/>
      <c r="M2379" s="63"/>
      <c r="N2379" s="63"/>
      <c r="O2379" s="63"/>
      <c r="P2379" s="63"/>
      <c r="Q2379" s="63"/>
      <c r="R2379" s="63"/>
      <c r="S2379" s="63"/>
      <c r="T2379" s="63"/>
      <c r="U2379" s="63"/>
      <c r="V2379" s="63"/>
      <c r="W2379" s="63"/>
      <c r="X2379" s="63"/>
      <c r="Y2379" s="63"/>
      <c r="Z2379" s="63"/>
      <c r="AA2379" s="63"/>
      <c r="AB2379" s="63"/>
      <c r="AC2379" s="63"/>
    </row>
    <row r="2380" spans="1:29" x14ac:dyDescent="0.25">
      <c r="A2380" s="108">
        <v>46075</v>
      </c>
      <c r="B2380" s="109">
        <v>257</v>
      </c>
      <c r="C2380" s="49" t="s">
        <v>19</v>
      </c>
      <c r="D2380" s="110" t="str">
        <f>IF(ISBLANK($B2380),"",IFERROR(VLOOKUP($B2380,ESTOQUE!$B$2:$D$97168,3,FALSE),"Produto não cadastrado"))</f>
        <v xml:space="preserve">LUVA MULTITATO </v>
      </c>
      <c r="E2380" s="99" t="str">
        <f>_xlfn.XLOOKUP(B2380,ESTOQUE!B:B,ESTOQUE!G:G,"",0)</f>
        <v>UND</v>
      </c>
      <c r="F2380" s="99">
        <v>1</v>
      </c>
      <c r="G2380" s="146"/>
      <c r="H2380" s="146"/>
      <c r="I2380" s="147"/>
      <c r="J2380" s="147"/>
      <c r="K2380" s="63"/>
      <c r="L2380" s="63"/>
      <c r="M2380" s="63"/>
      <c r="N2380" s="63"/>
      <c r="O2380" s="63"/>
      <c r="P2380" s="63"/>
      <c r="Q2380" s="63"/>
      <c r="R2380" s="63"/>
      <c r="S2380" s="63"/>
      <c r="T2380" s="63"/>
      <c r="U2380" s="63"/>
      <c r="V2380" s="63"/>
      <c r="W2380" s="63"/>
      <c r="X2380" s="63"/>
      <c r="Y2380" s="63"/>
      <c r="Z2380" s="63"/>
      <c r="AA2380" s="63"/>
      <c r="AB2380" s="63"/>
      <c r="AC2380" s="63"/>
    </row>
    <row r="2381" spans="1:29" x14ac:dyDescent="0.25">
      <c r="A2381" s="108">
        <v>46075</v>
      </c>
      <c r="B2381" s="109">
        <v>114</v>
      </c>
      <c r="C2381" s="49" t="s">
        <v>19</v>
      </c>
      <c r="D2381" s="110" t="str">
        <f>IF(ISBLANK($B2381),"",IFERROR(VLOOKUP($B2381,ESTOQUE!$B$2:$D$97168,3,FALSE),"Produto não cadastrado"))</f>
        <v xml:space="preserve">LUVA LATEX NITRILICA </v>
      </c>
      <c r="E2381" s="99" t="str">
        <f>_xlfn.XLOOKUP(B2381,ESTOQUE!B:B,ESTOQUE!G:G,"",0)</f>
        <v>PAR</v>
      </c>
      <c r="F2381" s="99">
        <v>1</v>
      </c>
      <c r="G2381" s="146"/>
      <c r="H2381" s="146"/>
      <c r="I2381" s="147"/>
      <c r="J2381" s="147"/>
      <c r="K2381" s="63"/>
      <c r="L2381" s="63"/>
      <c r="M2381" s="63"/>
      <c r="N2381" s="63"/>
      <c r="O2381" s="63"/>
      <c r="P2381" s="63"/>
      <c r="Q2381" s="63"/>
      <c r="R2381" s="63"/>
      <c r="S2381" s="63"/>
      <c r="T2381" s="63"/>
      <c r="U2381" s="63"/>
      <c r="V2381" s="63"/>
      <c r="W2381" s="63"/>
      <c r="X2381" s="63"/>
      <c r="Y2381" s="63"/>
      <c r="Z2381" s="63"/>
      <c r="AA2381" s="63"/>
      <c r="AB2381" s="63"/>
      <c r="AC2381" s="63"/>
    </row>
    <row r="2382" spans="1:29" x14ac:dyDescent="0.25">
      <c r="A2382" s="108">
        <v>46075</v>
      </c>
      <c r="B2382" s="109">
        <v>196</v>
      </c>
      <c r="C2382" s="49" t="s">
        <v>19</v>
      </c>
      <c r="D2382" s="110" t="str">
        <f>IF(ISBLANK($B2382),"",IFERROR(VLOOKUP($B2382,ESTOQUE!$B$2:$D$97168,3,FALSE),"Produto não cadastrado"))</f>
        <v>JARDINEIRA AMARELA BOTA Nº 38</v>
      </c>
      <c r="E2382" s="99" t="str">
        <f>_xlfn.XLOOKUP(B2382,ESTOQUE!B:B,ESTOQUE!G:G,"",0)</f>
        <v>PAR</v>
      </c>
      <c r="F2382" s="99">
        <v>1</v>
      </c>
      <c r="G2382" s="146"/>
      <c r="H2382" s="146"/>
      <c r="I2382" s="147"/>
      <c r="J2382" s="147"/>
      <c r="K2382" s="63"/>
      <c r="L2382" s="63"/>
      <c r="M2382" s="63"/>
      <c r="N2382" s="63"/>
      <c r="O2382" s="63"/>
      <c r="P2382" s="63"/>
      <c r="Q2382" s="63"/>
      <c r="R2382" s="63"/>
      <c r="S2382" s="63"/>
      <c r="T2382" s="63"/>
      <c r="U2382" s="63"/>
      <c r="V2382" s="63"/>
      <c r="W2382" s="63"/>
      <c r="X2382" s="63"/>
      <c r="Y2382" s="63"/>
      <c r="Z2382" s="63"/>
      <c r="AA2382" s="63"/>
      <c r="AB2382" s="63"/>
      <c r="AC2382" s="63"/>
    </row>
    <row r="2383" spans="1:29" x14ac:dyDescent="0.25">
      <c r="A2383" s="108">
        <v>46076</v>
      </c>
      <c r="B2383" s="109">
        <v>126</v>
      </c>
      <c r="C2383" s="49" t="s">
        <v>19</v>
      </c>
      <c r="D2383" s="110" t="str">
        <f>IF(ISBLANK($B2383),"",IFERROR(VLOOKUP($B2383,ESTOQUE!$B$2:$D$97168,3,FALSE),"Produto não cadastrado"))</f>
        <v>OCULOS DE PROTEÇÃO ESCURO</v>
      </c>
      <c r="E2383" s="99" t="str">
        <f>_xlfn.XLOOKUP(B2383,ESTOQUE!B:B,ESTOQUE!G:G,"",0)</f>
        <v>UND</v>
      </c>
      <c r="F2383" s="99">
        <v>2</v>
      </c>
      <c r="G2383" s="146"/>
      <c r="H2383" s="146"/>
      <c r="I2383" s="147"/>
      <c r="J2383" s="147"/>
      <c r="K2383" s="63"/>
      <c r="L2383" s="63"/>
      <c r="M2383" s="63"/>
      <c r="N2383" s="63"/>
      <c r="O2383" s="63"/>
      <c r="P2383" s="63"/>
      <c r="Q2383" s="63"/>
      <c r="R2383" s="63"/>
      <c r="S2383" s="63"/>
      <c r="T2383" s="63"/>
      <c r="U2383" s="63"/>
      <c r="V2383" s="63"/>
      <c r="W2383" s="63"/>
      <c r="X2383" s="63"/>
      <c r="Y2383" s="63"/>
      <c r="Z2383" s="63"/>
      <c r="AA2383" s="63"/>
      <c r="AB2383" s="63"/>
      <c r="AC2383" s="63"/>
    </row>
    <row r="2384" spans="1:29" x14ac:dyDescent="0.25">
      <c r="A2384" s="108">
        <v>46076</v>
      </c>
      <c r="B2384" s="109">
        <v>144</v>
      </c>
      <c r="C2384" s="49" t="s">
        <v>19</v>
      </c>
      <c r="D2384" s="110" t="str">
        <f>IF(ISBLANK($B2384),"",IFERROR(VLOOKUP($B2384,ESTOQUE!$B$2:$D$97168,3,FALSE),"Produto não cadastrado"))</f>
        <v>MASCARA PFF2-S C/ FILTRO</v>
      </c>
      <c r="E2384" s="99" t="str">
        <f>_xlfn.XLOOKUP(B2384,ESTOQUE!B:B,ESTOQUE!G:G,"",0)</f>
        <v>UND</v>
      </c>
      <c r="F2384" s="99">
        <v>20</v>
      </c>
      <c r="G2384" s="146"/>
      <c r="H2384" s="146"/>
      <c r="I2384" s="147"/>
      <c r="J2384" s="147"/>
      <c r="K2384" s="63"/>
      <c r="L2384" s="63"/>
      <c r="M2384" s="63"/>
      <c r="N2384" s="63"/>
      <c r="O2384" s="63"/>
      <c r="P2384" s="63"/>
      <c r="Q2384" s="63"/>
      <c r="R2384" s="63"/>
      <c r="S2384" s="63"/>
      <c r="T2384" s="63"/>
      <c r="U2384" s="63"/>
      <c r="V2384" s="63"/>
      <c r="W2384" s="63"/>
      <c r="X2384" s="63"/>
      <c r="Y2384" s="63"/>
      <c r="Z2384" s="63"/>
      <c r="AA2384" s="63"/>
      <c r="AB2384" s="63"/>
      <c r="AC2384" s="63"/>
    </row>
    <row r="2385" spans="1:29" x14ac:dyDescent="0.25">
      <c r="A2385" s="108">
        <v>46076</v>
      </c>
      <c r="B2385" s="109">
        <v>126</v>
      </c>
      <c r="C2385" s="49" t="s">
        <v>19</v>
      </c>
      <c r="D2385" s="110" t="str">
        <f>IF(ISBLANK($B2385),"",IFERROR(VLOOKUP($B2385,ESTOQUE!$B$2:$D$97168,3,FALSE),"Produto não cadastrado"))</f>
        <v>OCULOS DE PROTEÇÃO ESCURO</v>
      </c>
      <c r="E2385" s="99" t="str">
        <f>_xlfn.XLOOKUP(B2385,ESTOQUE!B:B,ESTOQUE!G:G,"",0)</f>
        <v>UND</v>
      </c>
      <c r="F2385" s="99">
        <v>4</v>
      </c>
      <c r="G2385" s="146"/>
      <c r="H2385" s="146"/>
      <c r="I2385" s="147"/>
      <c r="J2385" s="147"/>
      <c r="K2385" s="63"/>
      <c r="L2385" s="63"/>
      <c r="M2385" s="63"/>
      <c r="N2385" s="63"/>
      <c r="O2385" s="63"/>
      <c r="P2385" s="63"/>
      <c r="Q2385" s="63"/>
      <c r="R2385" s="63"/>
      <c r="S2385" s="63"/>
      <c r="T2385" s="63"/>
      <c r="U2385" s="63"/>
      <c r="V2385" s="63"/>
      <c r="W2385" s="63"/>
      <c r="X2385" s="63"/>
      <c r="Y2385" s="63"/>
      <c r="Z2385" s="63"/>
      <c r="AA2385" s="63"/>
      <c r="AB2385" s="63"/>
      <c r="AC2385" s="63"/>
    </row>
    <row r="2386" spans="1:29" x14ac:dyDescent="0.25">
      <c r="A2386" s="108">
        <v>46076</v>
      </c>
      <c r="B2386" s="109">
        <v>124</v>
      </c>
      <c r="C2386" s="49" t="s">
        <v>19</v>
      </c>
      <c r="D2386" s="110" t="str">
        <f>IF(ISBLANK($B2386),"",IFERROR(VLOOKUP($B2386,ESTOQUE!$B$2:$D$97168,3,FALSE),"Produto não cadastrado"))</f>
        <v xml:space="preserve">OCULOS DE PROTEÇÃO INCOLOR </v>
      </c>
      <c r="E2386" s="99" t="str">
        <f>_xlfn.XLOOKUP(B2386,ESTOQUE!B:B,ESTOQUE!G:G,"",0)</f>
        <v>UND</v>
      </c>
      <c r="F2386" s="99">
        <v>1</v>
      </c>
      <c r="G2386" s="146"/>
      <c r="H2386" s="146"/>
      <c r="I2386" s="147"/>
      <c r="J2386" s="147"/>
      <c r="K2386" s="63"/>
      <c r="L2386" s="63"/>
      <c r="M2386" s="63"/>
      <c r="N2386" s="63"/>
      <c r="O2386" s="63"/>
      <c r="P2386" s="63"/>
      <c r="Q2386" s="63"/>
      <c r="R2386" s="63"/>
      <c r="S2386" s="63"/>
      <c r="T2386" s="63"/>
      <c r="U2386" s="63"/>
      <c r="V2386" s="63"/>
      <c r="W2386" s="63"/>
      <c r="X2386" s="63"/>
      <c r="Y2386" s="63"/>
      <c r="Z2386" s="63"/>
      <c r="AA2386" s="63"/>
      <c r="AB2386" s="63"/>
      <c r="AC2386" s="63"/>
    </row>
    <row r="2387" spans="1:29" x14ac:dyDescent="0.25">
      <c r="A2387" s="108">
        <v>46076</v>
      </c>
      <c r="B2387" s="109">
        <v>114</v>
      </c>
      <c r="C2387" s="49" t="s">
        <v>19</v>
      </c>
      <c r="D2387" s="110" t="str">
        <f>IF(ISBLANK($B2387),"",IFERROR(VLOOKUP($B2387,ESTOQUE!$B$2:$D$97168,3,FALSE),"Produto não cadastrado"))</f>
        <v xml:space="preserve">LUVA LATEX NITRILICA </v>
      </c>
      <c r="E2387" s="99" t="str">
        <f>_xlfn.XLOOKUP(B2387,ESTOQUE!B:B,ESTOQUE!G:G,"",0)</f>
        <v>PAR</v>
      </c>
      <c r="F2387" s="99">
        <v>5</v>
      </c>
      <c r="G2387" s="146"/>
      <c r="H2387" s="146"/>
      <c r="I2387" s="147"/>
      <c r="J2387" s="147"/>
      <c r="K2387" s="63"/>
      <c r="L2387" s="63"/>
      <c r="M2387" s="63"/>
      <c r="N2387" s="63"/>
      <c r="O2387" s="63"/>
      <c r="P2387" s="63"/>
      <c r="Q2387" s="63"/>
      <c r="R2387" s="63"/>
      <c r="S2387" s="63"/>
      <c r="T2387" s="63"/>
      <c r="U2387" s="63"/>
      <c r="V2387" s="63"/>
      <c r="W2387" s="63"/>
      <c r="X2387" s="63"/>
      <c r="Y2387" s="63"/>
      <c r="Z2387" s="63"/>
      <c r="AA2387" s="63"/>
      <c r="AB2387" s="63"/>
      <c r="AC2387" s="63"/>
    </row>
    <row r="2388" spans="1:29" x14ac:dyDescent="0.25">
      <c r="A2388" s="108">
        <v>46076</v>
      </c>
      <c r="B2388" s="109">
        <v>117</v>
      </c>
      <c r="C2388" s="49" t="s">
        <v>19</v>
      </c>
      <c r="D2388" s="110" t="str">
        <f>IF(ISBLANK($B2388),"",IFERROR(VLOOKUP($B2388,ESTOQUE!$B$2:$D$97168,3,FALSE),"Produto não cadastrado"))</f>
        <v>LUVA PIGMENTADA</v>
      </c>
      <c r="E2388" s="99" t="str">
        <f>_xlfn.XLOOKUP(B2388,ESTOQUE!B:B,ESTOQUE!G:G,"",0)</f>
        <v>PAR</v>
      </c>
      <c r="F2388" s="99">
        <v>20</v>
      </c>
      <c r="G2388" s="146"/>
      <c r="H2388" s="146"/>
      <c r="I2388" s="147"/>
      <c r="J2388" s="147"/>
      <c r="K2388" s="63"/>
      <c r="L2388" s="63"/>
      <c r="M2388" s="63"/>
      <c r="N2388" s="63"/>
      <c r="O2388" s="63"/>
      <c r="P2388" s="63"/>
      <c r="Q2388" s="63"/>
      <c r="R2388" s="63"/>
      <c r="S2388" s="63"/>
      <c r="T2388" s="63"/>
      <c r="U2388" s="63"/>
      <c r="V2388" s="63"/>
      <c r="W2388" s="63"/>
      <c r="X2388" s="63"/>
      <c r="Y2388" s="63"/>
      <c r="Z2388" s="63"/>
      <c r="AA2388" s="63"/>
      <c r="AB2388" s="63"/>
      <c r="AC2388" s="63"/>
    </row>
    <row r="2389" spans="1:29" x14ac:dyDescent="0.25">
      <c r="A2389" s="108">
        <v>46076</v>
      </c>
      <c r="B2389" s="109">
        <v>111</v>
      </c>
      <c r="C2389" s="49" t="s">
        <v>19</v>
      </c>
      <c r="D2389" s="110" t="str">
        <f>IF(ISBLANK($B2389),"",IFERROR(VLOOKUP($B2389,ESTOQUE!$B$2:$D$97168,3,FALSE),"Produto não cadastrado"))</f>
        <v>LUVA DE VAQUETA MARROM</v>
      </c>
      <c r="E2389" s="99" t="str">
        <f>_xlfn.XLOOKUP(B2389,ESTOQUE!B:B,ESTOQUE!G:G,"",0)</f>
        <v>PAR</v>
      </c>
      <c r="F2389" s="99">
        <v>2</v>
      </c>
      <c r="G2389" s="146"/>
      <c r="H2389" s="146"/>
      <c r="I2389" s="147"/>
      <c r="J2389" s="147"/>
      <c r="K2389" s="63"/>
      <c r="L2389" s="63"/>
      <c r="M2389" s="63"/>
      <c r="N2389" s="63"/>
      <c r="O2389" s="63"/>
      <c r="P2389" s="63"/>
      <c r="Q2389" s="63"/>
      <c r="R2389" s="63"/>
      <c r="S2389" s="63"/>
      <c r="T2389" s="63"/>
      <c r="U2389" s="63"/>
      <c r="V2389" s="63"/>
      <c r="W2389" s="63"/>
      <c r="X2389" s="63"/>
      <c r="Y2389" s="63"/>
      <c r="Z2389" s="63"/>
      <c r="AA2389" s="63"/>
      <c r="AB2389" s="63"/>
      <c r="AC2389" s="63"/>
    </row>
    <row r="2390" spans="1:29" x14ac:dyDescent="0.25">
      <c r="A2390" s="108">
        <v>46076</v>
      </c>
      <c r="B2390" s="109">
        <v>135</v>
      </c>
      <c r="C2390" s="49" t="s">
        <v>19</v>
      </c>
      <c r="D2390" s="110" t="str">
        <f>IF(ISBLANK($B2390),"",IFERROR(VLOOKUP($B2390,ESTOQUE!$B$2:$D$97168,3,FALSE),"Produto não cadastrado"))</f>
        <v>TALABARTE DUPLO TIPO Y</v>
      </c>
      <c r="E2390" s="99" t="str">
        <f>_xlfn.XLOOKUP(B2390,ESTOQUE!B:B,ESTOQUE!G:G,"",0)</f>
        <v>UND</v>
      </c>
      <c r="F2390" s="99">
        <v>1</v>
      </c>
      <c r="G2390" s="146"/>
      <c r="H2390" s="146"/>
      <c r="I2390" s="147"/>
      <c r="J2390" s="147"/>
      <c r="K2390" s="63"/>
      <c r="L2390" s="63"/>
      <c r="M2390" s="63"/>
      <c r="N2390" s="63"/>
      <c r="O2390" s="63"/>
      <c r="P2390" s="63"/>
      <c r="Q2390" s="63"/>
      <c r="R2390" s="63"/>
      <c r="S2390" s="63"/>
      <c r="T2390" s="63"/>
      <c r="U2390" s="63"/>
      <c r="V2390" s="63"/>
      <c r="W2390" s="63"/>
      <c r="X2390" s="63"/>
      <c r="Y2390" s="63"/>
      <c r="Z2390" s="63"/>
      <c r="AA2390" s="63"/>
      <c r="AB2390" s="63"/>
      <c r="AC2390" s="63"/>
    </row>
    <row r="2391" spans="1:29" x14ac:dyDescent="0.25">
      <c r="A2391" s="108">
        <v>46076</v>
      </c>
      <c r="B2391" s="109">
        <v>207</v>
      </c>
      <c r="C2391" s="49" t="s">
        <v>19</v>
      </c>
      <c r="D2391" s="110" t="str">
        <f>IF(ISBLANK($B2391),"",IFERROR(VLOOKUP($B2391,ESTOQUE!$B$2:$D$97168,3,FALSE),"Produto não cadastrado"))</f>
        <v>LUVA POLIESTER ANTICORTE BANHADA PU TAM 9</v>
      </c>
      <c r="E2391" s="99" t="str">
        <f>_xlfn.XLOOKUP(B2391,ESTOQUE!B:B,ESTOQUE!G:G,"",0)</f>
        <v>PAR</v>
      </c>
      <c r="F2391" s="99">
        <v>1</v>
      </c>
      <c r="G2391" s="146"/>
      <c r="H2391" s="146"/>
      <c r="I2391" s="147"/>
      <c r="J2391" s="147"/>
      <c r="K2391" s="63"/>
      <c r="L2391" s="63"/>
      <c r="M2391" s="63"/>
      <c r="N2391" s="63"/>
      <c r="O2391" s="63"/>
      <c r="P2391" s="63"/>
      <c r="Q2391" s="63"/>
      <c r="R2391" s="63"/>
      <c r="S2391" s="63"/>
      <c r="T2391" s="63"/>
      <c r="U2391" s="63"/>
      <c r="V2391" s="63"/>
      <c r="W2391" s="63"/>
      <c r="X2391" s="63"/>
      <c r="Y2391" s="63"/>
      <c r="Z2391" s="63"/>
      <c r="AA2391" s="63"/>
      <c r="AB2391" s="63"/>
      <c r="AC2391" s="63"/>
    </row>
    <row r="2392" spans="1:29" x14ac:dyDescent="0.25">
      <c r="A2392" s="108">
        <v>46076</v>
      </c>
      <c r="B2392" s="109">
        <v>126</v>
      </c>
      <c r="C2392" s="49" t="s">
        <v>19</v>
      </c>
      <c r="D2392" s="110" t="str">
        <f>IF(ISBLANK($B2392),"",IFERROR(VLOOKUP($B2392,ESTOQUE!$B$2:$D$97168,3,FALSE),"Produto não cadastrado"))</f>
        <v>OCULOS DE PROTEÇÃO ESCURO</v>
      </c>
      <c r="E2392" s="99" t="str">
        <f>_xlfn.XLOOKUP(B2392,ESTOQUE!B:B,ESTOQUE!G:G,"",0)</f>
        <v>UND</v>
      </c>
      <c r="F2392" s="99">
        <v>2</v>
      </c>
      <c r="G2392" s="146"/>
      <c r="H2392" s="146"/>
      <c r="I2392" s="147"/>
      <c r="J2392" s="147"/>
      <c r="K2392" s="63"/>
      <c r="L2392" s="63"/>
      <c r="M2392" s="63"/>
      <c r="N2392" s="63"/>
      <c r="O2392" s="63"/>
      <c r="P2392" s="63"/>
      <c r="Q2392" s="63"/>
      <c r="R2392" s="63"/>
      <c r="S2392" s="63"/>
      <c r="T2392" s="63"/>
      <c r="U2392" s="63"/>
      <c r="V2392" s="63"/>
      <c r="W2392" s="63"/>
      <c r="X2392" s="63"/>
      <c r="Y2392" s="63"/>
      <c r="Z2392" s="63"/>
      <c r="AA2392" s="63"/>
      <c r="AB2392" s="63"/>
      <c r="AC2392" s="63"/>
    </row>
    <row r="2393" spans="1:29" x14ac:dyDescent="0.25">
      <c r="A2393" s="108">
        <v>46076</v>
      </c>
      <c r="B2393" s="109">
        <v>46</v>
      </c>
      <c r="C2393" s="49" t="s">
        <v>19</v>
      </c>
      <c r="D2393" s="110" t="str">
        <f>IF(ISBLANK($B2393),"",IFERROR(VLOOKUP($B2393,ESTOQUE!$B$2:$D$97168,3,FALSE),"Produto não cadastrado"))</f>
        <v>CALÇA CINZA OP. C/ FAIXA REFLETIVA TAM: G</v>
      </c>
      <c r="E2393" s="99" t="str">
        <f>_xlfn.XLOOKUP(B2393,ESTOQUE!B:B,ESTOQUE!G:G,"",0)</f>
        <v>UND</v>
      </c>
      <c r="F2393" s="99">
        <v>3</v>
      </c>
      <c r="G2393" s="146"/>
      <c r="H2393" s="146"/>
      <c r="I2393" s="147"/>
      <c r="J2393" s="147"/>
      <c r="K2393" s="63"/>
      <c r="L2393" s="63"/>
      <c r="M2393" s="63"/>
      <c r="N2393" s="63"/>
      <c r="O2393" s="63"/>
      <c r="P2393" s="63"/>
      <c r="Q2393" s="63"/>
      <c r="R2393" s="63"/>
      <c r="S2393" s="63"/>
      <c r="T2393" s="63"/>
      <c r="U2393" s="63"/>
      <c r="V2393" s="63"/>
      <c r="W2393" s="63"/>
      <c r="X2393" s="63"/>
      <c r="Y2393" s="63"/>
      <c r="Z2393" s="63"/>
      <c r="AA2393" s="63"/>
      <c r="AB2393" s="63"/>
      <c r="AC2393" s="63"/>
    </row>
    <row r="2394" spans="1:29" x14ac:dyDescent="0.25">
      <c r="A2394" s="108">
        <v>46076</v>
      </c>
      <c r="B2394" s="109">
        <v>126</v>
      </c>
      <c r="C2394" s="49" t="s">
        <v>19</v>
      </c>
      <c r="D2394" s="110" t="str">
        <f>IF(ISBLANK($B2394),"",IFERROR(VLOOKUP($B2394,ESTOQUE!$B$2:$D$97168,3,FALSE),"Produto não cadastrado"))</f>
        <v>OCULOS DE PROTEÇÃO ESCURO</v>
      </c>
      <c r="E2394" s="99" t="str">
        <f>_xlfn.XLOOKUP(B2394,ESTOQUE!B:B,ESTOQUE!G:G,"",0)</f>
        <v>UND</v>
      </c>
      <c r="F2394" s="99">
        <v>1</v>
      </c>
      <c r="G2394" s="146"/>
      <c r="H2394" s="146"/>
      <c r="I2394" s="147"/>
      <c r="J2394" s="147"/>
      <c r="K2394" s="63"/>
      <c r="L2394" s="63"/>
      <c r="M2394" s="63"/>
      <c r="N2394" s="63"/>
      <c r="O2394" s="63"/>
      <c r="P2394" s="63"/>
      <c r="Q2394" s="63"/>
      <c r="R2394" s="63"/>
      <c r="S2394" s="63"/>
      <c r="T2394" s="63"/>
      <c r="U2394" s="63"/>
      <c r="V2394" s="63"/>
      <c r="W2394" s="63"/>
      <c r="X2394" s="63"/>
      <c r="Y2394" s="63"/>
      <c r="Z2394" s="63"/>
      <c r="AA2394" s="63"/>
      <c r="AB2394" s="63"/>
      <c r="AC2394" s="63"/>
    </row>
    <row r="2395" spans="1:29" x14ac:dyDescent="0.25">
      <c r="A2395" s="108">
        <v>46076</v>
      </c>
      <c r="B2395" s="109">
        <v>207</v>
      </c>
      <c r="C2395" s="49" t="s">
        <v>19</v>
      </c>
      <c r="D2395" s="110" t="str">
        <f>IF(ISBLANK($B2395),"",IFERROR(VLOOKUP($B2395,ESTOQUE!$B$2:$D$97168,3,FALSE),"Produto não cadastrado"))</f>
        <v>LUVA POLIESTER ANTICORTE BANHADA PU TAM 9</v>
      </c>
      <c r="E2395" s="99" t="str">
        <f>_xlfn.XLOOKUP(B2395,ESTOQUE!B:B,ESTOQUE!G:G,"",0)</f>
        <v>PAR</v>
      </c>
      <c r="F2395" s="99">
        <v>1</v>
      </c>
      <c r="G2395" s="146"/>
      <c r="H2395" s="146"/>
      <c r="I2395" s="147"/>
      <c r="J2395" s="147"/>
      <c r="K2395" s="63"/>
      <c r="L2395" s="63"/>
      <c r="M2395" s="63"/>
      <c r="N2395" s="63"/>
      <c r="O2395" s="63"/>
      <c r="P2395" s="63"/>
      <c r="Q2395" s="63"/>
      <c r="R2395" s="63"/>
      <c r="S2395" s="63"/>
      <c r="T2395" s="63"/>
      <c r="U2395" s="63"/>
      <c r="V2395" s="63"/>
      <c r="W2395" s="63"/>
      <c r="X2395" s="63"/>
      <c r="Y2395" s="63"/>
      <c r="Z2395" s="63"/>
      <c r="AA2395" s="63"/>
      <c r="AB2395" s="63"/>
      <c r="AC2395" s="63"/>
    </row>
    <row r="2396" spans="1:29" x14ac:dyDescent="0.25">
      <c r="A2396" s="108">
        <v>46076</v>
      </c>
      <c r="B2396" s="109">
        <v>219</v>
      </c>
      <c r="C2396" s="49" t="s">
        <v>19</v>
      </c>
      <c r="D2396" s="110" t="str">
        <f>IF(ISBLANK($B2396),"",IFERROR(VLOOKUP($B2396,ESTOQUE!$B$2:$D$97168,3,FALSE),"Produto não cadastrado"))</f>
        <v>BOTINA SEGURANÇA METATARSO  42</v>
      </c>
      <c r="E2396" s="99" t="str">
        <f>_xlfn.XLOOKUP(B2396,ESTOQUE!B:B,ESTOQUE!G:G,"",0)</f>
        <v>PAR</v>
      </c>
      <c r="F2396" s="99">
        <v>1</v>
      </c>
      <c r="G2396" s="146"/>
      <c r="H2396" s="146"/>
      <c r="I2396" s="147"/>
      <c r="J2396" s="147"/>
      <c r="K2396" s="63"/>
      <c r="L2396" s="63"/>
      <c r="M2396" s="63"/>
      <c r="N2396" s="63"/>
      <c r="O2396" s="63"/>
      <c r="P2396" s="63"/>
      <c r="Q2396" s="63"/>
      <c r="R2396" s="63"/>
      <c r="S2396" s="63"/>
      <c r="T2396" s="63"/>
      <c r="U2396" s="63"/>
      <c r="V2396" s="63"/>
      <c r="W2396" s="63"/>
      <c r="X2396" s="63"/>
      <c r="Y2396" s="63"/>
      <c r="Z2396" s="63"/>
      <c r="AA2396" s="63"/>
      <c r="AB2396" s="63"/>
      <c r="AC2396" s="63"/>
    </row>
    <row r="2397" spans="1:29" x14ac:dyDescent="0.25">
      <c r="A2397" s="108">
        <v>46076</v>
      </c>
      <c r="B2397" s="109">
        <v>49</v>
      </c>
      <c r="C2397" s="49" t="s">
        <v>19</v>
      </c>
      <c r="D2397" s="110" t="str">
        <f>IF(ISBLANK($B2397),"",IFERROR(VLOOKUP($B2397,ESTOQUE!$B$2:$D$97168,3,FALSE),"Produto não cadastrado"))</f>
        <v>CALÇA CINZA OP. C/ FAIXA REFLETIVA TAM: P</v>
      </c>
      <c r="E2397" s="99" t="str">
        <f>_xlfn.XLOOKUP(B2397,ESTOQUE!B:B,ESTOQUE!G:G,"",0)</f>
        <v>UND</v>
      </c>
      <c r="F2397" s="99">
        <v>1</v>
      </c>
      <c r="G2397" s="146"/>
      <c r="H2397" s="146"/>
      <c r="I2397" s="147"/>
      <c r="J2397" s="147"/>
      <c r="K2397" s="63"/>
      <c r="L2397" s="63"/>
      <c r="M2397" s="63"/>
      <c r="N2397" s="63"/>
      <c r="O2397" s="63"/>
      <c r="P2397" s="63"/>
      <c r="Q2397" s="63"/>
      <c r="R2397" s="63"/>
      <c r="S2397" s="63"/>
      <c r="T2397" s="63"/>
      <c r="U2397" s="63"/>
      <c r="V2397" s="63"/>
      <c r="W2397" s="63"/>
      <c r="X2397" s="63"/>
      <c r="Y2397" s="63"/>
      <c r="Z2397" s="63"/>
      <c r="AA2397" s="63"/>
      <c r="AB2397" s="63"/>
      <c r="AC2397" s="63"/>
    </row>
    <row r="2398" spans="1:29" x14ac:dyDescent="0.25">
      <c r="A2398" s="108">
        <v>46076</v>
      </c>
      <c r="B2398" s="109">
        <v>28</v>
      </c>
      <c r="C2398" s="49" t="s">
        <v>19</v>
      </c>
      <c r="D2398" s="110" t="str">
        <f>IF(ISBLANK($B2398),"",IFERROR(VLOOKUP($B2398,ESTOQUE!$B$2:$D$97168,3,FALSE),"Produto não cadastrado"))</f>
        <v>BOTINA DE ELETRICISTA Nº 38</v>
      </c>
      <c r="E2398" s="99" t="str">
        <f>_xlfn.XLOOKUP(B2398,ESTOQUE!B:B,ESTOQUE!G:G,"",0)</f>
        <v>PAR</v>
      </c>
      <c r="F2398" s="99">
        <v>1</v>
      </c>
      <c r="G2398" s="146"/>
      <c r="H2398" s="146"/>
      <c r="I2398" s="147"/>
      <c r="J2398" s="147"/>
      <c r="K2398" s="63"/>
      <c r="L2398" s="63"/>
      <c r="M2398" s="63"/>
      <c r="N2398" s="63"/>
      <c r="O2398" s="63"/>
      <c r="P2398" s="63"/>
      <c r="Q2398" s="63"/>
      <c r="R2398" s="63"/>
      <c r="S2398" s="63"/>
      <c r="T2398" s="63"/>
      <c r="U2398" s="63"/>
      <c r="V2398" s="63"/>
      <c r="W2398" s="63"/>
      <c r="X2398" s="63"/>
      <c r="Y2398" s="63"/>
      <c r="Z2398" s="63"/>
      <c r="AA2398" s="63"/>
      <c r="AB2398" s="63"/>
      <c r="AC2398" s="63"/>
    </row>
    <row r="2399" spans="1:29" x14ac:dyDescent="0.25">
      <c r="A2399" s="108">
        <v>46076</v>
      </c>
      <c r="B2399" s="109">
        <v>137</v>
      </c>
      <c r="C2399" s="49" t="s">
        <v>19</v>
      </c>
      <c r="D2399" s="110" t="str">
        <f>IF(ISBLANK($B2399),"",IFERROR(VLOOKUP($B2399,ESTOQUE!$B$2:$D$97168,3,FALSE),"Produto não cadastrado"))</f>
        <v xml:space="preserve">TOUCA ARABE </v>
      </c>
      <c r="E2399" s="99" t="str">
        <f>_xlfn.XLOOKUP(B2399,ESTOQUE!B:B,ESTOQUE!G:G,"",0)</f>
        <v>UND</v>
      </c>
      <c r="F2399" s="99">
        <v>11</v>
      </c>
      <c r="G2399" s="146"/>
      <c r="H2399" s="146"/>
      <c r="I2399" s="147"/>
      <c r="J2399" s="147"/>
      <c r="K2399" s="63"/>
      <c r="L2399" s="63"/>
      <c r="M2399" s="63"/>
      <c r="N2399" s="63"/>
      <c r="O2399" s="63"/>
      <c r="P2399" s="63"/>
      <c r="Q2399" s="63"/>
      <c r="R2399" s="63"/>
      <c r="S2399" s="63"/>
      <c r="T2399" s="63"/>
      <c r="U2399" s="63"/>
      <c r="V2399" s="63"/>
      <c r="W2399" s="63"/>
      <c r="X2399" s="63"/>
      <c r="Y2399" s="63"/>
      <c r="Z2399" s="63"/>
      <c r="AA2399" s="63"/>
      <c r="AB2399" s="63"/>
      <c r="AC2399" s="63"/>
    </row>
    <row r="2400" spans="1:29" x14ac:dyDescent="0.25">
      <c r="A2400" s="108">
        <v>46076</v>
      </c>
      <c r="B2400" s="109">
        <v>67</v>
      </c>
      <c r="C2400" s="49" t="s">
        <v>19</v>
      </c>
      <c r="D2400" s="110" t="str">
        <f>IF(ISBLANK($B2400),"",IFERROR(VLOOKUP($B2400,ESTOQUE!$B$2:$D$97168,3,FALSE),"Produto não cadastrado"))</f>
        <v>CAMISA LARANJA OP. C/ FAIXA REFLETIVA TAM: G</v>
      </c>
      <c r="E2400" s="99" t="str">
        <f>_xlfn.XLOOKUP(B2400,ESTOQUE!B:B,ESTOQUE!G:G,"",0)</f>
        <v>UND</v>
      </c>
      <c r="F2400" s="99">
        <v>1</v>
      </c>
      <c r="G2400" s="146"/>
      <c r="H2400" s="146"/>
      <c r="I2400" s="147"/>
      <c r="J2400" s="147"/>
      <c r="K2400" s="63"/>
      <c r="L2400" s="63"/>
      <c r="M2400" s="63"/>
      <c r="N2400" s="63"/>
      <c r="O2400" s="63"/>
      <c r="P2400" s="63"/>
      <c r="Q2400" s="63"/>
      <c r="R2400" s="63"/>
      <c r="S2400" s="63"/>
      <c r="T2400" s="63"/>
      <c r="U2400" s="63"/>
      <c r="V2400" s="63"/>
      <c r="W2400" s="63"/>
      <c r="X2400" s="63"/>
      <c r="Y2400" s="63"/>
      <c r="Z2400" s="63"/>
      <c r="AA2400" s="63"/>
      <c r="AB2400" s="63"/>
      <c r="AC2400" s="63"/>
    </row>
    <row r="2401" spans="1:29" x14ac:dyDescent="0.25">
      <c r="A2401" s="108">
        <v>46076</v>
      </c>
      <c r="B2401" s="109">
        <v>228</v>
      </c>
      <c r="C2401" s="49" t="s">
        <v>19</v>
      </c>
      <c r="D2401" s="110" t="str">
        <f>IF(ISBLANK($B2401),"",IFERROR(VLOOKUP($B2401,ESTOQUE!$B$2:$D$97168,3,FALSE),"Produto não cadastrado"))</f>
        <v xml:space="preserve">BALACLAVA  </v>
      </c>
      <c r="E2401" s="99" t="str">
        <f>_xlfn.XLOOKUP(B2401,ESTOQUE!B:B,ESTOQUE!G:G,"",0)</f>
        <v>UND</v>
      </c>
      <c r="F2401" s="99">
        <v>1</v>
      </c>
      <c r="G2401" s="146"/>
      <c r="H2401" s="146"/>
      <c r="I2401" s="147"/>
      <c r="J2401" s="147"/>
      <c r="K2401" s="63"/>
      <c r="L2401" s="63"/>
      <c r="M2401" s="63"/>
      <c r="N2401" s="63"/>
      <c r="O2401" s="63"/>
      <c r="P2401" s="63"/>
      <c r="Q2401" s="63"/>
      <c r="R2401" s="63"/>
      <c r="S2401" s="63"/>
      <c r="T2401" s="63"/>
      <c r="U2401" s="63"/>
      <c r="V2401" s="63"/>
      <c r="W2401" s="63"/>
      <c r="X2401" s="63"/>
      <c r="Y2401" s="63"/>
      <c r="Z2401" s="63"/>
      <c r="AA2401" s="63"/>
      <c r="AB2401" s="63"/>
      <c r="AC2401" s="63"/>
    </row>
    <row r="2402" spans="1:29" x14ac:dyDescent="0.25">
      <c r="A2402" s="108">
        <v>46076</v>
      </c>
      <c r="B2402" s="109">
        <v>29</v>
      </c>
      <c r="C2402" s="49" t="s">
        <v>19</v>
      </c>
      <c r="D2402" s="110" t="str">
        <f>IF(ISBLANK($B2402),"",IFERROR(VLOOKUP($B2402,ESTOQUE!$B$2:$D$97168,3,FALSE),"Produto não cadastrado"))</f>
        <v>BOTINA DE ELETRICISTA Nº 39</v>
      </c>
      <c r="E2402" s="99" t="str">
        <f>_xlfn.XLOOKUP(B2402,ESTOQUE!B:B,ESTOQUE!G:G,"",0)</f>
        <v>PAR</v>
      </c>
      <c r="F2402" s="99">
        <v>1</v>
      </c>
      <c r="G2402" s="146"/>
      <c r="H2402" s="146"/>
      <c r="I2402" s="147"/>
      <c r="J2402" s="147"/>
      <c r="K2402" s="63"/>
      <c r="L2402" s="63"/>
      <c r="M2402" s="63"/>
      <c r="N2402" s="63"/>
      <c r="O2402" s="63"/>
      <c r="P2402" s="63"/>
      <c r="Q2402" s="63"/>
      <c r="R2402" s="63"/>
      <c r="S2402" s="63"/>
      <c r="T2402" s="63"/>
      <c r="U2402" s="63"/>
      <c r="V2402" s="63"/>
      <c r="W2402" s="63"/>
      <c r="X2402" s="63"/>
      <c r="Y2402" s="63"/>
      <c r="Z2402" s="63"/>
      <c r="AA2402" s="63"/>
      <c r="AB2402" s="63"/>
      <c r="AC2402" s="63"/>
    </row>
    <row r="2403" spans="1:29" x14ac:dyDescent="0.25">
      <c r="A2403" s="108">
        <v>46076</v>
      </c>
      <c r="B2403" s="109">
        <v>97</v>
      </c>
      <c r="C2403" s="49" t="s">
        <v>19</v>
      </c>
      <c r="D2403" s="110" t="str">
        <f>IF(ISBLANK($B2403),"",IFERROR(VLOOKUP($B2403,ESTOQUE!$B$2:$D$97168,3,FALSE),"Produto não cadastrado"))</f>
        <v>COLETE REFLETIVO LARANJA M</v>
      </c>
      <c r="E2403" s="99" t="str">
        <f>_xlfn.XLOOKUP(B2403,ESTOQUE!B:B,ESTOQUE!G:G,"",0)</f>
        <v>UND</v>
      </c>
      <c r="F2403" s="99">
        <v>1</v>
      </c>
      <c r="G2403" s="146"/>
      <c r="H2403" s="146"/>
      <c r="I2403" s="147"/>
      <c r="J2403" s="147"/>
      <c r="K2403" s="63"/>
      <c r="L2403" s="63"/>
      <c r="M2403" s="63"/>
      <c r="N2403" s="63"/>
      <c r="O2403" s="63"/>
      <c r="P2403" s="63"/>
      <c r="Q2403" s="63"/>
      <c r="R2403" s="63"/>
      <c r="S2403" s="63"/>
      <c r="T2403" s="63"/>
      <c r="U2403" s="63"/>
      <c r="V2403" s="63"/>
      <c r="W2403" s="63"/>
      <c r="X2403" s="63"/>
      <c r="Y2403" s="63"/>
      <c r="Z2403" s="63"/>
      <c r="AA2403" s="63"/>
      <c r="AB2403" s="63"/>
      <c r="AC2403" s="63"/>
    </row>
    <row r="2404" spans="1:29" x14ac:dyDescent="0.25">
      <c r="A2404" s="108">
        <v>46076</v>
      </c>
      <c r="B2404" s="109">
        <v>46</v>
      </c>
      <c r="C2404" s="49" t="s">
        <v>19</v>
      </c>
      <c r="D2404" s="110" t="str">
        <f>IF(ISBLANK($B2404),"",IFERROR(VLOOKUP($B2404,ESTOQUE!$B$2:$D$97168,3,FALSE),"Produto não cadastrado"))</f>
        <v>CALÇA CINZA OP. C/ FAIXA REFLETIVA TAM: G</v>
      </c>
      <c r="E2404" s="99" t="str">
        <f>_xlfn.XLOOKUP(B2404,ESTOQUE!B:B,ESTOQUE!G:G,"",0)</f>
        <v>UND</v>
      </c>
      <c r="F2404" s="99">
        <v>1</v>
      </c>
      <c r="G2404" s="146"/>
      <c r="H2404" s="146"/>
      <c r="I2404" s="147"/>
      <c r="J2404" s="147"/>
      <c r="K2404" s="63"/>
      <c r="L2404" s="63"/>
      <c r="M2404" s="63"/>
      <c r="N2404" s="63"/>
      <c r="O2404" s="63"/>
      <c r="P2404" s="63"/>
      <c r="Q2404" s="63"/>
      <c r="R2404" s="63"/>
      <c r="S2404" s="63"/>
      <c r="T2404" s="63"/>
      <c r="U2404" s="63"/>
      <c r="V2404" s="63"/>
      <c r="W2404" s="63"/>
      <c r="X2404" s="63"/>
      <c r="Y2404" s="63"/>
      <c r="Z2404" s="63"/>
      <c r="AA2404" s="63"/>
      <c r="AB2404" s="63"/>
      <c r="AC2404" s="63"/>
    </row>
    <row r="2405" spans="1:29" x14ac:dyDescent="0.25">
      <c r="A2405" s="108">
        <v>46076</v>
      </c>
      <c r="B2405" s="109">
        <v>228</v>
      </c>
      <c r="C2405" s="49" t="s">
        <v>19</v>
      </c>
      <c r="D2405" s="110" t="str">
        <f>IF(ISBLANK($B2405),"",IFERROR(VLOOKUP($B2405,ESTOQUE!$B$2:$D$97168,3,FALSE),"Produto não cadastrado"))</f>
        <v xml:space="preserve">BALACLAVA  </v>
      </c>
      <c r="E2405" s="99" t="str">
        <f>_xlfn.XLOOKUP(B2405,ESTOQUE!B:B,ESTOQUE!G:G,"",0)</f>
        <v>UND</v>
      </c>
      <c r="F2405" s="99">
        <v>29</v>
      </c>
      <c r="G2405" s="146"/>
      <c r="H2405" s="146"/>
      <c r="I2405" s="147"/>
      <c r="J2405" s="147"/>
      <c r="K2405" s="63"/>
      <c r="L2405" s="63"/>
      <c r="M2405" s="63"/>
      <c r="N2405" s="63"/>
      <c r="O2405" s="63"/>
      <c r="P2405" s="63"/>
      <c r="Q2405" s="63"/>
      <c r="R2405" s="63"/>
      <c r="S2405" s="63"/>
      <c r="T2405" s="63"/>
      <c r="U2405" s="63"/>
      <c r="V2405" s="63"/>
      <c r="W2405" s="63"/>
      <c r="X2405" s="63"/>
      <c r="Y2405" s="63"/>
      <c r="Z2405" s="63"/>
      <c r="AA2405" s="63"/>
      <c r="AB2405" s="63"/>
      <c r="AC2405" s="63"/>
    </row>
    <row r="2406" spans="1:29" x14ac:dyDescent="0.25">
      <c r="A2406" s="108">
        <v>46077</v>
      </c>
      <c r="B2406" s="109">
        <v>126</v>
      </c>
      <c r="C2406" s="49" t="s">
        <v>19</v>
      </c>
      <c r="D2406" s="110" t="str">
        <f>IF(ISBLANK($B2406),"",IFERROR(VLOOKUP($B2406,ESTOQUE!$B$2:$D$97168,3,FALSE),"Produto não cadastrado"))</f>
        <v>OCULOS DE PROTEÇÃO ESCURO</v>
      </c>
      <c r="E2406" s="99" t="str">
        <f>_xlfn.XLOOKUP(B2406,ESTOQUE!B:B,ESTOQUE!G:G,"",0)</f>
        <v>UND</v>
      </c>
      <c r="F2406" s="99">
        <v>5</v>
      </c>
      <c r="G2406" s="146"/>
      <c r="H2406" s="146"/>
      <c r="I2406" s="147"/>
      <c r="J2406" s="147"/>
      <c r="K2406" s="63"/>
      <c r="L2406" s="63"/>
      <c r="M2406" s="63"/>
      <c r="N2406" s="63"/>
      <c r="O2406" s="63"/>
      <c r="P2406" s="63"/>
      <c r="Q2406" s="63"/>
      <c r="R2406" s="63"/>
      <c r="S2406" s="63"/>
      <c r="T2406" s="63"/>
      <c r="U2406" s="63"/>
      <c r="V2406" s="63"/>
      <c r="W2406" s="63"/>
      <c r="X2406" s="63"/>
      <c r="Y2406" s="63"/>
      <c r="Z2406" s="63"/>
      <c r="AA2406" s="63"/>
      <c r="AB2406" s="63"/>
      <c r="AC2406" s="63"/>
    </row>
    <row r="2407" spans="1:29" x14ac:dyDescent="0.25">
      <c r="A2407" s="108">
        <v>46077</v>
      </c>
      <c r="B2407" s="109">
        <v>48</v>
      </c>
      <c r="C2407" s="49" t="s">
        <v>19</v>
      </c>
      <c r="D2407" s="110" t="str">
        <f>IF(ISBLANK($B2407),"",IFERROR(VLOOKUP($B2407,ESTOQUE!$B$2:$D$97168,3,FALSE),"Produto não cadastrado"))</f>
        <v>CALÇA CINZA OP. C/ FAIXA REFLETIVA TAM: M</v>
      </c>
      <c r="E2407" s="99" t="str">
        <f>_xlfn.XLOOKUP(B2407,ESTOQUE!B:B,ESTOQUE!G:G,"",0)</f>
        <v>UND</v>
      </c>
      <c r="F2407" s="99">
        <v>14</v>
      </c>
      <c r="G2407" s="146"/>
      <c r="H2407" s="146"/>
      <c r="I2407" s="147"/>
      <c r="J2407" s="147"/>
      <c r="K2407" s="63"/>
      <c r="L2407" s="63"/>
      <c r="M2407" s="63"/>
      <c r="N2407" s="63"/>
      <c r="O2407" s="63"/>
      <c r="P2407" s="63"/>
      <c r="Q2407" s="63"/>
      <c r="R2407" s="63"/>
      <c r="S2407" s="63"/>
      <c r="T2407" s="63"/>
      <c r="U2407" s="63"/>
      <c r="V2407" s="63"/>
      <c r="W2407" s="63"/>
      <c r="X2407" s="63"/>
      <c r="Y2407" s="63"/>
      <c r="Z2407" s="63"/>
      <c r="AA2407" s="63"/>
      <c r="AB2407" s="63"/>
      <c r="AC2407" s="63"/>
    </row>
    <row r="2408" spans="1:29" x14ac:dyDescent="0.25">
      <c r="A2408" s="108">
        <v>46077</v>
      </c>
      <c r="B2408" s="109">
        <v>49</v>
      </c>
      <c r="C2408" s="49" t="s">
        <v>19</v>
      </c>
      <c r="D2408" s="110" t="str">
        <f>IF(ISBLANK($B2408),"",IFERROR(VLOOKUP($B2408,ESTOQUE!$B$2:$D$97168,3,FALSE),"Produto não cadastrado"))</f>
        <v>CALÇA CINZA OP. C/ FAIXA REFLETIVA TAM: P</v>
      </c>
      <c r="E2408" s="99" t="str">
        <f>_xlfn.XLOOKUP(B2408,ESTOQUE!B:B,ESTOQUE!G:G,"",0)</f>
        <v>UND</v>
      </c>
      <c r="F2408" s="99">
        <v>3</v>
      </c>
      <c r="G2408" s="146"/>
      <c r="H2408" s="146"/>
      <c r="I2408" s="147"/>
      <c r="J2408" s="147"/>
      <c r="K2408" s="63"/>
      <c r="L2408" s="63"/>
      <c r="M2408" s="63"/>
      <c r="N2408" s="63"/>
      <c r="O2408" s="63"/>
      <c r="P2408" s="63"/>
      <c r="Q2408" s="63"/>
      <c r="R2408" s="63"/>
      <c r="S2408" s="63"/>
      <c r="T2408" s="63"/>
      <c r="U2408" s="63"/>
      <c r="V2408" s="63"/>
      <c r="W2408" s="63"/>
      <c r="X2408" s="63"/>
      <c r="Y2408" s="63"/>
      <c r="Z2408" s="63"/>
      <c r="AA2408" s="63"/>
      <c r="AB2408" s="63"/>
      <c r="AC2408" s="63"/>
    </row>
    <row r="2409" spans="1:29" x14ac:dyDescent="0.25">
      <c r="A2409" s="108">
        <v>46077</v>
      </c>
      <c r="B2409" s="109">
        <v>231</v>
      </c>
      <c r="C2409" s="49" t="s">
        <v>19</v>
      </c>
      <c r="D2409" s="110" t="str">
        <f>IF(ISBLANK($B2409),"",IFERROR(VLOOKUP($B2409,ESTOQUE!$B$2:$D$97168,3,FALSE),"Produto não cadastrado"))</f>
        <v xml:space="preserve">PROTETOR DE VERGALHÃO </v>
      </c>
      <c r="E2409" s="99" t="str">
        <f>_xlfn.XLOOKUP(B2409,ESTOQUE!B:B,ESTOQUE!G:G,"",0)</f>
        <v>UND</v>
      </c>
      <c r="F2409" s="99">
        <v>600</v>
      </c>
      <c r="G2409" s="146"/>
      <c r="H2409" s="146"/>
      <c r="I2409" s="147"/>
      <c r="J2409" s="147"/>
      <c r="K2409" s="63"/>
      <c r="L2409" s="63"/>
      <c r="M2409" s="63"/>
      <c r="N2409" s="63"/>
      <c r="O2409" s="63"/>
      <c r="P2409" s="63"/>
      <c r="Q2409" s="63"/>
      <c r="R2409" s="63"/>
      <c r="S2409" s="63"/>
      <c r="T2409" s="63"/>
      <c r="U2409" s="63"/>
      <c r="V2409" s="63"/>
      <c r="W2409" s="63"/>
      <c r="X2409" s="63"/>
      <c r="Y2409" s="63"/>
      <c r="Z2409" s="63"/>
      <c r="AA2409" s="63"/>
      <c r="AB2409" s="63"/>
      <c r="AC2409" s="63"/>
    </row>
    <row r="2410" spans="1:29" x14ac:dyDescent="0.25">
      <c r="A2410" s="108">
        <v>46077</v>
      </c>
      <c r="B2410" s="109">
        <v>207</v>
      </c>
      <c r="C2410" s="49" t="s">
        <v>19</v>
      </c>
      <c r="D2410" s="110" t="str">
        <f>IF(ISBLANK($B2410),"",IFERROR(VLOOKUP($B2410,ESTOQUE!$B$2:$D$97168,3,FALSE),"Produto não cadastrado"))</f>
        <v>LUVA POLIESTER ANTICORTE BANHADA PU TAM 9</v>
      </c>
      <c r="E2410" s="99" t="str">
        <f>_xlfn.XLOOKUP(B2410,ESTOQUE!B:B,ESTOQUE!G:G,"",0)</f>
        <v>PAR</v>
      </c>
      <c r="F2410" s="99">
        <v>36</v>
      </c>
      <c r="G2410" s="146"/>
      <c r="H2410" s="146"/>
      <c r="I2410" s="147"/>
      <c r="J2410" s="147"/>
      <c r="K2410" s="63"/>
      <c r="L2410" s="63"/>
      <c r="M2410" s="63"/>
      <c r="N2410" s="63"/>
      <c r="O2410" s="63"/>
      <c r="P2410" s="63"/>
      <c r="Q2410" s="63"/>
      <c r="R2410" s="63"/>
      <c r="S2410" s="63"/>
      <c r="T2410" s="63"/>
      <c r="U2410" s="63"/>
      <c r="V2410" s="63"/>
      <c r="W2410" s="63"/>
      <c r="X2410" s="63"/>
      <c r="Y2410" s="63"/>
      <c r="Z2410" s="63"/>
      <c r="AA2410" s="63"/>
      <c r="AB2410" s="63"/>
      <c r="AC2410" s="63"/>
    </row>
    <row r="2411" spans="1:29" x14ac:dyDescent="0.25">
      <c r="A2411" s="108">
        <v>46077</v>
      </c>
      <c r="B2411" s="109">
        <v>144</v>
      </c>
      <c r="C2411" s="49" t="s">
        <v>19</v>
      </c>
      <c r="D2411" s="110" t="str">
        <f>IF(ISBLANK($B2411),"",IFERROR(VLOOKUP($B2411,ESTOQUE!$B$2:$D$97168,3,FALSE),"Produto não cadastrado"))</f>
        <v>MASCARA PFF2-S C/ FILTRO</v>
      </c>
      <c r="E2411" s="99" t="str">
        <f>_xlfn.XLOOKUP(B2411,ESTOQUE!B:B,ESTOQUE!G:G,"",0)</f>
        <v>UND</v>
      </c>
      <c r="F2411" s="99">
        <v>47</v>
      </c>
      <c r="G2411" s="146"/>
      <c r="H2411" s="146"/>
      <c r="I2411" s="147"/>
      <c r="J2411" s="147"/>
      <c r="K2411" s="63"/>
      <c r="L2411" s="63"/>
      <c r="M2411" s="63"/>
      <c r="N2411" s="63"/>
      <c r="O2411" s="63"/>
      <c r="P2411" s="63"/>
      <c r="Q2411" s="63"/>
      <c r="R2411" s="63"/>
      <c r="S2411" s="63"/>
      <c r="T2411" s="63"/>
      <c r="U2411" s="63"/>
      <c r="V2411" s="63"/>
      <c r="W2411" s="63"/>
      <c r="X2411" s="63"/>
      <c r="Y2411" s="63"/>
      <c r="Z2411" s="63"/>
      <c r="AA2411" s="63"/>
      <c r="AB2411" s="63"/>
      <c r="AC2411" s="63"/>
    </row>
    <row r="2412" spans="1:29" x14ac:dyDescent="0.25">
      <c r="A2412" s="108">
        <v>46077</v>
      </c>
      <c r="B2412" s="109">
        <v>46</v>
      </c>
      <c r="C2412" s="49" t="s">
        <v>19</v>
      </c>
      <c r="D2412" s="110" t="str">
        <f>IF(ISBLANK($B2412),"",IFERROR(VLOOKUP($B2412,ESTOQUE!$B$2:$D$97168,3,FALSE),"Produto não cadastrado"))</f>
        <v>CALÇA CINZA OP. C/ FAIXA REFLETIVA TAM: G</v>
      </c>
      <c r="E2412" s="99" t="str">
        <f>_xlfn.XLOOKUP(B2412,ESTOQUE!B:B,ESTOQUE!G:G,"",0)</f>
        <v>UND</v>
      </c>
      <c r="F2412" s="99">
        <v>4</v>
      </c>
      <c r="G2412" s="146"/>
      <c r="H2412" s="146"/>
      <c r="I2412" s="147"/>
      <c r="J2412" s="147"/>
      <c r="K2412" s="63"/>
      <c r="L2412" s="63"/>
      <c r="M2412" s="63"/>
      <c r="N2412" s="63"/>
      <c r="O2412" s="63"/>
      <c r="P2412" s="63"/>
      <c r="Q2412" s="63"/>
      <c r="R2412" s="63"/>
      <c r="S2412" s="63"/>
      <c r="T2412" s="63"/>
      <c r="U2412" s="63"/>
      <c r="V2412" s="63"/>
      <c r="W2412" s="63"/>
      <c r="X2412" s="63"/>
      <c r="Y2412" s="63"/>
      <c r="Z2412" s="63"/>
      <c r="AA2412" s="63"/>
      <c r="AB2412" s="63"/>
      <c r="AC2412" s="63"/>
    </row>
    <row r="2413" spans="1:29" x14ac:dyDescent="0.25">
      <c r="A2413" s="108">
        <v>46077</v>
      </c>
      <c r="B2413" s="109">
        <v>144</v>
      </c>
      <c r="C2413" s="49" t="s">
        <v>19</v>
      </c>
      <c r="D2413" s="110" t="str">
        <f>IF(ISBLANK($B2413),"",IFERROR(VLOOKUP($B2413,ESTOQUE!$B$2:$D$97168,3,FALSE),"Produto não cadastrado"))</f>
        <v>MASCARA PFF2-S C/ FILTRO</v>
      </c>
      <c r="E2413" s="99" t="str">
        <f>_xlfn.XLOOKUP(B2413,ESTOQUE!B:B,ESTOQUE!G:G,"",0)</f>
        <v>UND</v>
      </c>
      <c r="F2413" s="99">
        <v>37</v>
      </c>
      <c r="G2413" s="146"/>
      <c r="H2413" s="146"/>
      <c r="I2413" s="147"/>
      <c r="J2413" s="147"/>
      <c r="K2413" s="63"/>
      <c r="L2413" s="63"/>
      <c r="M2413" s="63"/>
      <c r="N2413" s="63"/>
      <c r="O2413" s="63"/>
      <c r="P2413" s="63"/>
      <c r="Q2413" s="63"/>
      <c r="R2413" s="63"/>
      <c r="S2413" s="63"/>
      <c r="T2413" s="63"/>
      <c r="U2413" s="63"/>
      <c r="V2413" s="63"/>
      <c r="W2413" s="63"/>
      <c r="X2413" s="63"/>
      <c r="Y2413" s="63"/>
      <c r="Z2413" s="63"/>
      <c r="AA2413" s="63"/>
      <c r="AB2413" s="63"/>
      <c r="AC2413" s="63"/>
    </row>
    <row r="2414" spans="1:29" x14ac:dyDescent="0.25">
      <c r="A2414" s="108">
        <v>46077</v>
      </c>
      <c r="B2414" s="109">
        <v>47</v>
      </c>
      <c r="C2414" s="49" t="s">
        <v>19</v>
      </c>
      <c r="D2414" s="110" t="str">
        <f>IF(ISBLANK($B2414),"",IFERROR(VLOOKUP($B2414,ESTOQUE!$B$2:$D$97168,3,FALSE),"Produto não cadastrado"))</f>
        <v>CALÇA CINZA OP. C/ FAIXA REFLETIVA TAM: GG</v>
      </c>
      <c r="E2414" s="99" t="str">
        <f>_xlfn.XLOOKUP(B2414,ESTOQUE!B:B,ESTOQUE!G:G,"",0)</f>
        <v>UND</v>
      </c>
      <c r="F2414" s="99">
        <v>2</v>
      </c>
      <c r="G2414" s="146"/>
      <c r="H2414" s="146"/>
      <c r="I2414" s="147"/>
      <c r="J2414" s="147"/>
      <c r="K2414" s="63"/>
      <c r="L2414" s="63"/>
      <c r="M2414" s="63"/>
      <c r="N2414" s="63"/>
      <c r="O2414" s="63"/>
      <c r="P2414" s="63"/>
      <c r="Q2414" s="63"/>
      <c r="R2414" s="63"/>
      <c r="S2414" s="63"/>
      <c r="T2414" s="63"/>
      <c r="U2414" s="63"/>
      <c r="V2414" s="63"/>
      <c r="W2414" s="63"/>
      <c r="X2414" s="63"/>
      <c r="Y2414" s="63"/>
      <c r="Z2414" s="63"/>
      <c r="AA2414" s="63"/>
      <c r="AB2414" s="63"/>
      <c r="AC2414" s="63"/>
    </row>
    <row r="2415" spans="1:29" x14ac:dyDescent="0.25">
      <c r="A2415" s="108">
        <v>46077</v>
      </c>
      <c r="B2415" s="109">
        <v>118</v>
      </c>
      <c r="C2415" s="49" t="s">
        <v>19</v>
      </c>
      <c r="D2415" s="110" t="str">
        <f>IF(ISBLANK($B2415),"",IFERROR(VLOOKUP($B2415,ESTOQUE!$B$2:$D$97168,3,FALSE),"Produto não cadastrado"))</f>
        <v>MACACÃO DE PROTEÇÃO TYVEK</v>
      </c>
      <c r="E2415" s="99" t="str">
        <f>_xlfn.XLOOKUP(B2415,ESTOQUE!B:B,ESTOQUE!G:G,"",0)</f>
        <v>UND</v>
      </c>
      <c r="F2415" s="99">
        <v>52</v>
      </c>
      <c r="G2415" s="146"/>
      <c r="H2415" s="146"/>
      <c r="I2415" s="147"/>
      <c r="J2415" s="147"/>
      <c r="K2415" s="63"/>
      <c r="L2415" s="63"/>
      <c r="M2415" s="63"/>
      <c r="N2415" s="63"/>
      <c r="O2415" s="63"/>
      <c r="P2415" s="63"/>
      <c r="Q2415" s="63"/>
      <c r="R2415" s="63"/>
      <c r="S2415" s="63"/>
      <c r="T2415" s="63"/>
      <c r="U2415" s="63"/>
      <c r="V2415" s="63"/>
      <c r="W2415" s="63"/>
      <c r="X2415" s="63"/>
      <c r="Y2415" s="63"/>
      <c r="Z2415" s="63"/>
      <c r="AA2415" s="63"/>
      <c r="AB2415" s="63"/>
      <c r="AC2415" s="63"/>
    </row>
    <row r="2416" spans="1:29" x14ac:dyDescent="0.25">
      <c r="A2416" s="108">
        <v>46077</v>
      </c>
      <c r="B2416" s="109">
        <v>217</v>
      </c>
      <c r="C2416" s="49" t="s">
        <v>19</v>
      </c>
      <c r="D2416" s="110" t="str">
        <f>IF(ISBLANK($B2416),"",IFERROR(VLOOKUP($B2416,ESTOQUE!$B$2:$D$97168,3,FALSE),"Produto não cadastrado"))</f>
        <v>BOTINA SEGURANÇA METATARSO  40</v>
      </c>
      <c r="E2416" s="99" t="str">
        <f>_xlfn.XLOOKUP(B2416,ESTOQUE!B:B,ESTOQUE!G:G,"",0)</f>
        <v>PAR</v>
      </c>
      <c r="F2416" s="99">
        <v>2</v>
      </c>
      <c r="G2416" s="109"/>
      <c r="H2416" s="99"/>
      <c r="I2416" s="110"/>
      <c r="J2416" s="99"/>
      <c r="K2416" s="108"/>
      <c r="L2416" s="63"/>
      <c r="M2416" s="63"/>
      <c r="N2416" s="63"/>
      <c r="O2416" s="63"/>
      <c r="P2416" s="63"/>
      <c r="Q2416" s="63"/>
      <c r="R2416" s="63"/>
      <c r="S2416" s="63"/>
      <c r="T2416" s="63"/>
      <c r="U2416" s="63"/>
      <c r="V2416" s="63"/>
      <c r="W2416" s="63"/>
      <c r="X2416" s="63"/>
      <c r="Y2416" s="63"/>
      <c r="Z2416" s="63"/>
      <c r="AA2416" s="63"/>
      <c r="AB2416" s="63"/>
      <c r="AC2416" s="63"/>
    </row>
    <row r="2417" spans="1:29" x14ac:dyDescent="0.25">
      <c r="A2417" s="108">
        <v>46077</v>
      </c>
      <c r="B2417" s="99">
        <v>215</v>
      </c>
      <c r="C2417" s="49" t="s">
        <v>19</v>
      </c>
      <c r="D2417" s="110" t="str">
        <f>IF(ISBLANK($B2417),"",IFERROR(VLOOKUP($B2417,ESTOQUE!$B$2:$D$97168,3,FALSE),"Produto não cadastrado"))</f>
        <v>BOTINA SEGURANÇA METATARSO  38</v>
      </c>
      <c r="E2417" s="99" t="str">
        <f>_xlfn.XLOOKUP(B2417,ESTOQUE!B:B,ESTOQUE!G:G,"",0)</f>
        <v>PAR</v>
      </c>
      <c r="F2417" s="99">
        <v>2</v>
      </c>
      <c r="G2417" s="146"/>
      <c r="H2417" s="146"/>
      <c r="I2417" s="147"/>
      <c r="J2417" s="147"/>
      <c r="K2417" s="63"/>
      <c r="L2417" s="63"/>
      <c r="M2417" s="63"/>
      <c r="N2417" s="63"/>
      <c r="O2417" s="63"/>
      <c r="P2417" s="63"/>
      <c r="Q2417" s="63"/>
      <c r="R2417" s="63"/>
      <c r="S2417" s="63"/>
      <c r="T2417" s="63"/>
      <c r="U2417" s="63"/>
      <c r="V2417" s="63"/>
      <c r="W2417" s="63"/>
      <c r="X2417" s="63"/>
      <c r="Y2417" s="63"/>
      <c r="Z2417" s="63"/>
      <c r="AA2417" s="63"/>
      <c r="AB2417" s="63"/>
      <c r="AC2417" s="63"/>
    </row>
    <row r="2418" spans="1:29" x14ac:dyDescent="0.25">
      <c r="A2418" s="108">
        <v>46077</v>
      </c>
      <c r="B2418" s="128">
        <v>91</v>
      </c>
      <c r="C2418" s="49" t="s">
        <v>19</v>
      </c>
      <c r="D2418" s="110" t="str">
        <f>IF(ISBLANK($B2418),"",IFERROR(VLOOKUP($B2418,ESTOQUE!$B$2:$D$97168,3,FALSE),"Produto não cadastrado"))</f>
        <v>CAPACETE PLASTCOR ROXO</v>
      </c>
      <c r="E2418" s="99" t="str">
        <f>_xlfn.XLOOKUP(B2418,ESTOQUE!B:B,ESTOQUE!G:G,"",0)</f>
        <v>UND</v>
      </c>
      <c r="F2418" s="99">
        <v>1</v>
      </c>
      <c r="G2418" s="146"/>
      <c r="H2418" s="146"/>
      <c r="I2418" s="147"/>
      <c r="J2418" s="147"/>
      <c r="K2418" s="63"/>
      <c r="L2418" s="63"/>
      <c r="M2418" s="63"/>
      <c r="N2418" s="63"/>
      <c r="O2418" s="63"/>
      <c r="P2418" s="63"/>
      <c r="Q2418" s="63"/>
      <c r="R2418" s="63"/>
      <c r="S2418" s="63"/>
      <c r="T2418" s="63"/>
      <c r="U2418" s="63"/>
      <c r="V2418" s="63"/>
      <c r="W2418" s="63"/>
      <c r="X2418" s="63"/>
      <c r="Y2418" s="63"/>
      <c r="Z2418" s="63"/>
      <c r="AA2418" s="63"/>
      <c r="AB2418" s="63"/>
      <c r="AC2418" s="63"/>
    </row>
    <row r="2419" spans="1:29" x14ac:dyDescent="0.25">
      <c r="A2419" s="108">
        <v>46077</v>
      </c>
      <c r="B2419" s="128">
        <v>140</v>
      </c>
      <c r="C2419" s="49" t="s">
        <v>19</v>
      </c>
      <c r="D2419" s="110" t="str">
        <f>IF(ISBLANK($B2419),"",IFERROR(VLOOKUP($B2419,ESTOQUE!$B$2:$D$97168,3,FALSE),"Produto não cadastrado"))</f>
        <v>CAPACETE LIBUS VERMELHO</v>
      </c>
      <c r="E2419" s="99" t="str">
        <f>_xlfn.XLOOKUP(B2419,ESTOQUE!B:B,ESTOQUE!G:G,"",0)</f>
        <v>UND</v>
      </c>
      <c r="F2419" s="99">
        <v>1</v>
      </c>
      <c r="G2419" s="146"/>
      <c r="H2419" s="146"/>
      <c r="I2419" s="147"/>
      <c r="J2419" s="147"/>
      <c r="K2419" s="63"/>
      <c r="L2419" s="63"/>
      <c r="M2419" s="63"/>
      <c r="N2419" s="63"/>
      <c r="O2419" s="63"/>
      <c r="P2419" s="63"/>
      <c r="Q2419" s="63"/>
      <c r="R2419" s="63"/>
      <c r="S2419" s="63"/>
      <c r="T2419" s="63"/>
      <c r="U2419" s="63"/>
      <c r="V2419" s="63"/>
      <c r="W2419" s="63"/>
      <c r="X2419" s="63"/>
      <c r="Y2419" s="63"/>
      <c r="Z2419" s="63"/>
      <c r="AA2419" s="63"/>
      <c r="AB2419" s="63"/>
      <c r="AC2419" s="63"/>
    </row>
    <row r="2420" spans="1:29" x14ac:dyDescent="0.25">
      <c r="A2420" s="108">
        <v>46077</v>
      </c>
      <c r="B2420" s="128">
        <v>117</v>
      </c>
      <c r="C2420" s="49" t="s">
        <v>19</v>
      </c>
      <c r="D2420" s="110" t="str">
        <f>IF(ISBLANK($B2420),"",IFERROR(VLOOKUP($B2420,ESTOQUE!$B$2:$D$97168,3,FALSE),"Produto não cadastrado"))</f>
        <v>LUVA PIGMENTADA</v>
      </c>
      <c r="E2420" s="99" t="str">
        <f>_xlfn.XLOOKUP(B2420,ESTOQUE!B:B,ESTOQUE!G:G,"",0)</f>
        <v>PAR</v>
      </c>
      <c r="F2420" s="99">
        <v>2</v>
      </c>
      <c r="G2420" s="146"/>
      <c r="H2420" s="146"/>
      <c r="I2420" s="147"/>
      <c r="J2420" s="147"/>
      <c r="K2420" s="63"/>
      <c r="L2420" s="63"/>
      <c r="M2420" s="63"/>
      <c r="N2420" s="63"/>
      <c r="O2420" s="63"/>
      <c r="P2420" s="63"/>
      <c r="Q2420" s="63"/>
      <c r="R2420" s="63"/>
      <c r="S2420" s="63"/>
      <c r="T2420" s="63"/>
      <c r="U2420" s="63"/>
      <c r="V2420" s="63"/>
      <c r="W2420" s="63"/>
      <c r="X2420" s="63"/>
      <c r="Y2420" s="63"/>
      <c r="Z2420" s="63"/>
      <c r="AA2420" s="63"/>
      <c r="AB2420" s="63"/>
      <c r="AC2420" s="63"/>
    </row>
    <row r="2421" spans="1:29" x14ac:dyDescent="0.25">
      <c r="A2421" s="108">
        <v>46077</v>
      </c>
      <c r="B2421" s="128">
        <v>128</v>
      </c>
      <c r="C2421" s="49" t="s">
        <v>19</v>
      </c>
      <c r="D2421" s="110" t="str">
        <f>IF(ISBLANK($B2421),"",IFERROR(VLOOKUP($B2421,ESTOQUE!$B$2:$D$97168,3,FALSE),"Produto não cadastrado"))</f>
        <v>PERNEIRA PVC C/ VELCRO</v>
      </c>
      <c r="E2421" s="99" t="str">
        <f>_xlfn.XLOOKUP(B2421,ESTOQUE!B:B,ESTOQUE!G:G,"",0)</f>
        <v>PAR</v>
      </c>
      <c r="F2421" s="99">
        <v>2</v>
      </c>
      <c r="G2421" s="146"/>
      <c r="H2421" s="146"/>
      <c r="I2421" s="147"/>
      <c r="J2421" s="147"/>
      <c r="K2421" s="63"/>
      <c r="L2421" s="63"/>
      <c r="M2421" s="63"/>
      <c r="N2421" s="63"/>
      <c r="O2421" s="63"/>
      <c r="P2421" s="63"/>
      <c r="Q2421" s="63"/>
      <c r="R2421" s="63"/>
      <c r="S2421" s="63"/>
      <c r="T2421" s="63"/>
      <c r="U2421" s="63"/>
      <c r="V2421" s="63"/>
      <c r="W2421" s="63"/>
      <c r="X2421" s="63"/>
      <c r="Y2421" s="63"/>
      <c r="Z2421" s="63"/>
      <c r="AA2421" s="63"/>
      <c r="AB2421" s="63"/>
      <c r="AC2421" s="63"/>
    </row>
    <row r="2422" spans="1:29" x14ac:dyDescent="0.25">
      <c r="A2422" s="108">
        <v>46077</v>
      </c>
      <c r="B2422" s="128">
        <v>124</v>
      </c>
      <c r="C2422" s="49" t="s">
        <v>19</v>
      </c>
      <c r="D2422" s="110" t="str">
        <f>IF(ISBLANK($B2422),"",IFERROR(VLOOKUP($B2422,ESTOQUE!$B$2:$D$97168,3,FALSE),"Produto não cadastrado"))</f>
        <v xml:space="preserve">OCULOS DE PROTEÇÃO INCOLOR </v>
      </c>
      <c r="E2422" s="99" t="str">
        <f>_xlfn.XLOOKUP(B2422,ESTOQUE!B:B,ESTOQUE!G:G,"",0)</f>
        <v>UND</v>
      </c>
      <c r="F2422" s="99">
        <v>1</v>
      </c>
      <c r="G2422" s="146"/>
      <c r="H2422" s="146"/>
      <c r="I2422" s="147"/>
      <c r="J2422" s="147"/>
      <c r="K2422" s="63"/>
      <c r="L2422" s="63"/>
      <c r="M2422" s="63"/>
      <c r="N2422" s="63"/>
      <c r="O2422" s="63"/>
      <c r="P2422" s="63"/>
      <c r="Q2422" s="63"/>
      <c r="R2422" s="63"/>
      <c r="S2422" s="63"/>
      <c r="T2422" s="63"/>
      <c r="U2422" s="63"/>
      <c r="V2422" s="63"/>
      <c r="W2422" s="63"/>
      <c r="X2422" s="63"/>
      <c r="Y2422" s="63"/>
      <c r="Z2422" s="63"/>
      <c r="AA2422" s="63"/>
      <c r="AB2422" s="63"/>
      <c r="AC2422" s="63"/>
    </row>
    <row r="2423" spans="1:29" x14ac:dyDescent="0.25">
      <c r="A2423" s="108">
        <v>46077</v>
      </c>
      <c r="B2423" s="128">
        <v>161</v>
      </c>
      <c r="C2423" s="49" t="s">
        <v>19</v>
      </c>
      <c r="D2423" s="110" t="str">
        <f>IF(ISBLANK($B2423),"",IFERROR(VLOOKUP($B2423,ESTOQUE!$B$2:$D$97168,3,FALSE),"Produto não cadastrado"))</f>
        <v>JUGULAR</v>
      </c>
      <c r="E2423" s="99" t="str">
        <f>_xlfn.XLOOKUP(B2423,ESTOQUE!B:B,ESTOQUE!G:G,"",0)</f>
        <v>UND</v>
      </c>
      <c r="F2423" s="99">
        <v>10</v>
      </c>
      <c r="G2423" s="146"/>
      <c r="H2423" s="146"/>
      <c r="I2423" s="147"/>
      <c r="J2423" s="147"/>
      <c r="K2423" s="63"/>
      <c r="L2423" s="63"/>
      <c r="M2423" s="63"/>
      <c r="N2423" s="63"/>
      <c r="O2423" s="63"/>
      <c r="P2423" s="63"/>
      <c r="Q2423" s="63"/>
      <c r="R2423" s="63"/>
      <c r="S2423" s="63"/>
      <c r="T2423" s="63"/>
      <c r="U2423" s="63"/>
      <c r="V2423" s="63"/>
      <c r="W2423" s="63"/>
      <c r="X2423" s="63"/>
      <c r="Y2423" s="63"/>
      <c r="Z2423" s="63"/>
      <c r="AA2423" s="63"/>
      <c r="AB2423" s="63"/>
      <c r="AC2423" s="63"/>
    </row>
    <row r="2424" spans="1:29" x14ac:dyDescent="0.25">
      <c r="A2424" s="108">
        <v>46077</v>
      </c>
      <c r="B2424" s="128">
        <v>73</v>
      </c>
      <c r="C2424" s="49" t="s">
        <v>19</v>
      </c>
      <c r="D2424" s="110" t="str">
        <f>IF(ISBLANK($B2424),"",IFERROR(VLOOKUP($B2424,ESTOQUE!$B$2:$D$97168,3,FALSE),"Produto não cadastrado"))</f>
        <v>CAPA DE CHUVA GG</v>
      </c>
      <c r="E2424" s="99" t="str">
        <f>_xlfn.XLOOKUP(B2424,ESTOQUE!B:B,ESTOQUE!G:G,"",0)</f>
        <v>UND</v>
      </c>
      <c r="F2424" s="99">
        <v>2</v>
      </c>
      <c r="G2424" s="146"/>
      <c r="H2424" s="146"/>
      <c r="I2424" s="147"/>
      <c r="J2424" s="147"/>
      <c r="K2424" s="63"/>
      <c r="L2424" s="63"/>
      <c r="M2424" s="63"/>
      <c r="N2424" s="63"/>
      <c r="O2424" s="63"/>
      <c r="P2424" s="63"/>
      <c r="Q2424" s="63"/>
      <c r="R2424" s="63"/>
      <c r="S2424" s="63"/>
      <c r="T2424" s="63"/>
      <c r="U2424" s="63"/>
      <c r="V2424" s="63"/>
      <c r="W2424" s="63"/>
      <c r="X2424" s="63"/>
      <c r="Y2424" s="63"/>
      <c r="Z2424" s="63"/>
      <c r="AA2424" s="63"/>
      <c r="AB2424" s="63"/>
      <c r="AC2424" s="63"/>
    </row>
    <row r="2425" spans="1:29" x14ac:dyDescent="0.25">
      <c r="A2425" s="108">
        <v>46077</v>
      </c>
      <c r="B2425" s="128">
        <v>218</v>
      </c>
      <c r="C2425" s="49" t="s">
        <v>19</v>
      </c>
      <c r="D2425" s="110" t="str">
        <f>IF(ISBLANK($B2425),"",IFERROR(VLOOKUP($B2425,ESTOQUE!$B$2:$D$97168,3,FALSE),"Produto não cadastrado"))</f>
        <v>BOTINA SEGURANÇA METATARSO  41</v>
      </c>
      <c r="E2425" s="99" t="str">
        <f>_xlfn.XLOOKUP(B2425,ESTOQUE!B:B,ESTOQUE!G:G,"",0)</f>
        <v>PAR</v>
      </c>
      <c r="F2425" s="99">
        <v>1</v>
      </c>
      <c r="G2425" s="146"/>
      <c r="H2425" s="146"/>
      <c r="I2425" s="147"/>
      <c r="J2425" s="147"/>
      <c r="K2425" s="63"/>
      <c r="L2425" s="63"/>
      <c r="M2425" s="63"/>
      <c r="N2425" s="63"/>
      <c r="O2425" s="63"/>
      <c r="P2425" s="63"/>
      <c r="Q2425" s="63"/>
      <c r="R2425" s="63"/>
      <c r="S2425" s="63"/>
      <c r="T2425" s="63"/>
      <c r="U2425" s="63"/>
      <c r="V2425" s="63"/>
      <c r="W2425" s="63"/>
      <c r="X2425" s="63"/>
      <c r="Y2425" s="63"/>
      <c r="Z2425" s="63"/>
      <c r="AA2425" s="63"/>
      <c r="AB2425" s="63"/>
      <c r="AC2425" s="63"/>
    </row>
    <row r="2426" spans="1:29" x14ac:dyDescent="0.25">
      <c r="A2426" s="108">
        <v>46077</v>
      </c>
      <c r="B2426" s="128">
        <v>162</v>
      </c>
      <c r="C2426" s="49" t="s">
        <v>19</v>
      </c>
      <c r="D2426" s="110" t="str">
        <f>IF(ISBLANK($B2426),"",IFERROR(VLOOKUP($B2426,ESTOQUE!$B$2:$D$97168,3,FALSE),"Produto não cadastrado"))</f>
        <v>BOTINA DE ELETRICISTA Nº 42</v>
      </c>
      <c r="E2426" s="99" t="str">
        <f>_xlfn.XLOOKUP(B2426,ESTOQUE!B:B,ESTOQUE!G:G,"",0)</f>
        <v>PAR</v>
      </c>
      <c r="F2426" s="99">
        <v>1</v>
      </c>
      <c r="G2426" s="146"/>
      <c r="H2426" s="146"/>
      <c r="I2426" s="147"/>
      <c r="J2426" s="147"/>
      <c r="K2426" s="63"/>
      <c r="L2426" s="63"/>
      <c r="M2426" s="63"/>
      <c r="N2426" s="63"/>
      <c r="O2426" s="63"/>
      <c r="P2426" s="63"/>
      <c r="Q2426" s="63"/>
      <c r="R2426" s="63"/>
      <c r="S2426" s="63"/>
      <c r="T2426" s="63"/>
      <c r="U2426" s="63"/>
      <c r="V2426" s="63"/>
      <c r="W2426" s="63"/>
      <c r="X2426" s="63"/>
      <c r="Y2426" s="63"/>
      <c r="Z2426" s="63"/>
      <c r="AA2426" s="63"/>
      <c r="AB2426" s="63"/>
      <c r="AC2426" s="63"/>
    </row>
    <row r="2427" spans="1:29" x14ac:dyDescent="0.25">
      <c r="A2427" s="108">
        <v>46077</v>
      </c>
      <c r="B2427" s="128">
        <v>265</v>
      </c>
      <c r="C2427" s="49" t="s">
        <v>19</v>
      </c>
      <c r="D2427" s="110" t="str">
        <f>IF(ISBLANK($B2427),"",IFERROR(VLOOKUP($B2427,ESTOQUE!$B$2:$D$97168,3,FALSE),"Produto não cadastrado"))</f>
        <v xml:space="preserve">TALABARTE  DUPLO ARAMIDA </v>
      </c>
      <c r="E2427" s="99" t="str">
        <f>_xlfn.XLOOKUP(B2427,ESTOQUE!B:B,ESTOQUE!G:G,"",0)</f>
        <v>UND</v>
      </c>
      <c r="F2427" s="99">
        <v>10</v>
      </c>
      <c r="G2427" s="146"/>
      <c r="H2427" s="146"/>
      <c r="I2427" s="147"/>
      <c r="J2427" s="147"/>
      <c r="K2427" s="63"/>
      <c r="L2427" s="63"/>
      <c r="M2427" s="63"/>
      <c r="N2427" s="63"/>
      <c r="O2427" s="63"/>
      <c r="P2427" s="63"/>
      <c r="Q2427" s="63"/>
      <c r="R2427" s="63"/>
      <c r="S2427" s="63"/>
      <c r="T2427" s="63"/>
      <c r="U2427" s="63"/>
      <c r="V2427" s="63"/>
      <c r="W2427" s="63"/>
      <c r="X2427" s="63"/>
      <c r="Y2427" s="63"/>
      <c r="Z2427" s="63"/>
      <c r="AA2427" s="63"/>
      <c r="AB2427" s="63"/>
      <c r="AC2427" s="63"/>
    </row>
    <row r="2428" spans="1:29" x14ac:dyDescent="0.25">
      <c r="A2428" s="108">
        <v>46078</v>
      </c>
      <c r="B2428" s="128">
        <v>135</v>
      </c>
      <c r="C2428" s="49" t="s">
        <v>19</v>
      </c>
      <c r="D2428" s="110" t="str">
        <f>IF(ISBLANK($B2428),"",IFERROR(VLOOKUP($B2428,ESTOQUE!$B$2:$D$97168,3,FALSE),"Produto não cadastrado"))</f>
        <v>TALABARTE DUPLO TIPO Y</v>
      </c>
      <c r="E2428" s="99" t="str">
        <f>_xlfn.XLOOKUP(B2428,ESTOQUE!B:B,ESTOQUE!G:G,"",0)</f>
        <v>UND</v>
      </c>
      <c r="F2428" s="99">
        <v>2</v>
      </c>
      <c r="G2428" s="146"/>
      <c r="H2428" s="146"/>
      <c r="I2428" s="147"/>
      <c r="J2428" s="147"/>
      <c r="K2428" s="63"/>
      <c r="L2428" s="63"/>
      <c r="M2428" s="63"/>
      <c r="N2428" s="63"/>
      <c r="O2428" s="63"/>
      <c r="P2428" s="63"/>
      <c r="Q2428" s="63"/>
      <c r="R2428" s="63"/>
      <c r="S2428" s="63"/>
      <c r="T2428" s="63"/>
      <c r="U2428" s="63"/>
      <c r="V2428" s="63"/>
      <c r="W2428" s="63"/>
      <c r="X2428" s="63"/>
      <c r="Y2428" s="63"/>
      <c r="Z2428" s="63"/>
      <c r="AA2428" s="63"/>
      <c r="AB2428" s="63"/>
      <c r="AC2428" s="63"/>
    </row>
    <row r="2429" spans="1:29" x14ac:dyDescent="0.25">
      <c r="A2429" s="108">
        <v>46078</v>
      </c>
      <c r="B2429" s="128">
        <v>111</v>
      </c>
      <c r="C2429" s="49" t="s">
        <v>19</v>
      </c>
      <c r="D2429" s="110" t="str">
        <f>IF(ISBLANK($B2429),"",IFERROR(VLOOKUP($B2429,ESTOQUE!$B$2:$D$97168,3,FALSE),"Produto não cadastrado"))</f>
        <v>LUVA DE VAQUETA MARROM</v>
      </c>
      <c r="E2429" s="99" t="str">
        <f>_xlfn.XLOOKUP(B2429,ESTOQUE!B:B,ESTOQUE!G:G,"",0)</f>
        <v>PAR</v>
      </c>
      <c r="F2429" s="99">
        <v>30</v>
      </c>
      <c r="G2429" s="146"/>
      <c r="H2429" s="146"/>
      <c r="I2429" s="147"/>
      <c r="J2429" s="147"/>
      <c r="K2429" s="63"/>
      <c r="L2429" s="63"/>
      <c r="M2429" s="63"/>
      <c r="N2429" s="63"/>
      <c r="O2429" s="63"/>
      <c r="P2429" s="63"/>
      <c r="Q2429" s="63"/>
      <c r="R2429" s="63"/>
      <c r="S2429" s="63"/>
      <c r="T2429" s="63"/>
      <c r="U2429" s="63"/>
      <c r="V2429" s="63"/>
      <c r="W2429" s="63"/>
      <c r="X2429" s="63"/>
      <c r="Y2429" s="63"/>
      <c r="Z2429" s="63"/>
      <c r="AA2429" s="63"/>
      <c r="AB2429" s="63"/>
      <c r="AC2429" s="63"/>
    </row>
    <row r="2430" spans="1:29" x14ac:dyDescent="0.25">
      <c r="A2430" s="108">
        <v>46078</v>
      </c>
      <c r="B2430" s="128">
        <v>207</v>
      </c>
      <c r="C2430" s="49" t="s">
        <v>19</v>
      </c>
      <c r="D2430" s="110" t="str">
        <f>IF(ISBLANK($B2430),"",IFERROR(VLOOKUP($B2430,ESTOQUE!$B$2:$D$97168,3,FALSE),"Produto não cadastrado"))</f>
        <v>LUVA POLIESTER ANTICORTE BANHADA PU TAM 9</v>
      </c>
      <c r="E2430" s="99" t="str">
        <f>_xlfn.XLOOKUP(B2430,ESTOQUE!B:B,ESTOQUE!G:G,"",0)</f>
        <v>PAR</v>
      </c>
      <c r="F2430" s="99">
        <v>3</v>
      </c>
      <c r="G2430" s="146"/>
      <c r="H2430" s="146"/>
      <c r="I2430" s="147"/>
      <c r="J2430" s="147"/>
      <c r="K2430" s="63"/>
      <c r="L2430" s="63"/>
      <c r="M2430" s="63"/>
      <c r="N2430" s="63"/>
      <c r="O2430" s="63"/>
      <c r="P2430" s="63"/>
      <c r="Q2430" s="63"/>
      <c r="R2430" s="63"/>
      <c r="S2430" s="63"/>
      <c r="T2430" s="63"/>
      <c r="U2430" s="63"/>
      <c r="V2430" s="63"/>
      <c r="W2430" s="63"/>
      <c r="X2430" s="63"/>
      <c r="Y2430" s="63"/>
      <c r="Z2430" s="63"/>
      <c r="AA2430" s="63"/>
      <c r="AB2430" s="63"/>
      <c r="AC2430" s="63"/>
    </row>
    <row r="2431" spans="1:29" x14ac:dyDescent="0.25">
      <c r="A2431" s="108">
        <v>46078</v>
      </c>
      <c r="B2431" s="128">
        <v>67</v>
      </c>
      <c r="C2431" s="49" t="s">
        <v>19</v>
      </c>
      <c r="D2431" s="110" t="str">
        <f>IF(ISBLANK($B2431),"",IFERROR(VLOOKUP($B2431,ESTOQUE!$B$2:$D$97168,3,FALSE),"Produto não cadastrado"))</f>
        <v>CAMISA LARANJA OP. C/ FAIXA REFLETIVA TAM: G</v>
      </c>
      <c r="E2431" s="99" t="str">
        <f>_xlfn.XLOOKUP(B2431,ESTOQUE!B:B,ESTOQUE!G:G,"",0)</f>
        <v>UND</v>
      </c>
      <c r="F2431" s="99">
        <v>1</v>
      </c>
      <c r="G2431" s="146"/>
      <c r="H2431" s="146"/>
      <c r="I2431" s="147"/>
      <c r="J2431" s="147"/>
      <c r="K2431" s="63"/>
      <c r="L2431" s="63"/>
      <c r="M2431" s="63"/>
      <c r="N2431" s="63"/>
      <c r="O2431" s="63"/>
      <c r="P2431" s="63"/>
      <c r="Q2431" s="63"/>
      <c r="R2431" s="63"/>
      <c r="S2431" s="63"/>
      <c r="T2431" s="63"/>
      <c r="U2431" s="63"/>
      <c r="V2431" s="63"/>
      <c r="W2431" s="63"/>
      <c r="X2431" s="63"/>
      <c r="Y2431" s="63"/>
      <c r="Z2431" s="63"/>
      <c r="AA2431" s="63"/>
      <c r="AB2431" s="63"/>
      <c r="AC2431" s="63"/>
    </row>
    <row r="2432" spans="1:29" x14ac:dyDescent="0.25">
      <c r="A2432" s="108">
        <v>46078</v>
      </c>
      <c r="B2432" s="128">
        <v>49</v>
      </c>
      <c r="C2432" s="49" t="s">
        <v>19</v>
      </c>
      <c r="D2432" s="110" t="str">
        <f>IF(ISBLANK($B2432),"",IFERROR(VLOOKUP($B2432,ESTOQUE!$B$2:$D$97168,3,FALSE),"Produto não cadastrado"))</f>
        <v>CALÇA CINZA OP. C/ FAIXA REFLETIVA TAM: P</v>
      </c>
      <c r="E2432" s="99" t="str">
        <f>_xlfn.XLOOKUP(B2432,ESTOQUE!B:B,ESTOQUE!G:G,"",0)</f>
        <v>UND</v>
      </c>
      <c r="F2432" s="99">
        <v>1</v>
      </c>
      <c r="G2432" s="146"/>
      <c r="H2432" s="146"/>
      <c r="I2432" s="147"/>
      <c r="J2432" s="147"/>
      <c r="K2432" s="63"/>
      <c r="L2432" s="63"/>
      <c r="M2432" s="63"/>
      <c r="N2432" s="63"/>
      <c r="O2432" s="63"/>
      <c r="P2432" s="63"/>
      <c r="Q2432" s="63"/>
      <c r="R2432" s="63"/>
      <c r="S2432" s="63"/>
      <c r="T2432" s="63"/>
      <c r="U2432" s="63"/>
      <c r="V2432" s="63"/>
      <c r="W2432" s="63"/>
      <c r="X2432" s="63"/>
      <c r="Y2432" s="63"/>
      <c r="Z2432" s="63"/>
      <c r="AA2432" s="63"/>
      <c r="AB2432" s="63"/>
      <c r="AC2432" s="63"/>
    </row>
    <row r="2433" spans="1:29" x14ac:dyDescent="0.25">
      <c r="A2433" s="108">
        <v>46078</v>
      </c>
      <c r="B2433" s="128">
        <v>162</v>
      </c>
      <c r="C2433" s="49" t="s">
        <v>19</v>
      </c>
      <c r="D2433" s="110" t="str">
        <f>IF(ISBLANK($B2433),"",IFERROR(VLOOKUP($B2433,ESTOQUE!$B$2:$D$97168,3,FALSE),"Produto não cadastrado"))</f>
        <v>BOTINA DE ELETRICISTA Nº 42</v>
      </c>
      <c r="E2433" s="99" t="str">
        <f>_xlfn.XLOOKUP(B2433,ESTOQUE!B:B,ESTOQUE!G:G,"",0)</f>
        <v>PAR</v>
      </c>
      <c r="F2433" s="99">
        <v>1</v>
      </c>
      <c r="G2433" s="146"/>
      <c r="H2433" s="146"/>
      <c r="I2433" s="147"/>
      <c r="J2433" s="147"/>
      <c r="K2433" s="63"/>
      <c r="L2433" s="63"/>
      <c r="M2433" s="63"/>
      <c r="N2433" s="63"/>
      <c r="O2433" s="63"/>
      <c r="P2433" s="63"/>
      <c r="Q2433" s="63"/>
      <c r="R2433" s="63"/>
      <c r="S2433" s="63"/>
      <c r="T2433" s="63"/>
      <c r="U2433" s="63"/>
      <c r="V2433" s="63"/>
      <c r="W2433" s="63"/>
      <c r="X2433" s="63"/>
      <c r="Y2433" s="63"/>
      <c r="Z2433" s="63"/>
      <c r="AA2433" s="63"/>
      <c r="AB2433" s="63"/>
      <c r="AC2433" s="63"/>
    </row>
    <row r="2434" spans="1:29" x14ac:dyDescent="0.25">
      <c r="A2434" s="108">
        <v>46078</v>
      </c>
      <c r="B2434" s="128">
        <v>42</v>
      </c>
      <c r="C2434" s="49" t="s">
        <v>19</v>
      </c>
      <c r="D2434" s="110" t="str">
        <f>IF(ISBLANK($B2434),"",IFERROR(VLOOKUP($B2434,ESTOQUE!$B$2:$D$97168,3,FALSE),"Produto não cadastrado"))</f>
        <v>BOTINA OP. BICO PVC Nº 44</v>
      </c>
      <c r="E2434" s="99" t="str">
        <f>_xlfn.XLOOKUP(B2434,ESTOQUE!B:B,ESTOQUE!G:G,"",0)</f>
        <v>PAR</v>
      </c>
      <c r="F2434" s="99">
        <v>1</v>
      </c>
      <c r="G2434" s="146"/>
      <c r="H2434" s="146"/>
      <c r="I2434" s="147"/>
      <c r="J2434" s="147"/>
      <c r="K2434" s="63"/>
      <c r="L2434" s="63"/>
      <c r="M2434" s="63"/>
      <c r="N2434" s="63"/>
      <c r="O2434" s="63"/>
      <c r="P2434" s="63"/>
      <c r="Q2434" s="63"/>
      <c r="R2434" s="63"/>
      <c r="S2434" s="63"/>
      <c r="T2434" s="63"/>
      <c r="U2434" s="63"/>
      <c r="V2434" s="63"/>
      <c r="W2434" s="63"/>
      <c r="X2434" s="63"/>
      <c r="Y2434" s="63"/>
      <c r="Z2434" s="63"/>
      <c r="AA2434" s="63"/>
      <c r="AB2434" s="63"/>
      <c r="AC2434" s="63"/>
    </row>
    <row r="2435" spans="1:29" x14ac:dyDescent="0.25">
      <c r="A2435" s="108">
        <v>46078</v>
      </c>
      <c r="B2435" s="128">
        <v>114</v>
      </c>
      <c r="C2435" s="49" t="s">
        <v>19</v>
      </c>
      <c r="D2435" s="110" t="str">
        <f>IF(ISBLANK($B2435),"",IFERROR(VLOOKUP($B2435,ESTOQUE!$B$2:$D$97168,3,FALSE),"Produto não cadastrado"))</f>
        <v xml:space="preserve">LUVA LATEX NITRILICA </v>
      </c>
      <c r="E2435" s="99" t="str">
        <f>_xlfn.XLOOKUP(B2435,ESTOQUE!B:B,ESTOQUE!G:G,"",0)</f>
        <v>PAR</v>
      </c>
      <c r="F2435" s="99">
        <v>1</v>
      </c>
      <c r="G2435" s="146"/>
      <c r="H2435" s="146"/>
      <c r="I2435" s="147"/>
      <c r="J2435" s="147"/>
      <c r="K2435" s="63"/>
      <c r="L2435" s="63"/>
      <c r="M2435" s="63"/>
      <c r="N2435" s="63"/>
      <c r="O2435" s="63"/>
      <c r="P2435" s="63"/>
      <c r="Q2435" s="63"/>
      <c r="R2435" s="63"/>
      <c r="S2435" s="63"/>
      <c r="T2435" s="63"/>
      <c r="U2435" s="63"/>
      <c r="V2435" s="63"/>
      <c r="W2435" s="63"/>
      <c r="X2435" s="63"/>
      <c r="Y2435" s="63"/>
      <c r="Z2435" s="63"/>
      <c r="AA2435" s="63"/>
      <c r="AB2435" s="63"/>
      <c r="AC2435" s="63"/>
    </row>
    <row r="2436" spans="1:29" x14ac:dyDescent="0.25">
      <c r="A2436" s="108">
        <v>46078</v>
      </c>
      <c r="B2436" s="128">
        <v>124</v>
      </c>
      <c r="C2436" s="49" t="s">
        <v>19</v>
      </c>
      <c r="D2436" s="110" t="str">
        <f>IF(ISBLANK($B2436),"",IFERROR(VLOOKUP($B2436,ESTOQUE!$B$2:$D$97168,3,FALSE),"Produto não cadastrado"))</f>
        <v xml:space="preserve">OCULOS DE PROTEÇÃO INCOLOR </v>
      </c>
      <c r="E2436" s="99" t="str">
        <f>_xlfn.XLOOKUP(B2436,ESTOQUE!B:B,ESTOQUE!G:G,"",0)</f>
        <v>UND</v>
      </c>
      <c r="F2436" s="99">
        <v>1</v>
      </c>
      <c r="G2436" s="146"/>
      <c r="H2436" s="146"/>
      <c r="I2436" s="147"/>
      <c r="J2436" s="147"/>
      <c r="K2436" s="63"/>
      <c r="L2436" s="63"/>
      <c r="M2436" s="63"/>
      <c r="N2436" s="63"/>
      <c r="O2436" s="63"/>
      <c r="P2436" s="63"/>
      <c r="Q2436" s="63"/>
      <c r="R2436" s="63"/>
      <c r="S2436" s="63"/>
      <c r="T2436" s="63"/>
      <c r="U2436" s="63"/>
      <c r="V2436" s="63"/>
      <c r="W2436" s="63"/>
      <c r="X2436" s="63"/>
      <c r="Y2436" s="63"/>
      <c r="Z2436" s="63"/>
      <c r="AA2436" s="63"/>
      <c r="AB2436" s="63"/>
      <c r="AC2436" s="63"/>
    </row>
    <row r="2437" spans="1:29" x14ac:dyDescent="0.25">
      <c r="A2437" s="108">
        <v>46078</v>
      </c>
      <c r="B2437" s="128">
        <v>48</v>
      </c>
      <c r="C2437" s="49" t="s">
        <v>19</v>
      </c>
      <c r="D2437" s="110" t="str">
        <f>IF(ISBLANK($B2437),"",IFERROR(VLOOKUP($B2437,ESTOQUE!$B$2:$D$97168,3,FALSE),"Produto não cadastrado"))</f>
        <v>CALÇA CINZA OP. C/ FAIXA REFLETIVA TAM: M</v>
      </c>
      <c r="E2437" s="99" t="str">
        <f>_xlfn.XLOOKUP(B2437,ESTOQUE!B:B,ESTOQUE!G:G,"",0)</f>
        <v>UND</v>
      </c>
      <c r="F2437" s="99">
        <v>1</v>
      </c>
      <c r="G2437" s="146"/>
      <c r="H2437" s="146"/>
      <c r="I2437" s="147"/>
      <c r="J2437" s="147"/>
      <c r="K2437" s="63"/>
      <c r="L2437" s="63"/>
      <c r="M2437" s="63"/>
      <c r="N2437" s="63"/>
      <c r="O2437" s="63"/>
      <c r="P2437" s="63"/>
      <c r="Q2437" s="63"/>
      <c r="R2437" s="63"/>
      <c r="S2437" s="63"/>
      <c r="T2437" s="63"/>
      <c r="U2437" s="63"/>
      <c r="V2437" s="63"/>
      <c r="W2437" s="63"/>
      <c r="X2437" s="63"/>
      <c r="Y2437" s="63"/>
      <c r="Z2437" s="63"/>
      <c r="AA2437" s="63"/>
      <c r="AB2437" s="63"/>
      <c r="AC2437" s="63"/>
    </row>
    <row r="2438" spans="1:29" x14ac:dyDescent="0.25">
      <c r="A2438" s="108">
        <v>46078</v>
      </c>
      <c r="B2438" s="128">
        <v>126</v>
      </c>
      <c r="C2438" s="49" t="s">
        <v>19</v>
      </c>
      <c r="D2438" s="110" t="str">
        <f>IF(ISBLANK($B2438),"",IFERROR(VLOOKUP($B2438,ESTOQUE!$B$2:$D$97168,3,FALSE),"Produto não cadastrado"))</f>
        <v>OCULOS DE PROTEÇÃO ESCURO</v>
      </c>
      <c r="E2438" s="99" t="str">
        <f>_xlfn.XLOOKUP(B2438,ESTOQUE!B:B,ESTOQUE!G:G,"",0)</f>
        <v>UND</v>
      </c>
      <c r="F2438" s="99">
        <v>2</v>
      </c>
      <c r="G2438" s="146"/>
      <c r="H2438" s="146"/>
      <c r="I2438" s="147"/>
      <c r="J2438" s="147"/>
      <c r="K2438" s="63"/>
      <c r="L2438" s="63"/>
      <c r="M2438" s="63"/>
      <c r="N2438" s="63"/>
      <c r="O2438" s="63"/>
      <c r="P2438" s="63"/>
      <c r="Q2438" s="63"/>
      <c r="R2438" s="63"/>
      <c r="S2438" s="63"/>
      <c r="T2438" s="63"/>
      <c r="U2438" s="63"/>
      <c r="V2438" s="63"/>
      <c r="W2438" s="63"/>
      <c r="X2438" s="63"/>
      <c r="Y2438" s="63"/>
      <c r="Z2438" s="63"/>
      <c r="AA2438" s="63"/>
      <c r="AB2438" s="63"/>
      <c r="AC2438" s="63"/>
    </row>
    <row r="2439" spans="1:29" x14ac:dyDescent="0.25">
      <c r="A2439" s="108">
        <v>46078</v>
      </c>
      <c r="B2439" s="128">
        <v>111</v>
      </c>
      <c r="C2439" s="49" t="s">
        <v>19</v>
      </c>
      <c r="D2439" s="110" t="str">
        <f>IF(ISBLANK($B2439),"",IFERROR(VLOOKUP($B2439,ESTOQUE!$B$2:$D$97168,3,FALSE),"Produto não cadastrado"))</f>
        <v>LUVA DE VAQUETA MARROM</v>
      </c>
      <c r="E2439" s="99" t="str">
        <f>_xlfn.XLOOKUP(B2439,ESTOQUE!B:B,ESTOQUE!G:G,"",0)</f>
        <v>PAR</v>
      </c>
      <c r="F2439" s="99">
        <v>0</v>
      </c>
      <c r="G2439" s="146"/>
      <c r="H2439" s="146"/>
      <c r="I2439" s="147"/>
      <c r="J2439" s="147"/>
      <c r="K2439" s="63"/>
      <c r="L2439" s="63"/>
      <c r="M2439" s="63"/>
      <c r="N2439" s="63"/>
      <c r="O2439" s="63"/>
      <c r="P2439" s="63"/>
      <c r="Q2439" s="63"/>
      <c r="R2439" s="63"/>
      <c r="S2439" s="63"/>
      <c r="T2439" s="63"/>
      <c r="U2439" s="63"/>
      <c r="V2439" s="63"/>
      <c r="W2439" s="63"/>
      <c r="X2439" s="63"/>
      <c r="Y2439" s="63"/>
      <c r="Z2439" s="63"/>
      <c r="AA2439" s="63"/>
      <c r="AB2439" s="63"/>
      <c r="AC2439" s="63"/>
    </row>
    <row r="2440" spans="1:29" x14ac:dyDescent="0.25">
      <c r="A2440" s="108">
        <v>46078</v>
      </c>
      <c r="B2440" s="128">
        <v>69</v>
      </c>
      <c r="C2440" s="49" t="s">
        <v>19</v>
      </c>
      <c r="D2440" s="110" t="str">
        <f>IF(ISBLANK($B2440),"",IFERROR(VLOOKUP($B2440,ESTOQUE!$B$2:$D$97168,3,FALSE),"Produto não cadastrado"))</f>
        <v>CAMISA LARANJA OP. C/ FAIXA REFLETIVA TAM: M</v>
      </c>
      <c r="E2440" s="99" t="str">
        <f>_xlfn.XLOOKUP(B2440,ESTOQUE!B:B,ESTOQUE!G:G,"",0)</f>
        <v>UND</v>
      </c>
      <c r="F2440" s="99">
        <v>1</v>
      </c>
      <c r="G2440" s="146"/>
      <c r="H2440" s="146"/>
      <c r="I2440" s="147"/>
      <c r="J2440" s="147"/>
      <c r="K2440" s="63"/>
      <c r="L2440" s="63"/>
      <c r="M2440" s="63"/>
      <c r="N2440" s="63"/>
      <c r="O2440" s="63"/>
      <c r="P2440" s="63"/>
      <c r="Q2440" s="63"/>
      <c r="R2440" s="63"/>
      <c r="S2440" s="63"/>
      <c r="T2440" s="63"/>
      <c r="U2440" s="63"/>
      <c r="V2440" s="63"/>
      <c r="W2440" s="63"/>
      <c r="X2440" s="63"/>
      <c r="Y2440" s="63"/>
      <c r="Z2440" s="63"/>
      <c r="AA2440" s="63"/>
      <c r="AB2440" s="63"/>
      <c r="AC2440" s="63"/>
    </row>
    <row r="2441" spans="1:29" x14ac:dyDescent="0.25">
      <c r="A2441" s="108">
        <v>46078</v>
      </c>
      <c r="B2441" s="128">
        <v>139</v>
      </c>
      <c r="C2441" s="49" t="s">
        <v>19</v>
      </c>
      <c r="D2441" s="110" t="str">
        <f>IF(ISBLANK($B2441),"",IFERROR(VLOOKUP($B2441,ESTOQUE!$B$2:$D$97168,3,FALSE),"Produto não cadastrado"))</f>
        <v>PROTETOR AURICULAR TIPO PLUG</v>
      </c>
      <c r="E2441" s="99" t="str">
        <f>_xlfn.XLOOKUP(B2441,ESTOQUE!B:B,ESTOQUE!G:G,"",0)</f>
        <v>UND</v>
      </c>
      <c r="F2441" s="99">
        <v>8</v>
      </c>
      <c r="G2441" s="146"/>
      <c r="H2441" s="146"/>
      <c r="I2441" s="147"/>
      <c r="J2441" s="147"/>
      <c r="K2441" s="63"/>
      <c r="L2441" s="63"/>
      <c r="M2441" s="63"/>
      <c r="N2441" s="63"/>
      <c r="O2441" s="63"/>
      <c r="P2441" s="63"/>
      <c r="Q2441" s="63"/>
      <c r="R2441" s="63"/>
      <c r="S2441" s="63"/>
      <c r="T2441" s="63"/>
      <c r="U2441" s="63"/>
      <c r="V2441" s="63"/>
      <c r="W2441" s="63"/>
      <c r="X2441" s="63"/>
      <c r="Y2441" s="63"/>
      <c r="Z2441" s="63"/>
      <c r="AA2441" s="63"/>
      <c r="AB2441" s="63"/>
      <c r="AC2441" s="63"/>
    </row>
    <row r="2442" spans="1:29" x14ac:dyDescent="0.25">
      <c r="A2442" s="108">
        <v>46079</v>
      </c>
      <c r="B2442" s="128">
        <v>126</v>
      </c>
      <c r="C2442" s="49" t="s">
        <v>19</v>
      </c>
      <c r="D2442" s="110" t="str">
        <f>IF(ISBLANK($B2442),"",IFERROR(VLOOKUP($B2442,ESTOQUE!$B$2:$D$97168,3,FALSE),"Produto não cadastrado"))</f>
        <v>OCULOS DE PROTEÇÃO ESCURO</v>
      </c>
      <c r="E2442" s="99" t="str">
        <f>_xlfn.XLOOKUP(B2442,ESTOQUE!B:B,ESTOQUE!G:G,"",0)</f>
        <v>UND</v>
      </c>
      <c r="F2442" s="99">
        <v>87</v>
      </c>
      <c r="G2442" s="146"/>
      <c r="H2442" s="146"/>
      <c r="I2442" s="147"/>
      <c r="J2442" s="147"/>
      <c r="K2442" s="63"/>
      <c r="L2442" s="63"/>
      <c r="M2442" s="63"/>
      <c r="N2442" s="63"/>
      <c r="O2442" s="63"/>
      <c r="P2442" s="63"/>
      <c r="Q2442" s="63"/>
      <c r="R2442" s="63"/>
      <c r="S2442" s="63"/>
      <c r="T2442" s="63"/>
      <c r="U2442" s="63"/>
      <c r="V2442" s="63"/>
      <c r="W2442" s="63"/>
      <c r="X2442" s="63"/>
      <c r="Y2442" s="63"/>
      <c r="Z2442" s="63"/>
      <c r="AA2442" s="63"/>
      <c r="AB2442" s="63"/>
      <c r="AC2442" s="63"/>
    </row>
    <row r="2443" spans="1:29" x14ac:dyDescent="0.25">
      <c r="A2443" s="108">
        <v>46079</v>
      </c>
      <c r="B2443" s="128">
        <v>129</v>
      </c>
      <c r="C2443" s="49" t="s">
        <v>19</v>
      </c>
      <c r="D2443" s="110" t="str">
        <f>IF(ISBLANK($B2443),"",IFERROR(VLOOKUP($B2443,ESTOQUE!$B$2:$D$97168,3,FALSE),"Produto não cadastrado"))</f>
        <v>PERNEIRA DE RASPA</v>
      </c>
      <c r="E2443" s="99" t="str">
        <f>_xlfn.XLOOKUP(B2443,ESTOQUE!B:B,ESTOQUE!G:G,"",0)</f>
        <v>PAR</v>
      </c>
      <c r="F2443" s="99">
        <v>22</v>
      </c>
      <c r="G2443" s="146"/>
      <c r="H2443" s="146"/>
      <c r="I2443" s="147"/>
      <c r="J2443" s="147"/>
      <c r="K2443" s="63"/>
      <c r="L2443" s="63"/>
      <c r="M2443" s="63"/>
      <c r="N2443" s="63"/>
      <c r="O2443" s="63"/>
      <c r="P2443" s="63"/>
      <c r="Q2443" s="63"/>
      <c r="R2443" s="63"/>
      <c r="S2443" s="63"/>
      <c r="T2443" s="63"/>
      <c r="U2443" s="63"/>
      <c r="V2443" s="63"/>
      <c r="W2443" s="63"/>
      <c r="X2443" s="63"/>
      <c r="Y2443" s="63"/>
      <c r="Z2443" s="63"/>
      <c r="AA2443" s="63"/>
      <c r="AB2443" s="63"/>
      <c r="AC2443" s="63"/>
    </row>
    <row r="2444" spans="1:29" x14ac:dyDescent="0.25">
      <c r="A2444" s="108">
        <v>46079</v>
      </c>
      <c r="B2444" s="128">
        <v>1</v>
      </c>
      <c r="C2444" s="49" t="s">
        <v>19</v>
      </c>
      <c r="D2444" s="110" t="str">
        <f>IF(ISBLANK($B2444),"",IFERROR(VLOOKUP($B2444,ESTOQUE!$B$2:$D$97168,3,FALSE),"Produto não cadastrado"))</f>
        <v>ABAFADOR DE RUIDOS TIPO CONCHA</v>
      </c>
      <c r="E2444" s="99" t="str">
        <f>_xlfn.XLOOKUP(B2444,ESTOQUE!B:B,ESTOQUE!G:G,"",0)</f>
        <v>UND</v>
      </c>
      <c r="F2444" s="99">
        <v>1</v>
      </c>
      <c r="G2444" s="146"/>
      <c r="H2444" s="146"/>
      <c r="I2444" s="147"/>
      <c r="J2444" s="147"/>
      <c r="K2444" s="63"/>
      <c r="L2444" s="63"/>
      <c r="M2444" s="63"/>
      <c r="N2444" s="63"/>
      <c r="O2444" s="63"/>
      <c r="P2444" s="63"/>
      <c r="Q2444" s="63"/>
      <c r="R2444" s="63"/>
      <c r="S2444" s="63"/>
      <c r="T2444" s="63"/>
      <c r="U2444" s="63"/>
      <c r="V2444" s="63"/>
      <c r="W2444" s="63"/>
      <c r="X2444" s="63"/>
      <c r="Y2444" s="63"/>
      <c r="Z2444" s="63"/>
      <c r="AA2444" s="63"/>
      <c r="AB2444" s="63"/>
      <c r="AC2444" s="63"/>
    </row>
    <row r="2445" spans="1:29" x14ac:dyDescent="0.25">
      <c r="A2445" s="108">
        <v>46079</v>
      </c>
      <c r="B2445" s="128">
        <v>38</v>
      </c>
      <c r="C2445" s="49" t="s">
        <v>19</v>
      </c>
      <c r="D2445" s="110" t="str">
        <f>IF(ISBLANK($B2445),"",IFERROR(VLOOKUP($B2445,ESTOQUE!$B$2:$D$97168,3,FALSE),"Produto não cadastrado"))</f>
        <v>BOTINA OP. BICO PVC Nº 40</v>
      </c>
      <c r="E2445" s="99" t="str">
        <f>_xlfn.XLOOKUP(B2445,ESTOQUE!B:B,ESTOQUE!G:G,"",0)</f>
        <v>PAR</v>
      </c>
      <c r="F2445" s="99">
        <v>1</v>
      </c>
      <c r="G2445" s="146"/>
      <c r="H2445" s="146"/>
      <c r="I2445" s="147"/>
      <c r="J2445" s="147"/>
      <c r="K2445" s="63"/>
      <c r="L2445" s="63"/>
      <c r="M2445" s="63"/>
      <c r="N2445" s="63"/>
      <c r="O2445" s="63"/>
      <c r="P2445" s="63"/>
      <c r="Q2445" s="63"/>
      <c r="R2445" s="63"/>
      <c r="S2445" s="63"/>
      <c r="T2445" s="63"/>
      <c r="U2445" s="63"/>
      <c r="V2445" s="63"/>
      <c r="W2445" s="63"/>
      <c r="X2445" s="63"/>
      <c r="Y2445" s="63"/>
      <c r="Z2445" s="63"/>
      <c r="AA2445" s="63"/>
      <c r="AB2445" s="63"/>
      <c r="AC2445" s="63"/>
    </row>
    <row r="2446" spans="1:29" x14ac:dyDescent="0.25">
      <c r="A2446" s="108">
        <v>46079</v>
      </c>
      <c r="B2446" s="128">
        <v>40</v>
      </c>
      <c r="C2446" s="49" t="s">
        <v>19</v>
      </c>
      <c r="D2446" s="110" t="str">
        <f>IF(ISBLANK($B2446),"",IFERROR(VLOOKUP($B2446,ESTOQUE!$B$2:$D$97168,3,FALSE),"Produto não cadastrado"))</f>
        <v>BOTINA OP. BICO PVC Nº 42</v>
      </c>
      <c r="E2446" s="99" t="str">
        <f>_xlfn.XLOOKUP(B2446,ESTOQUE!B:B,ESTOQUE!G:G,"",0)</f>
        <v>PAR</v>
      </c>
      <c r="F2446" s="99">
        <v>2</v>
      </c>
      <c r="G2446" s="146"/>
      <c r="H2446" s="146"/>
      <c r="I2446" s="147"/>
      <c r="J2446" s="147"/>
      <c r="K2446" s="63"/>
      <c r="L2446" s="63"/>
      <c r="M2446" s="63"/>
      <c r="N2446" s="63"/>
      <c r="O2446" s="63"/>
      <c r="P2446" s="63"/>
      <c r="Q2446" s="63"/>
      <c r="R2446" s="63"/>
      <c r="S2446" s="63"/>
      <c r="T2446" s="63"/>
      <c r="U2446" s="63"/>
      <c r="V2446" s="63"/>
      <c r="W2446" s="63"/>
      <c r="X2446" s="63"/>
      <c r="Y2446" s="63"/>
      <c r="Z2446" s="63"/>
      <c r="AA2446" s="63"/>
      <c r="AB2446" s="63"/>
      <c r="AC2446" s="63"/>
    </row>
    <row r="2447" spans="1:29" x14ac:dyDescent="0.25">
      <c r="A2447" s="108">
        <v>46079</v>
      </c>
      <c r="B2447" s="128">
        <v>42</v>
      </c>
      <c r="C2447" s="49" t="s">
        <v>19</v>
      </c>
      <c r="D2447" s="110" t="str">
        <f>IF(ISBLANK($B2447),"",IFERROR(VLOOKUP($B2447,ESTOQUE!$B$2:$D$97168,3,FALSE),"Produto não cadastrado"))</f>
        <v>BOTINA OP. BICO PVC Nº 44</v>
      </c>
      <c r="E2447" s="99" t="str">
        <f>_xlfn.XLOOKUP(B2447,ESTOQUE!B:B,ESTOQUE!G:G,"",0)</f>
        <v>PAR</v>
      </c>
      <c r="F2447" s="99">
        <v>1</v>
      </c>
      <c r="G2447" s="146"/>
      <c r="H2447" s="146"/>
      <c r="I2447" s="147"/>
      <c r="J2447" s="147"/>
      <c r="K2447" s="63"/>
      <c r="L2447" s="63"/>
      <c r="M2447" s="63"/>
      <c r="N2447" s="63"/>
      <c r="O2447" s="63"/>
      <c r="P2447" s="63"/>
      <c r="Q2447" s="63"/>
      <c r="R2447" s="63"/>
      <c r="S2447" s="63"/>
      <c r="T2447" s="63"/>
      <c r="U2447" s="63"/>
      <c r="V2447" s="63"/>
      <c r="W2447" s="63"/>
      <c r="X2447" s="63"/>
      <c r="Y2447" s="63"/>
      <c r="Z2447" s="63"/>
      <c r="AA2447" s="63"/>
      <c r="AB2447" s="63"/>
      <c r="AC2447" s="63"/>
    </row>
    <row r="2448" spans="1:29" x14ac:dyDescent="0.25">
      <c r="A2448" s="108">
        <v>46079</v>
      </c>
      <c r="B2448" s="128">
        <v>43</v>
      </c>
      <c r="C2448" s="49" t="s">
        <v>19</v>
      </c>
      <c r="D2448" s="110" t="str">
        <f>IF(ISBLANK($B2448),"",IFERROR(VLOOKUP($B2448,ESTOQUE!$B$2:$D$97168,3,FALSE),"Produto não cadastrado"))</f>
        <v>BOTINA OP. BICO PVC Nº 45</v>
      </c>
      <c r="E2448" s="99" t="str">
        <f>_xlfn.XLOOKUP(B2448,ESTOQUE!B:B,ESTOQUE!G:G,"",0)</f>
        <v>PAR</v>
      </c>
      <c r="F2448" s="99">
        <v>1</v>
      </c>
      <c r="G2448" s="146"/>
      <c r="H2448" s="146"/>
      <c r="I2448" s="147"/>
      <c r="J2448" s="147"/>
      <c r="K2448" s="63"/>
      <c r="L2448" s="63"/>
      <c r="M2448" s="63"/>
      <c r="N2448" s="63"/>
      <c r="O2448" s="63"/>
      <c r="P2448" s="63"/>
      <c r="Q2448" s="63"/>
      <c r="R2448" s="63"/>
      <c r="S2448" s="63"/>
      <c r="T2448" s="63"/>
      <c r="U2448" s="63"/>
      <c r="V2448" s="63"/>
      <c r="W2448" s="63"/>
      <c r="X2448" s="63"/>
      <c r="Y2448" s="63"/>
      <c r="Z2448" s="63"/>
      <c r="AA2448" s="63"/>
      <c r="AB2448" s="63"/>
      <c r="AC2448" s="63"/>
    </row>
    <row r="2449" spans="1:29" x14ac:dyDescent="0.25">
      <c r="A2449" s="108">
        <v>46079</v>
      </c>
      <c r="B2449" s="128">
        <v>218</v>
      </c>
      <c r="C2449" s="49" t="s">
        <v>19</v>
      </c>
      <c r="D2449" s="110" t="str">
        <f>IF(ISBLANK($B2449),"",IFERROR(VLOOKUP($B2449,ESTOQUE!$B$2:$D$97168,3,FALSE),"Produto não cadastrado"))</f>
        <v>BOTINA SEGURANÇA METATARSO  41</v>
      </c>
      <c r="E2449" s="99" t="str">
        <f>_xlfn.XLOOKUP(B2449,ESTOQUE!B:B,ESTOQUE!G:G,"",0)</f>
        <v>PAR</v>
      </c>
      <c r="F2449" s="99">
        <v>1</v>
      </c>
      <c r="G2449" s="146"/>
      <c r="H2449" s="146"/>
      <c r="I2449" s="147"/>
      <c r="J2449" s="147"/>
      <c r="K2449" s="63"/>
      <c r="L2449" s="63"/>
      <c r="M2449" s="63"/>
      <c r="N2449" s="63"/>
      <c r="O2449" s="63"/>
      <c r="P2449" s="63"/>
      <c r="Q2449" s="63"/>
      <c r="R2449" s="63"/>
      <c r="S2449" s="63"/>
      <c r="T2449" s="63"/>
      <c r="U2449" s="63"/>
      <c r="V2449" s="63"/>
      <c r="W2449" s="63"/>
      <c r="X2449" s="63"/>
      <c r="Y2449" s="63"/>
      <c r="Z2449" s="63"/>
      <c r="AA2449" s="63"/>
      <c r="AB2449" s="63"/>
      <c r="AC2449" s="63"/>
    </row>
    <row r="2450" spans="1:29" x14ac:dyDescent="0.25">
      <c r="A2450" s="108">
        <v>46079</v>
      </c>
      <c r="B2450" s="128">
        <v>111</v>
      </c>
      <c r="C2450" s="49" t="s">
        <v>19</v>
      </c>
      <c r="D2450" s="110" t="str">
        <f>IF(ISBLANK($B2450),"",IFERROR(VLOOKUP($B2450,ESTOQUE!$B$2:$D$97168,3,FALSE),"Produto não cadastrado"))</f>
        <v>LUVA DE VAQUETA MARROM</v>
      </c>
      <c r="E2450" s="99" t="str">
        <f>_xlfn.XLOOKUP(B2450,ESTOQUE!B:B,ESTOQUE!G:G,"",0)</f>
        <v>PAR</v>
      </c>
      <c r="F2450" s="99">
        <v>24</v>
      </c>
      <c r="G2450" s="146"/>
      <c r="H2450" s="146"/>
      <c r="I2450" s="147"/>
      <c r="J2450" s="147"/>
      <c r="K2450" s="63"/>
      <c r="L2450" s="63"/>
      <c r="M2450" s="63"/>
      <c r="N2450" s="63"/>
      <c r="O2450" s="63"/>
      <c r="P2450" s="63"/>
      <c r="Q2450" s="63"/>
      <c r="R2450" s="63"/>
      <c r="S2450" s="63"/>
      <c r="T2450" s="63"/>
      <c r="U2450" s="63"/>
      <c r="V2450" s="63"/>
      <c r="W2450" s="63"/>
      <c r="X2450" s="63"/>
      <c r="Y2450" s="63"/>
      <c r="Z2450" s="63"/>
      <c r="AA2450" s="63"/>
      <c r="AB2450" s="63"/>
      <c r="AC2450" s="63"/>
    </row>
    <row r="2451" spans="1:29" x14ac:dyDescent="0.25">
      <c r="A2451" s="108">
        <v>46079</v>
      </c>
      <c r="B2451" s="128">
        <v>29</v>
      </c>
      <c r="C2451" s="49" t="s">
        <v>19</v>
      </c>
      <c r="D2451" s="110" t="str">
        <f>IF(ISBLANK($B2451),"",IFERROR(VLOOKUP($B2451,ESTOQUE!$B$2:$D$97168,3,FALSE),"Produto não cadastrado"))</f>
        <v>BOTINA DE ELETRICISTA Nº 39</v>
      </c>
      <c r="E2451" s="99" t="str">
        <f>_xlfn.XLOOKUP(B2451,ESTOQUE!B:B,ESTOQUE!G:G,"",0)</f>
        <v>PAR</v>
      </c>
      <c r="F2451" s="99">
        <v>1</v>
      </c>
      <c r="G2451" s="146"/>
      <c r="H2451" s="146"/>
      <c r="I2451" s="147"/>
      <c r="J2451" s="147"/>
      <c r="K2451" s="63"/>
      <c r="L2451" s="63"/>
      <c r="M2451" s="63"/>
      <c r="N2451" s="63"/>
      <c r="O2451" s="63"/>
      <c r="P2451" s="63"/>
      <c r="Q2451" s="63"/>
      <c r="R2451" s="63"/>
      <c r="S2451" s="63"/>
      <c r="T2451" s="63"/>
      <c r="U2451" s="63"/>
      <c r="V2451" s="63"/>
      <c r="W2451" s="63"/>
      <c r="X2451" s="63"/>
      <c r="Y2451" s="63"/>
      <c r="Z2451" s="63"/>
      <c r="AA2451" s="63"/>
      <c r="AB2451" s="63"/>
      <c r="AC2451" s="63"/>
    </row>
    <row r="2452" spans="1:29" x14ac:dyDescent="0.25">
      <c r="A2452" s="108">
        <v>46079</v>
      </c>
      <c r="B2452" s="128">
        <v>264</v>
      </c>
      <c r="C2452" s="49" t="s">
        <v>19</v>
      </c>
      <c r="D2452" s="110" t="str">
        <f>IF(ISBLANK($B2452),"",IFERROR(VLOOKUP($B2452,ESTOQUE!$B$2:$D$97168,3,FALSE),"Produto não cadastrado"))</f>
        <v xml:space="preserve">CINTO DE SEGURANÇA ARAMIDA </v>
      </c>
      <c r="E2452" s="99" t="str">
        <f>_xlfn.XLOOKUP(B2452,ESTOQUE!B:B,ESTOQUE!G:G,"",0)</f>
        <v>UND</v>
      </c>
      <c r="F2452" s="99">
        <v>12</v>
      </c>
      <c r="G2452" s="146"/>
      <c r="H2452" s="146"/>
      <c r="I2452" s="147"/>
      <c r="J2452" s="147"/>
      <c r="K2452" s="63"/>
      <c r="L2452" s="63"/>
      <c r="M2452" s="63"/>
      <c r="N2452" s="63"/>
      <c r="O2452" s="63"/>
      <c r="P2452" s="63"/>
      <c r="Q2452" s="63"/>
      <c r="R2452" s="63"/>
      <c r="S2452" s="63"/>
      <c r="T2452" s="63"/>
      <c r="U2452" s="63"/>
      <c r="V2452" s="63"/>
      <c r="W2452" s="63"/>
      <c r="X2452" s="63"/>
      <c r="Y2452" s="63"/>
      <c r="Z2452" s="63"/>
      <c r="AA2452" s="63"/>
      <c r="AB2452" s="63"/>
      <c r="AC2452" s="63"/>
    </row>
    <row r="2453" spans="1:29" x14ac:dyDescent="0.25">
      <c r="A2453" s="108">
        <v>46079</v>
      </c>
      <c r="B2453" s="128">
        <v>118</v>
      </c>
      <c r="C2453" s="49" t="s">
        <v>19</v>
      </c>
      <c r="D2453" s="110" t="str">
        <f>IF(ISBLANK($B2453),"",IFERROR(VLOOKUP($B2453,ESTOQUE!$B$2:$D$97168,3,FALSE),"Produto não cadastrado"))</f>
        <v>MACACÃO DE PROTEÇÃO TYVEK</v>
      </c>
      <c r="E2453" s="99" t="str">
        <f>_xlfn.XLOOKUP(B2453,ESTOQUE!B:B,ESTOQUE!G:G,"",0)</f>
        <v>UND</v>
      </c>
      <c r="F2453" s="99">
        <v>1</v>
      </c>
      <c r="G2453" s="146"/>
      <c r="H2453" s="146"/>
      <c r="I2453" s="147"/>
      <c r="J2453" s="147"/>
      <c r="K2453" s="63"/>
      <c r="L2453" s="63"/>
      <c r="M2453" s="63"/>
      <c r="N2453" s="63"/>
      <c r="O2453" s="63"/>
      <c r="P2453" s="63"/>
      <c r="Q2453" s="63"/>
      <c r="R2453" s="63"/>
      <c r="S2453" s="63"/>
      <c r="T2453" s="63"/>
      <c r="U2453" s="63"/>
      <c r="V2453" s="63"/>
      <c r="W2453" s="63"/>
      <c r="X2453" s="63"/>
      <c r="Y2453" s="63"/>
      <c r="Z2453" s="63"/>
      <c r="AA2453" s="63"/>
      <c r="AB2453" s="63"/>
      <c r="AC2453" s="63"/>
    </row>
    <row r="2454" spans="1:29" x14ac:dyDescent="0.25">
      <c r="A2454" s="108">
        <v>46079</v>
      </c>
      <c r="B2454" s="128">
        <v>263</v>
      </c>
      <c r="C2454" s="49" t="s">
        <v>19</v>
      </c>
      <c r="D2454" s="110" t="str">
        <f>IF(ISBLANK($B2454),"",IFERROR(VLOOKUP($B2454,ESTOQUE!$B$2:$D$97168,3,FALSE),"Produto não cadastrado"))</f>
        <v>LUVA DE VAUQETA CINZA</v>
      </c>
      <c r="E2454" s="99" t="str">
        <f>_xlfn.XLOOKUP(B2454,ESTOQUE!B:B,ESTOQUE!G:G,"",0)</f>
        <v>UND</v>
      </c>
      <c r="F2454" s="99">
        <v>44</v>
      </c>
      <c r="G2454" s="146"/>
      <c r="H2454" s="146"/>
      <c r="I2454" s="147"/>
      <c r="J2454" s="147"/>
      <c r="K2454" s="63"/>
      <c r="L2454" s="63"/>
      <c r="M2454" s="63"/>
      <c r="N2454" s="63"/>
      <c r="O2454" s="63"/>
      <c r="P2454" s="63"/>
      <c r="Q2454" s="63"/>
      <c r="R2454" s="63"/>
      <c r="S2454" s="63"/>
      <c r="T2454" s="63"/>
      <c r="U2454" s="63"/>
      <c r="V2454" s="63"/>
      <c r="W2454" s="63"/>
      <c r="X2454" s="63"/>
      <c r="Y2454" s="63"/>
      <c r="Z2454" s="63"/>
      <c r="AA2454" s="63"/>
      <c r="AB2454" s="63"/>
      <c r="AC2454" s="63"/>
    </row>
    <row r="2455" spans="1:29" x14ac:dyDescent="0.25">
      <c r="A2455" s="108">
        <v>46079</v>
      </c>
      <c r="B2455" s="128">
        <v>117</v>
      </c>
      <c r="C2455" s="49" t="s">
        <v>19</v>
      </c>
      <c r="D2455" s="110" t="str">
        <f>IF(ISBLANK($B2455),"",IFERROR(VLOOKUP($B2455,ESTOQUE!$B$2:$D$97168,3,FALSE),"Produto não cadastrado"))</f>
        <v>LUVA PIGMENTADA</v>
      </c>
      <c r="E2455" s="99" t="str">
        <f>_xlfn.XLOOKUP(B2455,ESTOQUE!B:B,ESTOQUE!G:G,"",0)</f>
        <v>PAR</v>
      </c>
      <c r="F2455" s="99">
        <v>30</v>
      </c>
      <c r="G2455" s="146"/>
      <c r="H2455" s="146"/>
      <c r="I2455" s="147"/>
      <c r="J2455" s="147"/>
      <c r="K2455" s="63"/>
      <c r="L2455" s="63"/>
      <c r="M2455" s="63"/>
      <c r="N2455" s="63"/>
      <c r="O2455" s="63"/>
      <c r="P2455" s="63"/>
      <c r="Q2455" s="63"/>
      <c r="R2455" s="63"/>
      <c r="S2455" s="63"/>
      <c r="T2455" s="63"/>
      <c r="U2455" s="63"/>
      <c r="V2455" s="63"/>
      <c r="W2455" s="63"/>
      <c r="X2455" s="63"/>
      <c r="Y2455" s="63"/>
      <c r="Z2455" s="63"/>
      <c r="AA2455" s="63"/>
      <c r="AB2455" s="63"/>
      <c r="AC2455" s="63"/>
    </row>
    <row r="2456" spans="1:29" x14ac:dyDescent="0.25">
      <c r="A2456" s="108">
        <v>46079</v>
      </c>
      <c r="B2456" s="128">
        <v>192</v>
      </c>
      <c r="C2456" s="49" t="s">
        <v>19</v>
      </c>
      <c r="D2456" s="110" t="str">
        <f>IF(ISBLANK($B2456),"",IFERROR(VLOOKUP($B2456,ESTOQUE!$B$2:$D$97168,3,FALSE),"Produto não cadastrado"))</f>
        <v>LUVA QUIMICA ( 2 OU 3)</v>
      </c>
      <c r="E2456" s="99" t="str">
        <f>_xlfn.XLOOKUP(B2456,ESTOQUE!B:B,ESTOQUE!G:G,"",0)</f>
        <v>UND</v>
      </c>
      <c r="F2456" s="99">
        <v>1</v>
      </c>
      <c r="G2456" s="146"/>
      <c r="H2456" s="146"/>
      <c r="I2456" s="147"/>
      <c r="J2456" s="147"/>
      <c r="K2456" s="63"/>
      <c r="L2456" s="63"/>
      <c r="M2456" s="63"/>
      <c r="N2456" s="63"/>
      <c r="O2456" s="63"/>
      <c r="P2456" s="63"/>
      <c r="Q2456" s="63"/>
      <c r="R2456" s="63"/>
      <c r="S2456" s="63"/>
      <c r="T2456" s="63"/>
      <c r="U2456" s="63"/>
      <c r="V2456" s="63"/>
      <c r="W2456" s="63"/>
      <c r="X2456" s="63"/>
      <c r="Y2456" s="63"/>
      <c r="Z2456" s="63"/>
      <c r="AA2456" s="63"/>
      <c r="AB2456" s="63"/>
      <c r="AC2456" s="63"/>
    </row>
    <row r="2457" spans="1:29" x14ac:dyDescent="0.25">
      <c r="A2457" s="108">
        <v>46079</v>
      </c>
      <c r="B2457" s="128">
        <v>97</v>
      </c>
      <c r="C2457" s="49" t="s">
        <v>19</v>
      </c>
      <c r="D2457" s="110" t="str">
        <f>IF(ISBLANK($B2457),"",IFERROR(VLOOKUP($B2457,ESTOQUE!$B$2:$D$97168,3,FALSE),"Produto não cadastrado"))</f>
        <v>COLETE REFLETIVO LARANJA M</v>
      </c>
      <c r="E2457" s="99" t="str">
        <f>_xlfn.XLOOKUP(B2457,ESTOQUE!B:B,ESTOQUE!G:G,"",0)</f>
        <v>UND</v>
      </c>
      <c r="F2457" s="99">
        <v>1</v>
      </c>
      <c r="G2457" s="146"/>
      <c r="H2457" s="146"/>
      <c r="I2457" s="147"/>
      <c r="J2457" s="147"/>
      <c r="K2457" s="63"/>
      <c r="L2457" s="63"/>
      <c r="M2457" s="63"/>
      <c r="N2457" s="63"/>
      <c r="O2457" s="63"/>
      <c r="P2457" s="63"/>
      <c r="Q2457" s="63"/>
      <c r="R2457" s="63"/>
      <c r="S2457" s="63"/>
      <c r="T2457" s="63"/>
      <c r="U2457" s="63"/>
      <c r="V2457" s="63"/>
      <c r="W2457" s="63"/>
      <c r="X2457" s="63"/>
      <c r="Y2457" s="63"/>
      <c r="Z2457" s="63"/>
      <c r="AA2457" s="63"/>
      <c r="AB2457" s="63"/>
      <c r="AC2457" s="63"/>
    </row>
    <row r="2458" spans="1:29" x14ac:dyDescent="0.25">
      <c r="A2458" s="108">
        <v>46079</v>
      </c>
      <c r="B2458" s="128">
        <v>67</v>
      </c>
      <c r="C2458" s="49" t="s">
        <v>19</v>
      </c>
      <c r="D2458" s="110" t="str">
        <f>IF(ISBLANK($B2458),"",IFERROR(VLOOKUP($B2458,ESTOQUE!$B$2:$D$97168,3,FALSE),"Produto não cadastrado"))</f>
        <v>CAMISA LARANJA OP. C/ FAIXA REFLETIVA TAM: G</v>
      </c>
      <c r="E2458" s="99" t="str">
        <f>_xlfn.XLOOKUP(B2458,ESTOQUE!B:B,ESTOQUE!G:G,"",0)</f>
        <v>UND</v>
      </c>
      <c r="F2458" s="99">
        <v>4</v>
      </c>
      <c r="G2458" s="146"/>
      <c r="H2458" s="146"/>
      <c r="I2458" s="147"/>
      <c r="J2458" s="147"/>
      <c r="K2458" s="63"/>
      <c r="L2458" s="63"/>
      <c r="M2458" s="63"/>
      <c r="N2458" s="63"/>
      <c r="O2458" s="63"/>
      <c r="P2458" s="63"/>
      <c r="Q2458" s="63"/>
      <c r="R2458" s="63"/>
      <c r="S2458" s="63"/>
      <c r="T2458" s="63"/>
      <c r="U2458" s="63"/>
      <c r="V2458" s="63"/>
      <c r="W2458" s="63"/>
      <c r="X2458" s="63"/>
      <c r="Y2458" s="63"/>
      <c r="Z2458" s="63"/>
      <c r="AA2458" s="63"/>
      <c r="AB2458" s="63"/>
      <c r="AC2458" s="63"/>
    </row>
    <row r="2459" spans="1:29" x14ac:dyDescent="0.25">
      <c r="A2459" s="108">
        <v>46079</v>
      </c>
      <c r="B2459" s="128">
        <v>68</v>
      </c>
      <c r="C2459" s="49" t="s">
        <v>19</v>
      </c>
      <c r="D2459" s="110" t="str">
        <f>IF(ISBLANK($B2459),"",IFERROR(VLOOKUP($B2459,ESTOQUE!$B$2:$D$97168,3,FALSE),"Produto não cadastrado"))</f>
        <v>CAMISA LARANJA OP. C/ FAIXA REFLETIVA TAM: GG</v>
      </c>
      <c r="E2459" s="99" t="str">
        <f>_xlfn.XLOOKUP(B2459,ESTOQUE!B:B,ESTOQUE!G:G,"",0)</f>
        <v>UND</v>
      </c>
      <c r="F2459" s="99">
        <v>3</v>
      </c>
      <c r="G2459" s="146"/>
      <c r="H2459" s="146"/>
      <c r="I2459" s="147"/>
      <c r="J2459" s="147"/>
      <c r="K2459" s="63"/>
      <c r="L2459" s="63"/>
      <c r="M2459" s="63"/>
      <c r="N2459" s="63"/>
      <c r="O2459" s="63"/>
      <c r="P2459" s="63"/>
      <c r="Q2459" s="63"/>
      <c r="R2459" s="63"/>
      <c r="S2459" s="63"/>
      <c r="T2459" s="63"/>
      <c r="U2459" s="63"/>
      <c r="V2459" s="63"/>
      <c r="W2459" s="63"/>
      <c r="X2459" s="63"/>
      <c r="Y2459" s="63"/>
      <c r="Z2459" s="63"/>
      <c r="AA2459" s="63"/>
      <c r="AB2459" s="63"/>
      <c r="AC2459" s="63"/>
    </row>
    <row r="2460" spans="1:29" x14ac:dyDescent="0.25">
      <c r="A2460" s="108">
        <v>46079</v>
      </c>
      <c r="B2460" s="128">
        <v>69</v>
      </c>
      <c r="C2460" s="49" t="s">
        <v>19</v>
      </c>
      <c r="D2460" s="110" t="str">
        <f>IF(ISBLANK($B2460),"",IFERROR(VLOOKUP($B2460,ESTOQUE!$B$2:$D$97168,3,FALSE),"Produto não cadastrado"))</f>
        <v>CAMISA LARANJA OP. C/ FAIXA REFLETIVA TAM: M</v>
      </c>
      <c r="E2460" s="99" t="str">
        <f>_xlfn.XLOOKUP(B2460,ESTOQUE!B:B,ESTOQUE!G:G,"",0)</f>
        <v>UND</v>
      </c>
      <c r="F2460" s="99">
        <v>5</v>
      </c>
      <c r="G2460" s="146"/>
      <c r="H2460" s="146"/>
      <c r="I2460" s="147"/>
      <c r="J2460" s="147"/>
      <c r="K2460" s="63"/>
      <c r="L2460" s="63"/>
      <c r="M2460" s="63"/>
      <c r="N2460" s="63"/>
      <c r="O2460" s="63"/>
      <c r="P2460" s="63"/>
      <c r="Q2460" s="63"/>
      <c r="R2460" s="63"/>
      <c r="S2460" s="63"/>
      <c r="T2460" s="63"/>
      <c r="U2460" s="63"/>
      <c r="V2460" s="63"/>
      <c r="W2460" s="63"/>
      <c r="X2460" s="63"/>
      <c r="Y2460" s="63"/>
      <c r="Z2460" s="63"/>
      <c r="AA2460" s="63"/>
      <c r="AB2460" s="63"/>
      <c r="AC2460" s="63"/>
    </row>
    <row r="2461" spans="1:29" x14ac:dyDescent="0.25">
      <c r="A2461" s="108">
        <v>46079</v>
      </c>
      <c r="B2461" s="128">
        <v>70</v>
      </c>
      <c r="C2461" s="49" t="s">
        <v>19</v>
      </c>
      <c r="D2461" s="110" t="str">
        <f>IF(ISBLANK($B2461),"",IFERROR(VLOOKUP($B2461,ESTOQUE!$B$2:$D$97168,3,FALSE),"Produto não cadastrado"))</f>
        <v>CAMISA LARANJA OP. C/ FAIXA REFLETIVA TAM: P</v>
      </c>
      <c r="E2461" s="99" t="str">
        <f>_xlfn.XLOOKUP(B2461,ESTOQUE!B:B,ESTOQUE!G:G,"",0)</f>
        <v>UND</v>
      </c>
      <c r="F2461" s="99">
        <v>1</v>
      </c>
      <c r="G2461" s="146"/>
      <c r="H2461" s="146"/>
      <c r="I2461" s="147"/>
      <c r="J2461" s="147"/>
      <c r="K2461" s="63"/>
      <c r="L2461" s="63"/>
      <c r="M2461" s="63"/>
      <c r="N2461" s="63"/>
      <c r="O2461" s="63"/>
      <c r="P2461" s="63"/>
      <c r="Q2461" s="63"/>
      <c r="R2461" s="63"/>
      <c r="S2461" s="63"/>
      <c r="T2461" s="63"/>
      <c r="U2461" s="63"/>
      <c r="V2461" s="63"/>
      <c r="W2461" s="63"/>
      <c r="X2461" s="63"/>
      <c r="Y2461" s="63"/>
      <c r="Z2461" s="63"/>
      <c r="AA2461" s="63"/>
      <c r="AB2461" s="63"/>
      <c r="AC2461" s="63"/>
    </row>
    <row r="2462" spans="1:29" x14ac:dyDescent="0.25">
      <c r="A2462" s="108">
        <v>46079</v>
      </c>
      <c r="B2462" s="128">
        <v>73</v>
      </c>
      <c r="C2462" s="49" t="s">
        <v>19</v>
      </c>
      <c r="D2462" s="110" t="str">
        <f>IF(ISBLANK($B2462),"",IFERROR(VLOOKUP($B2462,ESTOQUE!$B$2:$D$97168,3,FALSE),"Produto não cadastrado"))</f>
        <v>CAPA DE CHUVA GG</v>
      </c>
      <c r="E2462" s="99" t="str">
        <f>_xlfn.XLOOKUP(B2462,ESTOQUE!B:B,ESTOQUE!G:G,"",0)</f>
        <v>UND</v>
      </c>
      <c r="F2462" s="99">
        <v>1</v>
      </c>
      <c r="G2462" s="146"/>
      <c r="H2462" s="146"/>
      <c r="I2462" s="147"/>
      <c r="J2462" s="147"/>
      <c r="K2462" s="63"/>
      <c r="L2462" s="63"/>
      <c r="M2462" s="63"/>
      <c r="N2462" s="63"/>
      <c r="O2462" s="63"/>
      <c r="P2462" s="63"/>
      <c r="Q2462" s="63"/>
      <c r="R2462" s="63"/>
      <c r="S2462" s="63"/>
      <c r="T2462" s="63"/>
      <c r="U2462" s="63"/>
      <c r="V2462" s="63"/>
      <c r="W2462" s="63"/>
      <c r="X2462" s="63"/>
      <c r="Y2462" s="63"/>
      <c r="Z2462" s="63"/>
      <c r="AA2462" s="63"/>
      <c r="AB2462" s="63"/>
      <c r="AC2462" s="63"/>
    </row>
    <row r="2463" spans="1:29" x14ac:dyDescent="0.25">
      <c r="A2463" s="108">
        <v>46079</v>
      </c>
      <c r="B2463" s="128">
        <v>47</v>
      </c>
      <c r="C2463" s="49" t="s">
        <v>19</v>
      </c>
      <c r="D2463" s="110" t="str">
        <f>IF(ISBLANK($B2463),"",IFERROR(VLOOKUP($B2463,ESTOQUE!$B$2:$D$97168,3,FALSE),"Produto não cadastrado"))</f>
        <v>CALÇA CINZA OP. C/ FAIXA REFLETIVA TAM: GG</v>
      </c>
      <c r="E2463" s="99" t="str">
        <f>_xlfn.XLOOKUP(B2463,ESTOQUE!B:B,ESTOQUE!G:G,"",0)</f>
        <v>UND</v>
      </c>
      <c r="F2463" s="99">
        <v>1</v>
      </c>
      <c r="G2463" s="146"/>
      <c r="H2463" s="146"/>
      <c r="I2463" s="147"/>
      <c r="J2463" s="147"/>
      <c r="K2463" s="63"/>
      <c r="L2463" s="63"/>
      <c r="M2463" s="63"/>
      <c r="N2463" s="63"/>
      <c r="O2463" s="63"/>
      <c r="P2463" s="63"/>
      <c r="Q2463" s="63"/>
      <c r="R2463" s="63"/>
      <c r="S2463" s="63"/>
      <c r="T2463" s="63"/>
      <c r="U2463" s="63"/>
      <c r="V2463" s="63"/>
      <c r="W2463" s="63"/>
      <c r="X2463" s="63"/>
      <c r="Y2463" s="63"/>
      <c r="Z2463" s="63"/>
      <c r="AA2463" s="63"/>
      <c r="AB2463" s="63"/>
      <c r="AC2463" s="63"/>
    </row>
    <row r="2464" spans="1:29" x14ac:dyDescent="0.25">
      <c r="A2464" s="108">
        <v>46079</v>
      </c>
      <c r="B2464" s="128">
        <v>48</v>
      </c>
      <c r="C2464" s="49" t="s">
        <v>19</v>
      </c>
      <c r="D2464" s="110" t="str">
        <f>IF(ISBLANK($B2464),"",IFERROR(VLOOKUP($B2464,ESTOQUE!$B$2:$D$97168,3,FALSE),"Produto não cadastrado"))</f>
        <v>CALÇA CINZA OP. C/ FAIXA REFLETIVA TAM: M</v>
      </c>
      <c r="E2464" s="99" t="str">
        <f>_xlfn.XLOOKUP(B2464,ESTOQUE!B:B,ESTOQUE!G:G,"",0)</f>
        <v>UND</v>
      </c>
      <c r="F2464" s="99">
        <v>5</v>
      </c>
      <c r="G2464" s="146"/>
      <c r="H2464" s="146"/>
      <c r="I2464" s="147"/>
      <c r="J2464" s="147"/>
      <c r="K2464" s="63"/>
      <c r="L2464" s="63"/>
      <c r="M2464" s="63"/>
      <c r="N2464" s="63"/>
      <c r="O2464" s="63"/>
      <c r="P2464" s="63"/>
      <c r="Q2464" s="63"/>
      <c r="R2464" s="63"/>
      <c r="S2464" s="63"/>
      <c r="T2464" s="63"/>
      <c r="U2464" s="63"/>
      <c r="V2464" s="63"/>
      <c r="W2464" s="63"/>
      <c r="X2464" s="63"/>
      <c r="Y2464" s="63"/>
      <c r="Z2464" s="63"/>
      <c r="AA2464" s="63"/>
      <c r="AB2464" s="63"/>
      <c r="AC2464" s="63"/>
    </row>
    <row r="2465" spans="1:29" x14ac:dyDescent="0.25">
      <c r="A2465" s="108">
        <v>46079</v>
      </c>
      <c r="B2465" s="128">
        <v>49</v>
      </c>
      <c r="C2465" s="49" t="s">
        <v>19</v>
      </c>
      <c r="D2465" s="110" t="str">
        <f>IF(ISBLANK($B2465),"",IFERROR(VLOOKUP($B2465,ESTOQUE!$B$2:$D$97168,3,FALSE),"Produto não cadastrado"))</f>
        <v>CALÇA CINZA OP. C/ FAIXA REFLETIVA TAM: P</v>
      </c>
      <c r="E2465" s="99" t="str">
        <f>_xlfn.XLOOKUP(B2465,ESTOQUE!B:B,ESTOQUE!G:G,"",0)</f>
        <v>UND</v>
      </c>
      <c r="F2465" s="99">
        <v>10</v>
      </c>
      <c r="G2465" s="146"/>
      <c r="H2465" s="146"/>
      <c r="I2465" s="147"/>
      <c r="J2465" s="147"/>
      <c r="K2465" s="63"/>
      <c r="L2465" s="63"/>
      <c r="M2465" s="63"/>
      <c r="N2465" s="63"/>
      <c r="O2465" s="63"/>
      <c r="P2465" s="63"/>
      <c r="Q2465" s="63"/>
      <c r="R2465" s="63"/>
      <c r="S2465" s="63"/>
      <c r="T2465" s="63"/>
      <c r="U2465" s="63"/>
      <c r="V2465" s="63"/>
      <c r="W2465" s="63"/>
      <c r="X2465" s="63"/>
      <c r="Y2465" s="63"/>
      <c r="Z2465" s="63"/>
      <c r="AA2465" s="63"/>
      <c r="AB2465" s="63"/>
      <c r="AC2465" s="63"/>
    </row>
    <row r="2466" spans="1:29" x14ac:dyDescent="0.25">
      <c r="A2466" s="108">
        <v>46079</v>
      </c>
      <c r="B2466" s="128">
        <v>207</v>
      </c>
      <c r="C2466" s="49" t="s">
        <v>19</v>
      </c>
      <c r="D2466" s="110" t="str">
        <f>IF(ISBLANK($B2466),"",IFERROR(VLOOKUP($B2466,ESTOQUE!$B$2:$D$97168,3,FALSE),"Produto não cadastrado"))</f>
        <v>LUVA POLIESTER ANTICORTE BANHADA PU TAM 9</v>
      </c>
      <c r="E2466" s="99" t="str">
        <f>_xlfn.XLOOKUP(B2466,ESTOQUE!B:B,ESTOQUE!G:G,"",0)</f>
        <v>PAR</v>
      </c>
      <c r="F2466" s="99">
        <v>36</v>
      </c>
      <c r="G2466" s="146"/>
      <c r="H2466" s="146"/>
      <c r="I2466" s="147"/>
      <c r="J2466" s="147"/>
      <c r="K2466" s="63"/>
      <c r="L2466" s="63"/>
      <c r="M2466" s="63"/>
      <c r="N2466" s="63"/>
      <c r="O2466" s="63"/>
      <c r="P2466" s="63"/>
      <c r="Q2466" s="63"/>
      <c r="R2466" s="63"/>
      <c r="S2466" s="63"/>
      <c r="T2466" s="63"/>
      <c r="U2466" s="63"/>
      <c r="V2466" s="63"/>
      <c r="W2466" s="63"/>
      <c r="X2466" s="63"/>
      <c r="Y2466" s="63"/>
      <c r="Z2466" s="63"/>
      <c r="AA2466" s="63"/>
      <c r="AB2466" s="63"/>
      <c r="AC2466" s="63"/>
    </row>
    <row r="2467" spans="1:29" x14ac:dyDescent="0.25">
      <c r="A2467" s="108">
        <v>46079</v>
      </c>
      <c r="B2467" s="128">
        <v>117</v>
      </c>
      <c r="C2467" s="49" t="s">
        <v>19</v>
      </c>
      <c r="D2467" s="110" t="str">
        <f>IF(ISBLANK($B2467),"",IFERROR(VLOOKUP($B2467,ESTOQUE!$B$2:$D$97168,3,FALSE),"Produto não cadastrado"))</f>
        <v>LUVA PIGMENTADA</v>
      </c>
      <c r="E2467" s="99" t="str">
        <f>_xlfn.XLOOKUP(B2467,ESTOQUE!B:B,ESTOQUE!G:G,"",0)</f>
        <v>PAR</v>
      </c>
      <c r="F2467" s="99">
        <v>26</v>
      </c>
      <c r="G2467" s="146"/>
      <c r="H2467" s="146"/>
      <c r="I2467" s="147"/>
      <c r="J2467" s="147"/>
      <c r="K2467" s="63"/>
      <c r="L2467" s="63"/>
      <c r="M2467" s="63"/>
      <c r="N2467" s="63"/>
      <c r="O2467" s="63"/>
      <c r="P2467" s="63"/>
      <c r="Q2467" s="63"/>
      <c r="R2467" s="63"/>
      <c r="S2467" s="63"/>
      <c r="T2467" s="63"/>
      <c r="U2467" s="63"/>
      <c r="V2467" s="63"/>
      <c r="W2467" s="63"/>
      <c r="X2467" s="63"/>
      <c r="Y2467" s="63"/>
      <c r="Z2467" s="63"/>
      <c r="AA2467" s="63"/>
      <c r="AB2467" s="63"/>
      <c r="AC2467" s="63"/>
    </row>
    <row r="2468" spans="1:29" x14ac:dyDescent="0.25">
      <c r="A2468" s="108">
        <v>46079</v>
      </c>
      <c r="B2468" s="128">
        <v>139</v>
      </c>
      <c r="C2468" s="49" t="s">
        <v>19</v>
      </c>
      <c r="D2468" s="110" t="str">
        <f>IF(ISBLANK($B2468),"",IFERROR(VLOOKUP($B2468,ESTOQUE!$B$2:$D$97168,3,FALSE),"Produto não cadastrado"))</f>
        <v>PROTETOR AURICULAR TIPO PLUG</v>
      </c>
      <c r="E2468" s="99" t="str">
        <f>_xlfn.XLOOKUP(B2468,ESTOQUE!B:B,ESTOQUE!G:G,"",0)</f>
        <v>UND</v>
      </c>
      <c r="F2468" s="99">
        <v>23</v>
      </c>
      <c r="G2468" s="146"/>
      <c r="H2468" s="146"/>
      <c r="I2468" s="147"/>
      <c r="J2468" s="147"/>
      <c r="K2468" s="63"/>
      <c r="L2468" s="63"/>
      <c r="M2468" s="63"/>
      <c r="N2468" s="63"/>
      <c r="O2468" s="63"/>
      <c r="P2468" s="63"/>
      <c r="Q2468" s="63"/>
      <c r="R2468" s="63"/>
      <c r="S2468" s="63"/>
      <c r="T2468" s="63"/>
      <c r="U2468" s="63"/>
      <c r="V2468" s="63"/>
      <c r="W2468" s="63"/>
      <c r="X2468" s="63"/>
      <c r="Y2468" s="63"/>
      <c r="Z2468" s="63"/>
      <c r="AA2468" s="63"/>
      <c r="AB2468" s="63"/>
      <c r="AC2468" s="63"/>
    </row>
    <row r="2469" spans="1:29" x14ac:dyDescent="0.25">
      <c r="A2469" s="108">
        <v>46079</v>
      </c>
      <c r="B2469" s="128">
        <v>144</v>
      </c>
      <c r="C2469" s="49" t="s">
        <v>19</v>
      </c>
      <c r="D2469" s="110" t="str">
        <f>IF(ISBLANK($B2469),"",IFERROR(VLOOKUP($B2469,ESTOQUE!$B$2:$D$97168,3,FALSE),"Produto não cadastrado"))</f>
        <v>MASCARA PFF2-S C/ FILTRO</v>
      </c>
      <c r="E2469" s="99" t="str">
        <f>_xlfn.XLOOKUP(B2469,ESTOQUE!B:B,ESTOQUE!G:G,"",0)</f>
        <v>UND</v>
      </c>
      <c r="F2469" s="99">
        <v>12</v>
      </c>
      <c r="G2469" s="146"/>
      <c r="H2469" s="146"/>
      <c r="I2469" s="147"/>
      <c r="J2469" s="147"/>
      <c r="K2469" s="63"/>
      <c r="L2469" s="63"/>
      <c r="M2469" s="63"/>
      <c r="N2469" s="63"/>
      <c r="O2469" s="63"/>
      <c r="P2469" s="63"/>
      <c r="Q2469" s="63"/>
      <c r="R2469" s="63"/>
      <c r="S2469" s="63"/>
      <c r="T2469" s="63"/>
      <c r="U2469" s="63"/>
      <c r="V2469" s="63"/>
      <c r="W2469" s="63"/>
      <c r="X2469" s="63"/>
      <c r="Y2469" s="63"/>
      <c r="Z2469" s="63"/>
      <c r="AA2469" s="63"/>
      <c r="AB2469" s="63"/>
      <c r="AC2469" s="63"/>
    </row>
    <row r="2470" spans="1:29" x14ac:dyDescent="0.25">
      <c r="A2470" s="108">
        <v>46079</v>
      </c>
      <c r="B2470" s="128">
        <v>114</v>
      </c>
      <c r="C2470" s="49" t="s">
        <v>19</v>
      </c>
      <c r="D2470" s="110" t="str">
        <f>IF(ISBLANK($B2470),"",IFERROR(VLOOKUP($B2470,ESTOQUE!$B$2:$D$97168,3,FALSE),"Produto não cadastrado"))</f>
        <v xml:space="preserve">LUVA LATEX NITRILICA </v>
      </c>
      <c r="E2470" s="99" t="str">
        <f>_xlfn.XLOOKUP(B2470,ESTOQUE!B:B,ESTOQUE!G:G,"",0)</f>
        <v>PAR</v>
      </c>
      <c r="F2470" s="99">
        <v>2</v>
      </c>
      <c r="G2470" s="146"/>
      <c r="H2470" s="146"/>
      <c r="I2470" s="147"/>
      <c r="J2470" s="147"/>
      <c r="K2470" s="63"/>
      <c r="L2470" s="63"/>
      <c r="M2470" s="63"/>
      <c r="N2470" s="63"/>
      <c r="O2470" s="63"/>
      <c r="P2470" s="63"/>
      <c r="Q2470" s="63"/>
      <c r="R2470" s="63"/>
      <c r="S2470" s="63"/>
      <c r="T2470" s="63"/>
      <c r="U2470" s="63"/>
      <c r="V2470" s="63"/>
      <c r="W2470" s="63"/>
      <c r="X2470" s="63"/>
      <c r="Y2470" s="63"/>
      <c r="Z2470" s="63"/>
      <c r="AA2470" s="63"/>
      <c r="AB2470" s="63"/>
      <c r="AC2470" s="63"/>
    </row>
    <row r="2471" spans="1:29" x14ac:dyDescent="0.25">
      <c r="A2471" s="108">
        <v>46079</v>
      </c>
      <c r="B2471" s="128">
        <v>211</v>
      </c>
      <c r="C2471" s="49" t="s">
        <v>19</v>
      </c>
      <c r="D2471" s="110" t="str">
        <f>IF(ISBLANK($B2471),"",IFERROR(VLOOKUP($B2471,ESTOQUE!$B$2:$D$97168,3,FALSE),"Produto não cadastrado"))</f>
        <v>RESPIRADOR SEMIFACIAL T 9500</v>
      </c>
      <c r="E2471" s="99" t="str">
        <f>_xlfn.XLOOKUP(B2471,ESTOQUE!B:B,ESTOQUE!G:G,"",0)</f>
        <v>UND</v>
      </c>
      <c r="F2471" s="99">
        <v>1</v>
      </c>
      <c r="G2471" s="146"/>
      <c r="H2471" s="146"/>
      <c r="I2471" s="147"/>
      <c r="J2471" s="147"/>
      <c r="K2471" s="63"/>
      <c r="L2471" s="63"/>
      <c r="M2471" s="63"/>
      <c r="N2471" s="63"/>
      <c r="O2471" s="63"/>
      <c r="P2471" s="63"/>
      <c r="Q2471" s="63"/>
      <c r="R2471" s="63"/>
      <c r="S2471" s="63"/>
      <c r="T2471" s="63"/>
      <c r="U2471" s="63"/>
      <c r="V2471" s="63"/>
      <c r="W2471" s="63"/>
      <c r="X2471" s="63"/>
      <c r="Y2471" s="63"/>
      <c r="Z2471" s="63"/>
      <c r="AA2471" s="63"/>
      <c r="AB2471" s="63"/>
      <c r="AC2471" s="63"/>
    </row>
    <row r="2472" spans="1:29" x14ac:dyDescent="0.25">
      <c r="A2472" s="108">
        <v>46079</v>
      </c>
      <c r="B2472" s="128">
        <v>126</v>
      </c>
      <c r="C2472" s="49" t="s">
        <v>19</v>
      </c>
      <c r="D2472" s="110" t="str">
        <f>IF(ISBLANK($B2472),"",IFERROR(VLOOKUP($B2472,ESTOQUE!$B$2:$D$97168,3,FALSE),"Produto não cadastrado"))</f>
        <v>OCULOS DE PROTEÇÃO ESCURO</v>
      </c>
      <c r="E2472" s="99" t="str">
        <f>_xlfn.XLOOKUP(B2472,ESTOQUE!B:B,ESTOQUE!G:G,"",0)</f>
        <v>UND</v>
      </c>
      <c r="F2472" s="99">
        <v>1</v>
      </c>
      <c r="G2472" s="146"/>
      <c r="H2472" s="146"/>
      <c r="I2472" s="147"/>
      <c r="J2472" s="147"/>
      <c r="K2472" s="63"/>
      <c r="L2472" s="63"/>
      <c r="M2472" s="63"/>
      <c r="N2472" s="63"/>
      <c r="O2472" s="63"/>
      <c r="P2472" s="63"/>
      <c r="Q2472" s="63"/>
      <c r="R2472" s="63"/>
      <c r="S2472" s="63"/>
      <c r="T2472" s="63"/>
      <c r="U2472" s="63"/>
      <c r="V2472" s="63"/>
      <c r="W2472" s="63"/>
      <c r="X2472" s="63"/>
      <c r="Y2472" s="63"/>
      <c r="Z2472" s="63"/>
      <c r="AA2472" s="63"/>
      <c r="AB2472" s="63"/>
      <c r="AC2472" s="63"/>
    </row>
    <row r="2473" spans="1:29" x14ac:dyDescent="0.25">
      <c r="A2473" s="108">
        <v>46079</v>
      </c>
      <c r="B2473" s="128">
        <v>118</v>
      </c>
      <c r="C2473" s="49" t="s">
        <v>19</v>
      </c>
      <c r="D2473" s="110" t="str">
        <f>IF(ISBLANK($B2473),"",IFERROR(VLOOKUP($B2473,ESTOQUE!$B$2:$D$97168,3,FALSE),"Produto não cadastrado"))</f>
        <v>MACACÃO DE PROTEÇÃO TYVEK</v>
      </c>
      <c r="E2473" s="99" t="str">
        <f>_xlfn.XLOOKUP(B2473,ESTOQUE!B:B,ESTOQUE!G:G,"",0)</f>
        <v>UND</v>
      </c>
      <c r="F2473" s="99">
        <v>1</v>
      </c>
      <c r="G2473" s="146"/>
      <c r="H2473" s="146"/>
      <c r="I2473" s="147"/>
      <c r="J2473" s="147"/>
      <c r="K2473" s="63"/>
      <c r="L2473" s="63"/>
      <c r="M2473" s="63"/>
      <c r="N2473" s="63"/>
      <c r="O2473" s="63"/>
      <c r="P2473" s="63"/>
      <c r="Q2473" s="63"/>
      <c r="R2473" s="63"/>
      <c r="S2473" s="63"/>
      <c r="T2473" s="63"/>
      <c r="U2473" s="63"/>
      <c r="V2473" s="63"/>
      <c r="W2473" s="63"/>
      <c r="X2473" s="63"/>
      <c r="Y2473" s="63"/>
      <c r="Z2473" s="63"/>
      <c r="AA2473" s="63"/>
      <c r="AB2473" s="63"/>
      <c r="AC2473" s="63"/>
    </row>
    <row r="2474" spans="1:29" x14ac:dyDescent="0.25">
      <c r="A2474" s="108">
        <v>46079</v>
      </c>
      <c r="B2474" s="128">
        <v>263</v>
      </c>
      <c r="C2474" s="49" t="s">
        <v>19</v>
      </c>
      <c r="D2474" s="110" t="str">
        <f>IF(ISBLANK($B2474),"",IFERROR(VLOOKUP($B2474,ESTOQUE!$B$2:$D$97168,3,FALSE),"Produto não cadastrado"))</f>
        <v>LUVA DE VAUQETA CINZA</v>
      </c>
      <c r="E2474" s="99" t="str">
        <f>_xlfn.XLOOKUP(B2474,ESTOQUE!B:B,ESTOQUE!G:G,"",0)</f>
        <v>UND</v>
      </c>
      <c r="F2474" s="99">
        <v>2</v>
      </c>
      <c r="G2474" s="146"/>
      <c r="H2474" s="146"/>
      <c r="I2474" s="147"/>
      <c r="J2474" s="147"/>
      <c r="K2474" s="63"/>
      <c r="L2474" s="63"/>
      <c r="M2474" s="63"/>
      <c r="N2474" s="63"/>
      <c r="O2474" s="63"/>
      <c r="P2474" s="63"/>
      <c r="Q2474" s="63"/>
      <c r="R2474" s="63"/>
      <c r="S2474" s="63"/>
      <c r="T2474" s="63"/>
      <c r="U2474" s="63"/>
      <c r="V2474" s="63"/>
      <c r="W2474" s="63"/>
      <c r="X2474" s="63"/>
      <c r="Y2474" s="63"/>
      <c r="Z2474" s="63"/>
      <c r="AA2474" s="63"/>
      <c r="AB2474" s="63"/>
      <c r="AC2474" s="63"/>
    </row>
    <row r="2475" spans="1:29" x14ac:dyDescent="0.25">
      <c r="A2475" s="108">
        <v>46079</v>
      </c>
      <c r="B2475" s="128">
        <v>97</v>
      </c>
      <c r="C2475" s="49" t="s">
        <v>19</v>
      </c>
      <c r="D2475" s="110" t="str">
        <f>IF(ISBLANK($B2475),"",IFERROR(VLOOKUP($B2475,ESTOQUE!$B$2:$D$97168,3,FALSE),"Produto não cadastrado"))</f>
        <v>COLETE REFLETIVO LARANJA M</v>
      </c>
      <c r="E2475" s="99" t="str">
        <f>_xlfn.XLOOKUP(B2475,ESTOQUE!B:B,ESTOQUE!G:G,"",0)</f>
        <v>UND</v>
      </c>
      <c r="F2475" s="99">
        <v>2</v>
      </c>
      <c r="G2475" s="146"/>
      <c r="H2475" s="146"/>
      <c r="I2475" s="147"/>
      <c r="J2475" s="147"/>
      <c r="K2475" s="63"/>
      <c r="L2475" s="63"/>
      <c r="M2475" s="63"/>
      <c r="N2475" s="63"/>
      <c r="O2475" s="63"/>
      <c r="P2475" s="63"/>
      <c r="Q2475" s="63"/>
      <c r="R2475" s="63"/>
      <c r="S2475" s="63"/>
      <c r="T2475" s="63"/>
      <c r="U2475" s="63"/>
      <c r="V2475" s="63"/>
      <c r="W2475" s="63"/>
      <c r="X2475" s="63"/>
      <c r="Y2475" s="63"/>
      <c r="Z2475" s="63"/>
      <c r="AA2475" s="63"/>
      <c r="AB2475" s="63"/>
      <c r="AC2475" s="63"/>
    </row>
    <row r="2476" spans="1:29" x14ac:dyDescent="0.25">
      <c r="A2476" s="108">
        <v>46080</v>
      </c>
      <c r="B2476" s="128">
        <v>172</v>
      </c>
      <c r="C2476" s="49" t="s">
        <v>19</v>
      </c>
      <c r="D2476" s="110" t="str">
        <f>IF(ISBLANK($B2476),"",IFERROR(VLOOKUP($B2476,ESTOQUE!$B$2:$D$97168,3,FALSE),"Produto não cadastrado"))</f>
        <v>BOTA PVC CANO CURTO Nº 41</v>
      </c>
      <c r="E2476" s="99" t="str">
        <f>_xlfn.XLOOKUP(B2476,ESTOQUE!B:B,ESTOQUE!G:G,"",0)</f>
        <v>PAR</v>
      </c>
      <c r="F2476" s="99">
        <v>2</v>
      </c>
      <c r="G2476" s="146"/>
      <c r="H2476" s="146"/>
      <c r="I2476" s="147"/>
      <c r="J2476" s="147"/>
      <c r="K2476" s="63"/>
      <c r="L2476" s="63"/>
      <c r="M2476" s="63"/>
      <c r="N2476" s="63"/>
      <c r="O2476" s="63"/>
      <c r="P2476" s="63"/>
      <c r="Q2476" s="63"/>
      <c r="R2476" s="63"/>
      <c r="S2476" s="63"/>
      <c r="T2476" s="63"/>
      <c r="U2476" s="63"/>
      <c r="V2476" s="63"/>
      <c r="W2476" s="63"/>
      <c r="X2476" s="63"/>
      <c r="Y2476" s="63"/>
      <c r="Z2476" s="63"/>
      <c r="AA2476" s="63"/>
      <c r="AB2476" s="63"/>
      <c r="AC2476" s="63"/>
    </row>
    <row r="2477" spans="1:29" x14ac:dyDescent="0.25">
      <c r="A2477" s="108">
        <v>46080</v>
      </c>
      <c r="B2477" s="128">
        <v>12</v>
      </c>
      <c r="C2477" s="49" t="s">
        <v>19</v>
      </c>
      <c r="D2477" s="110" t="str">
        <f>IF(ISBLANK($B2477),"",IFERROR(VLOOKUP($B2477,ESTOQUE!$B$2:$D$97168,3,FALSE),"Produto não cadastrado"))</f>
        <v>BOTA PVC CANO LONGO Nº 44</v>
      </c>
      <c r="E2477" s="99" t="str">
        <f>_xlfn.XLOOKUP(B2477,ESTOQUE!B:B,ESTOQUE!G:G,"",0)</f>
        <v>PAR</v>
      </c>
      <c r="F2477" s="99">
        <v>1</v>
      </c>
      <c r="G2477" s="146"/>
      <c r="H2477" s="146"/>
      <c r="I2477" s="147"/>
      <c r="J2477" s="147"/>
      <c r="K2477" s="63"/>
      <c r="L2477" s="63"/>
      <c r="M2477" s="63"/>
      <c r="N2477" s="63"/>
      <c r="O2477" s="63"/>
      <c r="P2477" s="63"/>
      <c r="Q2477" s="63"/>
      <c r="R2477" s="63"/>
      <c r="S2477" s="63"/>
      <c r="T2477" s="63"/>
      <c r="U2477" s="63"/>
      <c r="V2477" s="63"/>
      <c r="W2477" s="63"/>
      <c r="X2477" s="63"/>
      <c r="Y2477" s="63"/>
      <c r="Z2477" s="63"/>
      <c r="AA2477" s="63"/>
      <c r="AB2477" s="63"/>
      <c r="AC2477" s="63"/>
    </row>
    <row r="2478" spans="1:29" x14ac:dyDescent="0.25">
      <c r="A2478" s="108">
        <v>46080</v>
      </c>
      <c r="B2478" s="128">
        <v>40</v>
      </c>
      <c r="C2478" s="49" t="s">
        <v>19</v>
      </c>
      <c r="D2478" s="110" t="str">
        <f>IF(ISBLANK($B2478),"",IFERROR(VLOOKUP($B2478,ESTOQUE!$B$2:$D$97168,3,FALSE),"Produto não cadastrado"))</f>
        <v>BOTINA OP. BICO PVC Nº 42</v>
      </c>
      <c r="E2478" s="99" t="str">
        <f>_xlfn.XLOOKUP(B2478,ESTOQUE!B:B,ESTOQUE!G:G,"",0)</f>
        <v>PAR</v>
      </c>
      <c r="F2478" s="99">
        <v>1</v>
      </c>
      <c r="G2478" s="146"/>
      <c r="H2478" s="146"/>
      <c r="I2478" s="147"/>
      <c r="J2478" s="147"/>
      <c r="K2478" s="63"/>
      <c r="L2478" s="63"/>
      <c r="M2478" s="63"/>
      <c r="N2478" s="63"/>
      <c r="O2478" s="63"/>
      <c r="P2478" s="63"/>
      <c r="Q2478" s="63"/>
      <c r="R2478" s="63"/>
      <c r="S2478" s="63"/>
      <c r="T2478" s="63"/>
      <c r="U2478" s="63"/>
      <c r="V2478" s="63"/>
      <c r="W2478" s="63"/>
      <c r="X2478" s="63"/>
      <c r="Y2478" s="63"/>
      <c r="Z2478" s="63"/>
      <c r="AA2478" s="63"/>
      <c r="AB2478" s="63"/>
      <c r="AC2478" s="63"/>
    </row>
    <row r="2479" spans="1:29" x14ac:dyDescent="0.25">
      <c r="A2479" s="108">
        <v>46080</v>
      </c>
      <c r="B2479" s="128">
        <v>41</v>
      </c>
      <c r="C2479" s="49" t="s">
        <v>19</v>
      </c>
      <c r="D2479" s="110" t="str">
        <f>IF(ISBLANK($B2479),"",IFERROR(VLOOKUP($B2479,ESTOQUE!$B$2:$D$97168,3,FALSE),"Produto não cadastrado"))</f>
        <v>BOTINA OP. BICO PVC Nº 43</v>
      </c>
      <c r="E2479" s="99" t="str">
        <f>_xlfn.XLOOKUP(B2479,ESTOQUE!B:B,ESTOQUE!G:G,"",0)</f>
        <v>PAR</v>
      </c>
      <c r="F2479" s="99">
        <v>2</v>
      </c>
      <c r="G2479" s="146"/>
      <c r="H2479" s="146"/>
      <c r="I2479" s="147"/>
      <c r="J2479" s="147"/>
      <c r="K2479" s="63"/>
      <c r="L2479" s="63"/>
      <c r="M2479" s="63"/>
      <c r="N2479" s="63"/>
      <c r="O2479" s="63"/>
      <c r="P2479" s="63"/>
      <c r="Q2479" s="63"/>
      <c r="R2479" s="63"/>
      <c r="S2479" s="63"/>
      <c r="T2479" s="63"/>
      <c r="U2479" s="63"/>
      <c r="V2479" s="63"/>
      <c r="W2479" s="63"/>
      <c r="X2479" s="63"/>
      <c r="Y2479" s="63"/>
      <c r="Z2479" s="63"/>
      <c r="AA2479" s="63"/>
      <c r="AB2479" s="63"/>
      <c r="AC2479" s="63"/>
    </row>
    <row r="2480" spans="1:29" x14ac:dyDescent="0.25">
      <c r="A2480" s="108">
        <v>46080</v>
      </c>
      <c r="B2480" s="128">
        <v>217</v>
      </c>
      <c r="C2480" s="49" t="s">
        <v>19</v>
      </c>
      <c r="D2480" s="110" t="str">
        <f>IF(ISBLANK($B2480),"",IFERROR(VLOOKUP($B2480,ESTOQUE!$B$2:$D$97168,3,FALSE),"Produto não cadastrado"))</f>
        <v>BOTINA SEGURANÇA METATARSO  40</v>
      </c>
      <c r="E2480" s="99" t="str">
        <f>_xlfn.XLOOKUP(B2480,ESTOQUE!B:B,ESTOQUE!G:G,"",0)</f>
        <v>PAR</v>
      </c>
      <c r="F2480" s="99">
        <v>2</v>
      </c>
      <c r="G2480" s="146"/>
      <c r="H2480" s="146"/>
      <c r="I2480" s="147"/>
      <c r="J2480" s="147"/>
      <c r="K2480" s="63"/>
      <c r="L2480" s="63"/>
      <c r="M2480" s="63"/>
      <c r="N2480" s="63"/>
      <c r="O2480" s="63"/>
      <c r="P2480" s="63"/>
      <c r="Q2480" s="63"/>
      <c r="R2480" s="63"/>
      <c r="S2480" s="63"/>
      <c r="T2480" s="63"/>
      <c r="U2480" s="63"/>
      <c r="V2480" s="63"/>
      <c r="W2480" s="63"/>
      <c r="X2480" s="63"/>
      <c r="Y2480" s="63"/>
      <c r="Z2480" s="63"/>
      <c r="AA2480" s="63"/>
      <c r="AB2480" s="63"/>
      <c r="AC2480" s="63"/>
    </row>
    <row r="2481" spans="1:29" x14ac:dyDescent="0.25">
      <c r="A2481" s="108">
        <v>46080</v>
      </c>
      <c r="B2481" s="128">
        <v>67</v>
      </c>
      <c r="C2481" s="49" t="s">
        <v>19</v>
      </c>
      <c r="D2481" s="110" t="str">
        <f>IF(ISBLANK($B2481),"",IFERROR(VLOOKUP($B2481,ESTOQUE!$B$2:$D$97168,3,FALSE),"Produto não cadastrado"))</f>
        <v>CAMISA LARANJA OP. C/ FAIXA REFLETIVA TAM: G</v>
      </c>
      <c r="E2481" s="99" t="str">
        <f>_xlfn.XLOOKUP(B2481,ESTOQUE!B:B,ESTOQUE!G:G,"",0)</f>
        <v>UND</v>
      </c>
      <c r="F2481" s="99">
        <v>3</v>
      </c>
      <c r="G2481" s="146"/>
      <c r="H2481" s="146"/>
      <c r="I2481" s="147"/>
      <c r="J2481" s="147"/>
      <c r="K2481" s="63"/>
      <c r="L2481" s="63"/>
      <c r="M2481" s="63"/>
      <c r="N2481" s="63"/>
      <c r="O2481" s="63"/>
      <c r="P2481" s="63"/>
      <c r="Q2481" s="63"/>
      <c r="R2481" s="63"/>
      <c r="S2481" s="63"/>
      <c r="T2481" s="63"/>
      <c r="U2481" s="63"/>
      <c r="V2481" s="63"/>
      <c r="W2481" s="63"/>
      <c r="X2481" s="63"/>
      <c r="Y2481" s="63"/>
      <c r="Z2481" s="63"/>
      <c r="AA2481" s="63"/>
      <c r="AB2481" s="63"/>
      <c r="AC2481" s="63"/>
    </row>
    <row r="2482" spans="1:29" x14ac:dyDescent="0.25">
      <c r="A2482" s="108">
        <v>46080</v>
      </c>
      <c r="B2482" s="128">
        <v>126</v>
      </c>
      <c r="C2482" s="49" t="s">
        <v>19</v>
      </c>
      <c r="D2482" s="110" t="str">
        <f>IF(ISBLANK($B2482),"",IFERROR(VLOOKUP($B2482,ESTOQUE!$B$2:$D$97168,3,FALSE),"Produto não cadastrado"))</f>
        <v>OCULOS DE PROTEÇÃO ESCURO</v>
      </c>
      <c r="E2482" s="99" t="str">
        <f>_xlfn.XLOOKUP(B2482,ESTOQUE!B:B,ESTOQUE!G:G,"",0)</f>
        <v>UND</v>
      </c>
      <c r="F2482" s="99">
        <v>50</v>
      </c>
      <c r="G2482" s="146"/>
      <c r="H2482" s="146"/>
      <c r="I2482" s="147"/>
      <c r="J2482" s="147"/>
      <c r="K2482" s="63"/>
      <c r="L2482" s="63"/>
      <c r="M2482" s="63"/>
      <c r="N2482" s="63"/>
      <c r="O2482" s="63"/>
      <c r="P2482" s="63"/>
      <c r="Q2482" s="63"/>
      <c r="R2482" s="63"/>
      <c r="S2482" s="63"/>
      <c r="T2482" s="63"/>
      <c r="U2482" s="63"/>
      <c r="V2482" s="63"/>
      <c r="W2482" s="63"/>
      <c r="X2482" s="63"/>
      <c r="Y2482" s="63"/>
      <c r="Z2482" s="63"/>
      <c r="AA2482" s="63"/>
      <c r="AB2482" s="63"/>
      <c r="AC2482" s="63"/>
    </row>
    <row r="2483" spans="1:29" x14ac:dyDescent="0.25">
      <c r="A2483" s="108">
        <v>46080</v>
      </c>
      <c r="B2483" s="128">
        <v>144</v>
      </c>
      <c r="C2483" s="49" t="s">
        <v>19</v>
      </c>
      <c r="D2483" s="110" t="str">
        <f>IF(ISBLANK($B2483),"",IFERROR(VLOOKUP($B2483,ESTOQUE!$B$2:$D$97168,3,FALSE),"Produto não cadastrado"))</f>
        <v>MASCARA PFF2-S C/ FILTRO</v>
      </c>
      <c r="E2483" s="99" t="str">
        <f>_xlfn.XLOOKUP(B2483,ESTOQUE!B:B,ESTOQUE!G:G,"",0)</f>
        <v>UND</v>
      </c>
      <c r="F2483" s="99">
        <v>50</v>
      </c>
      <c r="G2483" s="146"/>
      <c r="H2483" s="146"/>
      <c r="I2483" s="147"/>
      <c r="J2483" s="147"/>
      <c r="K2483" s="63"/>
      <c r="L2483" s="63"/>
      <c r="M2483" s="63"/>
      <c r="N2483" s="63"/>
      <c r="O2483" s="63"/>
      <c r="P2483" s="63"/>
      <c r="Q2483" s="63"/>
      <c r="R2483" s="63"/>
      <c r="S2483" s="63"/>
      <c r="T2483" s="63"/>
      <c r="U2483" s="63"/>
      <c r="V2483" s="63"/>
      <c r="W2483" s="63"/>
      <c r="X2483" s="63"/>
      <c r="Y2483" s="63"/>
      <c r="Z2483" s="63"/>
      <c r="AA2483" s="63"/>
      <c r="AB2483" s="63"/>
      <c r="AC2483" s="63"/>
    </row>
    <row r="2484" spans="1:29" x14ac:dyDescent="0.25">
      <c r="A2484" s="108">
        <v>46080</v>
      </c>
      <c r="B2484" s="128">
        <v>114</v>
      </c>
      <c r="C2484" s="49" t="s">
        <v>19</v>
      </c>
      <c r="D2484" s="110" t="str">
        <f>IF(ISBLANK($B2484),"",IFERROR(VLOOKUP($B2484,ESTOQUE!$B$2:$D$97168,3,FALSE),"Produto não cadastrado"))</f>
        <v xml:space="preserve">LUVA LATEX NITRILICA </v>
      </c>
      <c r="E2484" s="99" t="str">
        <f>_xlfn.XLOOKUP(B2484,ESTOQUE!B:B,ESTOQUE!G:G,"",0)</f>
        <v>PAR</v>
      </c>
      <c r="F2484" s="99">
        <v>13</v>
      </c>
      <c r="G2484" s="146"/>
      <c r="H2484" s="146"/>
      <c r="I2484" s="147"/>
      <c r="J2484" s="147"/>
      <c r="K2484" s="63"/>
      <c r="L2484" s="63"/>
      <c r="M2484" s="63"/>
      <c r="N2484" s="63"/>
      <c r="O2484" s="63"/>
      <c r="P2484" s="63"/>
      <c r="Q2484" s="63"/>
      <c r="R2484" s="63"/>
      <c r="S2484" s="63"/>
      <c r="T2484" s="63"/>
      <c r="U2484" s="63"/>
      <c r="V2484" s="63"/>
      <c r="W2484" s="63"/>
      <c r="X2484" s="63"/>
      <c r="Y2484" s="63"/>
      <c r="Z2484" s="63"/>
      <c r="AA2484" s="63"/>
      <c r="AB2484" s="63"/>
      <c r="AC2484" s="63"/>
    </row>
    <row r="2485" spans="1:29" x14ac:dyDescent="0.25">
      <c r="A2485" s="108">
        <v>46080</v>
      </c>
      <c r="B2485" s="128">
        <v>46</v>
      </c>
      <c r="C2485" s="49" t="s">
        <v>19</v>
      </c>
      <c r="D2485" s="110" t="str">
        <f>IF(ISBLANK($B2485),"",IFERROR(VLOOKUP($B2485,ESTOQUE!$B$2:$D$97168,3,FALSE),"Produto não cadastrado"))</f>
        <v>CALÇA CINZA OP. C/ FAIXA REFLETIVA TAM: G</v>
      </c>
      <c r="E2485" s="99" t="str">
        <f>_xlfn.XLOOKUP(B2485,ESTOQUE!B:B,ESTOQUE!G:G,"",0)</f>
        <v>UND</v>
      </c>
      <c r="F2485" s="99">
        <v>3</v>
      </c>
      <c r="G2485" s="146"/>
      <c r="H2485" s="146"/>
      <c r="I2485" s="147"/>
      <c r="J2485" s="147"/>
      <c r="K2485" s="63"/>
      <c r="L2485" s="63"/>
      <c r="M2485" s="63"/>
      <c r="N2485" s="63"/>
      <c r="O2485" s="63"/>
      <c r="P2485" s="63"/>
      <c r="Q2485" s="63"/>
      <c r="R2485" s="63"/>
      <c r="S2485" s="63"/>
      <c r="T2485" s="63"/>
      <c r="U2485" s="63"/>
      <c r="V2485" s="63"/>
      <c r="W2485" s="63"/>
      <c r="X2485" s="63"/>
      <c r="Y2485" s="63"/>
      <c r="Z2485" s="63"/>
      <c r="AA2485" s="63"/>
      <c r="AB2485" s="63"/>
      <c r="AC2485" s="63"/>
    </row>
    <row r="2486" spans="1:29" x14ac:dyDescent="0.25">
      <c r="A2486" s="108">
        <v>46080</v>
      </c>
      <c r="B2486" s="128">
        <v>130</v>
      </c>
      <c r="C2486" s="49" t="s">
        <v>19</v>
      </c>
      <c r="D2486" s="110" t="str">
        <f>IF(ISBLANK($B2486),"",IFERROR(VLOOKUP($B2486,ESTOQUE!$B$2:$D$97168,3,FALSE),"Produto não cadastrado"))</f>
        <v>PROTETOR AUDITIVO TIPO CONCHA L-300</v>
      </c>
      <c r="E2486" s="99" t="str">
        <f>_xlfn.XLOOKUP(B2486,ESTOQUE!B:B,ESTOQUE!G:G,"",0)</f>
        <v>UND</v>
      </c>
      <c r="F2486" s="99">
        <v>1</v>
      </c>
      <c r="G2486" s="146"/>
      <c r="H2486" s="146"/>
      <c r="I2486" s="147"/>
      <c r="J2486" s="147"/>
      <c r="K2486" s="63"/>
      <c r="L2486" s="63"/>
      <c r="M2486" s="63"/>
      <c r="N2486" s="63"/>
      <c r="O2486" s="63"/>
      <c r="P2486" s="63"/>
      <c r="Q2486" s="63"/>
      <c r="R2486" s="63"/>
      <c r="S2486" s="63"/>
      <c r="T2486" s="63"/>
      <c r="U2486" s="63"/>
      <c r="V2486" s="63"/>
      <c r="W2486" s="63"/>
      <c r="X2486" s="63"/>
      <c r="Y2486" s="63"/>
      <c r="Z2486" s="63"/>
      <c r="AA2486" s="63"/>
      <c r="AB2486" s="63"/>
      <c r="AC2486" s="63"/>
    </row>
    <row r="2487" spans="1:29" x14ac:dyDescent="0.25">
      <c r="A2487" s="108">
        <v>46081</v>
      </c>
      <c r="B2487" s="128">
        <v>47</v>
      </c>
      <c r="C2487" s="49" t="s">
        <v>19</v>
      </c>
      <c r="D2487" s="110" t="str">
        <f>IF(ISBLANK($B2487),"",IFERROR(VLOOKUP($B2487,ESTOQUE!$B$2:$D$97168,3,FALSE),"Produto não cadastrado"))</f>
        <v>CALÇA CINZA OP. C/ FAIXA REFLETIVA TAM: GG</v>
      </c>
      <c r="E2487" s="99" t="str">
        <f>_xlfn.XLOOKUP(B2487,ESTOQUE!B:B,ESTOQUE!G:G,"",0)</f>
        <v>UND</v>
      </c>
      <c r="F2487" s="99">
        <v>3</v>
      </c>
      <c r="G2487" s="146"/>
      <c r="H2487" s="146"/>
      <c r="I2487" s="147"/>
      <c r="J2487" s="147"/>
      <c r="K2487" s="63"/>
      <c r="L2487" s="63"/>
      <c r="M2487" s="63"/>
      <c r="N2487" s="63"/>
      <c r="O2487" s="63"/>
      <c r="P2487" s="63"/>
      <c r="Q2487" s="63"/>
      <c r="R2487" s="63"/>
      <c r="S2487" s="63"/>
      <c r="T2487" s="63"/>
      <c r="U2487" s="63"/>
      <c r="V2487" s="63"/>
      <c r="W2487" s="63"/>
      <c r="X2487" s="63"/>
      <c r="Y2487" s="63"/>
      <c r="Z2487" s="63"/>
      <c r="AA2487" s="63"/>
      <c r="AB2487" s="63"/>
      <c r="AC2487" s="63"/>
    </row>
    <row r="2488" spans="1:29" x14ac:dyDescent="0.25">
      <c r="A2488" s="108">
        <v>46081</v>
      </c>
      <c r="B2488" s="128">
        <v>48</v>
      </c>
      <c r="C2488" s="49" t="s">
        <v>19</v>
      </c>
      <c r="D2488" s="110" t="str">
        <f>IF(ISBLANK($B2488),"",IFERROR(VLOOKUP($B2488,ESTOQUE!$B$2:$D$97168,3,FALSE),"Produto não cadastrado"))</f>
        <v>CALÇA CINZA OP. C/ FAIXA REFLETIVA TAM: M</v>
      </c>
      <c r="E2488" s="99" t="str">
        <f>_xlfn.XLOOKUP(B2488,ESTOQUE!B:B,ESTOQUE!G:G,"",0)</f>
        <v>UND</v>
      </c>
      <c r="F2488" s="99">
        <v>11</v>
      </c>
      <c r="G2488" s="146"/>
      <c r="H2488" s="146"/>
      <c r="I2488" s="147"/>
      <c r="J2488" s="147"/>
      <c r="K2488" s="63"/>
      <c r="L2488" s="63"/>
      <c r="M2488" s="63"/>
      <c r="N2488" s="63"/>
      <c r="O2488" s="63"/>
      <c r="P2488" s="63"/>
      <c r="Q2488" s="63"/>
      <c r="R2488" s="63"/>
      <c r="S2488" s="63"/>
      <c r="T2488" s="63"/>
      <c r="U2488" s="63"/>
      <c r="V2488" s="63"/>
      <c r="W2488" s="63"/>
      <c r="X2488" s="63"/>
      <c r="Y2488" s="63"/>
      <c r="Z2488" s="63"/>
      <c r="AA2488" s="63"/>
      <c r="AB2488" s="63"/>
      <c r="AC2488" s="63"/>
    </row>
    <row r="2489" spans="1:29" x14ac:dyDescent="0.25">
      <c r="A2489" s="108">
        <v>46081</v>
      </c>
      <c r="B2489" s="128">
        <v>49</v>
      </c>
      <c r="C2489" s="49" t="s">
        <v>19</v>
      </c>
      <c r="D2489" s="110" t="str">
        <f>IF(ISBLANK($B2489),"",IFERROR(VLOOKUP($B2489,ESTOQUE!$B$2:$D$97168,3,FALSE),"Produto não cadastrado"))</f>
        <v>CALÇA CINZA OP. C/ FAIXA REFLETIVA TAM: P</v>
      </c>
      <c r="E2489" s="99" t="str">
        <f>_xlfn.XLOOKUP(B2489,ESTOQUE!B:B,ESTOQUE!G:G,"",0)</f>
        <v>UND</v>
      </c>
      <c r="F2489" s="99">
        <v>5</v>
      </c>
      <c r="G2489" s="146"/>
      <c r="H2489" s="146"/>
      <c r="I2489" s="147"/>
      <c r="J2489" s="147"/>
      <c r="K2489" s="63"/>
      <c r="L2489" s="63"/>
      <c r="M2489" s="63"/>
      <c r="N2489" s="63"/>
      <c r="O2489" s="63"/>
      <c r="P2489" s="63"/>
      <c r="Q2489" s="63"/>
      <c r="R2489" s="63"/>
      <c r="S2489" s="63"/>
      <c r="T2489" s="63"/>
      <c r="U2489" s="63"/>
      <c r="V2489" s="63"/>
      <c r="W2489" s="63"/>
      <c r="X2489" s="63"/>
      <c r="Y2489" s="63"/>
      <c r="Z2489" s="63"/>
      <c r="AA2489" s="63"/>
      <c r="AB2489" s="63"/>
      <c r="AC2489" s="63"/>
    </row>
    <row r="2490" spans="1:29" x14ac:dyDescent="0.25">
      <c r="A2490" s="108">
        <v>46081</v>
      </c>
      <c r="B2490" s="128">
        <v>118</v>
      </c>
      <c r="C2490" s="49" t="s">
        <v>19</v>
      </c>
      <c r="D2490" s="110" t="str">
        <f>IF(ISBLANK($B2490),"",IFERROR(VLOOKUP($B2490,ESTOQUE!$B$2:$D$97168,3,FALSE),"Produto não cadastrado"))</f>
        <v>MACACÃO DE PROTEÇÃO TYVEK</v>
      </c>
      <c r="E2490" s="99" t="str">
        <f>_xlfn.XLOOKUP(B2490,ESTOQUE!B:B,ESTOQUE!G:G,"",0)</f>
        <v>UND</v>
      </c>
      <c r="F2490" s="99">
        <v>34</v>
      </c>
      <c r="G2490" s="146"/>
      <c r="H2490" s="146"/>
      <c r="I2490" s="147"/>
      <c r="J2490" s="147"/>
      <c r="K2490" s="63"/>
      <c r="L2490" s="63"/>
      <c r="M2490" s="63"/>
      <c r="N2490" s="63"/>
      <c r="O2490" s="63"/>
      <c r="P2490" s="63"/>
      <c r="Q2490" s="63"/>
      <c r="R2490" s="63"/>
      <c r="S2490" s="63"/>
      <c r="T2490" s="63"/>
      <c r="U2490" s="63"/>
      <c r="V2490" s="63"/>
      <c r="W2490" s="63"/>
      <c r="X2490" s="63"/>
      <c r="Y2490" s="63"/>
      <c r="Z2490" s="63"/>
      <c r="AA2490" s="63"/>
      <c r="AB2490" s="63"/>
      <c r="AC2490" s="63"/>
    </row>
    <row r="2491" spans="1:29" x14ac:dyDescent="0.25">
      <c r="A2491" s="108">
        <v>46081</v>
      </c>
      <c r="B2491" s="128">
        <v>144</v>
      </c>
      <c r="C2491" s="49" t="s">
        <v>19</v>
      </c>
      <c r="D2491" s="110" t="str">
        <f>IF(ISBLANK($B2491),"",IFERROR(VLOOKUP($B2491,ESTOQUE!$B$2:$D$97168,3,FALSE),"Produto não cadastrado"))</f>
        <v>MASCARA PFF2-S C/ FILTRO</v>
      </c>
      <c r="E2491" s="99" t="str">
        <f>_xlfn.XLOOKUP(B2491,ESTOQUE!B:B,ESTOQUE!G:G,"",0)</f>
        <v>UND</v>
      </c>
      <c r="F2491" s="99">
        <v>12</v>
      </c>
      <c r="G2491" s="146"/>
      <c r="H2491" s="146"/>
      <c r="I2491" s="147"/>
      <c r="J2491" s="147"/>
      <c r="K2491" s="63"/>
      <c r="L2491" s="63"/>
      <c r="M2491" s="63"/>
      <c r="N2491" s="63"/>
      <c r="O2491" s="63"/>
      <c r="P2491" s="63"/>
      <c r="Q2491" s="63"/>
      <c r="R2491" s="63"/>
      <c r="S2491" s="63"/>
      <c r="T2491" s="63"/>
      <c r="U2491" s="63"/>
      <c r="V2491" s="63"/>
      <c r="W2491" s="63"/>
      <c r="X2491" s="63"/>
      <c r="Y2491" s="63"/>
      <c r="Z2491" s="63"/>
      <c r="AA2491" s="63"/>
      <c r="AB2491" s="63"/>
      <c r="AC2491" s="63"/>
    </row>
    <row r="2492" spans="1:29" x14ac:dyDescent="0.25">
      <c r="A2492" s="108">
        <v>46081</v>
      </c>
      <c r="B2492" s="128">
        <v>257</v>
      </c>
      <c r="C2492" s="49" t="s">
        <v>19</v>
      </c>
      <c r="D2492" s="110" t="str">
        <f>IF(ISBLANK($B2492),"",IFERROR(VLOOKUP($B2492,ESTOQUE!$B$2:$D$97168,3,FALSE),"Produto não cadastrado"))</f>
        <v xml:space="preserve">LUVA MULTITATO </v>
      </c>
      <c r="E2492" s="99" t="str">
        <f>_xlfn.XLOOKUP(B2492,ESTOQUE!B:B,ESTOQUE!G:G,"",0)</f>
        <v>UND</v>
      </c>
      <c r="F2492" s="99">
        <v>35</v>
      </c>
      <c r="G2492" s="146"/>
      <c r="H2492" s="146"/>
      <c r="I2492" s="147"/>
      <c r="J2492" s="147"/>
      <c r="K2492" s="63"/>
      <c r="L2492" s="63"/>
      <c r="M2492" s="63"/>
      <c r="N2492" s="63"/>
      <c r="O2492" s="63"/>
      <c r="P2492" s="63"/>
      <c r="Q2492" s="63"/>
      <c r="R2492" s="63"/>
      <c r="S2492" s="63"/>
      <c r="T2492" s="63"/>
      <c r="U2492" s="63"/>
      <c r="V2492" s="63"/>
      <c r="W2492" s="63"/>
      <c r="X2492" s="63"/>
      <c r="Y2492" s="63"/>
      <c r="Z2492" s="63"/>
      <c r="AA2492" s="63"/>
      <c r="AB2492" s="63"/>
      <c r="AC2492" s="63"/>
    </row>
    <row r="2493" spans="1:29" x14ac:dyDescent="0.25">
      <c r="A2493" s="108">
        <v>46081</v>
      </c>
      <c r="B2493" s="128">
        <v>263</v>
      </c>
      <c r="C2493" s="49" t="s">
        <v>19</v>
      </c>
      <c r="D2493" s="110" t="str">
        <f>IF(ISBLANK($B2493),"",IFERROR(VLOOKUP($B2493,ESTOQUE!$B$2:$D$97168,3,FALSE),"Produto não cadastrado"))</f>
        <v>LUVA DE VAUQETA CINZA</v>
      </c>
      <c r="E2493" s="99" t="str">
        <f>_xlfn.XLOOKUP(B2493,ESTOQUE!B:B,ESTOQUE!G:G,"",0)</f>
        <v>UND</v>
      </c>
      <c r="F2493" s="99">
        <v>32</v>
      </c>
      <c r="G2493" s="146"/>
      <c r="H2493" s="146"/>
      <c r="I2493" s="147"/>
      <c r="J2493" s="147"/>
      <c r="K2493" s="63"/>
      <c r="L2493" s="63"/>
      <c r="M2493" s="63"/>
      <c r="N2493" s="63"/>
      <c r="O2493" s="63"/>
      <c r="P2493" s="63"/>
      <c r="Q2493" s="63"/>
      <c r="R2493" s="63"/>
      <c r="S2493" s="63"/>
      <c r="T2493" s="63"/>
      <c r="U2493" s="63"/>
      <c r="V2493" s="63"/>
      <c r="W2493" s="63"/>
      <c r="X2493" s="63"/>
      <c r="Y2493" s="63"/>
      <c r="Z2493" s="63"/>
      <c r="AA2493" s="63"/>
      <c r="AB2493" s="63"/>
      <c r="AC2493" s="63"/>
    </row>
    <row r="2494" spans="1:29" x14ac:dyDescent="0.25">
      <c r="A2494" s="108">
        <v>46081</v>
      </c>
      <c r="B2494" s="128">
        <v>207</v>
      </c>
      <c r="C2494" s="49" t="s">
        <v>19</v>
      </c>
      <c r="D2494" s="110" t="str">
        <f>IF(ISBLANK($B2494),"",IFERROR(VLOOKUP($B2494,ESTOQUE!$B$2:$D$97168,3,FALSE),"Produto não cadastrado"))</f>
        <v>LUVA POLIESTER ANTICORTE BANHADA PU TAM 9</v>
      </c>
      <c r="E2494" s="99" t="str">
        <f>_xlfn.XLOOKUP(B2494,ESTOQUE!B:B,ESTOQUE!G:G,"",0)</f>
        <v>PAR</v>
      </c>
      <c r="F2494" s="99">
        <v>7</v>
      </c>
      <c r="G2494" s="146"/>
      <c r="H2494" s="146"/>
      <c r="I2494" s="147"/>
      <c r="J2494" s="147"/>
      <c r="K2494" s="63"/>
      <c r="L2494" s="63"/>
      <c r="M2494" s="63"/>
      <c r="N2494" s="63"/>
      <c r="O2494" s="63"/>
      <c r="P2494" s="63"/>
      <c r="Q2494" s="63"/>
      <c r="R2494" s="63"/>
      <c r="S2494" s="63"/>
      <c r="T2494" s="63"/>
      <c r="U2494" s="63"/>
      <c r="V2494" s="63"/>
      <c r="W2494" s="63"/>
      <c r="X2494" s="63"/>
      <c r="Y2494" s="63"/>
      <c r="Z2494" s="63"/>
      <c r="AA2494" s="63"/>
      <c r="AB2494" s="63"/>
      <c r="AC2494" s="63"/>
    </row>
    <row r="2495" spans="1:29" x14ac:dyDescent="0.25">
      <c r="A2495" s="108">
        <v>46081</v>
      </c>
      <c r="B2495" s="128">
        <v>67</v>
      </c>
      <c r="C2495" s="49" t="s">
        <v>19</v>
      </c>
      <c r="D2495" s="110" t="str">
        <f>IF(ISBLANK($B2495),"",IFERROR(VLOOKUP($B2495,ESTOQUE!$B$2:$D$97168,3,FALSE),"Produto não cadastrado"))</f>
        <v>CAMISA LARANJA OP. C/ FAIXA REFLETIVA TAM: G</v>
      </c>
      <c r="E2495" s="99" t="str">
        <f>_xlfn.XLOOKUP(B2495,ESTOQUE!B:B,ESTOQUE!G:G,"",0)</f>
        <v>UND</v>
      </c>
      <c r="F2495" s="99">
        <v>2</v>
      </c>
      <c r="G2495" s="146"/>
      <c r="H2495" s="146"/>
      <c r="I2495" s="147"/>
      <c r="J2495" s="147"/>
      <c r="K2495" s="63"/>
      <c r="L2495" s="63"/>
      <c r="M2495" s="63"/>
      <c r="N2495" s="63"/>
      <c r="O2495" s="63"/>
      <c r="P2495" s="63"/>
      <c r="Q2495" s="63"/>
      <c r="R2495" s="63"/>
      <c r="S2495" s="63"/>
      <c r="T2495" s="63"/>
      <c r="U2495" s="63"/>
      <c r="V2495" s="63"/>
      <c r="W2495" s="63"/>
      <c r="X2495" s="63"/>
      <c r="Y2495" s="63"/>
      <c r="Z2495" s="63"/>
      <c r="AA2495" s="63"/>
      <c r="AB2495" s="63"/>
      <c r="AC2495" s="63"/>
    </row>
    <row r="2496" spans="1:29" x14ac:dyDescent="0.25">
      <c r="A2496" s="108">
        <v>46081</v>
      </c>
      <c r="B2496" s="128">
        <v>68</v>
      </c>
      <c r="C2496" s="49" t="s">
        <v>19</v>
      </c>
      <c r="D2496" s="110" t="str">
        <f>IF(ISBLANK($B2496),"",IFERROR(VLOOKUP($B2496,ESTOQUE!$B$2:$D$97168,3,FALSE),"Produto não cadastrado"))</f>
        <v>CAMISA LARANJA OP. C/ FAIXA REFLETIVA TAM: GG</v>
      </c>
      <c r="E2496" s="99" t="str">
        <f>_xlfn.XLOOKUP(B2496,ESTOQUE!B:B,ESTOQUE!G:G,"",0)</f>
        <v>UND</v>
      </c>
      <c r="F2496" s="99">
        <v>1</v>
      </c>
      <c r="G2496" s="146"/>
      <c r="H2496" s="146"/>
      <c r="I2496" s="147"/>
      <c r="J2496" s="147"/>
      <c r="K2496" s="63"/>
      <c r="L2496" s="63"/>
      <c r="M2496" s="63"/>
      <c r="N2496" s="63"/>
      <c r="O2496" s="63"/>
      <c r="P2496" s="63"/>
      <c r="Q2496" s="63"/>
      <c r="R2496" s="63"/>
      <c r="S2496" s="63"/>
      <c r="T2496" s="63"/>
      <c r="U2496" s="63"/>
      <c r="V2496" s="63"/>
      <c r="W2496" s="63"/>
      <c r="X2496" s="63"/>
      <c r="Y2496" s="63"/>
      <c r="Z2496" s="63"/>
      <c r="AA2496" s="63"/>
      <c r="AB2496" s="63"/>
      <c r="AC2496" s="63"/>
    </row>
    <row r="2497" spans="1:29" x14ac:dyDescent="0.25">
      <c r="A2497" s="108">
        <v>46081</v>
      </c>
      <c r="B2497" s="128">
        <v>69</v>
      </c>
      <c r="C2497" s="49" t="s">
        <v>19</v>
      </c>
      <c r="D2497" s="110" t="str">
        <f>IF(ISBLANK($B2497),"",IFERROR(VLOOKUP($B2497,ESTOQUE!$B$2:$D$97168,3,FALSE),"Produto não cadastrado"))</f>
        <v>CAMISA LARANJA OP. C/ FAIXA REFLETIVA TAM: M</v>
      </c>
      <c r="E2497" s="99" t="str">
        <f>_xlfn.XLOOKUP(B2497,ESTOQUE!B:B,ESTOQUE!G:G,"",0)</f>
        <v>UND</v>
      </c>
      <c r="F2497" s="99">
        <v>7</v>
      </c>
      <c r="G2497" s="146"/>
      <c r="H2497" s="146"/>
      <c r="I2497" s="147"/>
      <c r="J2497" s="147"/>
      <c r="K2497" s="63"/>
      <c r="L2497" s="63"/>
      <c r="M2497" s="63"/>
      <c r="N2497" s="63"/>
      <c r="O2497" s="63"/>
      <c r="P2497" s="63"/>
      <c r="Q2497" s="63"/>
      <c r="R2497" s="63"/>
      <c r="S2497" s="63"/>
      <c r="T2497" s="63"/>
      <c r="U2497" s="63"/>
      <c r="V2497" s="63"/>
      <c r="W2497" s="63"/>
      <c r="X2497" s="63"/>
      <c r="Y2497" s="63"/>
      <c r="Z2497" s="63"/>
      <c r="AA2497" s="63"/>
      <c r="AB2497" s="63"/>
      <c r="AC2497" s="63"/>
    </row>
    <row r="2498" spans="1:29" x14ac:dyDescent="0.25">
      <c r="A2498" s="108">
        <v>46081</v>
      </c>
      <c r="B2498" s="128">
        <v>70</v>
      </c>
      <c r="C2498" s="49" t="s">
        <v>19</v>
      </c>
      <c r="D2498" s="110" t="str">
        <f>IF(ISBLANK($B2498),"",IFERROR(VLOOKUP($B2498,ESTOQUE!$B$2:$D$97168,3,FALSE),"Produto não cadastrado"))</f>
        <v>CAMISA LARANJA OP. C/ FAIXA REFLETIVA TAM: P</v>
      </c>
      <c r="E2498" s="99" t="str">
        <f>_xlfn.XLOOKUP(B2498,ESTOQUE!B:B,ESTOQUE!G:G,"",0)</f>
        <v>UND</v>
      </c>
      <c r="F2498" s="99">
        <v>7</v>
      </c>
      <c r="G2498" s="146"/>
      <c r="H2498" s="146"/>
      <c r="I2498" s="147"/>
      <c r="J2498" s="147"/>
      <c r="K2498" s="63"/>
      <c r="L2498" s="63"/>
      <c r="M2498" s="63"/>
      <c r="N2498" s="63"/>
      <c r="O2498" s="63"/>
      <c r="P2498" s="63"/>
      <c r="Q2498" s="63"/>
      <c r="R2498" s="63"/>
      <c r="S2498" s="63"/>
      <c r="T2498" s="63"/>
      <c r="U2498" s="63"/>
      <c r="V2498" s="63"/>
      <c r="W2498" s="63"/>
      <c r="X2498" s="63"/>
      <c r="Y2498" s="63"/>
      <c r="Z2498" s="63"/>
      <c r="AA2498" s="63"/>
      <c r="AB2498" s="63"/>
      <c r="AC2498" s="63"/>
    </row>
    <row r="2499" spans="1:29" x14ac:dyDescent="0.25">
      <c r="A2499" s="108">
        <v>46081</v>
      </c>
      <c r="B2499" s="128">
        <v>53</v>
      </c>
      <c r="C2499" s="49" t="s">
        <v>19</v>
      </c>
      <c r="D2499" s="110" t="str">
        <f>IF(ISBLANK($B2499),"",IFERROR(VLOOKUP($B2499,ESTOQUE!$B$2:$D$97168,3,FALSE),"Produto não cadastrado"))</f>
        <v>CALÇA DE ELETRICISTA NR.10 TAM: P</v>
      </c>
      <c r="E2499" s="99" t="str">
        <f>_xlfn.XLOOKUP(B2499,ESTOQUE!B:B,ESTOQUE!G:G,"",0)</f>
        <v>UND</v>
      </c>
      <c r="F2499" s="99">
        <v>1</v>
      </c>
      <c r="G2499" s="146"/>
      <c r="H2499" s="146"/>
      <c r="I2499" s="147"/>
      <c r="J2499" s="147"/>
      <c r="K2499" s="63"/>
      <c r="L2499" s="63"/>
      <c r="M2499" s="63"/>
      <c r="N2499" s="63"/>
      <c r="O2499" s="63"/>
      <c r="P2499" s="63"/>
      <c r="Q2499" s="63"/>
      <c r="R2499" s="63"/>
      <c r="S2499" s="63"/>
      <c r="T2499" s="63"/>
      <c r="U2499" s="63"/>
      <c r="V2499" s="63"/>
      <c r="W2499" s="63"/>
      <c r="X2499" s="63"/>
      <c r="Y2499" s="63"/>
      <c r="Z2499" s="63"/>
      <c r="AA2499" s="63"/>
      <c r="AB2499" s="63"/>
      <c r="AC2499" s="63"/>
    </row>
    <row r="2500" spans="1:29" x14ac:dyDescent="0.25">
      <c r="A2500" s="108">
        <v>46081</v>
      </c>
      <c r="B2500" s="128">
        <v>97</v>
      </c>
      <c r="C2500" s="49" t="s">
        <v>19</v>
      </c>
      <c r="D2500" s="110" t="str">
        <f>IF(ISBLANK($B2500),"",IFERROR(VLOOKUP($B2500,ESTOQUE!$B$2:$D$97168,3,FALSE),"Produto não cadastrado"))</f>
        <v>COLETE REFLETIVO LARANJA M</v>
      </c>
      <c r="E2500" s="99" t="str">
        <f>_xlfn.XLOOKUP(B2500,ESTOQUE!B:B,ESTOQUE!G:G,"",0)</f>
        <v>UND</v>
      </c>
      <c r="F2500" s="99">
        <v>1</v>
      </c>
      <c r="G2500" s="146"/>
      <c r="H2500" s="146"/>
      <c r="I2500" s="147"/>
      <c r="J2500" s="147"/>
      <c r="K2500" s="63"/>
      <c r="L2500" s="63"/>
      <c r="M2500" s="63"/>
      <c r="N2500" s="63"/>
      <c r="O2500" s="63"/>
      <c r="P2500" s="63"/>
      <c r="Q2500" s="63"/>
      <c r="R2500" s="63"/>
      <c r="S2500" s="63"/>
      <c r="T2500" s="63"/>
      <c r="U2500" s="63"/>
      <c r="V2500" s="63"/>
      <c r="W2500" s="63"/>
      <c r="X2500" s="63"/>
      <c r="Y2500" s="63"/>
      <c r="Z2500" s="63"/>
      <c r="AA2500" s="63"/>
      <c r="AB2500" s="63"/>
      <c r="AC2500" s="63"/>
    </row>
    <row r="2501" spans="1:29" x14ac:dyDescent="0.25">
      <c r="A2501" s="108">
        <v>46081</v>
      </c>
      <c r="B2501" s="128">
        <v>98</v>
      </c>
      <c r="C2501" s="49" t="s">
        <v>19</v>
      </c>
      <c r="D2501" s="110" t="str">
        <f>IF(ISBLANK($B2501),"",IFERROR(VLOOKUP($B2501,ESTOQUE!$B$2:$D$97168,3,FALSE),"Produto não cadastrado"))</f>
        <v>COLETE REFLETIVO LARANJA XGG</v>
      </c>
      <c r="E2501" s="99" t="str">
        <f>_xlfn.XLOOKUP(B2501,ESTOQUE!B:B,ESTOQUE!G:G,"",0)</f>
        <v>UND</v>
      </c>
      <c r="F2501" s="99">
        <v>0</v>
      </c>
      <c r="G2501" s="146"/>
      <c r="H2501" s="146"/>
      <c r="I2501" s="147"/>
      <c r="J2501" s="147"/>
      <c r="K2501" s="63"/>
      <c r="L2501" s="63"/>
      <c r="M2501" s="63"/>
      <c r="N2501" s="63"/>
      <c r="O2501" s="63"/>
      <c r="P2501" s="63"/>
      <c r="Q2501" s="63"/>
      <c r="R2501" s="63"/>
      <c r="S2501" s="63"/>
      <c r="T2501" s="63"/>
      <c r="U2501" s="63"/>
      <c r="V2501" s="63"/>
      <c r="W2501" s="63"/>
      <c r="X2501" s="63"/>
      <c r="Y2501" s="63"/>
      <c r="Z2501" s="63"/>
      <c r="AA2501" s="63"/>
      <c r="AB2501" s="63"/>
      <c r="AC2501" s="63"/>
    </row>
    <row r="2502" spans="1:29" x14ac:dyDescent="0.25">
      <c r="A2502" s="108">
        <v>46081</v>
      </c>
      <c r="B2502" s="128">
        <v>126</v>
      </c>
      <c r="C2502" s="49" t="s">
        <v>19</v>
      </c>
      <c r="D2502" s="110" t="str">
        <f>IF(ISBLANK($B2502),"",IFERROR(VLOOKUP($B2502,ESTOQUE!$B$2:$D$97168,3,FALSE),"Produto não cadastrado"))</f>
        <v>OCULOS DE PROTEÇÃO ESCURO</v>
      </c>
      <c r="E2502" s="99" t="str">
        <f>_xlfn.XLOOKUP(B2502,ESTOQUE!B:B,ESTOQUE!G:G,"",0)</f>
        <v>UND</v>
      </c>
      <c r="F2502" s="99">
        <v>6</v>
      </c>
      <c r="G2502" s="146"/>
      <c r="H2502" s="146"/>
      <c r="I2502" s="147"/>
      <c r="J2502" s="147"/>
      <c r="K2502" s="63"/>
      <c r="L2502" s="63"/>
      <c r="M2502" s="63"/>
      <c r="N2502" s="63"/>
      <c r="O2502" s="63"/>
      <c r="P2502" s="63"/>
      <c r="Q2502" s="63"/>
      <c r="R2502" s="63"/>
      <c r="S2502" s="63"/>
      <c r="T2502" s="63"/>
      <c r="U2502" s="63"/>
      <c r="V2502" s="63"/>
      <c r="W2502" s="63"/>
      <c r="X2502" s="63"/>
      <c r="Y2502" s="63"/>
      <c r="Z2502" s="63"/>
      <c r="AA2502" s="63"/>
      <c r="AB2502" s="63"/>
      <c r="AC2502" s="63"/>
    </row>
    <row r="2503" spans="1:29" x14ac:dyDescent="0.25">
      <c r="A2503" s="108">
        <v>46081</v>
      </c>
      <c r="B2503" s="128">
        <v>114</v>
      </c>
      <c r="C2503" s="49" t="s">
        <v>19</v>
      </c>
      <c r="D2503" s="110" t="str">
        <f>IF(ISBLANK($B2503),"",IFERROR(VLOOKUP($B2503,ESTOQUE!$B$2:$D$97168,3,FALSE),"Produto não cadastrado"))</f>
        <v xml:space="preserve">LUVA LATEX NITRILICA </v>
      </c>
      <c r="E2503" s="99" t="str">
        <f>_xlfn.XLOOKUP(B2503,ESTOQUE!B:B,ESTOQUE!G:G,"",0)</f>
        <v>PAR</v>
      </c>
      <c r="F2503" s="99">
        <v>1</v>
      </c>
      <c r="G2503" s="146"/>
      <c r="H2503" s="146"/>
      <c r="I2503" s="147"/>
      <c r="J2503" s="147"/>
      <c r="K2503" s="63"/>
      <c r="L2503" s="63"/>
      <c r="M2503" s="63"/>
      <c r="N2503" s="63"/>
      <c r="O2503" s="63"/>
      <c r="P2503" s="63"/>
      <c r="Q2503" s="63"/>
      <c r="R2503" s="63"/>
      <c r="S2503" s="63"/>
      <c r="T2503" s="63"/>
      <c r="U2503" s="63"/>
      <c r="V2503" s="63"/>
      <c r="W2503" s="63"/>
      <c r="X2503" s="63"/>
      <c r="Y2503" s="63"/>
      <c r="Z2503" s="63"/>
      <c r="AA2503" s="63"/>
      <c r="AB2503" s="63"/>
      <c r="AC2503" s="63"/>
    </row>
    <row r="2504" spans="1:29" x14ac:dyDescent="0.25">
      <c r="A2504" s="108">
        <v>46082</v>
      </c>
      <c r="B2504" s="128">
        <v>137</v>
      </c>
      <c r="C2504" s="49" t="s">
        <v>19</v>
      </c>
      <c r="D2504" s="110" t="str">
        <f>IF(ISBLANK($B2504),"",IFERROR(VLOOKUP($B2504,ESTOQUE!$B$2:$D$97168,3,FALSE),"Produto não cadastrado"))</f>
        <v xml:space="preserve">TOUCA ARABE </v>
      </c>
      <c r="E2504" s="99" t="str">
        <f>_xlfn.XLOOKUP(B2504,ESTOQUE!B:B,ESTOQUE!G:G,"",0)</f>
        <v>UND</v>
      </c>
      <c r="F2504" s="99">
        <v>4</v>
      </c>
      <c r="G2504" s="146"/>
      <c r="H2504" s="146"/>
      <c r="I2504" s="147"/>
      <c r="J2504" s="147"/>
      <c r="K2504" s="63"/>
      <c r="L2504" s="63"/>
      <c r="M2504" s="63"/>
      <c r="N2504" s="63"/>
      <c r="O2504" s="63"/>
      <c r="P2504" s="63"/>
      <c r="Q2504" s="63"/>
      <c r="R2504" s="63"/>
      <c r="S2504" s="63"/>
      <c r="T2504" s="63"/>
      <c r="U2504" s="63"/>
      <c r="V2504" s="63"/>
      <c r="W2504" s="63"/>
      <c r="X2504" s="63"/>
      <c r="Y2504" s="63"/>
      <c r="Z2504" s="63"/>
      <c r="AA2504" s="63"/>
      <c r="AB2504" s="63"/>
      <c r="AC2504" s="63"/>
    </row>
    <row r="2505" spans="1:29" x14ac:dyDescent="0.25">
      <c r="A2505" s="108">
        <v>46082</v>
      </c>
      <c r="B2505" s="128">
        <v>144</v>
      </c>
      <c r="C2505" s="49" t="s">
        <v>19</v>
      </c>
      <c r="D2505" s="110" t="str">
        <f>IF(ISBLANK($B2505),"",IFERROR(VLOOKUP($B2505,ESTOQUE!$B$2:$D$97168,3,FALSE),"Produto não cadastrado"))</f>
        <v>MASCARA PFF2-S C/ FILTRO</v>
      </c>
      <c r="E2505" s="99" t="str">
        <f>_xlfn.XLOOKUP(B2505,ESTOQUE!B:B,ESTOQUE!G:G,"",0)</f>
        <v>UND</v>
      </c>
      <c r="F2505" s="99">
        <v>6</v>
      </c>
      <c r="G2505" s="146"/>
      <c r="H2505" s="146"/>
      <c r="I2505" s="147"/>
      <c r="J2505" s="147"/>
      <c r="K2505" s="63"/>
      <c r="L2505" s="63"/>
      <c r="M2505" s="63"/>
      <c r="N2505" s="63"/>
      <c r="O2505" s="63"/>
      <c r="P2505" s="63"/>
      <c r="Q2505" s="63"/>
      <c r="R2505" s="63"/>
      <c r="S2505" s="63"/>
      <c r="T2505" s="63"/>
      <c r="U2505" s="63"/>
      <c r="V2505" s="63"/>
      <c r="W2505" s="63"/>
      <c r="X2505" s="63"/>
      <c r="Y2505" s="63"/>
      <c r="Z2505" s="63"/>
      <c r="AA2505" s="63"/>
      <c r="AB2505" s="63"/>
      <c r="AC2505" s="63"/>
    </row>
    <row r="2506" spans="1:29" x14ac:dyDescent="0.25">
      <c r="A2506" s="108">
        <v>46083</v>
      </c>
      <c r="B2506" s="128">
        <v>1</v>
      </c>
      <c r="C2506" s="49" t="s">
        <v>19</v>
      </c>
      <c r="D2506" s="110" t="str">
        <f>IF(ISBLANK($B2506),"",IFERROR(VLOOKUP($B2506,ESTOQUE!$B$2:$D$97168,3,FALSE),"Produto não cadastrado"))</f>
        <v>ABAFADOR DE RUIDOS TIPO CONCHA</v>
      </c>
      <c r="E2506" s="99" t="str">
        <f>_xlfn.XLOOKUP(B2506,ESTOQUE!B:B,ESTOQUE!G:G,"",0)</f>
        <v>UND</v>
      </c>
      <c r="F2506" s="99">
        <v>1</v>
      </c>
      <c r="G2506" s="146"/>
      <c r="H2506" s="146"/>
      <c r="I2506" s="147"/>
      <c r="J2506" s="147"/>
      <c r="K2506" s="63"/>
      <c r="L2506" s="63"/>
      <c r="M2506" s="63"/>
      <c r="N2506" s="63"/>
      <c r="O2506" s="63"/>
      <c r="P2506" s="63"/>
      <c r="Q2506" s="63"/>
      <c r="R2506" s="63"/>
      <c r="S2506" s="63"/>
      <c r="T2506" s="63"/>
      <c r="U2506" s="63"/>
      <c r="V2506" s="63"/>
      <c r="W2506" s="63"/>
      <c r="X2506" s="63"/>
      <c r="Y2506" s="63"/>
      <c r="Z2506" s="63"/>
      <c r="AA2506" s="63"/>
      <c r="AB2506" s="63"/>
      <c r="AC2506" s="63"/>
    </row>
    <row r="2507" spans="1:29" x14ac:dyDescent="0.25">
      <c r="A2507" s="108">
        <v>46083</v>
      </c>
      <c r="B2507" s="128">
        <v>217</v>
      </c>
      <c r="C2507" s="49" t="s">
        <v>19</v>
      </c>
      <c r="D2507" s="110" t="str">
        <f>IF(ISBLANK($B2507),"",IFERROR(VLOOKUP($B2507,ESTOQUE!$B$2:$D$97168,3,FALSE),"Produto não cadastrado"))</f>
        <v>BOTINA SEGURANÇA METATARSO  40</v>
      </c>
      <c r="E2507" s="99" t="str">
        <f>_xlfn.XLOOKUP(B2507,ESTOQUE!B:B,ESTOQUE!G:G,"",0)</f>
        <v>PAR</v>
      </c>
      <c r="F2507" s="99">
        <v>3</v>
      </c>
      <c r="G2507" s="146"/>
      <c r="H2507" s="146"/>
      <c r="I2507" s="147"/>
      <c r="J2507" s="147"/>
      <c r="K2507" s="63"/>
      <c r="L2507" s="63"/>
      <c r="M2507" s="63"/>
      <c r="N2507" s="63"/>
      <c r="O2507" s="63"/>
      <c r="P2507" s="63"/>
      <c r="Q2507" s="63"/>
      <c r="R2507" s="63"/>
      <c r="S2507" s="63"/>
      <c r="T2507" s="63"/>
      <c r="U2507" s="63"/>
      <c r="V2507" s="63"/>
      <c r="W2507" s="63"/>
      <c r="X2507" s="63"/>
      <c r="Y2507" s="63"/>
      <c r="Z2507" s="63"/>
      <c r="AA2507" s="63"/>
      <c r="AB2507" s="63"/>
      <c r="AC2507" s="63"/>
    </row>
    <row r="2508" spans="1:29" x14ac:dyDescent="0.25">
      <c r="A2508" s="108">
        <v>46083</v>
      </c>
      <c r="B2508" s="128">
        <v>185</v>
      </c>
      <c r="C2508" s="49" t="s">
        <v>19</v>
      </c>
      <c r="D2508" s="110" t="str">
        <f>IF(ISBLANK($B2508),"",IFERROR(VLOOKUP($B2508,ESTOQUE!$B$2:$D$97168,3,FALSE),"Produto não cadastrado"))</f>
        <v>CAMISA DE ELETRICISTA NR.10 TAM: G</v>
      </c>
      <c r="E2508" s="99" t="str">
        <f>_xlfn.XLOOKUP(B2508,ESTOQUE!B:B,ESTOQUE!G:G,"",0)</f>
        <v>UND</v>
      </c>
      <c r="F2508" s="99">
        <v>1</v>
      </c>
      <c r="G2508" s="146"/>
      <c r="H2508" s="146"/>
      <c r="I2508" s="147"/>
      <c r="J2508" s="147"/>
      <c r="K2508" s="63"/>
      <c r="L2508" s="63"/>
      <c r="M2508" s="63"/>
      <c r="N2508" s="63"/>
      <c r="O2508" s="63"/>
      <c r="P2508" s="63"/>
      <c r="Q2508" s="63"/>
      <c r="R2508" s="63"/>
      <c r="S2508" s="63"/>
      <c r="T2508" s="63"/>
      <c r="U2508" s="63"/>
      <c r="V2508" s="63"/>
      <c r="W2508" s="63"/>
      <c r="X2508" s="63"/>
      <c r="Y2508" s="63"/>
      <c r="Z2508" s="63"/>
      <c r="AA2508" s="63"/>
      <c r="AB2508" s="63"/>
      <c r="AC2508" s="63"/>
    </row>
    <row r="2509" spans="1:29" x14ac:dyDescent="0.25">
      <c r="A2509" s="108">
        <v>46083</v>
      </c>
      <c r="B2509" s="128">
        <v>67</v>
      </c>
      <c r="C2509" s="49" t="s">
        <v>19</v>
      </c>
      <c r="D2509" s="110" t="str">
        <f>IF(ISBLANK($B2509),"",IFERROR(VLOOKUP($B2509,ESTOQUE!$B$2:$D$97168,3,FALSE),"Produto não cadastrado"))</f>
        <v>CAMISA LARANJA OP. C/ FAIXA REFLETIVA TAM: G</v>
      </c>
      <c r="E2509" s="99" t="str">
        <f>_xlfn.XLOOKUP(B2509,ESTOQUE!B:B,ESTOQUE!G:G,"",0)</f>
        <v>UND</v>
      </c>
      <c r="F2509" s="99">
        <v>2</v>
      </c>
      <c r="G2509" s="146"/>
      <c r="H2509" s="146"/>
      <c r="I2509" s="147"/>
      <c r="J2509" s="147"/>
      <c r="K2509" s="63"/>
      <c r="L2509" s="63"/>
      <c r="M2509" s="63"/>
      <c r="N2509" s="63"/>
      <c r="O2509" s="63"/>
      <c r="P2509" s="63"/>
      <c r="Q2509" s="63"/>
      <c r="R2509" s="63"/>
      <c r="S2509" s="63"/>
      <c r="T2509" s="63"/>
      <c r="U2509" s="63"/>
      <c r="V2509" s="63"/>
      <c r="W2509" s="63"/>
      <c r="X2509" s="63"/>
      <c r="Y2509" s="63"/>
      <c r="Z2509" s="63"/>
      <c r="AA2509" s="63"/>
      <c r="AB2509" s="63"/>
      <c r="AC2509" s="63"/>
    </row>
    <row r="2510" spans="1:29" x14ac:dyDescent="0.25">
      <c r="A2510" s="108">
        <v>46083</v>
      </c>
      <c r="B2510" s="128">
        <v>68</v>
      </c>
      <c r="C2510" s="49" t="s">
        <v>19</v>
      </c>
      <c r="D2510" s="110" t="str">
        <f>IF(ISBLANK($B2510),"",IFERROR(VLOOKUP($B2510,ESTOQUE!$B$2:$D$97168,3,FALSE),"Produto não cadastrado"))</f>
        <v>CAMISA LARANJA OP. C/ FAIXA REFLETIVA TAM: GG</v>
      </c>
      <c r="E2510" s="99" t="str">
        <f>_xlfn.XLOOKUP(B2510,ESTOQUE!B:B,ESTOQUE!G:G,"",0)</f>
        <v>UND</v>
      </c>
      <c r="F2510" s="99">
        <v>2</v>
      </c>
      <c r="G2510" s="146"/>
      <c r="H2510" s="146"/>
      <c r="I2510" s="147"/>
      <c r="J2510" s="147"/>
      <c r="K2510" s="63"/>
      <c r="L2510" s="63"/>
      <c r="M2510" s="63"/>
      <c r="N2510" s="63"/>
      <c r="O2510" s="63"/>
      <c r="P2510" s="63"/>
      <c r="Q2510" s="63"/>
      <c r="R2510" s="63"/>
      <c r="S2510" s="63"/>
      <c r="T2510" s="63"/>
      <c r="U2510" s="63"/>
      <c r="V2510" s="63"/>
      <c r="W2510" s="63"/>
      <c r="X2510" s="63"/>
      <c r="Y2510" s="63"/>
      <c r="Z2510" s="63"/>
      <c r="AA2510" s="63"/>
      <c r="AB2510" s="63"/>
      <c r="AC2510" s="63"/>
    </row>
    <row r="2511" spans="1:29" x14ac:dyDescent="0.25">
      <c r="A2511" s="108">
        <v>46083</v>
      </c>
      <c r="B2511" s="128">
        <v>69</v>
      </c>
      <c r="C2511" s="49" t="s">
        <v>19</v>
      </c>
      <c r="D2511" s="110" t="str">
        <f>IF(ISBLANK($B2511),"",IFERROR(VLOOKUP($B2511,ESTOQUE!$B$2:$D$97168,3,FALSE),"Produto não cadastrado"))</f>
        <v>CAMISA LARANJA OP. C/ FAIXA REFLETIVA TAM: M</v>
      </c>
      <c r="E2511" s="99" t="str">
        <f>_xlfn.XLOOKUP(B2511,ESTOQUE!B:B,ESTOQUE!G:G,"",0)</f>
        <v>UND</v>
      </c>
      <c r="F2511" s="99">
        <v>3</v>
      </c>
      <c r="G2511" s="146"/>
      <c r="H2511" s="146"/>
      <c r="I2511" s="147"/>
      <c r="J2511" s="147"/>
      <c r="K2511" s="63"/>
      <c r="L2511" s="63"/>
      <c r="M2511" s="63"/>
      <c r="N2511" s="63"/>
      <c r="O2511" s="63"/>
      <c r="P2511" s="63"/>
      <c r="Q2511" s="63"/>
      <c r="R2511" s="63"/>
      <c r="S2511" s="63"/>
      <c r="T2511" s="63"/>
      <c r="U2511" s="63"/>
      <c r="V2511" s="63"/>
      <c r="W2511" s="63"/>
      <c r="X2511" s="63"/>
      <c r="Y2511" s="63"/>
      <c r="Z2511" s="63"/>
      <c r="AA2511" s="63"/>
      <c r="AB2511" s="63"/>
      <c r="AC2511" s="63"/>
    </row>
    <row r="2512" spans="1:29" x14ac:dyDescent="0.25">
      <c r="A2512" s="108">
        <v>46083</v>
      </c>
      <c r="B2512" s="128">
        <v>70</v>
      </c>
      <c r="C2512" s="49" t="s">
        <v>19</v>
      </c>
      <c r="D2512" s="110" t="str">
        <f>IF(ISBLANK($B2512),"",IFERROR(VLOOKUP($B2512,ESTOQUE!$B$2:$D$97168,3,FALSE),"Produto não cadastrado"))</f>
        <v>CAMISA LARANJA OP. C/ FAIXA REFLETIVA TAM: P</v>
      </c>
      <c r="E2512" s="99" t="str">
        <f>_xlfn.XLOOKUP(B2512,ESTOQUE!B:B,ESTOQUE!G:G,"",0)</f>
        <v>UND</v>
      </c>
      <c r="F2512" s="99">
        <v>2</v>
      </c>
      <c r="G2512" s="146"/>
      <c r="H2512" s="146"/>
      <c r="I2512" s="147"/>
      <c r="J2512" s="147"/>
      <c r="K2512" s="63"/>
      <c r="L2512" s="63"/>
      <c r="M2512" s="63"/>
      <c r="N2512" s="63"/>
      <c r="O2512" s="63"/>
      <c r="P2512" s="63"/>
      <c r="Q2512" s="63"/>
      <c r="R2512" s="63"/>
      <c r="S2512" s="63"/>
      <c r="T2512" s="63"/>
      <c r="U2512" s="63"/>
      <c r="V2512" s="63"/>
      <c r="W2512" s="63"/>
      <c r="X2512" s="63"/>
      <c r="Y2512" s="63"/>
      <c r="Z2512" s="63"/>
      <c r="AA2512" s="63"/>
      <c r="AB2512" s="63"/>
      <c r="AC2512" s="63"/>
    </row>
    <row r="2513" spans="1:29" x14ac:dyDescent="0.25">
      <c r="A2513" s="108">
        <v>46083</v>
      </c>
      <c r="B2513" s="128">
        <v>52</v>
      </c>
      <c r="C2513" s="49" t="s">
        <v>19</v>
      </c>
      <c r="D2513" s="110" t="str">
        <f>IF(ISBLANK($B2513),"",IFERROR(VLOOKUP($B2513,ESTOQUE!$B$2:$D$97168,3,FALSE),"Produto não cadastrado"))</f>
        <v>CALÇA DE ELETRICISTA NR.10 TAM: GG</v>
      </c>
      <c r="E2513" s="99" t="str">
        <f>_xlfn.XLOOKUP(B2513,ESTOQUE!B:B,ESTOQUE!G:G,"",0)</f>
        <v>UND</v>
      </c>
      <c r="F2513" s="99">
        <v>1</v>
      </c>
      <c r="G2513" s="146"/>
      <c r="H2513" s="146"/>
      <c r="I2513" s="147"/>
      <c r="J2513" s="147"/>
      <c r="K2513" s="63"/>
      <c r="L2513" s="63"/>
      <c r="M2513" s="63"/>
      <c r="N2513" s="63"/>
      <c r="O2513" s="63"/>
      <c r="P2513" s="63"/>
      <c r="Q2513" s="63"/>
      <c r="R2513" s="63"/>
      <c r="S2513" s="63"/>
      <c r="T2513" s="63"/>
      <c r="U2513" s="63"/>
      <c r="V2513" s="63"/>
      <c r="W2513" s="63"/>
      <c r="X2513" s="63"/>
      <c r="Y2513" s="63"/>
      <c r="Z2513" s="63"/>
      <c r="AA2513" s="63"/>
      <c r="AB2513" s="63"/>
      <c r="AC2513" s="63"/>
    </row>
    <row r="2514" spans="1:29" x14ac:dyDescent="0.25">
      <c r="A2514" s="108">
        <v>46083</v>
      </c>
      <c r="B2514" s="128">
        <v>178</v>
      </c>
      <c r="C2514" s="49" t="s">
        <v>19</v>
      </c>
      <c r="D2514" s="110" t="str">
        <f>IF(ISBLANK($B2514),"",IFERROR(VLOOKUP($B2514,ESTOQUE!$B$2:$D$97168,3,FALSE),"Produto não cadastrado"))</f>
        <v>CAPACETE GENISIS VERMELHO</v>
      </c>
      <c r="E2514" s="99" t="str">
        <f>_xlfn.XLOOKUP(B2514,ESTOQUE!B:B,ESTOQUE!G:G,"",0)</f>
        <v>UND</v>
      </c>
      <c r="F2514" s="99">
        <v>1</v>
      </c>
      <c r="G2514" s="146"/>
      <c r="H2514" s="146"/>
      <c r="I2514" s="147"/>
      <c r="J2514" s="147"/>
      <c r="K2514" s="63"/>
      <c r="L2514" s="63"/>
      <c r="M2514" s="63"/>
      <c r="N2514" s="63"/>
      <c r="O2514" s="63"/>
      <c r="P2514" s="63"/>
      <c r="Q2514" s="63"/>
      <c r="R2514" s="63"/>
      <c r="S2514" s="63"/>
      <c r="T2514" s="63"/>
      <c r="U2514" s="63"/>
      <c r="V2514" s="63"/>
      <c r="W2514" s="63"/>
      <c r="X2514" s="63"/>
      <c r="Y2514" s="63"/>
      <c r="Z2514" s="63"/>
      <c r="AA2514" s="63"/>
      <c r="AB2514" s="63"/>
      <c r="AC2514" s="63"/>
    </row>
    <row r="2515" spans="1:29" x14ac:dyDescent="0.25">
      <c r="A2515" s="108">
        <v>46083</v>
      </c>
      <c r="B2515" s="128">
        <v>48</v>
      </c>
      <c r="C2515" s="49" t="s">
        <v>19</v>
      </c>
      <c r="D2515" s="110" t="str">
        <f>IF(ISBLANK($B2515),"",IFERROR(VLOOKUP($B2515,ESTOQUE!$B$2:$D$97168,3,FALSE),"Produto não cadastrado"))</f>
        <v>CALÇA CINZA OP. C/ FAIXA REFLETIVA TAM: M</v>
      </c>
      <c r="E2515" s="99" t="str">
        <f>_xlfn.XLOOKUP(B2515,ESTOQUE!B:B,ESTOQUE!G:G,"",0)</f>
        <v>UND</v>
      </c>
      <c r="F2515" s="99">
        <v>2</v>
      </c>
      <c r="G2515" s="146"/>
      <c r="H2515" s="146"/>
      <c r="I2515" s="147"/>
      <c r="J2515" s="147"/>
      <c r="K2515" s="63"/>
      <c r="L2515" s="63"/>
      <c r="M2515" s="63"/>
      <c r="N2515" s="63"/>
      <c r="O2515" s="63"/>
      <c r="P2515" s="63"/>
      <c r="Q2515" s="63"/>
      <c r="R2515" s="63"/>
      <c r="S2515" s="63"/>
      <c r="T2515" s="63"/>
      <c r="U2515" s="63"/>
      <c r="V2515" s="63"/>
      <c r="W2515" s="63"/>
      <c r="X2515" s="63"/>
      <c r="Y2515" s="63"/>
      <c r="Z2515" s="63"/>
      <c r="AA2515" s="63"/>
      <c r="AB2515" s="63"/>
      <c r="AC2515" s="63"/>
    </row>
    <row r="2516" spans="1:29" x14ac:dyDescent="0.25">
      <c r="A2516" s="108">
        <v>46083</v>
      </c>
      <c r="B2516" s="128">
        <v>49</v>
      </c>
      <c r="C2516" s="49" t="s">
        <v>19</v>
      </c>
      <c r="D2516" s="110" t="str">
        <f>IF(ISBLANK($B2516),"",IFERROR(VLOOKUP($B2516,ESTOQUE!$B$2:$D$97168,3,FALSE),"Produto não cadastrado"))</f>
        <v>CALÇA CINZA OP. C/ FAIXA REFLETIVA TAM: P</v>
      </c>
      <c r="E2516" s="99" t="str">
        <f>_xlfn.XLOOKUP(B2516,ESTOQUE!B:B,ESTOQUE!G:G,"",0)</f>
        <v>UND</v>
      </c>
      <c r="F2516" s="99">
        <v>0</v>
      </c>
      <c r="G2516" s="146"/>
      <c r="H2516" s="146"/>
      <c r="I2516" s="147"/>
      <c r="J2516" s="147"/>
      <c r="K2516" s="63"/>
      <c r="L2516" s="63"/>
      <c r="M2516" s="63"/>
      <c r="N2516" s="63"/>
      <c r="O2516" s="63"/>
      <c r="P2516" s="63"/>
      <c r="Q2516" s="63"/>
      <c r="R2516" s="63"/>
      <c r="S2516" s="63"/>
      <c r="T2516" s="63"/>
      <c r="U2516" s="63"/>
      <c r="V2516" s="63"/>
      <c r="W2516" s="63"/>
      <c r="X2516" s="63"/>
      <c r="Y2516" s="63"/>
      <c r="Z2516" s="63"/>
      <c r="AA2516" s="63"/>
      <c r="AB2516" s="63"/>
      <c r="AC2516" s="63"/>
    </row>
    <row r="2517" spans="1:29" x14ac:dyDescent="0.25">
      <c r="A2517" s="108">
        <v>46083</v>
      </c>
      <c r="B2517" s="128">
        <v>144</v>
      </c>
      <c r="C2517" s="49" t="s">
        <v>19</v>
      </c>
      <c r="D2517" s="110" t="str">
        <f>IF(ISBLANK($B2517),"",IFERROR(VLOOKUP($B2517,ESTOQUE!$B$2:$D$97168,3,FALSE),"Produto não cadastrado"))</f>
        <v>MASCARA PFF2-S C/ FILTRO</v>
      </c>
      <c r="E2517" s="99" t="str">
        <f>_xlfn.XLOOKUP(B2517,ESTOQUE!B:B,ESTOQUE!G:G,"",0)</f>
        <v>UND</v>
      </c>
      <c r="F2517" s="99">
        <v>38</v>
      </c>
      <c r="G2517" s="146"/>
      <c r="H2517" s="146"/>
      <c r="I2517" s="147"/>
      <c r="J2517" s="147"/>
      <c r="K2517" s="63"/>
      <c r="L2517" s="63"/>
      <c r="M2517" s="63"/>
      <c r="N2517" s="63"/>
      <c r="O2517" s="63"/>
      <c r="P2517" s="63"/>
      <c r="Q2517" s="63"/>
      <c r="R2517" s="63"/>
      <c r="S2517" s="63"/>
      <c r="T2517" s="63"/>
      <c r="U2517" s="63"/>
      <c r="V2517" s="63"/>
      <c r="W2517" s="63"/>
      <c r="X2517" s="63"/>
      <c r="Y2517" s="63"/>
      <c r="Z2517" s="63"/>
      <c r="AA2517" s="63"/>
      <c r="AB2517" s="63"/>
      <c r="AC2517" s="63"/>
    </row>
    <row r="2518" spans="1:29" x14ac:dyDescent="0.25">
      <c r="A2518" s="108">
        <v>46083</v>
      </c>
      <c r="B2518" s="128">
        <v>126</v>
      </c>
      <c r="C2518" s="49" t="s">
        <v>19</v>
      </c>
      <c r="D2518" s="110" t="str">
        <f>IF(ISBLANK($B2518),"",IFERROR(VLOOKUP($B2518,ESTOQUE!$B$2:$D$97168,3,FALSE),"Produto não cadastrado"))</f>
        <v>OCULOS DE PROTEÇÃO ESCURO</v>
      </c>
      <c r="E2518" s="99" t="str">
        <f>_xlfn.XLOOKUP(B2518,ESTOQUE!B:B,ESTOQUE!G:G,"",0)</f>
        <v>UND</v>
      </c>
      <c r="F2518" s="99">
        <v>10</v>
      </c>
      <c r="G2518" s="146"/>
      <c r="H2518" s="146"/>
      <c r="I2518" s="147"/>
      <c r="J2518" s="147"/>
      <c r="K2518" s="63"/>
      <c r="L2518" s="63"/>
      <c r="M2518" s="63"/>
      <c r="N2518" s="63"/>
      <c r="O2518" s="63"/>
      <c r="P2518" s="63"/>
      <c r="Q2518" s="63"/>
      <c r="R2518" s="63"/>
      <c r="S2518" s="63"/>
      <c r="T2518" s="63"/>
      <c r="U2518" s="63"/>
      <c r="V2518" s="63"/>
      <c r="W2518" s="63"/>
      <c r="X2518" s="63"/>
      <c r="Y2518" s="63"/>
      <c r="Z2518" s="63"/>
      <c r="AA2518" s="63"/>
      <c r="AB2518" s="63"/>
      <c r="AC2518" s="63"/>
    </row>
    <row r="2519" spans="1:29" x14ac:dyDescent="0.25">
      <c r="A2519" s="108">
        <v>46083</v>
      </c>
      <c r="B2519" s="128">
        <v>137</v>
      </c>
      <c r="C2519" s="49" t="s">
        <v>19</v>
      </c>
      <c r="D2519" s="110" t="str">
        <f>IF(ISBLANK($B2519),"",IFERROR(VLOOKUP($B2519,ESTOQUE!$B$2:$D$97168,3,FALSE),"Produto não cadastrado"))</f>
        <v xml:space="preserve">TOUCA ARABE </v>
      </c>
      <c r="E2519" s="99" t="str">
        <f>_xlfn.XLOOKUP(B2519,ESTOQUE!B:B,ESTOQUE!G:G,"",0)</f>
        <v>UND</v>
      </c>
      <c r="F2519" s="99">
        <v>3</v>
      </c>
      <c r="G2519" s="146"/>
      <c r="H2519" s="146"/>
      <c r="I2519" s="147"/>
      <c r="J2519" s="147"/>
      <c r="K2519" s="63"/>
      <c r="L2519" s="63"/>
      <c r="M2519" s="63"/>
      <c r="N2519" s="63"/>
      <c r="O2519" s="63"/>
      <c r="P2519" s="63"/>
      <c r="Q2519" s="63"/>
      <c r="R2519" s="63"/>
      <c r="S2519" s="63"/>
      <c r="T2519" s="63"/>
      <c r="U2519" s="63"/>
      <c r="V2519" s="63"/>
      <c r="W2519" s="63"/>
      <c r="X2519" s="63"/>
      <c r="Y2519" s="63"/>
      <c r="Z2519" s="63"/>
      <c r="AA2519" s="63"/>
      <c r="AB2519" s="63"/>
      <c r="AC2519" s="63"/>
    </row>
    <row r="2520" spans="1:29" x14ac:dyDescent="0.25">
      <c r="A2520" s="108">
        <v>46083</v>
      </c>
      <c r="B2520" s="128">
        <v>117</v>
      </c>
      <c r="C2520" s="49" t="s">
        <v>19</v>
      </c>
      <c r="D2520" s="110" t="str">
        <f>IF(ISBLANK($B2520),"",IFERROR(VLOOKUP($B2520,ESTOQUE!$B$2:$D$97168,3,FALSE),"Produto não cadastrado"))</f>
        <v>LUVA PIGMENTADA</v>
      </c>
      <c r="E2520" s="99" t="str">
        <f>_xlfn.XLOOKUP(B2520,ESTOQUE!B:B,ESTOQUE!G:G,"",0)</f>
        <v>PAR</v>
      </c>
      <c r="F2520" s="99">
        <v>25</v>
      </c>
      <c r="G2520" s="146"/>
      <c r="H2520" s="146"/>
      <c r="I2520" s="147"/>
      <c r="J2520" s="147"/>
      <c r="K2520" s="63"/>
      <c r="L2520" s="63"/>
      <c r="M2520" s="63"/>
      <c r="N2520" s="63"/>
      <c r="O2520" s="63"/>
      <c r="P2520" s="63"/>
      <c r="Q2520" s="63"/>
      <c r="R2520" s="63"/>
      <c r="S2520" s="63"/>
      <c r="T2520" s="63"/>
      <c r="U2520" s="63"/>
      <c r="V2520" s="63"/>
      <c r="W2520" s="63"/>
      <c r="X2520" s="63"/>
      <c r="Y2520" s="63"/>
      <c r="Z2520" s="63"/>
      <c r="AA2520" s="63"/>
      <c r="AB2520" s="63"/>
      <c r="AC2520" s="63"/>
    </row>
    <row r="2521" spans="1:29" x14ac:dyDescent="0.25">
      <c r="A2521" s="108">
        <v>46083</v>
      </c>
      <c r="B2521" s="128">
        <v>67</v>
      </c>
      <c r="C2521" s="49" t="s">
        <v>19</v>
      </c>
      <c r="D2521" s="110" t="str">
        <f>IF(ISBLANK($B2521),"",IFERROR(VLOOKUP($B2521,ESTOQUE!$B$2:$D$97168,3,FALSE),"Produto não cadastrado"))</f>
        <v>CAMISA LARANJA OP. C/ FAIXA REFLETIVA TAM: G</v>
      </c>
      <c r="E2521" s="99" t="str">
        <f>_xlfn.XLOOKUP(B2521,ESTOQUE!B:B,ESTOQUE!G:G,"",0)</f>
        <v>UND</v>
      </c>
      <c r="F2521" s="99">
        <v>1</v>
      </c>
      <c r="G2521" s="146"/>
      <c r="H2521" s="146"/>
      <c r="I2521" s="147"/>
      <c r="J2521" s="147"/>
      <c r="K2521" s="63"/>
      <c r="L2521" s="63"/>
      <c r="M2521" s="63"/>
      <c r="N2521" s="63"/>
      <c r="O2521" s="63"/>
      <c r="P2521" s="63"/>
      <c r="Q2521" s="63"/>
      <c r="R2521" s="63"/>
      <c r="S2521" s="63"/>
      <c r="T2521" s="63"/>
      <c r="U2521" s="63"/>
      <c r="V2521" s="63"/>
      <c r="W2521" s="63"/>
      <c r="X2521" s="63"/>
      <c r="Y2521" s="63"/>
      <c r="Z2521" s="63"/>
      <c r="AA2521" s="63"/>
      <c r="AB2521" s="63"/>
      <c r="AC2521" s="63"/>
    </row>
    <row r="2522" spans="1:29" x14ac:dyDescent="0.25">
      <c r="A2522" s="108">
        <v>46083</v>
      </c>
      <c r="B2522" s="128">
        <v>207</v>
      </c>
      <c r="C2522" s="49" t="s">
        <v>19</v>
      </c>
      <c r="D2522" s="110" t="str">
        <f>IF(ISBLANK($B2522),"",IFERROR(VLOOKUP($B2522,ESTOQUE!$B$2:$D$97168,3,FALSE),"Produto não cadastrado"))</f>
        <v>LUVA POLIESTER ANTICORTE BANHADA PU TAM 9</v>
      </c>
      <c r="E2522" s="99" t="str">
        <f>_xlfn.XLOOKUP(B2522,ESTOQUE!B:B,ESTOQUE!G:G,"",0)</f>
        <v>PAR</v>
      </c>
      <c r="F2522" s="99">
        <v>24</v>
      </c>
      <c r="G2522" s="146"/>
      <c r="H2522" s="146"/>
      <c r="I2522" s="147"/>
      <c r="J2522" s="147"/>
      <c r="K2522" s="63"/>
      <c r="L2522" s="63"/>
      <c r="M2522" s="63"/>
      <c r="N2522" s="63"/>
      <c r="O2522" s="63"/>
      <c r="P2522" s="63"/>
      <c r="Q2522" s="63"/>
      <c r="R2522" s="63"/>
      <c r="S2522" s="63"/>
      <c r="T2522" s="63"/>
      <c r="U2522" s="63"/>
      <c r="V2522" s="63"/>
      <c r="W2522" s="63"/>
      <c r="X2522" s="63"/>
      <c r="Y2522" s="63"/>
      <c r="Z2522" s="63"/>
      <c r="AA2522" s="63"/>
      <c r="AB2522" s="63"/>
      <c r="AC2522" s="63"/>
    </row>
    <row r="2523" spans="1:29" x14ac:dyDescent="0.25">
      <c r="A2523" s="108">
        <v>46083</v>
      </c>
      <c r="B2523" s="128">
        <v>129</v>
      </c>
      <c r="C2523" s="49" t="s">
        <v>19</v>
      </c>
      <c r="D2523" s="110" t="str">
        <f>IF(ISBLANK($B2523),"",IFERROR(VLOOKUP($B2523,ESTOQUE!$B$2:$D$97168,3,FALSE),"Produto não cadastrado"))</f>
        <v>PERNEIRA DE RASPA</v>
      </c>
      <c r="E2523" s="99" t="str">
        <f>_xlfn.XLOOKUP(B2523,ESTOQUE!B:B,ESTOQUE!G:G,"",0)</f>
        <v>PAR</v>
      </c>
      <c r="F2523" s="99">
        <v>12</v>
      </c>
      <c r="G2523" s="146"/>
      <c r="H2523" s="146"/>
      <c r="I2523" s="147"/>
      <c r="J2523" s="147"/>
      <c r="K2523" s="63"/>
      <c r="L2523" s="63"/>
      <c r="M2523" s="63"/>
      <c r="N2523" s="63"/>
      <c r="O2523" s="63"/>
      <c r="P2523" s="63"/>
      <c r="Q2523" s="63"/>
      <c r="R2523" s="63"/>
      <c r="S2523" s="63"/>
      <c r="T2523" s="63"/>
      <c r="U2523" s="63"/>
      <c r="V2523" s="63"/>
      <c r="W2523" s="63"/>
      <c r="X2523" s="63"/>
      <c r="Y2523" s="63"/>
      <c r="Z2523" s="63"/>
      <c r="AA2523" s="63"/>
      <c r="AB2523" s="63"/>
      <c r="AC2523" s="63"/>
    </row>
    <row r="2524" spans="1:29" x14ac:dyDescent="0.25">
      <c r="A2524" s="108">
        <v>46083</v>
      </c>
      <c r="B2524" s="128">
        <v>130</v>
      </c>
      <c r="C2524" s="49" t="s">
        <v>19</v>
      </c>
      <c r="D2524" s="110" t="str">
        <f>IF(ISBLANK($B2524),"",IFERROR(VLOOKUP($B2524,ESTOQUE!$B$2:$D$97168,3,FALSE),"Produto não cadastrado"))</f>
        <v>PROTETOR AUDITIVO TIPO CONCHA L-300</v>
      </c>
      <c r="E2524" s="99" t="str">
        <f>_xlfn.XLOOKUP(B2524,ESTOQUE!B:B,ESTOQUE!G:G,"",0)</f>
        <v>UND</v>
      </c>
      <c r="F2524" s="99">
        <v>5</v>
      </c>
      <c r="G2524" s="146"/>
      <c r="H2524" s="146"/>
      <c r="I2524" s="147"/>
      <c r="J2524" s="147"/>
      <c r="K2524" s="63"/>
      <c r="L2524" s="63"/>
      <c r="M2524" s="63"/>
      <c r="N2524" s="63"/>
      <c r="O2524" s="63"/>
      <c r="P2524" s="63"/>
      <c r="Q2524" s="63"/>
      <c r="R2524" s="63"/>
      <c r="S2524" s="63"/>
      <c r="T2524" s="63"/>
      <c r="U2524" s="63"/>
      <c r="V2524" s="63"/>
      <c r="W2524" s="63"/>
      <c r="X2524" s="63"/>
      <c r="Y2524" s="63"/>
      <c r="Z2524" s="63"/>
      <c r="AA2524" s="63"/>
      <c r="AB2524" s="63"/>
      <c r="AC2524" s="63"/>
    </row>
    <row r="2525" spans="1:29" x14ac:dyDescent="0.25">
      <c r="A2525" s="108">
        <v>46084</v>
      </c>
      <c r="B2525" s="128">
        <v>10</v>
      </c>
      <c r="C2525" s="49" t="s">
        <v>19</v>
      </c>
      <c r="D2525" s="110" t="str">
        <f>IF(ISBLANK($B2525),"",IFERROR(VLOOKUP($B2525,ESTOQUE!$B$2:$D$97168,3,FALSE),"Produto não cadastrado"))</f>
        <v>BOTA PVC CANO LONGO Nº 42</v>
      </c>
      <c r="E2525" s="99" t="str">
        <f>_xlfn.XLOOKUP(B2525,ESTOQUE!B:B,ESTOQUE!G:G,"",0)</f>
        <v>PAR</v>
      </c>
      <c r="F2525" s="99">
        <v>1</v>
      </c>
      <c r="G2525" s="146"/>
      <c r="H2525" s="146"/>
      <c r="I2525" s="147"/>
      <c r="J2525" s="147"/>
      <c r="K2525" s="63"/>
      <c r="L2525" s="63"/>
      <c r="M2525" s="63"/>
      <c r="N2525" s="63"/>
      <c r="O2525" s="63"/>
      <c r="P2525" s="63"/>
      <c r="Q2525" s="63"/>
      <c r="R2525" s="63"/>
      <c r="S2525" s="63"/>
      <c r="T2525" s="63"/>
      <c r="U2525" s="63"/>
      <c r="V2525" s="63"/>
      <c r="W2525" s="63"/>
      <c r="X2525" s="63"/>
      <c r="Y2525" s="63"/>
      <c r="Z2525" s="63"/>
      <c r="AA2525" s="63"/>
      <c r="AB2525" s="63"/>
      <c r="AC2525" s="63"/>
    </row>
    <row r="2526" spans="1:29" x14ac:dyDescent="0.25">
      <c r="A2526" s="108">
        <v>46084</v>
      </c>
      <c r="B2526" s="128">
        <v>29</v>
      </c>
      <c r="C2526" s="49" t="s">
        <v>19</v>
      </c>
      <c r="D2526" s="110" t="str">
        <f>IF(ISBLANK($B2526),"",IFERROR(VLOOKUP($B2526,ESTOQUE!$B$2:$D$97168,3,FALSE),"Produto não cadastrado"))</f>
        <v>BOTINA DE ELETRICISTA Nº 39</v>
      </c>
      <c r="E2526" s="99" t="str">
        <f>_xlfn.XLOOKUP(B2526,ESTOQUE!B:B,ESTOQUE!G:G,"",0)</f>
        <v>PAR</v>
      </c>
      <c r="F2526" s="99">
        <v>1</v>
      </c>
      <c r="G2526" s="146"/>
      <c r="H2526" s="146"/>
      <c r="I2526" s="147"/>
      <c r="J2526" s="147"/>
      <c r="K2526" s="63"/>
      <c r="L2526" s="63"/>
      <c r="M2526" s="63"/>
      <c r="N2526" s="63"/>
      <c r="O2526" s="63"/>
      <c r="P2526" s="63"/>
      <c r="Q2526" s="63"/>
      <c r="R2526" s="63"/>
      <c r="S2526" s="63"/>
      <c r="T2526" s="63"/>
      <c r="U2526" s="63"/>
      <c r="V2526" s="63"/>
      <c r="W2526" s="63"/>
      <c r="X2526" s="63"/>
      <c r="Y2526" s="63"/>
      <c r="Z2526" s="63"/>
      <c r="AA2526" s="63"/>
      <c r="AB2526" s="63"/>
      <c r="AC2526" s="63"/>
    </row>
    <row r="2527" spans="1:29" x14ac:dyDescent="0.25">
      <c r="A2527" s="108">
        <v>46084</v>
      </c>
      <c r="B2527" s="128">
        <v>126</v>
      </c>
      <c r="C2527" s="49" t="s">
        <v>19</v>
      </c>
      <c r="D2527" s="110" t="str">
        <f>IF(ISBLANK($B2527),"",IFERROR(VLOOKUP($B2527,ESTOQUE!$B$2:$D$97168,3,FALSE),"Produto não cadastrado"))</f>
        <v>OCULOS DE PROTEÇÃO ESCURO</v>
      </c>
      <c r="E2527" s="99" t="str">
        <f>_xlfn.XLOOKUP(B2527,ESTOQUE!B:B,ESTOQUE!G:G,"",0)</f>
        <v>UND</v>
      </c>
      <c r="F2527" s="99">
        <v>3</v>
      </c>
      <c r="G2527" s="146"/>
      <c r="H2527" s="146"/>
      <c r="I2527" s="147"/>
      <c r="J2527" s="147"/>
      <c r="K2527" s="63"/>
      <c r="L2527" s="63"/>
      <c r="M2527" s="63"/>
      <c r="N2527" s="63"/>
      <c r="O2527" s="63"/>
      <c r="P2527" s="63"/>
      <c r="Q2527" s="63"/>
      <c r="R2527" s="63"/>
      <c r="S2527" s="63"/>
      <c r="T2527" s="63"/>
      <c r="U2527" s="63"/>
      <c r="V2527" s="63"/>
      <c r="W2527" s="63"/>
      <c r="X2527" s="63"/>
      <c r="Y2527" s="63"/>
      <c r="Z2527" s="63"/>
      <c r="AA2527" s="63"/>
      <c r="AB2527" s="63"/>
      <c r="AC2527" s="63"/>
    </row>
    <row r="2528" spans="1:29" x14ac:dyDescent="0.25">
      <c r="A2528" s="108">
        <v>46084</v>
      </c>
      <c r="B2528" s="128">
        <v>117</v>
      </c>
      <c r="C2528" s="49" t="s">
        <v>19</v>
      </c>
      <c r="D2528" s="110" t="str">
        <f>IF(ISBLANK($B2528),"",IFERROR(VLOOKUP($B2528,ESTOQUE!$B$2:$D$97168,3,FALSE),"Produto não cadastrado"))</f>
        <v>LUVA PIGMENTADA</v>
      </c>
      <c r="E2528" s="99" t="str">
        <f>_xlfn.XLOOKUP(B2528,ESTOQUE!B:B,ESTOQUE!G:G,"",0)</f>
        <v>PAR</v>
      </c>
      <c r="F2528" s="99">
        <v>51</v>
      </c>
      <c r="G2528" s="146"/>
      <c r="H2528" s="146"/>
      <c r="I2528" s="147"/>
      <c r="J2528" s="147"/>
      <c r="K2528" s="63"/>
      <c r="L2528" s="63"/>
      <c r="M2528" s="63"/>
      <c r="N2528" s="63"/>
      <c r="O2528" s="63"/>
      <c r="P2528" s="63"/>
      <c r="Q2528" s="63"/>
      <c r="R2528" s="63"/>
      <c r="S2528" s="63"/>
      <c r="T2528" s="63"/>
      <c r="U2528" s="63"/>
      <c r="V2528" s="63"/>
      <c r="W2528" s="63"/>
      <c r="X2528" s="63"/>
      <c r="Y2528" s="63"/>
      <c r="Z2528" s="63"/>
      <c r="AA2528" s="63"/>
      <c r="AB2528" s="63"/>
      <c r="AC2528" s="63"/>
    </row>
    <row r="2529" spans="1:29" x14ac:dyDescent="0.25">
      <c r="A2529" s="108">
        <v>46084</v>
      </c>
      <c r="B2529" s="128">
        <v>118</v>
      </c>
      <c r="C2529" s="49" t="s">
        <v>19</v>
      </c>
      <c r="D2529" s="110" t="str">
        <f>IF(ISBLANK($B2529),"",IFERROR(VLOOKUP($B2529,ESTOQUE!$B$2:$D$97168,3,FALSE),"Produto não cadastrado"))</f>
        <v>MACACÃO DE PROTEÇÃO TYVEK</v>
      </c>
      <c r="E2529" s="99" t="str">
        <f>_xlfn.XLOOKUP(B2529,ESTOQUE!B:B,ESTOQUE!G:G,"",0)</f>
        <v>UND</v>
      </c>
      <c r="F2529" s="99">
        <v>2</v>
      </c>
      <c r="G2529" s="146"/>
      <c r="H2529" s="146"/>
      <c r="I2529" s="147"/>
      <c r="J2529" s="147"/>
      <c r="K2529" s="63"/>
      <c r="L2529" s="63"/>
      <c r="M2529" s="63"/>
      <c r="N2529" s="63"/>
      <c r="O2529" s="63"/>
      <c r="P2529" s="63"/>
      <c r="Q2529" s="63"/>
      <c r="R2529" s="63"/>
      <c r="S2529" s="63"/>
      <c r="T2529" s="63"/>
      <c r="U2529" s="63"/>
      <c r="V2529" s="63"/>
      <c r="W2529" s="63"/>
      <c r="X2529" s="63"/>
      <c r="Y2529" s="63"/>
      <c r="Z2529" s="63"/>
      <c r="AA2529" s="63"/>
      <c r="AB2529" s="63"/>
      <c r="AC2529" s="63"/>
    </row>
    <row r="2530" spans="1:29" x14ac:dyDescent="0.25">
      <c r="A2530" s="108">
        <v>46084</v>
      </c>
      <c r="B2530" s="128">
        <v>48</v>
      </c>
      <c r="C2530" s="49" t="s">
        <v>19</v>
      </c>
      <c r="D2530" s="110" t="str">
        <f>IF(ISBLANK($B2530),"",IFERROR(VLOOKUP($B2530,ESTOQUE!$B$2:$D$97168,3,FALSE),"Produto não cadastrado"))</f>
        <v>CALÇA CINZA OP. C/ FAIXA REFLETIVA TAM: M</v>
      </c>
      <c r="E2530" s="99" t="str">
        <f>_xlfn.XLOOKUP(B2530,ESTOQUE!B:B,ESTOQUE!G:G,"",0)</f>
        <v>UND</v>
      </c>
      <c r="F2530" s="99">
        <v>4</v>
      </c>
      <c r="G2530" s="146"/>
      <c r="H2530" s="146"/>
      <c r="I2530" s="147"/>
      <c r="J2530" s="147"/>
      <c r="K2530" s="63"/>
      <c r="L2530" s="63"/>
      <c r="M2530" s="63"/>
      <c r="N2530" s="63"/>
      <c r="O2530" s="63"/>
      <c r="P2530" s="63"/>
      <c r="Q2530" s="63"/>
      <c r="R2530" s="63"/>
      <c r="S2530" s="63"/>
      <c r="T2530" s="63"/>
      <c r="U2530" s="63"/>
      <c r="V2530" s="63"/>
      <c r="W2530" s="63"/>
      <c r="X2530" s="63"/>
      <c r="Y2530" s="63"/>
      <c r="Z2530" s="63"/>
      <c r="AA2530" s="63"/>
      <c r="AB2530" s="63"/>
      <c r="AC2530" s="63"/>
    </row>
    <row r="2531" spans="1:29" x14ac:dyDescent="0.25">
      <c r="A2531" s="108">
        <v>46084</v>
      </c>
      <c r="B2531" s="128">
        <v>207</v>
      </c>
      <c r="C2531" s="49" t="s">
        <v>19</v>
      </c>
      <c r="D2531" s="110" t="str">
        <f>IF(ISBLANK($B2531),"",IFERROR(VLOOKUP($B2531,ESTOQUE!$B$2:$D$97168,3,FALSE),"Produto não cadastrado"))</f>
        <v>LUVA POLIESTER ANTICORTE BANHADA PU TAM 9</v>
      </c>
      <c r="E2531" s="99" t="str">
        <f>_xlfn.XLOOKUP(B2531,ESTOQUE!B:B,ESTOQUE!G:G,"",0)</f>
        <v>PAR</v>
      </c>
      <c r="F2531" s="99">
        <v>12</v>
      </c>
      <c r="G2531" s="146"/>
      <c r="H2531" s="146"/>
      <c r="I2531" s="147"/>
      <c r="J2531" s="147"/>
      <c r="K2531" s="63"/>
      <c r="L2531" s="63"/>
      <c r="M2531" s="63"/>
      <c r="N2531" s="63"/>
      <c r="O2531" s="63"/>
      <c r="P2531" s="63"/>
      <c r="Q2531" s="63"/>
      <c r="R2531" s="63"/>
      <c r="S2531" s="63"/>
      <c r="T2531" s="63"/>
      <c r="U2531" s="63"/>
      <c r="V2531" s="63"/>
      <c r="W2531" s="63"/>
      <c r="X2531" s="63"/>
      <c r="Y2531" s="63"/>
      <c r="Z2531" s="63"/>
      <c r="AA2531" s="63"/>
      <c r="AB2531" s="63"/>
      <c r="AC2531" s="63"/>
    </row>
    <row r="2532" spans="1:29" x14ac:dyDescent="0.25">
      <c r="A2532" s="108">
        <v>46084</v>
      </c>
      <c r="B2532" s="128">
        <v>130</v>
      </c>
      <c r="C2532" s="49" t="s">
        <v>19</v>
      </c>
      <c r="D2532" s="110" t="str">
        <f>IF(ISBLANK($B2532),"",IFERROR(VLOOKUP($B2532,ESTOQUE!$B$2:$D$97168,3,FALSE),"Produto não cadastrado"))</f>
        <v>PROTETOR AUDITIVO TIPO CONCHA L-300</v>
      </c>
      <c r="E2532" s="99" t="str">
        <f>_xlfn.XLOOKUP(B2532,ESTOQUE!B:B,ESTOQUE!G:G,"",0)</f>
        <v>UND</v>
      </c>
      <c r="F2532" s="99">
        <v>2</v>
      </c>
      <c r="G2532" s="146"/>
      <c r="H2532" s="146"/>
      <c r="I2532" s="147"/>
      <c r="J2532" s="147"/>
      <c r="K2532" s="63"/>
      <c r="L2532" s="63"/>
      <c r="M2532" s="63"/>
      <c r="N2532" s="63"/>
      <c r="O2532" s="63"/>
      <c r="P2532" s="63"/>
      <c r="Q2532" s="63"/>
      <c r="R2532" s="63"/>
      <c r="S2532" s="63"/>
      <c r="T2532" s="63"/>
      <c r="U2532" s="63"/>
      <c r="V2532" s="63"/>
      <c r="W2532" s="63"/>
      <c r="X2532" s="63"/>
      <c r="Y2532" s="63"/>
      <c r="Z2532" s="63"/>
      <c r="AA2532" s="63"/>
      <c r="AB2532" s="63"/>
      <c r="AC2532" s="63"/>
    </row>
    <row r="2533" spans="1:29" x14ac:dyDescent="0.25">
      <c r="A2533" s="108">
        <v>46084</v>
      </c>
      <c r="B2533" s="128">
        <v>125</v>
      </c>
      <c r="C2533" s="49" t="s">
        <v>19</v>
      </c>
      <c r="D2533" s="110" t="str">
        <f>IF(ISBLANK($B2533),"",IFERROR(VLOOKUP($B2533,ESTOQUE!$B$2:$D$97168,3,FALSE),"Produto não cadastrado"))</f>
        <v xml:space="preserve">MASCARA DE SOLDA AUTOMATICA </v>
      </c>
      <c r="E2533" s="99" t="str">
        <f>_xlfn.XLOOKUP(B2533,ESTOQUE!B:B,ESTOQUE!G:G,"",0)</f>
        <v>UND</v>
      </c>
      <c r="F2533" s="99">
        <v>2</v>
      </c>
      <c r="G2533" s="146"/>
      <c r="H2533" s="146"/>
      <c r="I2533" s="147"/>
      <c r="J2533" s="147"/>
      <c r="K2533" s="63"/>
      <c r="L2533" s="63"/>
      <c r="M2533" s="63"/>
      <c r="N2533" s="63"/>
      <c r="O2533" s="63"/>
      <c r="P2533" s="63"/>
      <c r="Q2533" s="63"/>
      <c r="R2533" s="63"/>
      <c r="S2533" s="63"/>
      <c r="T2533" s="63"/>
      <c r="U2533" s="63"/>
      <c r="V2533" s="63"/>
      <c r="W2533" s="63"/>
      <c r="X2533" s="63"/>
      <c r="Y2533" s="63"/>
      <c r="Z2533" s="63"/>
      <c r="AA2533" s="63"/>
      <c r="AB2533" s="63"/>
      <c r="AC2533" s="63"/>
    </row>
    <row r="2534" spans="1:29" x14ac:dyDescent="0.25">
      <c r="A2534" s="108">
        <v>46084</v>
      </c>
      <c r="B2534" s="128">
        <v>144</v>
      </c>
      <c r="C2534" s="49" t="s">
        <v>19</v>
      </c>
      <c r="D2534" s="110" t="str">
        <f>IF(ISBLANK($B2534),"",IFERROR(VLOOKUP($B2534,ESTOQUE!$B$2:$D$97168,3,FALSE),"Produto não cadastrado"))</f>
        <v>MASCARA PFF2-S C/ FILTRO</v>
      </c>
      <c r="E2534" s="99" t="str">
        <f>_xlfn.XLOOKUP(B2534,ESTOQUE!B:B,ESTOQUE!G:G,"",0)</f>
        <v>UND</v>
      </c>
      <c r="F2534" s="99">
        <v>56</v>
      </c>
      <c r="G2534" s="146"/>
      <c r="H2534" s="146"/>
      <c r="I2534" s="147"/>
      <c r="J2534" s="147"/>
      <c r="K2534" s="63"/>
      <c r="L2534" s="63"/>
      <c r="M2534" s="63"/>
      <c r="N2534" s="63"/>
      <c r="O2534" s="63"/>
      <c r="P2534" s="63"/>
      <c r="Q2534" s="63"/>
      <c r="R2534" s="63"/>
      <c r="S2534" s="63"/>
      <c r="T2534" s="63"/>
      <c r="U2534" s="63"/>
      <c r="V2534" s="63"/>
      <c r="W2534" s="63"/>
      <c r="X2534" s="63"/>
      <c r="Y2534" s="63"/>
      <c r="Z2534" s="63"/>
      <c r="AA2534" s="63"/>
      <c r="AB2534" s="63"/>
      <c r="AC2534" s="63"/>
    </row>
    <row r="2535" spans="1:29" x14ac:dyDescent="0.25">
      <c r="A2535" s="108">
        <v>46084</v>
      </c>
      <c r="B2535" s="128">
        <v>139</v>
      </c>
      <c r="C2535" s="49" t="s">
        <v>19</v>
      </c>
      <c r="D2535" s="110" t="str">
        <f>IF(ISBLANK($B2535),"",IFERROR(VLOOKUP($B2535,ESTOQUE!$B$2:$D$97168,3,FALSE),"Produto não cadastrado"))</f>
        <v>PROTETOR AURICULAR TIPO PLUG</v>
      </c>
      <c r="E2535" s="99" t="str">
        <f>_xlfn.XLOOKUP(B2535,ESTOQUE!B:B,ESTOQUE!G:G,"",0)</f>
        <v>UND</v>
      </c>
      <c r="F2535" s="99">
        <v>20</v>
      </c>
      <c r="G2535" s="146"/>
      <c r="H2535" s="146"/>
      <c r="I2535" s="147"/>
      <c r="J2535" s="147"/>
      <c r="K2535" s="63"/>
      <c r="L2535" s="63"/>
      <c r="M2535" s="63"/>
      <c r="N2535" s="63"/>
      <c r="O2535" s="63"/>
      <c r="P2535" s="63"/>
      <c r="Q2535" s="63"/>
      <c r="R2535" s="63"/>
      <c r="S2535" s="63"/>
      <c r="T2535" s="63"/>
      <c r="U2535" s="63"/>
      <c r="V2535" s="63"/>
      <c r="W2535" s="63"/>
      <c r="X2535" s="63"/>
      <c r="Y2535" s="63"/>
      <c r="Z2535" s="63"/>
      <c r="AA2535" s="63"/>
      <c r="AB2535" s="63"/>
      <c r="AC2535" s="63"/>
    </row>
    <row r="2536" spans="1:29" x14ac:dyDescent="0.25">
      <c r="A2536" s="108">
        <v>46084</v>
      </c>
      <c r="B2536" s="128">
        <v>126</v>
      </c>
      <c r="C2536" s="49" t="s">
        <v>19</v>
      </c>
      <c r="D2536" s="110" t="str">
        <f>IF(ISBLANK($B2536),"",IFERROR(VLOOKUP($B2536,ESTOQUE!$B$2:$D$97168,3,FALSE),"Produto não cadastrado"))</f>
        <v>OCULOS DE PROTEÇÃO ESCURO</v>
      </c>
      <c r="E2536" s="99" t="str">
        <f>_xlfn.XLOOKUP(B2536,ESTOQUE!B:B,ESTOQUE!G:G,"",0)</f>
        <v>UND</v>
      </c>
      <c r="F2536" s="99">
        <v>1</v>
      </c>
      <c r="G2536" s="146"/>
      <c r="H2536" s="146"/>
      <c r="I2536" s="147"/>
      <c r="J2536" s="147"/>
      <c r="K2536" s="63"/>
      <c r="L2536" s="63"/>
      <c r="M2536" s="63"/>
      <c r="N2536" s="63"/>
      <c r="O2536" s="63"/>
      <c r="P2536" s="63"/>
      <c r="Q2536" s="63"/>
      <c r="R2536" s="63"/>
      <c r="S2536" s="63"/>
      <c r="T2536" s="63"/>
      <c r="U2536" s="63"/>
      <c r="V2536" s="63"/>
      <c r="W2536" s="63"/>
      <c r="X2536" s="63"/>
      <c r="Y2536" s="63"/>
      <c r="Z2536" s="63"/>
      <c r="AA2536" s="63"/>
      <c r="AB2536" s="63"/>
      <c r="AC2536" s="63"/>
    </row>
    <row r="2537" spans="1:29" x14ac:dyDescent="0.25">
      <c r="A2537" s="108">
        <v>46084</v>
      </c>
      <c r="B2537" s="128">
        <v>114</v>
      </c>
      <c r="C2537" s="49" t="s">
        <v>19</v>
      </c>
      <c r="D2537" s="110" t="str">
        <f>IF(ISBLANK($B2537),"",IFERROR(VLOOKUP($B2537,ESTOQUE!$B$2:$D$97168,3,FALSE),"Produto não cadastrado"))</f>
        <v xml:space="preserve">LUVA LATEX NITRILICA </v>
      </c>
      <c r="E2537" s="99" t="str">
        <f>_xlfn.XLOOKUP(B2537,ESTOQUE!B:B,ESTOQUE!G:G,"",0)</f>
        <v>PAR</v>
      </c>
      <c r="F2537" s="99">
        <v>1</v>
      </c>
      <c r="G2537" s="146"/>
      <c r="H2537" s="146"/>
      <c r="I2537" s="147"/>
      <c r="J2537" s="147"/>
      <c r="K2537" s="63"/>
      <c r="L2537" s="63"/>
      <c r="M2537" s="63"/>
      <c r="N2537" s="63"/>
      <c r="O2537" s="63"/>
      <c r="P2537" s="63"/>
      <c r="Q2537" s="63"/>
      <c r="R2537" s="63"/>
      <c r="S2537" s="63"/>
      <c r="T2537" s="63"/>
      <c r="U2537" s="63"/>
      <c r="V2537" s="63"/>
      <c r="W2537" s="63"/>
      <c r="X2537" s="63"/>
      <c r="Y2537" s="63"/>
      <c r="Z2537" s="63"/>
      <c r="AA2537" s="63"/>
      <c r="AB2537" s="63"/>
      <c r="AC2537" s="63"/>
    </row>
    <row r="2538" spans="1:29" x14ac:dyDescent="0.25">
      <c r="A2538" s="108">
        <v>46084</v>
      </c>
      <c r="B2538" s="128">
        <v>67</v>
      </c>
      <c r="C2538" s="49" t="s">
        <v>19</v>
      </c>
      <c r="D2538" s="110" t="str">
        <f>IF(ISBLANK($B2538),"",IFERROR(VLOOKUP($B2538,ESTOQUE!$B$2:$D$97168,3,FALSE),"Produto não cadastrado"))</f>
        <v>CAMISA LARANJA OP. C/ FAIXA REFLETIVA TAM: G</v>
      </c>
      <c r="E2538" s="99" t="str">
        <f>_xlfn.XLOOKUP(B2538,ESTOQUE!B:B,ESTOQUE!G:G,"",0)</f>
        <v>UND</v>
      </c>
      <c r="F2538" s="99">
        <v>2</v>
      </c>
      <c r="G2538" s="146"/>
      <c r="H2538" s="146"/>
      <c r="I2538" s="147"/>
      <c r="J2538" s="147"/>
      <c r="K2538" s="63"/>
      <c r="L2538" s="63"/>
      <c r="M2538" s="63"/>
      <c r="N2538" s="63"/>
      <c r="O2538" s="63"/>
      <c r="P2538" s="63"/>
      <c r="Q2538" s="63"/>
      <c r="R2538" s="63"/>
      <c r="S2538" s="63"/>
      <c r="T2538" s="63"/>
      <c r="U2538" s="63"/>
      <c r="V2538" s="63"/>
      <c r="W2538" s="63"/>
      <c r="X2538" s="63"/>
      <c r="Y2538" s="63"/>
      <c r="Z2538" s="63"/>
      <c r="AA2538" s="63"/>
      <c r="AB2538" s="63"/>
      <c r="AC2538" s="63"/>
    </row>
    <row r="2539" spans="1:29" x14ac:dyDescent="0.25">
      <c r="A2539" s="108">
        <v>46084</v>
      </c>
      <c r="B2539" s="128">
        <v>69</v>
      </c>
      <c r="C2539" s="49" t="s">
        <v>19</v>
      </c>
      <c r="D2539" s="110" t="str">
        <f>IF(ISBLANK($B2539),"",IFERROR(VLOOKUP($B2539,ESTOQUE!$B$2:$D$97168,3,FALSE),"Produto não cadastrado"))</f>
        <v>CAMISA LARANJA OP. C/ FAIXA REFLETIVA TAM: M</v>
      </c>
      <c r="E2539" s="99" t="str">
        <f>_xlfn.XLOOKUP(B2539,ESTOQUE!B:B,ESTOQUE!G:G,"",0)</f>
        <v>UND</v>
      </c>
      <c r="F2539" s="99">
        <v>5</v>
      </c>
      <c r="G2539" s="146"/>
      <c r="H2539" s="146"/>
      <c r="I2539" s="147"/>
      <c r="J2539" s="147"/>
      <c r="K2539" s="63"/>
      <c r="L2539" s="63"/>
      <c r="M2539" s="63"/>
      <c r="N2539" s="63"/>
      <c r="O2539" s="63"/>
      <c r="P2539" s="63"/>
      <c r="Q2539" s="63"/>
      <c r="R2539" s="63"/>
      <c r="S2539" s="63"/>
      <c r="T2539" s="63"/>
      <c r="U2539" s="63"/>
      <c r="V2539" s="63"/>
      <c r="W2539" s="63"/>
      <c r="X2539" s="63"/>
      <c r="Y2539" s="63"/>
      <c r="Z2539" s="63"/>
      <c r="AA2539" s="63"/>
      <c r="AB2539" s="63"/>
      <c r="AC2539" s="63"/>
    </row>
    <row r="2540" spans="1:29" x14ac:dyDescent="0.25">
      <c r="A2540" s="108">
        <v>46084</v>
      </c>
      <c r="B2540" s="128">
        <v>70</v>
      </c>
      <c r="C2540" s="49" t="s">
        <v>19</v>
      </c>
      <c r="D2540" s="110" t="str">
        <f>IF(ISBLANK($B2540),"",IFERROR(VLOOKUP($B2540,ESTOQUE!$B$2:$D$97168,3,FALSE),"Produto não cadastrado"))</f>
        <v>CAMISA LARANJA OP. C/ FAIXA REFLETIVA TAM: P</v>
      </c>
      <c r="E2540" s="99" t="str">
        <f>_xlfn.XLOOKUP(B2540,ESTOQUE!B:B,ESTOQUE!G:G,"",0)</f>
        <v>UND</v>
      </c>
      <c r="F2540" s="99">
        <v>2</v>
      </c>
      <c r="G2540" s="146"/>
      <c r="H2540" s="146"/>
      <c r="I2540" s="147"/>
      <c r="J2540" s="147"/>
      <c r="K2540" s="63"/>
      <c r="L2540" s="63"/>
      <c r="M2540" s="63"/>
      <c r="N2540" s="63"/>
      <c r="O2540" s="63"/>
      <c r="P2540" s="63"/>
      <c r="Q2540" s="63"/>
      <c r="R2540" s="63"/>
      <c r="S2540" s="63"/>
      <c r="T2540" s="63"/>
      <c r="U2540" s="63"/>
      <c r="V2540" s="63"/>
      <c r="W2540" s="63"/>
      <c r="X2540" s="63"/>
      <c r="Y2540" s="63"/>
      <c r="Z2540" s="63"/>
      <c r="AA2540" s="63"/>
      <c r="AB2540" s="63"/>
      <c r="AC2540" s="63"/>
    </row>
    <row r="2541" spans="1:29" x14ac:dyDescent="0.25">
      <c r="A2541" s="108">
        <v>46085</v>
      </c>
      <c r="B2541" s="128">
        <v>139</v>
      </c>
      <c r="C2541" s="49" t="s">
        <v>19</v>
      </c>
      <c r="D2541" s="110" t="str">
        <f>IF(ISBLANK($B2541),"",IFERROR(VLOOKUP($B2541,ESTOQUE!$B$2:$D$97168,3,FALSE),"Produto não cadastrado"))</f>
        <v>PROTETOR AURICULAR TIPO PLUG</v>
      </c>
      <c r="E2541" s="99" t="str">
        <f>_xlfn.XLOOKUP(B2541,ESTOQUE!B:B,ESTOQUE!G:G,"",0)</f>
        <v>UND</v>
      </c>
      <c r="F2541" s="99">
        <v>79</v>
      </c>
      <c r="G2541" s="146"/>
      <c r="H2541" s="146"/>
      <c r="I2541" s="147"/>
      <c r="J2541" s="147"/>
      <c r="K2541" s="63"/>
      <c r="L2541" s="63"/>
      <c r="M2541" s="63"/>
      <c r="N2541" s="63"/>
      <c r="O2541" s="63"/>
      <c r="P2541" s="63"/>
      <c r="Q2541" s="63"/>
      <c r="R2541" s="63"/>
      <c r="S2541" s="63"/>
      <c r="T2541" s="63"/>
      <c r="U2541" s="63"/>
      <c r="V2541" s="63"/>
      <c r="W2541" s="63"/>
      <c r="X2541" s="63"/>
      <c r="Y2541" s="63"/>
      <c r="Z2541" s="63"/>
      <c r="AA2541" s="63"/>
      <c r="AB2541" s="63"/>
      <c r="AC2541" s="63"/>
    </row>
    <row r="2542" spans="1:29" x14ac:dyDescent="0.25">
      <c r="A2542" s="108">
        <v>46085</v>
      </c>
      <c r="B2542" s="128">
        <v>18</v>
      </c>
      <c r="C2542" s="49" t="s">
        <v>19</v>
      </c>
      <c r="D2542" s="110" t="str">
        <f>IF(ISBLANK($B2542),"",IFERROR(VLOOKUP($B2542,ESTOQUE!$B$2:$D$97168,3,FALSE),"Produto não cadastrado"))</f>
        <v>BOTA PVC CANO MEDIO Nº 39</v>
      </c>
      <c r="E2542" s="99" t="str">
        <f>_xlfn.XLOOKUP(B2542,ESTOQUE!B:B,ESTOQUE!G:G,"",0)</f>
        <v>PAR</v>
      </c>
      <c r="F2542" s="99">
        <v>1</v>
      </c>
      <c r="G2542" s="146"/>
      <c r="H2542" s="146"/>
      <c r="I2542" s="147"/>
      <c r="J2542" s="147"/>
      <c r="K2542" s="63"/>
      <c r="L2542" s="63"/>
      <c r="M2542" s="63"/>
      <c r="N2542" s="63"/>
      <c r="O2542" s="63"/>
      <c r="P2542" s="63"/>
      <c r="Q2542" s="63"/>
      <c r="R2542" s="63"/>
      <c r="S2542" s="63"/>
      <c r="T2542" s="63"/>
      <c r="U2542" s="63"/>
      <c r="V2542" s="63"/>
      <c r="W2542" s="63"/>
      <c r="X2542" s="63"/>
      <c r="Y2542" s="63"/>
      <c r="Z2542" s="63"/>
      <c r="AA2542" s="63"/>
      <c r="AB2542" s="63"/>
      <c r="AC2542" s="63"/>
    </row>
    <row r="2543" spans="1:29" x14ac:dyDescent="0.25">
      <c r="A2543" s="108">
        <v>46085</v>
      </c>
      <c r="B2543" s="128">
        <v>263</v>
      </c>
      <c r="C2543" s="49" t="s">
        <v>19</v>
      </c>
      <c r="D2543" s="110" t="str">
        <f>IF(ISBLANK($B2543),"",IFERROR(VLOOKUP($B2543,ESTOQUE!$B$2:$D$97168,3,FALSE),"Produto não cadastrado"))</f>
        <v>LUVA DE VAUQETA CINZA</v>
      </c>
      <c r="E2543" s="99" t="str">
        <f>_xlfn.XLOOKUP(B2543,ESTOQUE!B:B,ESTOQUE!G:G,"",0)</f>
        <v>UND</v>
      </c>
      <c r="F2543" s="99">
        <v>1</v>
      </c>
      <c r="G2543" s="146"/>
      <c r="H2543" s="146"/>
      <c r="I2543" s="147"/>
      <c r="J2543" s="147"/>
      <c r="K2543" s="63"/>
      <c r="L2543" s="63"/>
      <c r="M2543" s="63"/>
      <c r="N2543" s="63"/>
      <c r="O2543" s="63"/>
      <c r="P2543" s="63"/>
      <c r="Q2543" s="63"/>
      <c r="R2543" s="63"/>
      <c r="S2543" s="63"/>
      <c r="T2543" s="63"/>
      <c r="U2543" s="63"/>
      <c r="V2543" s="63"/>
      <c r="W2543" s="63"/>
      <c r="X2543" s="63"/>
      <c r="Y2543" s="63"/>
      <c r="Z2543" s="63"/>
      <c r="AA2543" s="63"/>
      <c r="AB2543" s="63"/>
      <c r="AC2543" s="63"/>
    </row>
    <row r="2544" spans="1:29" x14ac:dyDescent="0.25">
      <c r="A2544" s="108">
        <v>46085</v>
      </c>
      <c r="B2544" s="128">
        <v>159</v>
      </c>
      <c r="C2544" s="49" t="s">
        <v>19</v>
      </c>
      <c r="D2544" s="110" t="str">
        <f>IF(ISBLANK($B2544),"",IFERROR(VLOOKUP($B2544,ESTOQUE!$B$2:$D$97168,3,FALSE),"Produto não cadastrado"))</f>
        <v>LUVA VOLK ANTIVIBRAÇÃO GORILA TAM 9</v>
      </c>
      <c r="E2544" s="99" t="str">
        <f>_xlfn.XLOOKUP(B2544,ESTOQUE!B:B,ESTOQUE!G:G,"",0)</f>
        <v>PAR</v>
      </c>
      <c r="F2544" s="99">
        <v>10</v>
      </c>
      <c r="G2544" s="146"/>
      <c r="H2544" s="146"/>
      <c r="I2544" s="147"/>
      <c r="J2544" s="147"/>
      <c r="K2544" s="63"/>
      <c r="L2544" s="63"/>
      <c r="M2544" s="63"/>
      <c r="N2544" s="63"/>
      <c r="O2544" s="63"/>
      <c r="P2544" s="63"/>
      <c r="Q2544" s="63"/>
      <c r="R2544" s="63"/>
      <c r="S2544" s="63"/>
      <c r="T2544" s="63"/>
      <c r="U2544" s="63"/>
      <c r="V2544" s="63"/>
      <c r="W2544" s="63"/>
      <c r="X2544" s="63"/>
      <c r="Y2544" s="63"/>
      <c r="Z2544" s="63"/>
      <c r="AA2544" s="63"/>
      <c r="AB2544" s="63"/>
      <c r="AC2544" s="63"/>
    </row>
    <row r="2545" spans="1:29" x14ac:dyDescent="0.25">
      <c r="A2545" s="108">
        <v>46085</v>
      </c>
      <c r="B2545" s="128">
        <v>126</v>
      </c>
      <c r="C2545" s="49" t="s">
        <v>19</v>
      </c>
      <c r="D2545" s="110" t="str">
        <f>IF(ISBLANK($B2545),"",IFERROR(VLOOKUP($B2545,ESTOQUE!$B$2:$D$97168,3,FALSE),"Produto não cadastrado"))</f>
        <v>OCULOS DE PROTEÇÃO ESCURO</v>
      </c>
      <c r="E2545" s="99" t="str">
        <f>_xlfn.XLOOKUP(B2545,ESTOQUE!B:B,ESTOQUE!G:G,"",0)</f>
        <v>UND</v>
      </c>
      <c r="F2545" s="99">
        <v>20</v>
      </c>
      <c r="G2545" s="146"/>
      <c r="H2545" s="146"/>
      <c r="I2545" s="147"/>
      <c r="J2545" s="147"/>
      <c r="K2545" s="63"/>
      <c r="L2545" s="63"/>
      <c r="M2545" s="63"/>
      <c r="N2545" s="63"/>
      <c r="O2545" s="63"/>
      <c r="P2545" s="63"/>
      <c r="Q2545" s="63"/>
      <c r="R2545" s="63"/>
      <c r="S2545" s="63"/>
      <c r="T2545" s="63"/>
      <c r="U2545" s="63"/>
      <c r="V2545" s="63"/>
      <c r="W2545" s="63"/>
      <c r="X2545" s="63"/>
      <c r="Y2545" s="63"/>
      <c r="Z2545" s="63"/>
      <c r="AA2545" s="63"/>
      <c r="AB2545" s="63"/>
      <c r="AC2545" s="63"/>
    </row>
    <row r="2546" spans="1:29" x14ac:dyDescent="0.25">
      <c r="A2546" s="108">
        <v>46085</v>
      </c>
      <c r="B2546" s="128">
        <v>116</v>
      </c>
      <c r="C2546" s="49" t="s">
        <v>19</v>
      </c>
      <c r="D2546" s="110" t="str">
        <f>IF(ISBLANK($B2546),"",IFERROR(VLOOKUP($B2546,ESTOQUE!$B$2:$D$97168,3,FALSE),"Produto não cadastrado"))</f>
        <v>LUVA PVC LINEA - CANO LONGO</v>
      </c>
      <c r="E2546" s="99" t="str">
        <f>_xlfn.XLOOKUP(B2546,ESTOQUE!B:B,ESTOQUE!G:G,"",0)</f>
        <v>PAR</v>
      </c>
      <c r="F2546" s="99">
        <v>17</v>
      </c>
      <c r="G2546" s="146"/>
      <c r="H2546" s="146"/>
      <c r="I2546" s="147"/>
      <c r="J2546" s="147"/>
      <c r="K2546" s="63"/>
      <c r="L2546" s="63"/>
      <c r="M2546" s="63"/>
      <c r="N2546" s="63"/>
      <c r="O2546" s="63"/>
      <c r="P2546" s="63"/>
      <c r="Q2546" s="63"/>
      <c r="R2546" s="63"/>
      <c r="S2546" s="63"/>
      <c r="T2546" s="63"/>
      <c r="U2546" s="63"/>
      <c r="V2546" s="63"/>
      <c r="W2546" s="63"/>
      <c r="X2546" s="63"/>
      <c r="Y2546" s="63"/>
      <c r="Z2546" s="63"/>
      <c r="AA2546" s="63"/>
      <c r="AB2546" s="63"/>
      <c r="AC2546" s="63"/>
    </row>
    <row r="2547" spans="1:29" x14ac:dyDescent="0.25">
      <c r="A2547" s="108">
        <v>46085</v>
      </c>
      <c r="B2547" s="128">
        <v>144</v>
      </c>
      <c r="C2547" s="49" t="s">
        <v>19</v>
      </c>
      <c r="D2547" s="110" t="str">
        <f>IF(ISBLANK($B2547),"",IFERROR(VLOOKUP($B2547,ESTOQUE!$B$2:$D$97168,3,FALSE),"Produto não cadastrado"))</f>
        <v>MASCARA PFF2-S C/ FILTRO</v>
      </c>
      <c r="E2547" s="99" t="str">
        <f>_xlfn.XLOOKUP(B2547,ESTOQUE!B:B,ESTOQUE!G:G,"",0)</f>
        <v>UND</v>
      </c>
      <c r="F2547" s="99">
        <v>42</v>
      </c>
      <c r="G2547" s="146"/>
      <c r="H2547" s="146"/>
      <c r="I2547" s="147"/>
      <c r="J2547" s="147"/>
      <c r="K2547" s="63"/>
      <c r="L2547" s="63"/>
      <c r="M2547" s="63"/>
      <c r="N2547" s="63"/>
      <c r="O2547" s="63"/>
      <c r="P2547" s="63"/>
      <c r="Q2547" s="63"/>
      <c r="R2547" s="63"/>
      <c r="S2547" s="63"/>
      <c r="T2547" s="63"/>
      <c r="U2547" s="63"/>
      <c r="V2547" s="63"/>
      <c r="W2547" s="63"/>
      <c r="X2547" s="63"/>
      <c r="Y2547" s="63"/>
      <c r="Z2547" s="63"/>
      <c r="AA2547" s="63"/>
      <c r="AB2547" s="63"/>
      <c r="AC2547" s="63"/>
    </row>
    <row r="2548" spans="1:29" x14ac:dyDescent="0.25">
      <c r="A2548" s="108">
        <v>46085</v>
      </c>
      <c r="B2548" s="128">
        <v>161</v>
      </c>
      <c r="C2548" s="49" t="s">
        <v>19</v>
      </c>
      <c r="D2548" s="110" t="str">
        <f>IF(ISBLANK($B2548),"",IFERROR(VLOOKUP($B2548,ESTOQUE!$B$2:$D$97168,3,FALSE),"Produto não cadastrado"))</f>
        <v>JUGULAR</v>
      </c>
      <c r="E2548" s="99" t="str">
        <f>_xlfn.XLOOKUP(B2548,ESTOQUE!B:B,ESTOQUE!G:G,"",0)</f>
        <v>UND</v>
      </c>
      <c r="F2548" s="99">
        <v>30</v>
      </c>
      <c r="G2548" s="146"/>
      <c r="H2548" s="146"/>
      <c r="I2548" s="147"/>
      <c r="J2548" s="147"/>
      <c r="K2548" s="63"/>
      <c r="L2548" s="63"/>
      <c r="M2548" s="63"/>
      <c r="N2548" s="63"/>
      <c r="O2548" s="63"/>
      <c r="P2548" s="63"/>
      <c r="Q2548" s="63"/>
      <c r="R2548" s="63"/>
      <c r="S2548" s="63"/>
      <c r="T2548" s="63"/>
      <c r="U2548" s="63"/>
      <c r="V2548" s="63"/>
      <c r="W2548" s="63"/>
      <c r="X2548" s="63"/>
      <c r="Y2548" s="63"/>
      <c r="Z2548" s="63"/>
      <c r="AA2548" s="63"/>
      <c r="AB2548" s="63"/>
      <c r="AC2548" s="63"/>
    </row>
    <row r="2549" spans="1:29" x14ac:dyDescent="0.25">
      <c r="A2549" s="108">
        <v>46085</v>
      </c>
      <c r="B2549" s="128">
        <v>69</v>
      </c>
      <c r="C2549" s="49" t="s">
        <v>19</v>
      </c>
      <c r="D2549" s="110" t="str">
        <f>IF(ISBLANK($B2549),"",IFERROR(VLOOKUP($B2549,ESTOQUE!$B$2:$D$97168,3,FALSE),"Produto não cadastrado"))</f>
        <v>CAMISA LARANJA OP. C/ FAIXA REFLETIVA TAM: M</v>
      </c>
      <c r="E2549" s="99" t="str">
        <f>_xlfn.XLOOKUP(B2549,ESTOQUE!B:B,ESTOQUE!G:G,"",0)</f>
        <v>UND</v>
      </c>
      <c r="F2549" s="99">
        <v>2</v>
      </c>
      <c r="G2549" s="146"/>
      <c r="H2549" s="146"/>
      <c r="I2549" s="147"/>
      <c r="J2549" s="147"/>
      <c r="K2549" s="63"/>
      <c r="L2549" s="63"/>
      <c r="M2549" s="63"/>
      <c r="N2549" s="63"/>
      <c r="O2549" s="63"/>
      <c r="P2549" s="63"/>
      <c r="Q2549" s="63"/>
      <c r="R2549" s="63"/>
      <c r="S2549" s="63"/>
      <c r="T2549" s="63"/>
      <c r="U2549" s="63"/>
      <c r="V2549" s="63"/>
      <c r="W2549" s="63"/>
      <c r="X2549" s="63"/>
      <c r="Y2549" s="63"/>
      <c r="Z2549" s="63"/>
      <c r="AA2549" s="63"/>
      <c r="AB2549" s="63"/>
      <c r="AC2549" s="63"/>
    </row>
    <row r="2550" spans="1:29" x14ac:dyDescent="0.25">
      <c r="A2550" s="108">
        <v>46085</v>
      </c>
      <c r="B2550" s="128">
        <v>207</v>
      </c>
      <c r="C2550" s="49" t="s">
        <v>19</v>
      </c>
      <c r="D2550" s="110" t="str">
        <f>IF(ISBLANK($B2550),"",IFERROR(VLOOKUP($B2550,ESTOQUE!$B$2:$D$97168,3,FALSE),"Produto não cadastrado"))</f>
        <v>LUVA POLIESTER ANTICORTE BANHADA PU TAM 9</v>
      </c>
      <c r="E2550" s="99" t="str">
        <f>_xlfn.XLOOKUP(B2550,ESTOQUE!B:B,ESTOQUE!G:G,"",0)</f>
        <v>PAR</v>
      </c>
      <c r="F2550" s="99">
        <v>25</v>
      </c>
      <c r="G2550" s="146"/>
      <c r="H2550" s="146"/>
      <c r="I2550" s="147"/>
      <c r="J2550" s="147"/>
      <c r="K2550" s="63"/>
      <c r="L2550" s="63"/>
      <c r="M2550" s="63"/>
      <c r="N2550" s="63"/>
      <c r="O2550" s="63"/>
      <c r="P2550" s="63"/>
      <c r="Q2550" s="63"/>
      <c r="R2550" s="63"/>
      <c r="S2550" s="63"/>
      <c r="T2550" s="63"/>
      <c r="U2550" s="63"/>
      <c r="V2550" s="63"/>
      <c r="W2550" s="63"/>
      <c r="X2550" s="63"/>
      <c r="Y2550" s="63"/>
      <c r="Z2550" s="63"/>
      <c r="AA2550" s="63"/>
      <c r="AB2550" s="63"/>
      <c r="AC2550" s="63"/>
    </row>
    <row r="2551" spans="1:29" x14ac:dyDescent="0.25">
      <c r="A2551" s="108">
        <v>46085</v>
      </c>
      <c r="B2551" s="128">
        <v>118</v>
      </c>
      <c r="C2551" s="49" t="s">
        <v>19</v>
      </c>
      <c r="D2551" s="110" t="str">
        <f>IF(ISBLANK($B2551),"",IFERROR(VLOOKUP($B2551,ESTOQUE!$B$2:$D$97168,3,FALSE),"Produto não cadastrado"))</f>
        <v>MACACÃO DE PROTEÇÃO TYVEK</v>
      </c>
      <c r="E2551" s="99" t="str">
        <f>_xlfn.XLOOKUP(B2551,ESTOQUE!B:B,ESTOQUE!G:G,"",0)</f>
        <v>UND</v>
      </c>
      <c r="F2551" s="99">
        <v>34</v>
      </c>
      <c r="G2551" s="146"/>
      <c r="H2551" s="146"/>
      <c r="I2551" s="147"/>
      <c r="J2551" s="147"/>
      <c r="K2551" s="63"/>
      <c r="L2551" s="63"/>
      <c r="M2551" s="63"/>
      <c r="N2551" s="63"/>
      <c r="O2551" s="63"/>
      <c r="P2551" s="63"/>
      <c r="Q2551" s="63"/>
      <c r="R2551" s="63"/>
      <c r="S2551" s="63"/>
      <c r="T2551" s="63"/>
      <c r="U2551" s="63"/>
      <c r="V2551" s="63"/>
      <c r="W2551" s="63"/>
      <c r="X2551" s="63"/>
      <c r="Y2551" s="63"/>
      <c r="Z2551" s="63"/>
      <c r="AA2551" s="63"/>
      <c r="AB2551" s="63"/>
      <c r="AC2551" s="63"/>
    </row>
    <row r="2552" spans="1:29" x14ac:dyDescent="0.25">
      <c r="A2552" s="108">
        <v>46085</v>
      </c>
      <c r="B2552" s="128">
        <v>126</v>
      </c>
      <c r="C2552" s="49" t="s">
        <v>19</v>
      </c>
      <c r="D2552" s="110" t="str">
        <f>IF(ISBLANK($B2552),"",IFERROR(VLOOKUP($B2552,ESTOQUE!$B$2:$D$97168,3,FALSE),"Produto não cadastrado"))</f>
        <v>OCULOS DE PROTEÇÃO ESCURO</v>
      </c>
      <c r="E2552" s="99" t="str">
        <f>_xlfn.XLOOKUP(B2552,ESTOQUE!B:B,ESTOQUE!G:G,"",0)</f>
        <v>UND</v>
      </c>
      <c r="F2552" s="99">
        <v>2</v>
      </c>
      <c r="G2552" s="146"/>
      <c r="H2552" s="146"/>
      <c r="I2552" s="147"/>
      <c r="J2552" s="147"/>
      <c r="K2552" s="63"/>
      <c r="L2552" s="63"/>
      <c r="M2552" s="63"/>
      <c r="N2552" s="63"/>
      <c r="O2552" s="63"/>
      <c r="P2552" s="63"/>
      <c r="Q2552" s="63"/>
      <c r="R2552" s="63"/>
      <c r="S2552" s="63"/>
      <c r="T2552" s="63"/>
      <c r="U2552" s="63"/>
      <c r="V2552" s="63"/>
      <c r="W2552" s="63"/>
      <c r="X2552" s="63"/>
      <c r="Y2552" s="63"/>
      <c r="Z2552" s="63"/>
      <c r="AA2552" s="63"/>
      <c r="AB2552" s="63"/>
      <c r="AC2552" s="63"/>
    </row>
    <row r="2553" spans="1:29" x14ac:dyDescent="0.25">
      <c r="A2553" s="108">
        <v>46085</v>
      </c>
      <c r="B2553" s="128">
        <v>125</v>
      </c>
      <c r="C2553" s="49" t="s">
        <v>19</v>
      </c>
      <c r="D2553" s="110" t="str">
        <f>IF(ISBLANK($B2553),"",IFERROR(VLOOKUP($B2553,ESTOQUE!$B$2:$D$97168,3,FALSE),"Produto não cadastrado"))</f>
        <v xml:space="preserve">MASCARA DE SOLDA AUTOMATICA </v>
      </c>
      <c r="E2553" s="99" t="str">
        <f>_xlfn.XLOOKUP(B2553,ESTOQUE!B:B,ESTOQUE!G:G,"",0)</f>
        <v>UND</v>
      </c>
      <c r="F2553" s="99">
        <v>1</v>
      </c>
      <c r="G2553" s="146"/>
      <c r="H2553" s="146"/>
      <c r="I2553" s="147"/>
      <c r="J2553" s="147"/>
      <c r="K2553" s="63"/>
      <c r="L2553" s="63"/>
      <c r="M2553" s="63"/>
      <c r="N2553" s="63"/>
      <c r="O2553" s="63"/>
      <c r="P2553" s="63"/>
      <c r="Q2553" s="63"/>
      <c r="R2553" s="63"/>
      <c r="S2553" s="63"/>
      <c r="T2553" s="63"/>
      <c r="U2553" s="63"/>
      <c r="V2553" s="63"/>
      <c r="W2553" s="63"/>
      <c r="X2553" s="63"/>
      <c r="Y2553" s="63"/>
      <c r="Z2553" s="63"/>
      <c r="AA2553" s="63"/>
      <c r="AB2553" s="63"/>
      <c r="AC2553" s="63"/>
    </row>
    <row r="2554" spans="1:29" x14ac:dyDescent="0.25">
      <c r="A2554" s="108">
        <v>46085</v>
      </c>
      <c r="B2554" s="128">
        <v>46</v>
      </c>
      <c r="C2554" s="49" t="s">
        <v>19</v>
      </c>
      <c r="D2554" s="110" t="str">
        <f>IF(ISBLANK($B2554),"",IFERROR(VLOOKUP($B2554,ESTOQUE!$B$2:$D$97168,3,FALSE),"Produto não cadastrado"))</f>
        <v>CALÇA CINZA OP. C/ FAIXA REFLETIVA TAM: G</v>
      </c>
      <c r="E2554" s="99" t="str">
        <f>_xlfn.XLOOKUP(B2554,ESTOQUE!B:B,ESTOQUE!G:G,"",0)</f>
        <v>UND</v>
      </c>
      <c r="F2554" s="99">
        <v>3</v>
      </c>
      <c r="G2554" s="146"/>
      <c r="H2554" s="146"/>
      <c r="I2554" s="147"/>
      <c r="J2554" s="147"/>
      <c r="K2554" s="63"/>
      <c r="L2554" s="63"/>
      <c r="M2554" s="63"/>
      <c r="N2554" s="63"/>
      <c r="O2554" s="63"/>
      <c r="P2554" s="63"/>
      <c r="Q2554" s="63"/>
      <c r="R2554" s="63"/>
      <c r="S2554" s="63"/>
      <c r="T2554" s="63"/>
      <c r="U2554" s="63"/>
      <c r="V2554" s="63"/>
      <c r="W2554" s="63"/>
      <c r="X2554" s="63"/>
      <c r="Y2554" s="63"/>
      <c r="Z2554" s="63"/>
      <c r="AA2554" s="63"/>
      <c r="AB2554" s="63"/>
      <c r="AC2554" s="63"/>
    </row>
    <row r="2555" spans="1:29" x14ac:dyDescent="0.25">
      <c r="A2555" s="108">
        <v>46085</v>
      </c>
      <c r="B2555" s="128">
        <v>257</v>
      </c>
      <c r="C2555" s="49" t="s">
        <v>19</v>
      </c>
      <c r="D2555" s="110" t="str">
        <f>IF(ISBLANK($B2555),"",IFERROR(VLOOKUP($B2555,ESTOQUE!$B$2:$D$97168,3,FALSE),"Produto não cadastrado"))</f>
        <v xml:space="preserve">LUVA MULTITATO </v>
      </c>
      <c r="E2555" s="99" t="str">
        <f>_xlfn.XLOOKUP(B2555,ESTOQUE!B:B,ESTOQUE!G:G,"",0)</f>
        <v>UND</v>
      </c>
      <c r="F2555" s="99">
        <v>2</v>
      </c>
      <c r="G2555" s="146"/>
      <c r="H2555" s="146"/>
      <c r="I2555" s="147"/>
      <c r="J2555" s="147"/>
      <c r="K2555" s="63"/>
      <c r="L2555" s="63"/>
      <c r="M2555" s="63"/>
      <c r="N2555" s="63"/>
      <c r="O2555" s="63"/>
      <c r="P2555" s="63"/>
      <c r="Q2555" s="63"/>
      <c r="R2555" s="63"/>
      <c r="S2555" s="63"/>
      <c r="T2555" s="63"/>
      <c r="U2555" s="63"/>
      <c r="V2555" s="63"/>
      <c r="W2555" s="63"/>
      <c r="X2555" s="63"/>
      <c r="Y2555" s="63"/>
      <c r="Z2555" s="63"/>
      <c r="AA2555" s="63"/>
      <c r="AB2555" s="63"/>
      <c r="AC2555" s="63"/>
    </row>
    <row r="2556" spans="1:29" x14ac:dyDescent="0.25">
      <c r="A2556" s="108">
        <v>46085</v>
      </c>
      <c r="B2556" s="128">
        <v>139</v>
      </c>
      <c r="C2556" s="49" t="s">
        <v>19</v>
      </c>
      <c r="D2556" s="110" t="str">
        <f>IF(ISBLANK($B2556),"",IFERROR(VLOOKUP($B2556,ESTOQUE!$B$2:$D$97168,3,FALSE),"Produto não cadastrado"))</f>
        <v>PROTETOR AURICULAR TIPO PLUG</v>
      </c>
      <c r="E2556" s="99" t="str">
        <f>_xlfn.XLOOKUP(B2556,ESTOQUE!B:B,ESTOQUE!G:G,"",0)</f>
        <v>UND</v>
      </c>
      <c r="F2556" s="99">
        <v>11</v>
      </c>
      <c r="G2556" s="146"/>
      <c r="H2556" s="146"/>
      <c r="I2556" s="147"/>
      <c r="J2556" s="147"/>
      <c r="K2556" s="63"/>
      <c r="L2556" s="63"/>
      <c r="M2556" s="63"/>
      <c r="N2556" s="63"/>
      <c r="O2556" s="63"/>
      <c r="P2556" s="63"/>
      <c r="Q2556" s="63"/>
      <c r="R2556" s="63"/>
      <c r="S2556" s="63"/>
      <c r="T2556" s="63"/>
      <c r="U2556" s="63"/>
      <c r="V2556" s="63"/>
      <c r="W2556" s="63"/>
      <c r="X2556" s="63"/>
      <c r="Y2556" s="63"/>
      <c r="Z2556" s="63"/>
      <c r="AA2556" s="63"/>
      <c r="AB2556" s="63"/>
      <c r="AC2556" s="63"/>
    </row>
    <row r="2557" spans="1:29" x14ac:dyDescent="0.25">
      <c r="A2557" s="108">
        <v>46085</v>
      </c>
      <c r="B2557" s="128">
        <v>124</v>
      </c>
      <c r="C2557" s="49" t="s">
        <v>19</v>
      </c>
      <c r="D2557" s="110" t="str">
        <f>IF(ISBLANK($B2557),"",IFERROR(VLOOKUP($B2557,ESTOQUE!$B$2:$D$97168,3,FALSE),"Produto não cadastrado"))</f>
        <v xml:space="preserve">OCULOS DE PROTEÇÃO INCOLOR </v>
      </c>
      <c r="E2557" s="99" t="str">
        <f>_xlfn.XLOOKUP(B2557,ESTOQUE!B:B,ESTOQUE!G:G,"",0)</f>
        <v>UND</v>
      </c>
      <c r="F2557" s="99">
        <v>20</v>
      </c>
      <c r="G2557" s="146"/>
      <c r="H2557" s="146"/>
      <c r="I2557" s="147"/>
      <c r="J2557" s="147"/>
      <c r="K2557" s="63"/>
      <c r="L2557" s="63"/>
      <c r="M2557" s="63"/>
      <c r="N2557" s="63"/>
      <c r="O2557" s="63"/>
      <c r="P2557" s="63"/>
      <c r="Q2557" s="63"/>
      <c r="R2557" s="63"/>
      <c r="S2557" s="63"/>
      <c r="T2557" s="63"/>
      <c r="U2557" s="63"/>
      <c r="V2557" s="63"/>
      <c r="W2557" s="63"/>
      <c r="X2557" s="63"/>
      <c r="Y2557" s="63"/>
      <c r="Z2557" s="63"/>
      <c r="AA2557" s="63"/>
      <c r="AB2557" s="63"/>
      <c r="AC2557" s="63"/>
    </row>
    <row r="2558" spans="1:29" x14ac:dyDescent="0.25">
      <c r="A2558" s="108">
        <v>46085</v>
      </c>
      <c r="B2558" s="128">
        <v>2</v>
      </c>
      <c r="C2558" s="49" t="s">
        <v>19</v>
      </c>
      <c r="D2558" s="110" t="str">
        <f>IF(ISBLANK($B2558),"",IFERROR(VLOOKUP($B2558,ESTOQUE!$B$2:$D$97168,3,FALSE),"Produto não cadastrado"))</f>
        <v>AVENTAL DE RASPA TAM 1X60MT</v>
      </c>
      <c r="E2558" s="99" t="str">
        <f>_xlfn.XLOOKUP(B2558,ESTOQUE!B:B,ESTOQUE!G:G,"",0)</f>
        <v>UND</v>
      </c>
      <c r="F2558" s="99">
        <v>8</v>
      </c>
      <c r="G2558" s="146"/>
      <c r="H2558" s="146"/>
      <c r="I2558" s="147"/>
      <c r="J2558" s="147"/>
      <c r="K2558" s="63"/>
      <c r="L2558" s="63"/>
      <c r="M2558" s="63"/>
      <c r="N2558" s="63"/>
      <c r="O2558" s="63"/>
      <c r="P2558" s="63"/>
      <c r="Q2558" s="63"/>
      <c r="R2558" s="63"/>
      <c r="S2558" s="63"/>
      <c r="T2558" s="63"/>
      <c r="U2558" s="63"/>
      <c r="V2558" s="63"/>
      <c r="W2558" s="63"/>
      <c r="X2558" s="63"/>
      <c r="Y2558" s="63"/>
      <c r="Z2558" s="63"/>
      <c r="AA2558" s="63"/>
      <c r="AB2558" s="63"/>
      <c r="AC2558" s="63"/>
    </row>
    <row r="2559" spans="1:29" x14ac:dyDescent="0.25">
      <c r="A2559" s="108">
        <v>46085</v>
      </c>
      <c r="B2559" s="128">
        <v>137</v>
      </c>
      <c r="C2559" s="49" t="s">
        <v>19</v>
      </c>
      <c r="D2559" s="110" t="str">
        <f>IF(ISBLANK($B2559),"",IFERROR(VLOOKUP($B2559,ESTOQUE!$B$2:$D$97168,3,FALSE),"Produto não cadastrado"))</f>
        <v xml:space="preserve">TOUCA ARABE </v>
      </c>
      <c r="E2559" s="99" t="str">
        <f>_xlfn.XLOOKUP(B2559,ESTOQUE!B:B,ESTOQUE!G:G,"",0)</f>
        <v>UND</v>
      </c>
      <c r="F2559" s="99">
        <v>10</v>
      </c>
      <c r="G2559" s="146"/>
      <c r="H2559" s="146"/>
      <c r="I2559" s="147"/>
      <c r="J2559" s="147"/>
      <c r="K2559" s="63"/>
      <c r="L2559" s="63"/>
      <c r="M2559" s="63"/>
      <c r="N2559" s="63"/>
      <c r="O2559" s="63"/>
      <c r="P2559" s="63"/>
      <c r="Q2559" s="63"/>
      <c r="R2559" s="63"/>
      <c r="S2559" s="63"/>
      <c r="T2559" s="63"/>
      <c r="U2559" s="63"/>
      <c r="V2559" s="63"/>
      <c r="W2559" s="63"/>
      <c r="X2559" s="63"/>
      <c r="Y2559" s="63"/>
      <c r="Z2559" s="63"/>
      <c r="AA2559" s="63"/>
      <c r="AB2559" s="63"/>
      <c r="AC2559" s="63"/>
    </row>
    <row r="2560" spans="1:29" x14ac:dyDescent="0.25">
      <c r="A2560" s="108">
        <v>46085</v>
      </c>
      <c r="B2560" s="128">
        <v>67</v>
      </c>
      <c r="C2560" s="49" t="s">
        <v>19</v>
      </c>
      <c r="D2560" s="110" t="str">
        <f>IF(ISBLANK($B2560),"",IFERROR(VLOOKUP($B2560,ESTOQUE!$B$2:$D$97168,3,FALSE),"Produto não cadastrado"))</f>
        <v>CAMISA LARANJA OP. C/ FAIXA REFLETIVA TAM: G</v>
      </c>
      <c r="E2560" s="99" t="str">
        <f>_xlfn.XLOOKUP(B2560,ESTOQUE!B:B,ESTOQUE!G:G,"",0)</f>
        <v>UND</v>
      </c>
      <c r="F2560" s="99">
        <v>2</v>
      </c>
      <c r="G2560" s="146"/>
      <c r="H2560" s="146"/>
      <c r="I2560" s="147"/>
      <c r="J2560" s="147"/>
      <c r="K2560" s="63"/>
      <c r="L2560" s="63"/>
      <c r="M2560" s="63"/>
      <c r="N2560" s="63"/>
      <c r="O2560" s="63"/>
      <c r="P2560" s="63"/>
      <c r="Q2560" s="63"/>
      <c r="R2560" s="63"/>
      <c r="S2560" s="63"/>
      <c r="T2560" s="63"/>
      <c r="U2560" s="63"/>
      <c r="V2560" s="63"/>
      <c r="W2560" s="63"/>
      <c r="X2560" s="63"/>
      <c r="Y2560" s="63"/>
      <c r="Z2560" s="63"/>
      <c r="AA2560" s="63"/>
      <c r="AB2560" s="63"/>
      <c r="AC2560" s="63"/>
    </row>
    <row r="2561" spans="1:29" x14ac:dyDescent="0.25">
      <c r="A2561" s="108">
        <v>46085</v>
      </c>
      <c r="B2561" s="128">
        <v>68</v>
      </c>
      <c r="C2561" s="49" t="s">
        <v>19</v>
      </c>
      <c r="D2561" s="110" t="str">
        <f>IF(ISBLANK($B2561),"",IFERROR(VLOOKUP($B2561,ESTOQUE!$B$2:$D$97168,3,FALSE),"Produto não cadastrado"))</f>
        <v>CAMISA LARANJA OP. C/ FAIXA REFLETIVA TAM: GG</v>
      </c>
      <c r="E2561" s="99" t="str">
        <f>_xlfn.XLOOKUP(B2561,ESTOQUE!B:B,ESTOQUE!G:G,"",0)</f>
        <v>UND</v>
      </c>
      <c r="F2561" s="99">
        <v>1</v>
      </c>
      <c r="G2561" s="146"/>
      <c r="H2561" s="146"/>
      <c r="I2561" s="147"/>
      <c r="J2561" s="147"/>
      <c r="K2561" s="63"/>
      <c r="L2561" s="63"/>
      <c r="M2561" s="63"/>
      <c r="N2561" s="63"/>
      <c r="O2561" s="63"/>
      <c r="P2561" s="63"/>
      <c r="Q2561" s="63"/>
      <c r="R2561" s="63"/>
      <c r="S2561" s="63"/>
      <c r="T2561" s="63"/>
      <c r="U2561" s="63"/>
      <c r="V2561" s="63"/>
      <c r="W2561" s="63"/>
      <c r="X2561" s="63"/>
      <c r="Y2561" s="63"/>
      <c r="Z2561" s="63"/>
      <c r="AA2561" s="63"/>
      <c r="AB2561" s="63"/>
      <c r="AC2561" s="63"/>
    </row>
    <row r="2562" spans="1:29" x14ac:dyDescent="0.25">
      <c r="A2562" s="108">
        <v>46085</v>
      </c>
      <c r="B2562" s="128">
        <v>69</v>
      </c>
      <c r="C2562" s="49" t="s">
        <v>19</v>
      </c>
      <c r="D2562" s="110" t="str">
        <f>IF(ISBLANK($B2562),"",IFERROR(VLOOKUP($B2562,ESTOQUE!$B$2:$D$97168,3,FALSE),"Produto não cadastrado"))</f>
        <v>CAMISA LARANJA OP. C/ FAIXA REFLETIVA TAM: M</v>
      </c>
      <c r="E2562" s="99" t="str">
        <f>_xlfn.XLOOKUP(B2562,ESTOQUE!B:B,ESTOQUE!G:G,"",0)</f>
        <v>UND</v>
      </c>
      <c r="F2562" s="99">
        <v>2</v>
      </c>
      <c r="G2562" s="146"/>
      <c r="H2562" s="146"/>
      <c r="I2562" s="147"/>
      <c r="J2562" s="147"/>
      <c r="K2562" s="63"/>
      <c r="L2562" s="63"/>
      <c r="M2562" s="63"/>
      <c r="N2562" s="63"/>
      <c r="O2562" s="63"/>
      <c r="P2562" s="63"/>
      <c r="Q2562" s="63"/>
      <c r="R2562" s="63"/>
      <c r="S2562" s="63"/>
      <c r="T2562" s="63"/>
      <c r="U2562" s="63"/>
      <c r="V2562" s="63"/>
      <c r="W2562" s="63"/>
      <c r="X2562" s="63"/>
      <c r="Y2562" s="63"/>
      <c r="Z2562" s="63"/>
      <c r="AA2562" s="63"/>
      <c r="AB2562" s="63"/>
      <c r="AC2562" s="63"/>
    </row>
    <row r="2563" spans="1:29" x14ac:dyDescent="0.25">
      <c r="A2563" s="108">
        <v>46085</v>
      </c>
      <c r="B2563" s="128">
        <v>70</v>
      </c>
      <c r="C2563" s="49" t="s">
        <v>19</v>
      </c>
      <c r="D2563" s="110" t="str">
        <f>IF(ISBLANK($B2563),"",IFERROR(VLOOKUP($B2563,ESTOQUE!$B$2:$D$97168,3,FALSE),"Produto não cadastrado"))</f>
        <v>CAMISA LARANJA OP. C/ FAIXA REFLETIVA TAM: P</v>
      </c>
      <c r="E2563" s="99" t="str">
        <f>_xlfn.XLOOKUP(B2563,ESTOQUE!B:B,ESTOQUE!G:G,"",0)</f>
        <v>UND</v>
      </c>
      <c r="F2563" s="99">
        <v>3</v>
      </c>
      <c r="G2563" s="146"/>
      <c r="H2563" s="146"/>
      <c r="I2563" s="147"/>
      <c r="J2563" s="147"/>
      <c r="K2563" s="63"/>
      <c r="L2563" s="63"/>
      <c r="M2563" s="63"/>
      <c r="N2563" s="63"/>
      <c r="O2563" s="63"/>
      <c r="P2563" s="63"/>
      <c r="Q2563" s="63"/>
      <c r="R2563" s="63"/>
      <c r="S2563" s="63"/>
      <c r="T2563" s="63"/>
      <c r="U2563" s="63"/>
      <c r="V2563" s="63"/>
      <c r="W2563" s="63"/>
      <c r="X2563" s="63"/>
      <c r="Y2563" s="63"/>
      <c r="Z2563" s="63"/>
      <c r="AA2563" s="63"/>
      <c r="AB2563" s="63"/>
      <c r="AC2563" s="63"/>
    </row>
    <row r="2564" spans="1:29" x14ac:dyDescent="0.25">
      <c r="A2564" s="108">
        <v>46085</v>
      </c>
      <c r="B2564" s="128">
        <v>234</v>
      </c>
      <c r="C2564" s="49" t="s">
        <v>19</v>
      </c>
      <c r="D2564" s="110" t="str">
        <f>IF(ISBLANK($B2564),"",IFERROR(VLOOKUP($B2564,ESTOQUE!$B$2:$D$97168,3,FALSE),"Produto não cadastrado"))</f>
        <v>CONE PLASTICOR DE SINALIZACAO 75cm</v>
      </c>
      <c r="E2564" s="99" t="str">
        <f>_xlfn.XLOOKUP(B2564,ESTOQUE!B:B,ESTOQUE!G:G,"",0)</f>
        <v>UND</v>
      </c>
      <c r="F2564" s="99">
        <v>100</v>
      </c>
      <c r="G2564" s="146"/>
      <c r="H2564" s="146"/>
      <c r="I2564" s="147"/>
      <c r="J2564" s="147"/>
      <c r="K2564" s="63"/>
      <c r="L2564" s="63"/>
      <c r="M2564" s="63"/>
      <c r="N2564" s="63"/>
      <c r="O2564" s="63"/>
      <c r="P2564" s="63"/>
      <c r="Q2564" s="63"/>
      <c r="R2564" s="63"/>
      <c r="S2564" s="63"/>
      <c r="T2564" s="63"/>
      <c r="U2564" s="63"/>
      <c r="V2564" s="63"/>
      <c r="W2564" s="63"/>
      <c r="X2564" s="63"/>
      <c r="Y2564" s="63"/>
      <c r="Z2564" s="63"/>
      <c r="AA2564" s="63"/>
      <c r="AB2564" s="63"/>
      <c r="AC2564" s="63"/>
    </row>
    <row r="2565" spans="1:29" x14ac:dyDescent="0.25">
      <c r="A2565" s="108">
        <v>46086</v>
      </c>
      <c r="B2565" s="128">
        <v>141</v>
      </c>
      <c r="C2565" s="49" t="s">
        <v>19</v>
      </c>
      <c r="D2565" s="110" t="str">
        <f>IF(ISBLANK($B2565),"",IFERROR(VLOOKUP($B2565,ESTOQUE!$B$2:$D$97168,3,FALSE),"Produto não cadastrado"))</f>
        <v xml:space="preserve">LUVA DE VAQUETA </v>
      </c>
      <c r="E2565" s="99" t="str">
        <f>_xlfn.XLOOKUP(B2565,ESTOQUE!B:B,ESTOQUE!G:G,"",0)</f>
        <v>PAR</v>
      </c>
      <c r="F2565" s="99">
        <v>51</v>
      </c>
      <c r="G2565" s="146"/>
      <c r="H2565" s="146"/>
      <c r="I2565" s="147"/>
      <c r="J2565" s="147"/>
      <c r="K2565" s="63"/>
      <c r="L2565" s="63"/>
      <c r="M2565" s="63"/>
      <c r="N2565" s="63"/>
      <c r="O2565" s="63"/>
      <c r="P2565" s="63"/>
      <c r="Q2565" s="63"/>
      <c r="R2565" s="63"/>
      <c r="S2565" s="63"/>
      <c r="T2565" s="63"/>
      <c r="U2565" s="63"/>
      <c r="V2565" s="63"/>
      <c r="W2565" s="63"/>
      <c r="X2565" s="63"/>
      <c r="Y2565" s="63"/>
      <c r="Z2565" s="63"/>
      <c r="AA2565" s="63"/>
      <c r="AB2565" s="63"/>
      <c r="AC2565" s="63"/>
    </row>
    <row r="2566" spans="1:29" x14ac:dyDescent="0.25">
      <c r="A2566" s="108">
        <v>46086</v>
      </c>
      <c r="B2566" s="128">
        <v>40</v>
      </c>
      <c r="C2566" s="49" t="s">
        <v>19</v>
      </c>
      <c r="D2566" s="110" t="str">
        <f>IF(ISBLANK($B2566),"",IFERROR(VLOOKUP($B2566,ESTOQUE!$B$2:$D$97168,3,FALSE),"Produto não cadastrado"))</f>
        <v>BOTINA OP. BICO PVC Nº 42</v>
      </c>
      <c r="E2566" s="99" t="str">
        <f>_xlfn.XLOOKUP(B2566,ESTOQUE!B:B,ESTOQUE!G:G,"",0)</f>
        <v>PAR</v>
      </c>
      <c r="F2566" s="99">
        <v>1</v>
      </c>
      <c r="G2566" s="146"/>
      <c r="H2566" s="146"/>
      <c r="I2566" s="147"/>
      <c r="J2566" s="147"/>
      <c r="K2566" s="63"/>
      <c r="L2566" s="63"/>
      <c r="M2566" s="63"/>
      <c r="N2566" s="63"/>
      <c r="O2566" s="63"/>
      <c r="P2566" s="63"/>
      <c r="Q2566" s="63"/>
      <c r="R2566" s="63"/>
      <c r="S2566" s="63"/>
      <c r="T2566" s="63"/>
      <c r="U2566" s="63"/>
      <c r="V2566" s="63"/>
      <c r="W2566" s="63"/>
      <c r="X2566" s="63"/>
      <c r="Y2566" s="63"/>
      <c r="Z2566" s="63"/>
      <c r="AA2566" s="63"/>
      <c r="AB2566" s="63"/>
      <c r="AC2566" s="63"/>
    </row>
    <row r="2567" spans="1:29" x14ac:dyDescent="0.25">
      <c r="A2567" s="108">
        <v>46086</v>
      </c>
      <c r="B2567" s="128">
        <v>141</v>
      </c>
      <c r="C2567" s="49" t="s">
        <v>19</v>
      </c>
      <c r="D2567" s="110" t="str">
        <f>IF(ISBLANK($B2567),"",IFERROR(VLOOKUP($B2567,ESTOQUE!$B$2:$D$97168,3,FALSE),"Produto não cadastrado"))</f>
        <v xml:space="preserve">LUVA DE VAQUETA </v>
      </c>
      <c r="E2567" s="99" t="str">
        <f>_xlfn.XLOOKUP(B2567,ESTOQUE!B:B,ESTOQUE!G:G,"",0)</f>
        <v>PAR</v>
      </c>
      <c r="F2567" s="99">
        <v>50</v>
      </c>
      <c r="G2567" s="146"/>
      <c r="H2567" s="146"/>
      <c r="I2567" s="147"/>
      <c r="J2567" s="147"/>
      <c r="K2567" s="63"/>
      <c r="L2567" s="63"/>
      <c r="M2567" s="63"/>
      <c r="N2567" s="63"/>
      <c r="O2567" s="63"/>
      <c r="P2567" s="63"/>
      <c r="Q2567" s="63"/>
      <c r="R2567" s="63"/>
      <c r="S2567" s="63"/>
      <c r="T2567" s="63"/>
      <c r="U2567" s="63"/>
      <c r="V2567" s="63"/>
      <c r="W2567" s="63"/>
      <c r="X2567" s="63"/>
      <c r="Y2567" s="63"/>
      <c r="Z2567" s="63"/>
      <c r="AA2567" s="63"/>
      <c r="AB2567" s="63"/>
      <c r="AC2567" s="63"/>
    </row>
    <row r="2568" spans="1:29" x14ac:dyDescent="0.25">
      <c r="A2568" s="108">
        <v>46086</v>
      </c>
      <c r="B2568" s="128">
        <v>114</v>
      </c>
      <c r="C2568" s="49" t="s">
        <v>19</v>
      </c>
      <c r="D2568" s="110" t="str">
        <f>IF(ISBLANK($B2568),"",IFERROR(VLOOKUP($B2568,ESTOQUE!$B$2:$D$97168,3,FALSE),"Produto não cadastrado"))</f>
        <v xml:space="preserve">LUVA LATEX NITRILICA </v>
      </c>
      <c r="E2568" s="99" t="str">
        <f>_xlfn.XLOOKUP(B2568,ESTOQUE!B:B,ESTOQUE!G:G,"",0)</f>
        <v>PAR</v>
      </c>
      <c r="F2568" s="99">
        <v>7</v>
      </c>
      <c r="G2568" s="146"/>
      <c r="H2568" s="146"/>
      <c r="I2568" s="147"/>
      <c r="J2568" s="147"/>
      <c r="K2568" s="63"/>
      <c r="L2568" s="63"/>
      <c r="M2568" s="63"/>
      <c r="N2568" s="63"/>
      <c r="O2568" s="63"/>
      <c r="P2568" s="63"/>
      <c r="Q2568" s="63"/>
      <c r="R2568" s="63"/>
      <c r="S2568" s="63"/>
      <c r="T2568" s="63"/>
      <c r="U2568" s="63"/>
      <c r="V2568" s="63"/>
      <c r="W2568" s="63"/>
      <c r="X2568" s="63"/>
      <c r="Y2568" s="63"/>
      <c r="Z2568" s="63"/>
      <c r="AA2568" s="63"/>
      <c r="AB2568" s="63"/>
      <c r="AC2568" s="63"/>
    </row>
    <row r="2569" spans="1:29" x14ac:dyDescent="0.25">
      <c r="A2569" s="108">
        <v>46086</v>
      </c>
      <c r="B2569" s="128">
        <v>48</v>
      </c>
      <c r="C2569" s="49" t="s">
        <v>19</v>
      </c>
      <c r="D2569" s="110" t="str">
        <f>IF(ISBLANK($B2569),"",IFERROR(VLOOKUP($B2569,ESTOQUE!$B$2:$D$97168,3,FALSE),"Produto não cadastrado"))</f>
        <v>CALÇA CINZA OP. C/ FAIXA REFLETIVA TAM: M</v>
      </c>
      <c r="E2569" s="99" t="str">
        <f>_xlfn.XLOOKUP(B2569,ESTOQUE!B:B,ESTOQUE!G:G,"",0)</f>
        <v>UND</v>
      </c>
      <c r="F2569" s="99">
        <v>2</v>
      </c>
      <c r="G2569" s="146"/>
      <c r="H2569" s="146"/>
      <c r="I2569" s="147"/>
      <c r="J2569" s="147"/>
      <c r="K2569" s="63"/>
      <c r="L2569" s="63"/>
      <c r="M2569" s="63"/>
      <c r="N2569" s="63"/>
      <c r="O2569" s="63"/>
      <c r="P2569" s="63"/>
      <c r="Q2569" s="63"/>
      <c r="R2569" s="63"/>
      <c r="S2569" s="63"/>
      <c r="T2569" s="63"/>
      <c r="U2569" s="63"/>
      <c r="V2569" s="63"/>
      <c r="W2569" s="63"/>
      <c r="X2569" s="63"/>
      <c r="Y2569" s="63"/>
      <c r="Z2569" s="63"/>
      <c r="AA2569" s="63"/>
      <c r="AB2569" s="63"/>
      <c r="AC2569" s="63"/>
    </row>
    <row r="2570" spans="1:29" x14ac:dyDescent="0.25">
      <c r="A2570" s="108">
        <v>46086</v>
      </c>
      <c r="B2570" s="128">
        <v>207</v>
      </c>
      <c r="C2570" s="49" t="s">
        <v>19</v>
      </c>
      <c r="D2570" s="110" t="str">
        <f>IF(ISBLANK($B2570),"",IFERROR(VLOOKUP($B2570,ESTOQUE!$B$2:$D$97168,3,FALSE),"Produto não cadastrado"))</f>
        <v>LUVA POLIESTER ANTICORTE BANHADA PU TAM 9</v>
      </c>
      <c r="E2570" s="99" t="str">
        <f>_xlfn.XLOOKUP(B2570,ESTOQUE!B:B,ESTOQUE!G:G,"",0)</f>
        <v>PAR</v>
      </c>
      <c r="F2570" s="99">
        <v>16</v>
      </c>
      <c r="G2570" s="146"/>
      <c r="H2570" s="146"/>
      <c r="I2570" s="147"/>
      <c r="J2570" s="147"/>
      <c r="K2570" s="63"/>
      <c r="L2570" s="63"/>
      <c r="M2570" s="63"/>
      <c r="N2570" s="63"/>
      <c r="O2570" s="63"/>
      <c r="P2570" s="63"/>
      <c r="Q2570" s="63"/>
      <c r="R2570" s="63"/>
      <c r="S2570" s="63"/>
      <c r="T2570" s="63"/>
      <c r="U2570" s="63"/>
      <c r="V2570" s="63"/>
      <c r="W2570" s="63"/>
      <c r="X2570" s="63"/>
      <c r="Y2570" s="63"/>
      <c r="Z2570" s="63"/>
      <c r="AA2570" s="63"/>
      <c r="AB2570" s="63"/>
      <c r="AC2570" s="63"/>
    </row>
    <row r="2571" spans="1:29" x14ac:dyDescent="0.25">
      <c r="A2571" s="108">
        <v>46086</v>
      </c>
      <c r="B2571" s="128">
        <v>144</v>
      </c>
      <c r="C2571" s="49" t="s">
        <v>19</v>
      </c>
      <c r="D2571" s="110" t="str">
        <f>IF(ISBLANK($B2571),"",IFERROR(VLOOKUP($B2571,ESTOQUE!$B$2:$D$97168,3,FALSE),"Produto não cadastrado"))</f>
        <v>MASCARA PFF2-S C/ FILTRO</v>
      </c>
      <c r="E2571" s="99" t="str">
        <f>_xlfn.XLOOKUP(B2571,ESTOQUE!B:B,ESTOQUE!G:G,"",0)</f>
        <v>UND</v>
      </c>
      <c r="F2571" s="99">
        <v>84</v>
      </c>
      <c r="G2571" s="146"/>
      <c r="H2571" s="146"/>
      <c r="I2571" s="147"/>
      <c r="J2571" s="147"/>
      <c r="K2571" s="63"/>
      <c r="L2571" s="63"/>
      <c r="M2571" s="63"/>
      <c r="N2571" s="63"/>
      <c r="O2571" s="63"/>
      <c r="P2571" s="63"/>
      <c r="Q2571" s="63"/>
      <c r="R2571" s="63"/>
      <c r="S2571" s="63"/>
      <c r="T2571" s="63"/>
      <c r="U2571" s="63"/>
      <c r="V2571" s="63"/>
      <c r="W2571" s="63"/>
      <c r="X2571" s="63"/>
      <c r="Y2571" s="63"/>
      <c r="Z2571" s="63"/>
      <c r="AA2571" s="63"/>
      <c r="AB2571" s="63"/>
      <c r="AC2571" s="63"/>
    </row>
    <row r="2572" spans="1:29" x14ac:dyDescent="0.25">
      <c r="A2572" s="108">
        <v>46086</v>
      </c>
      <c r="B2572" s="128">
        <v>139</v>
      </c>
      <c r="C2572" s="49" t="s">
        <v>19</v>
      </c>
      <c r="D2572" s="110" t="str">
        <f>IF(ISBLANK($B2572),"",IFERROR(VLOOKUP($B2572,ESTOQUE!$B$2:$D$97168,3,FALSE),"Produto não cadastrado"))</f>
        <v>PROTETOR AURICULAR TIPO PLUG</v>
      </c>
      <c r="E2572" s="99" t="str">
        <f>_xlfn.XLOOKUP(B2572,ESTOQUE!B:B,ESTOQUE!G:G,"",0)</f>
        <v>UND</v>
      </c>
      <c r="F2572" s="99">
        <v>20</v>
      </c>
      <c r="G2572" s="146"/>
      <c r="H2572" s="146"/>
      <c r="I2572" s="147"/>
      <c r="J2572" s="147"/>
      <c r="K2572" s="63"/>
      <c r="L2572" s="63"/>
      <c r="M2572" s="63"/>
      <c r="N2572" s="63"/>
      <c r="O2572" s="63"/>
      <c r="P2572" s="63"/>
      <c r="Q2572" s="63"/>
      <c r="R2572" s="63"/>
      <c r="S2572" s="63"/>
      <c r="T2572" s="63"/>
      <c r="U2572" s="63"/>
      <c r="V2572" s="63"/>
      <c r="W2572" s="63"/>
      <c r="X2572" s="63"/>
      <c r="Y2572" s="63"/>
      <c r="Z2572" s="63"/>
      <c r="AA2572" s="63"/>
      <c r="AB2572" s="63"/>
      <c r="AC2572" s="63"/>
    </row>
    <row r="2573" spans="1:29" x14ac:dyDescent="0.25">
      <c r="A2573" s="108">
        <v>46086</v>
      </c>
      <c r="B2573" s="128">
        <v>117</v>
      </c>
      <c r="C2573" s="49" t="s">
        <v>19</v>
      </c>
      <c r="D2573" s="110" t="str">
        <f>IF(ISBLANK($B2573),"",IFERROR(VLOOKUP($B2573,ESTOQUE!$B$2:$D$97168,3,FALSE),"Produto não cadastrado"))</f>
        <v>LUVA PIGMENTADA</v>
      </c>
      <c r="E2573" s="99" t="str">
        <f>_xlfn.XLOOKUP(B2573,ESTOQUE!B:B,ESTOQUE!G:G,"",0)</f>
        <v>PAR</v>
      </c>
      <c r="F2573" s="99">
        <v>6</v>
      </c>
      <c r="G2573" s="146"/>
      <c r="H2573" s="146"/>
      <c r="I2573" s="147"/>
      <c r="J2573" s="147"/>
      <c r="K2573" s="63"/>
      <c r="L2573" s="63"/>
      <c r="M2573" s="63"/>
      <c r="N2573" s="63"/>
      <c r="O2573" s="63"/>
      <c r="P2573" s="63"/>
      <c r="Q2573" s="63"/>
      <c r="R2573" s="63"/>
      <c r="S2573" s="63"/>
      <c r="T2573" s="63"/>
      <c r="U2573" s="63"/>
      <c r="V2573" s="63"/>
      <c r="W2573" s="63"/>
      <c r="X2573" s="63"/>
      <c r="Y2573" s="63"/>
      <c r="Z2573" s="63"/>
      <c r="AA2573" s="63"/>
      <c r="AB2573" s="63"/>
      <c r="AC2573" s="63"/>
    </row>
    <row r="2574" spans="1:29" x14ac:dyDescent="0.25">
      <c r="A2574" s="108">
        <v>46086</v>
      </c>
      <c r="B2574" s="128">
        <v>129</v>
      </c>
      <c r="C2574" s="49" t="s">
        <v>19</v>
      </c>
      <c r="D2574" s="110" t="str">
        <f>IF(ISBLANK($B2574),"",IFERROR(VLOOKUP($B2574,ESTOQUE!$B$2:$D$97168,3,FALSE),"Produto não cadastrado"))</f>
        <v>PERNEIRA DE RASPA</v>
      </c>
      <c r="E2574" s="99" t="str">
        <f>_xlfn.XLOOKUP(B2574,ESTOQUE!B:B,ESTOQUE!G:G,"",0)</f>
        <v>PAR</v>
      </c>
      <c r="F2574" s="99">
        <v>25</v>
      </c>
      <c r="G2574" s="146"/>
      <c r="H2574" s="146"/>
      <c r="I2574" s="147"/>
      <c r="J2574" s="147"/>
      <c r="K2574" s="63"/>
      <c r="L2574" s="63"/>
      <c r="M2574" s="63"/>
      <c r="N2574" s="63"/>
      <c r="O2574" s="63"/>
      <c r="P2574" s="63"/>
      <c r="Q2574" s="63"/>
      <c r="R2574" s="63"/>
      <c r="S2574" s="63"/>
      <c r="T2574" s="63"/>
      <c r="U2574" s="63"/>
      <c r="V2574" s="63"/>
      <c r="W2574" s="63"/>
      <c r="X2574" s="63"/>
      <c r="Y2574" s="63"/>
      <c r="Z2574" s="63"/>
      <c r="AA2574" s="63"/>
      <c r="AB2574" s="63"/>
      <c r="AC2574" s="63"/>
    </row>
    <row r="2575" spans="1:29" x14ac:dyDescent="0.25">
      <c r="A2575" s="108">
        <v>46086</v>
      </c>
      <c r="B2575" s="128">
        <v>137</v>
      </c>
      <c r="C2575" s="49" t="s">
        <v>19</v>
      </c>
      <c r="D2575" s="110" t="str">
        <f>IF(ISBLANK($B2575),"",IFERROR(VLOOKUP($B2575,ESTOQUE!$B$2:$D$97168,3,FALSE),"Produto não cadastrado"))</f>
        <v xml:space="preserve">TOUCA ARABE </v>
      </c>
      <c r="E2575" s="99" t="str">
        <f>_xlfn.XLOOKUP(B2575,ESTOQUE!B:B,ESTOQUE!G:G,"",0)</f>
        <v>UND</v>
      </c>
      <c r="F2575" s="99">
        <v>2</v>
      </c>
      <c r="G2575" s="146"/>
      <c r="H2575" s="146"/>
      <c r="I2575" s="147"/>
      <c r="J2575" s="147"/>
      <c r="K2575" s="63"/>
      <c r="L2575" s="63"/>
      <c r="M2575" s="63"/>
      <c r="N2575" s="63"/>
      <c r="O2575" s="63"/>
      <c r="P2575" s="63"/>
      <c r="Q2575" s="63"/>
      <c r="R2575" s="63"/>
      <c r="S2575" s="63"/>
      <c r="T2575" s="63"/>
      <c r="U2575" s="63"/>
      <c r="V2575" s="63"/>
      <c r="W2575" s="63"/>
      <c r="X2575" s="63"/>
      <c r="Y2575" s="63"/>
      <c r="Z2575" s="63"/>
      <c r="AA2575" s="63"/>
      <c r="AB2575" s="63"/>
      <c r="AC2575" s="63"/>
    </row>
    <row r="2576" spans="1:29" x14ac:dyDescent="0.25">
      <c r="A2576" s="108">
        <v>46086</v>
      </c>
      <c r="B2576" s="128">
        <v>194</v>
      </c>
      <c r="C2576" s="49" t="s">
        <v>19</v>
      </c>
      <c r="D2576" s="110" t="str">
        <f>IF(ISBLANK($B2576),"",IFERROR(VLOOKUP($B2576,ESTOQUE!$B$2:$D$97168,3,FALSE),"Produto não cadastrado"))</f>
        <v>VISEIRA ACOPLADA</v>
      </c>
      <c r="E2576" s="99" t="str">
        <f>_xlfn.XLOOKUP(B2576,ESTOQUE!B:B,ESTOQUE!G:G,"",0)</f>
        <v>UND</v>
      </c>
      <c r="F2576" s="99">
        <v>2</v>
      </c>
      <c r="G2576" s="146"/>
      <c r="H2576" s="146"/>
      <c r="I2576" s="147"/>
      <c r="J2576" s="147"/>
      <c r="K2576" s="63"/>
      <c r="L2576" s="63"/>
      <c r="M2576" s="63"/>
      <c r="N2576" s="63"/>
      <c r="O2576" s="63"/>
      <c r="P2576" s="63"/>
      <c r="Q2576" s="63"/>
      <c r="R2576" s="63"/>
      <c r="S2576" s="63"/>
      <c r="T2576" s="63"/>
      <c r="U2576" s="63"/>
      <c r="V2576" s="63"/>
      <c r="W2576" s="63"/>
      <c r="X2576" s="63"/>
      <c r="Y2576" s="63"/>
      <c r="Z2576" s="63"/>
      <c r="AA2576" s="63"/>
      <c r="AB2576" s="63"/>
      <c r="AC2576" s="63"/>
    </row>
    <row r="2577" spans="1:29" x14ac:dyDescent="0.25">
      <c r="A2577" s="108">
        <v>46086</v>
      </c>
      <c r="B2577" s="128">
        <v>124</v>
      </c>
      <c r="C2577" s="49" t="s">
        <v>19</v>
      </c>
      <c r="D2577" s="110" t="str">
        <f>IF(ISBLANK($B2577),"",IFERROR(VLOOKUP($B2577,ESTOQUE!$B$2:$D$97168,3,FALSE),"Produto não cadastrado"))</f>
        <v xml:space="preserve">OCULOS DE PROTEÇÃO INCOLOR </v>
      </c>
      <c r="E2577" s="99" t="str">
        <f>_xlfn.XLOOKUP(B2577,ESTOQUE!B:B,ESTOQUE!G:G,"",0)</f>
        <v>UND</v>
      </c>
      <c r="F2577" s="99">
        <v>1</v>
      </c>
      <c r="G2577" s="146"/>
      <c r="H2577" s="146"/>
      <c r="I2577" s="147"/>
      <c r="J2577" s="147"/>
      <c r="K2577" s="63"/>
      <c r="L2577" s="63"/>
      <c r="M2577" s="63"/>
      <c r="N2577" s="63"/>
      <c r="O2577" s="63"/>
      <c r="P2577" s="63"/>
      <c r="Q2577" s="63"/>
      <c r="R2577" s="63"/>
      <c r="S2577" s="63"/>
      <c r="T2577" s="63"/>
      <c r="U2577" s="63"/>
      <c r="V2577" s="63"/>
      <c r="W2577" s="63"/>
      <c r="X2577" s="63"/>
      <c r="Y2577" s="63"/>
      <c r="Z2577" s="63"/>
      <c r="AA2577" s="63"/>
      <c r="AB2577" s="63"/>
      <c r="AC2577" s="63"/>
    </row>
    <row r="2578" spans="1:29" x14ac:dyDescent="0.25">
      <c r="A2578" s="108">
        <v>46086</v>
      </c>
      <c r="B2578" s="128">
        <v>118</v>
      </c>
      <c r="C2578" s="49" t="s">
        <v>19</v>
      </c>
      <c r="D2578" s="110" t="str">
        <f>IF(ISBLANK($B2578),"",IFERROR(VLOOKUP($B2578,ESTOQUE!$B$2:$D$97168,3,FALSE),"Produto não cadastrado"))</f>
        <v>MACACÃO DE PROTEÇÃO TYVEK</v>
      </c>
      <c r="E2578" s="99" t="str">
        <f>_xlfn.XLOOKUP(B2578,ESTOQUE!B:B,ESTOQUE!G:G,"",0)</f>
        <v>UND</v>
      </c>
      <c r="F2578" s="99">
        <v>1</v>
      </c>
      <c r="G2578" s="146"/>
      <c r="H2578" s="146"/>
      <c r="I2578" s="147"/>
      <c r="J2578" s="147"/>
      <c r="K2578" s="63"/>
      <c r="L2578" s="63"/>
      <c r="M2578" s="63"/>
      <c r="N2578" s="63"/>
      <c r="O2578" s="63"/>
      <c r="P2578" s="63"/>
      <c r="Q2578" s="63"/>
      <c r="R2578" s="63"/>
      <c r="S2578" s="63"/>
      <c r="T2578" s="63"/>
      <c r="U2578" s="63"/>
      <c r="V2578" s="63"/>
      <c r="W2578" s="63"/>
      <c r="X2578" s="63"/>
      <c r="Y2578" s="63"/>
      <c r="Z2578" s="63"/>
      <c r="AA2578" s="63"/>
      <c r="AB2578" s="63"/>
      <c r="AC2578" s="63"/>
    </row>
    <row r="2579" spans="1:29" x14ac:dyDescent="0.25">
      <c r="A2579" s="108">
        <v>46086</v>
      </c>
      <c r="B2579" s="128">
        <v>53</v>
      </c>
      <c r="C2579" s="49" t="s">
        <v>19</v>
      </c>
      <c r="D2579" s="110" t="str">
        <f>IF(ISBLANK($B2579),"",IFERROR(VLOOKUP($B2579,ESTOQUE!$B$2:$D$97168,3,FALSE),"Produto não cadastrado"))</f>
        <v>CALÇA DE ELETRICISTA NR.10 TAM: P</v>
      </c>
      <c r="E2579" s="99" t="str">
        <f>_xlfn.XLOOKUP(B2579,ESTOQUE!B:B,ESTOQUE!G:G,"",0)</f>
        <v>UND</v>
      </c>
      <c r="F2579" s="99">
        <v>1</v>
      </c>
      <c r="G2579" s="146"/>
      <c r="H2579" s="146"/>
      <c r="I2579" s="147"/>
      <c r="J2579" s="147"/>
      <c r="K2579" s="63"/>
      <c r="L2579" s="63"/>
      <c r="M2579" s="63"/>
      <c r="N2579" s="63"/>
      <c r="O2579" s="63"/>
      <c r="P2579" s="63"/>
      <c r="Q2579" s="63"/>
      <c r="R2579" s="63"/>
      <c r="S2579" s="63"/>
      <c r="T2579" s="63"/>
      <c r="U2579" s="63"/>
      <c r="V2579" s="63"/>
      <c r="W2579" s="63"/>
      <c r="X2579" s="63"/>
      <c r="Y2579" s="63"/>
      <c r="Z2579" s="63"/>
      <c r="AA2579" s="63"/>
      <c r="AB2579" s="63"/>
      <c r="AC2579" s="63"/>
    </row>
    <row r="2580" spans="1:29" x14ac:dyDescent="0.25">
      <c r="A2580" s="108">
        <v>46086</v>
      </c>
      <c r="B2580" s="128">
        <v>47</v>
      </c>
      <c r="C2580" s="49" t="s">
        <v>19</v>
      </c>
      <c r="D2580" s="110" t="str">
        <f>IF(ISBLANK($B2580),"",IFERROR(VLOOKUP($B2580,ESTOQUE!$B$2:$D$97168,3,FALSE),"Produto não cadastrado"))</f>
        <v>CALÇA CINZA OP. C/ FAIXA REFLETIVA TAM: GG</v>
      </c>
      <c r="E2580" s="99" t="str">
        <f>_xlfn.XLOOKUP(B2580,ESTOQUE!B:B,ESTOQUE!G:G,"",0)</f>
        <v>UND</v>
      </c>
      <c r="F2580" s="99">
        <v>5</v>
      </c>
      <c r="G2580" s="146"/>
      <c r="H2580" s="146"/>
      <c r="I2580" s="147"/>
      <c r="J2580" s="147"/>
      <c r="K2580" s="63"/>
      <c r="L2580" s="63"/>
      <c r="M2580" s="63"/>
      <c r="N2580" s="63"/>
      <c r="O2580" s="63"/>
      <c r="P2580" s="63"/>
      <c r="Q2580" s="63"/>
      <c r="R2580" s="63"/>
      <c r="S2580" s="63"/>
      <c r="T2580" s="63"/>
      <c r="U2580" s="63"/>
      <c r="V2580" s="63"/>
      <c r="W2580" s="63"/>
      <c r="X2580" s="63"/>
      <c r="Y2580" s="63"/>
      <c r="Z2580" s="63"/>
      <c r="AA2580" s="63"/>
      <c r="AB2580" s="63"/>
      <c r="AC2580" s="63"/>
    </row>
    <row r="2581" spans="1:29" x14ac:dyDescent="0.25">
      <c r="A2581" s="108">
        <v>46087</v>
      </c>
      <c r="B2581" s="128">
        <v>207</v>
      </c>
      <c r="C2581" s="49" t="s">
        <v>19</v>
      </c>
      <c r="D2581" s="110" t="str">
        <f>IF(ISBLANK($B2581),"",IFERROR(VLOOKUP($B2581,ESTOQUE!$B$2:$D$97168,3,FALSE),"Produto não cadastrado"))</f>
        <v>LUVA POLIESTER ANTICORTE BANHADA PU TAM 9</v>
      </c>
      <c r="E2581" s="99" t="str">
        <f>_xlfn.XLOOKUP(B2581,ESTOQUE!B:B,ESTOQUE!G:G,"",0)</f>
        <v>PAR</v>
      </c>
      <c r="F2581" s="99">
        <v>12</v>
      </c>
      <c r="G2581" s="146"/>
      <c r="H2581" s="146"/>
      <c r="I2581" s="147"/>
      <c r="J2581" s="147"/>
      <c r="K2581" s="63"/>
      <c r="L2581" s="63"/>
      <c r="M2581" s="63"/>
      <c r="N2581" s="63"/>
      <c r="O2581" s="63"/>
      <c r="P2581" s="63"/>
      <c r="Q2581" s="63"/>
      <c r="R2581" s="63"/>
      <c r="S2581" s="63"/>
      <c r="T2581" s="63"/>
      <c r="U2581" s="63"/>
      <c r="V2581" s="63"/>
      <c r="W2581" s="63"/>
      <c r="X2581" s="63"/>
      <c r="Y2581" s="63"/>
      <c r="Z2581" s="63"/>
      <c r="AA2581" s="63"/>
      <c r="AB2581" s="63"/>
      <c r="AC2581" s="63"/>
    </row>
    <row r="2582" spans="1:29" x14ac:dyDescent="0.25">
      <c r="A2582" s="108">
        <v>46087</v>
      </c>
      <c r="B2582" s="128">
        <v>118</v>
      </c>
      <c r="C2582" s="49" t="s">
        <v>19</v>
      </c>
      <c r="D2582" s="110" t="str">
        <f>IF(ISBLANK($B2582),"",IFERROR(VLOOKUP($B2582,ESTOQUE!$B$2:$D$97168,3,FALSE),"Produto não cadastrado"))</f>
        <v>MACACÃO DE PROTEÇÃO TYVEK</v>
      </c>
      <c r="E2582" s="99" t="str">
        <f>_xlfn.XLOOKUP(B2582,ESTOQUE!B:B,ESTOQUE!G:G,"",0)</f>
        <v>UND</v>
      </c>
      <c r="F2582" s="99">
        <v>50</v>
      </c>
      <c r="G2582" s="146"/>
      <c r="H2582" s="146"/>
      <c r="I2582" s="147"/>
      <c r="J2582" s="147"/>
      <c r="K2582" s="63"/>
      <c r="L2582" s="63"/>
      <c r="M2582" s="63"/>
      <c r="N2582" s="63"/>
      <c r="O2582" s="63"/>
      <c r="P2582" s="63"/>
      <c r="Q2582" s="63"/>
      <c r="R2582" s="63"/>
      <c r="S2582" s="63"/>
      <c r="T2582" s="63"/>
      <c r="U2582" s="63"/>
      <c r="V2582" s="63"/>
      <c r="W2582" s="63"/>
      <c r="X2582" s="63"/>
      <c r="Y2582" s="63"/>
      <c r="Z2582" s="63"/>
      <c r="AA2582" s="63"/>
      <c r="AB2582" s="63"/>
      <c r="AC2582" s="63"/>
    </row>
    <row r="2583" spans="1:29" x14ac:dyDescent="0.25">
      <c r="A2583" s="108">
        <v>46087</v>
      </c>
      <c r="B2583" s="128">
        <v>70</v>
      </c>
      <c r="C2583" s="49" t="s">
        <v>19</v>
      </c>
      <c r="D2583" s="110" t="str">
        <f>IF(ISBLANK($B2583),"",IFERROR(VLOOKUP($B2583,ESTOQUE!$B$2:$D$97168,3,FALSE),"Produto não cadastrado"))</f>
        <v>CAMISA LARANJA OP. C/ FAIXA REFLETIVA TAM: P</v>
      </c>
      <c r="E2583" s="99" t="str">
        <f>_xlfn.XLOOKUP(B2583,ESTOQUE!B:B,ESTOQUE!G:G,"",0)</f>
        <v>UND</v>
      </c>
      <c r="F2583" s="99">
        <v>1</v>
      </c>
      <c r="G2583" s="146"/>
      <c r="H2583" s="146"/>
      <c r="I2583" s="147"/>
      <c r="J2583" s="147"/>
      <c r="K2583" s="63"/>
      <c r="L2583" s="63"/>
      <c r="M2583" s="63"/>
      <c r="N2583" s="63"/>
      <c r="O2583" s="63"/>
      <c r="P2583" s="63"/>
      <c r="Q2583" s="63"/>
      <c r="R2583" s="63"/>
      <c r="S2583" s="63"/>
      <c r="T2583" s="63"/>
      <c r="U2583" s="63"/>
      <c r="V2583" s="63"/>
      <c r="W2583" s="63"/>
      <c r="X2583" s="63"/>
      <c r="Y2583" s="63"/>
      <c r="Z2583" s="63"/>
      <c r="AA2583" s="63"/>
      <c r="AB2583" s="63"/>
      <c r="AC2583" s="63"/>
    </row>
    <row r="2584" spans="1:29" x14ac:dyDescent="0.25">
      <c r="A2584" s="108">
        <v>46087</v>
      </c>
      <c r="B2584" s="128">
        <v>114</v>
      </c>
      <c r="C2584" s="49" t="s">
        <v>19</v>
      </c>
      <c r="D2584" s="110" t="str">
        <f>IF(ISBLANK($B2584),"",IFERROR(VLOOKUP($B2584,ESTOQUE!$B$2:$D$97168,3,FALSE),"Produto não cadastrado"))</f>
        <v xml:space="preserve">LUVA LATEX NITRILICA </v>
      </c>
      <c r="E2584" s="99" t="str">
        <f>_xlfn.XLOOKUP(B2584,ESTOQUE!B:B,ESTOQUE!G:G,"",0)</f>
        <v>PAR</v>
      </c>
      <c r="F2584" s="99">
        <v>3</v>
      </c>
      <c r="G2584" s="146"/>
      <c r="H2584" s="146"/>
      <c r="I2584" s="147"/>
      <c r="J2584" s="147"/>
      <c r="K2584" s="63"/>
      <c r="L2584" s="63"/>
      <c r="M2584" s="63"/>
      <c r="N2584" s="63"/>
      <c r="O2584" s="63"/>
      <c r="P2584" s="63"/>
      <c r="Q2584" s="63"/>
      <c r="R2584" s="63"/>
      <c r="S2584" s="63"/>
      <c r="T2584" s="63"/>
      <c r="U2584" s="63"/>
      <c r="V2584" s="63"/>
      <c r="W2584" s="63"/>
      <c r="X2584" s="63"/>
      <c r="Y2584" s="63"/>
      <c r="Z2584" s="63"/>
      <c r="AA2584" s="63"/>
      <c r="AB2584" s="63"/>
      <c r="AC2584" s="63"/>
    </row>
    <row r="2585" spans="1:29" x14ac:dyDescent="0.25">
      <c r="A2585" s="108">
        <v>46087</v>
      </c>
      <c r="B2585" s="128">
        <v>144</v>
      </c>
      <c r="C2585" s="49" t="s">
        <v>19</v>
      </c>
      <c r="D2585" s="110" t="str">
        <f>IF(ISBLANK($B2585),"",IFERROR(VLOOKUP($B2585,ESTOQUE!$B$2:$D$97168,3,FALSE),"Produto não cadastrado"))</f>
        <v>MASCARA PFF2-S C/ FILTRO</v>
      </c>
      <c r="E2585" s="99" t="str">
        <f>_xlfn.XLOOKUP(B2585,ESTOQUE!B:B,ESTOQUE!G:G,"",0)</f>
        <v>UND</v>
      </c>
      <c r="F2585" s="99">
        <v>3</v>
      </c>
      <c r="G2585" s="146"/>
      <c r="H2585" s="146"/>
      <c r="I2585" s="147"/>
      <c r="J2585" s="147"/>
      <c r="K2585" s="63"/>
      <c r="L2585" s="63"/>
      <c r="M2585" s="63"/>
      <c r="N2585" s="63"/>
      <c r="O2585" s="63"/>
      <c r="P2585" s="63"/>
      <c r="Q2585" s="63"/>
      <c r="R2585" s="63"/>
      <c r="S2585" s="63"/>
      <c r="T2585" s="63"/>
      <c r="U2585" s="63"/>
      <c r="V2585" s="63"/>
      <c r="W2585" s="63"/>
      <c r="X2585" s="63"/>
      <c r="Y2585" s="63"/>
      <c r="Z2585" s="63"/>
      <c r="AA2585" s="63"/>
      <c r="AB2585" s="63"/>
      <c r="AC2585" s="63"/>
    </row>
    <row r="2586" spans="1:29" x14ac:dyDescent="0.25">
      <c r="A2586" s="108">
        <v>46087</v>
      </c>
      <c r="B2586" s="128">
        <v>124</v>
      </c>
      <c r="C2586" s="49" t="s">
        <v>19</v>
      </c>
      <c r="D2586" s="110" t="str">
        <f>IF(ISBLANK($B2586),"",IFERROR(VLOOKUP($B2586,ESTOQUE!$B$2:$D$97168,3,FALSE),"Produto não cadastrado"))</f>
        <v xml:space="preserve">OCULOS DE PROTEÇÃO INCOLOR </v>
      </c>
      <c r="E2586" s="99" t="str">
        <f>_xlfn.XLOOKUP(B2586,ESTOQUE!B:B,ESTOQUE!G:G,"",0)</f>
        <v>UND</v>
      </c>
      <c r="F2586" s="99">
        <v>21</v>
      </c>
      <c r="G2586" s="146"/>
      <c r="H2586" s="146"/>
      <c r="I2586" s="147"/>
      <c r="J2586" s="147"/>
      <c r="K2586" s="63"/>
      <c r="L2586" s="63"/>
      <c r="M2586" s="63"/>
      <c r="N2586" s="63"/>
      <c r="O2586" s="63"/>
      <c r="P2586" s="63"/>
      <c r="Q2586" s="63"/>
      <c r="R2586" s="63"/>
      <c r="S2586" s="63"/>
      <c r="T2586" s="63"/>
      <c r="U2586" s="63"/>
      <c r="V2586" s="63"/>
      <c r="W2586" s="63"/>
      <c r="X2586" s="63"/>
      <c r="Y2586" s="63"/>
      <c r="Z2586" s="63"/>
      <c r="AA2586" s="63"/>
      <c r="AB2586" s="63"/>
      <c r="AC2586" s="63"/>
    </row>
    <row r="2587" spans="1:29" x14ac:dyDescent="0.25">
      <c r="A2587" s="108">
        <v>46087</v>
      </c>
      <c r="B2587" s="128">
        <v>126</v>
      </c>
      <c r="C2587" s="49" t="s">
        <v>19</v>
      </c>
      <c r="D2587" s="110" t="str">
        <f>IF(ISBLANK($B2587),"",IFERROR(VLOOKUP($B2587,ESTOQUE!$B$2:$D$97168,3,FALSE),"Produto não cadastrado"))</f>
        <v>OCULOS DE PROTEÇÃO ESCURO</v>
      </c>
      <c r="E2587" s="99" t="str">
        <f>_xlfn.XLOOKUP(B2587,ESTOQUE!B:B,ESTOQUE!G:G,"",0)</f>
        <v>UND</v>
      </c>
      <c r="F2587" s="99">
        <v>1</v>
      </c>
      <c r="G2587" s="146"/>
      <c r="H2587" s="146"/>
      <c r="I2587" s="147"/>
      <c r="J2587" s="147"/>
      <c r="K2587" s="63"/>
      <c r="L2587" s="63"/>
      <c r="M2587" s="63"/>
      <c r="N2587" s="63"/>
      <c r="O2587" s="63"/>
      <c r="P2587" s="63"/>
      <c r="Q2587" s="63"/>
      <c r="R2587" s="63"/>
      <c r="S2587" s="63"/>
      <c r="T2587" s="63"/>
      <c r="U2587" s="63"/>
      <c r="V2587" s="63"/>
      <c r="W2587" s="63"/>
      <c r="X2587" s="63"/>
      <c r="Y2587" s="63"/>
      <c r="Z2587" s="63"/>
      <c r="AA2587" s="63"/>
      <c r="AB2587" s="63"/>
      <c r="AC2587" s="63"/>
    </row>
    <row r="2588" spans="1:29" x14ac:dyDescent="0.25">
      <c r="A2588" s="108">
        <v>46088</v>
      </c>
      <c r="B2588" s="128">
        <v>10</v>
      </c>
      <c r="C2588" s="49" t="s">
        <v>19</v>
      </c>
      <c r="D2588" s="110" t="str">
        <f>IF(ISBLANK($B2588),"",IFERROR(VLOOKUP($B2588,ESTOQUE!$B$2:$D$97168,3,FALSE),"Produto não cadastrado"))</f>
        <v>BOTA PVC CANO LONGO Nº 42</v>
      </c>
      <c r="E2588" s="99" t="str">
        <f>_xlfn.XLOOKUP(B2588,ESTOQUE!B:B,ESTOQUE!G:G,"",0)</f>
        <v>PAR</v>
      </c>
      <c r="F2588" s="99">
        <v>1</v>
      </c>
      <c r="G2588" s="146"/>
      <c r="H2588" s="146"/>
      <c r="I2588" s="147"/>
      <c r="J2588" s="147"/>
      <c r="K2588" s="63"/>
      <c r="L2588" s="63"/>
      <c r="M2588" s="63"/>
      <c r="N2588" s="63"/>
      <c r="O2588" s="63"/>
      <c r="P2588" s="63"/>
      <c r="Q2588" s="63"/>
      <c r="R2588" s="63"/>
      <c r="S2588" s="63"/>
      <c r="T2588" s="63"/>
      <c r="U2588" s="63"/>
      <c r="V2588" s="63"/>
      <c r="W2588" s="63"/>
      <c r="X2588" s="63"/>
      <c r="Y2588" s="63"/>
      <c r="Z2588" s="63"/>
      <c r="AA2588" s="63"/>
      <c r="AB2588" s="63"/>
      <c r="AC2588" s="63"/>
    </row>
    <row r="2589" spans="1:29" x14ac:dyDescent="0.25">
      <c r="A2589" s="108">
        <v>46088</v>
      </c>
      <c r="B2589" s="128">
        <v>118</v>
      </c>
      <c r="C2589" s="49" t="s">
        <v>19</v>
      </c>
      <c r="D2589" s="110" t="str">
        <f>IF(ISBLANK($B2589),"",IFERROR(VLOOKUP($B2589,ESTOQUE!$B$2:$D$97168,3,FALSE),"Produto não cadastrado"))</f>
        <v>MACACÃO DE PROTEÇÃO TYVEK</v>
      </c>
      <c r="E2589" s="99" t="str">
        <f>_xlfn.XLOOKUP(B2589,ESTOQUE!B:B,ESTOQUE!G:G,"",0)</f>
        <v>UND</v>
      </c>
      <c r="F2589" s="99">
        <v>51</v>
      </c>
      <c r="G2589" s="146"/>
      <c r="H2589" s="146"/>
      <c r="I2589" s="147"/>
      <c r="J2589" s="147"/>
      <c r="K2589" s="63"/>
      <c r="L2589" s="63"/>
      <c r="M2589" s="63"/>
      <c r="N2589" s="63"/>
      <c r="O2589" s="63"/>
      <c r="P2589" s="63"/>
      <c r="Q2589" s="63"/>
      <c r="R2589" s="63"/>
      <c r="S2589" s="63"/>
      <c r="T2589" s="63"/>
      <c r="U2589" s="63"/>
      <c r="V2589" s="63"/>
      <c r="W2589" s="63"/>
      <c r="X2589" s="63"/>
      <c r="Y2589" s="63"/>
      <c r="Z2589" s="63"/>
      <c r="AA2589" s="63"/>
      <c r="AB2589" s="63"/>
      <c r="AC2589" s="63"/>
    </row>
    <row r="2590" spans="1:29" x14ac:dyDescent="0.25">
      <c r="A2590" s="108">
        <v>46088</v>
      </c>
      <c r="B2590" s="128">
        <v>73</v>
      </c>
      <c r="C2590" s="49" t="s">
        <v>19</v>
      </c>
      <c r="D2590" s="110" t="str">
        <f>IF(ISBLANK($B2590),"",IFERROR(VLOOKUP($B2590,ESTOQUE!$B$2:$D$97168,3,FALSE),"Produto não cadastrado"))</f>
        <v>CAPA DE CHUVA GG</v>
      </c>
      <c r="E2590" s="99" t="str">
        <f>_xlfn.XLOOKUP(B2590,ESTOQUE!B:B,ESTOQUE!G:G,"",0)</f>
        <v>UND</v>
      </c>
      <c r="F2590" s="99">
        <v>2</v>
      </c>
      <c r="G2590" s="146"/>
      <c r="H2590" s="146"/>
      <c r="I2590" s="147"/>
      <c r="J2590" s="147"/>
      <c r="K2590" s="63"/>
      <c r="L2590" s="63"/>
      <c r="M2590" s="63"/>
      <c r="N2590" s="63"/>
      <c r="O2590" s="63"/>
      <c r="P2590" s="63"/>
      <c r="Q2590" s="63"/>
      <c r="R2590" s="63"/>
      <c r="S2590" s="63"/>
      <c r="T2590" s="63"/>
      <c r="U2590" s="63"/>
      <c r="V2590" s="63"/>
      <c r="W2590" s="63"/>
      <c r="X2590" s="63"/>
      <c r="Y2590" s="63"/>
      <c r="Z2590" s="63"/>
      <c r="AA2590" s="63"/>
      <c r="AB2590" s="63"/>
      <c r="AC2590" s="63"/>
    </row>
    <row r="2591" spans="1:29" x14ac:dyDescent="0.25">
      <c r="A2591" s="108">
        <v>46088</v>
      </c>
      <c r="B2591" s="128">
        <v>2</v>
      </c>
      <c r="C2591" s="49" t="s">
        <v>19</v>
      </c>
      <c r="D2591" s="110" t="str">
        <f>IF(ISBLANK($B2591),"",IFERROR(VLOOKUP($B2591,ESTOQUE!$B$2:$D$97168,3,FALSE),"Produto não cadastrado"))</f>
        <v>AVENTAL DE RASPA TAM 1X60MT</v>
      </c>
      <c r="E2591" s="99" t="str">
        <f>_xlfn.XLOOKUP(B2591,ESTOQUE!B:B,ESTOQUE!G:G,"",0)</f>
        <v>UND</v>
      </c>
      <c r="F2591" s="99">
        <v>2</v>
      </c>
      <c r="G2591" s="146"/>
      <c r="H2591" s="146"/>
      <c r="I2591" s="147"/>
      <c r="J2591" s="147"/>
      <c r="K2591" s="63"/>
      <c r="L2591" s="63"/>
      <c r="M2591" s="63"/>
      <c r="N2591" s="63"/>
      <c r="O2591" s="63"/>
      <c r="P2591" s="63"/>
      <c r="Q2591" s="63"/>
      <c r="R2591" s="63"/>
      <c r="S2591" s="63"/>
      <c r="T2591" s="63"/>
      <c r="U2591" s="63"/>
      <c r="V2591" s="63"/>
      <c r="W2591" s="63"/>
      <c r="X2591" s="63"/>
      <c r="Y2591" s="63"/>
      <c r="Z2591" s="63"/>
      <c r="AA2591" s="63"/>
      <c r="AB2591" s="63"/>
      <c r="AC2591" s="63"/>
    </row>
    <row r="2592" spans="1:29" x14ac:dyDescent="0.25">
      <c r="A2592" s="108">
        <v>46088</v>
      </c>
      <c r="B2592" s="128">
        <v>110</v>
      </c>
      <c r="C2592" s="49" t="s">
        <v>19</v>
      </c>
      <c r="D2592" s="110" t="str">
        <f>IF(ISBLANK($B2592),"",IFERROR(VLOOKUP($B2592,ESTOQUE!$B$2:$D$97168,3,FALSE),"Produto não cadastrado"))</f>
        <v>LUVA DE RASPA CANO LONGO</v>
      </c>
      <c r="E2592" s="99" t="str">
        <f>_xlfn.XLOOKUP(B2592,ESTOQUE!B:B,ESTOQUE!G:G,"",0)</f>
        <v>PAR</v>
      </c>
      <c r="F2592" s="99">
        <v>1</v>
      </c>
      <c r="G2592" s="146"/>
      <c r="H2592" s="146"/>
      <c r="I2592" s="147"/>
      <c r="J2592" s="147"/>
      <c r="K2592" s="63"/>
      <c r="L2592" s="63"/>
      <c r="M2592" s="63"/>
      <c r="N2592" s="63"/>
      <c r="O2592" s="63"/>
      <c r="P2592" s="63"/>
      <c r="Q2592" s="63"/>
      <c r="R2592" s="63"/>
      <c r="S2592" s="63"/>
      <c r="T2592" s="63"/>
      <c r="U2592" s="63"/>
      <c r="V2592" s="63"/>
      <c r="W2592" s="63"/>
      <c r="X2592" s="63"/>
      <c r="Y2592" s="63"/>
      <c r="Z2592" s="63"/>
      <c r="AA2592" s="63"/>
      <c r="AB2592" s="63"/>
      <c r="AC2592" s="63"/>
    </row>
    <row r="2593" spans="1:29" x14ac:dyDescent="0.25">
      <c r="A2593" s="108">
        <v>46088</v>
      </c>
      <c r="B2593" s="128">
        <v>97</v>
      </c>
      <c r="C2593" s="49" t="s">
        <v>19</v>
      </c>
      <c r="D2593" s="110" t="str">
        <f>IF(ISBLANK($B2593),"",IFERROR(VLOOKUP($B2593,ESTOQUE!$B$2:$D$97168,3,FALSE),"Produto não cadastrado"))</f>
        <v>COLETE REFLETIVO LARANJA M</v>
      </c>
      <c r="E2593" s="99" t="str">
        <f>_xlfn.XLOOKUP(B2593,ESTOQUE!B:B,ESTOQUE!G:G,"",0)</f>
        <v>UND</v>
      </c>
      <c r="F2593" s="99">
        <v>1</v>
      </c>
      <c r="G2593" s="146"/>
      <c r="H2593" s="146"/>
      <c r="I2593" s="147"/>
      <c r="J2593" s="147"/>
      <c r="K2593" s="63"/>
      <c r="L2593" s="63"/>
      <c r="M2593" s="63"/>
      <c r="N2593" s="63"/>
      <c r="O2593" s="63"/>
      <c r="P2593" s="63"/>
      <c r="Q2593" s="63"/>
      <c r="R2593" s="63"/>
      <c r="S2593" s="63"/>
      <c r="T2593" s="63"/>
      <c r="U2593" s="63"/>
      <c r="V2593" s="63"/>
      <c r="W2593" s="63"/>
      <c r="X2593" s="63"/>
      <c r="Y2593" s="63"/>
      <c r="Z2593" s="63"/>
      <c r="AA2593" s="63"/>
      <c r="AB2593" s="63"/>
      <c r="AC2593" s="63"/>
    </row>
    <row r="2594" spans="1:29" x14ac:dyDescent="0.25">
      <c r="A2594" s="108">
        <v>46088</v>
      </c>
      <c r="B2594" s="128">
        <v>35</v>
      </c>
      <c r="C2594" s="49" t="s">
        <v>19</v>
      </c>
      <c r="D2594" s="110" t="str">
        <f>IF(ISBLANK($B2594),"",IFERROR(VLOOKUP($B2594,ESTOQUE!$B$2:$D$97168,3,FALSE),"Produto não cadastrado"))</f>
        <v>BOTINA OP. BICO PVC Nº 37</v>
      </c>
      <c r="E2594" s="99" t="str">
        <f>_xlfn.XLOOKUP(B2594,ESTOQUE!B:B,ESTOQUE!G:G,"",0)</f>
        <v>PAR</v>
      </c>
      <c r="F2594" s="99">
        <v>1</v>
      </c>
      <c r="G2594" s="146"/>
      <c r="H2594" s="146"/>
      <c r="I2594" s="147"/>
      <c r="J2594" s="147"/>
      <c r="K2594" s="63"/>
      <c r="L2594" s="63"/>
      <c r="M2594" s="63"/>
      <c r="N2594" s="63"/>
      <c r="O2594" s="63"/>
      <c r="P2594" s="63"/>
      <c r="Q2594" s="63"/>
      <c r="R2594" s="63"/>
      <c r="S2594" s="63"/>
      <c r="T2594" s="63"/>
      <c r="U2594" s="63"/>
      <c r="V2594" s="63"/>
      <c r="W2594" s="63"/>
      <c r="X2594" s="63"/>
      <c r="Y2594" s="63"/>
      <c r="Z2594" s="63"/>
      <c r="AA2594" s="63"/>
      <c r="AB2594" s="63"/>
      <c r="AC2594" s="63"/>
    </row>
    <row r="2595" spans="1:29" x14ac:dyDescent="0.25">
      <c r="A2595" s="108">
        <v>46088</v>
      </c>
      <c r="B2595" s="128">
        <v>67</v>
      </c>
      <c r="C2595" s="49" t="s">
        <v>19</v>
      </c>
      <c r="D2595" s="110" t="str">
        <f>IF(ISBLANK($B2595),"",IFERROR(VLOOKUP($B2595,ESTOQUE!$B$2:$D$97168,3,FALSE),"Produto não cadastrado"))</f>
        <v>CAMISA LARANJA OP. C/ FAIXA REFLETIVA TAM: G</v>
      </c>
      <c r="E2595" s="99" t="str">
        <f>_xlfn.XLOOKUP(B2595,ESTOQUE!B:B,ESTOQUE!G:G,"",0)</f>
        <v>UND</v>
      </c>
      <c r="F2595" s="99">
        <v>3</v>
      </c>
      <c r="G2595" s="146"/>
      <c r="H2595" s="146"/>
      <c r="I2595" s="147"/>
      <c r="J2595" s="147"/>
      <c r="K2595" s="63"/>
      <c r="L2595" s="63"/>
      <c r="M2595" s="63"/>
      <c r="N2595" s="63"/>
      <c r="O2595" s="63"/>
      <c r="P2595" s="63"/>
      <c r="Q2595" s="63"/>
      <c r="R2595" s="63"/>
      <c r="S2595" s="63"/>
      <c r="T2595" s="63"/>
      <c r="U2595" s="63"/>
      <c r="V2595" s="63"/>
      <c r="W2595" s="63"/>
      <c r="X2595" s="63"/>
      <c r="Y2595" s="63"/>
      <c r="Z2595" s="63"/>
      <c r="AA2595" s="63"/>
      <c r="AB2595" s="63"/>
      <c r="AC2595" s="63"/>
    </row>
    <row r="2596" spans="1:29" x14ac:dyDescent="0.25">
      <c r="A2596" s="108">
        <v>46088</v>
      </c>
      <c r="B2596" s="128">
        <v>69</v>
      </c>
      <c r="C2596" s="49" t="s">
        <v>19</v>
      </c>
      <c r="D2596" s="110" t="str">
        <f>IF(ISBLANK($B2596),"",IFERROR(VLOOKUP($B2596,ESTOQUE!$B$2:$D$97168,3,FALSE),"Produto não cadastrado"))</f>
        <v>CAMISA LARANJA OP. C/ FAIXA REFLETIVA TAM: M</v>
      </c>
      <c r="E2596" s="99" t="str">
        <f>_xlfn.XLOOKUP(B2596,ESTOQUE!B:B,ESTOQUE!G:G,"",0)</f>
        <v>UND</v>
      </c>
      <c r="F2596" s="99">
        <v>2</v>
      </c>
      <c r="G2596" s="146"/>
      <c r="H2596" s="146"/>
      <c r="I2596" s="147"/>
      <c r="J2596" s="147"/>
      <c r="K2596" s="63"/>
      <c r="L2596" s="63"/>
      <c r="M2596" s="63"/>
      <c r="N2596" s="63"/>
      <c r="O2596" s="63"/>
      <c r="P2596" s="63"/>
      <c r="Q2596" s="63"/>
      <c r="R2596" s="63"/>
      <c r="S2596" s="63"/>
      <c r="T2596" s="63"/>
      <c r="U2596" s="63"/>
      <c r="V2596" s="63"/>
      <c r="W2596" s="63"/>
      <c r="X2596" s="63"/>
      <c r="Y2596" s="63"/>
      <c r="Z2596" s="63"/>
      <c r="AA2596" s="63"/>
      <c r="AB2596" s="63"/>
      <c r="AC2596" s="63"/>
    </row>
    <row r="2597" spans="1:29" x14ac:dyDescent="0.25">
      <c r="A2597" s="108">
        <v>46088</v>
      </c>
      <c r="B2597" s="128">
        <v>73</v>
      </c>
      <c r="C2597" s="49" t="s">
        <v>19</v>
      </c>
      <c r="D2597" s="110" t="str">
        <f>IF(ISBLANK($B2597),"",IFERROR(VLOOKUP($B2597,ESTOQUE!$B$2:$D$97168,3,FALSE),"Produto não cadastrado"))</f>
        <v>CAPA DE CHUVA GG</v>
      </c>
      <c r="E2597" s="99" t="str">
        <f>_xlfn.XLOOKUP(B2597,ESTOQUE!B:B,ESTOQUE!G:G,"",0)</f>
        <v>UND</v>
      </c>
      <c r="F2597" s="99">
        <v>1</v>
      </c>
      <c r="G2597" s="146"/>
      <c r="H2597" s="146"/>
      <c r="I2597" s="147"/>
      <c r="J2597" s="147"/>
      <c r="K2597" s="63"/>
      <c r="L2597" s="63"/>
      <c r="M2597" s="63"/>
      <c r="N2597" s="63"/>
      <c r="O2597" s="63"/>
      <c r="P2597" s="63"/>
      <c r="Q2597" s="63"/>
      <c r="R2597" s="63"/>
      <c r="S2597" s="63"/>
      <c r="T2597" s="63"/>
      <c r="U2597" s="63"/>
      <c r="V2597" s="63"/>
      <c r="W2597" s="63"/>
      <c r="X2597" s="63"/>
      <c r="Y2597" s="63"/>
      <c r="Z2597" s="63"/>
      <c r="AA2597" s="63"/>
      <c r="AB2597" s="63"/>
      <c r="AC2597" s="63"/>
    </row>
    <row r="2598" spans="1:29" x14ac:dyDescent="0.25">
      <c r="A2598" s="108">
        <v>46088</v>
      </c>
      <c r="B2598" s="128">
        <v>207</v>
      </c>
      <c r="C2598" s="49" t="s">
        <v>19</v>
      </c>
      <c r="D2598" s="110" t="str">
        <f>IF(ISBLANK($B2598),"",IFERROR(VLOOKUP($B2598,ESTOQUE!$B$2:$D$97168,3,FALSE),"Produto não cadastrado"))</f>
        <v>LUVA POLIESTER ANTICORTE BANHADA PU TAM 9</v>
      </c>
      <c r="E2598" s="99" t="str">
        <f>_xlfn.XLOOKUP(B2598,ESTOQUE!B:B,ESTOQUE!G:G,"",0)</f>
        <v>PAR</v>
      </c>
      <c r="F2598" s="99">
        <v>1</v>
      </c>
      <c r="G2598" s="146"/>
      <c r="H2598" s="146"/>
      <c r="I2598" s="147"/>
      <c r="J2598" s="147"/>
      <c r="K2598" s="63"/>
      <c r="L2598" s="63"/>
      <c r="M2598" s="63"/>
      <c r="N2598" s="63"/>
      <c r="O2598" s="63"/>
      <c r="P2598" s="63"/>
      <c r="Q2598" s="63"/>
      <c r="R2598" s="63"/>
      <c r="S2598" s="63"/>
      <c r="T2598" s="63"/>
      <c r="U2598" s="63"/>
      <c r="V2598" s="63"/>
      <c r="W2598" s="63"/>
      <c r="X2598" s="63"/>
      <c r="Y2598" s="63"/>
      <c r="Z2598" s="63"/>
      <c r="AA2598" s="63"/>
      <c r="AB2598" s="63"/>
      <c r="AC2598" s="63"/>
    </row>
    <row r="2599" spans="1:29" x14ac:dyDescent="0.25">
      <c r="A2599" s="108">
        <v>46088</v>
      </c>
      <c r="B2599" s="128">
        <v>261</v>
      </c>
      <c r="C2599" s="49" t="s">
        <v>19</v>
      </c>
      <c r="D2599" s="110" t="str">
        <f>IF(ISBLANK($B2599),"",IFERROR(VLOOKUP($B2599,ESTOQUE!$B$2:$D$97168,3,FALSE),"Produto não cadastrado"))</f>
        <v xml:space="preserve">LUVA DE VAQUETA VERDE </v>
      </c>
      <c r="E2599" s="99" t="str">
        <f>_xlfn.XLOOKUP(B2599,ESTOQUE!B:B,ESTOQUE!G:G,"",0)</f>
        <v>PAR</v>
      </c>
      <c r="F2599" s="99">
        <v>3</v>
      </c>
      <c r="G2599" s="146"/>
      <c r="H2599" s="146"/>
      <c r="I2599" s="147"/>
      <c r="J2599" s="147"/>
      <c r="K2599" s="63"/>
      <c r="L2599" s="63"/>
      <c r="M2599" s="63"/>
      <c r="N2599" s="63"/>
      <c r="O2599" s="63"/>
      <c r="P2599" s="63"/>
      <c r="Q2599" s="63"/>
      <c r="R2599" s="63"/>
      <c r="S2599" s="63"/>
      <c r="T2599" s="63"/>
      <c r="U2599" s="63"/>
      <c r="V2599" s="63"/>
      <c r="W2599" s="63"/>
      <c r="X2599" s="63"/>
      <c r="Y2599" s="63"/>
      <c r="Z2599" s="63"/>
      <c r="AA2599" s="63"/>
      <c r="AB2599" s="63"/>
      <c r="AC2599" s="63"/>
    </row>
    <row r="2600" spans="1:29" x14ac:dyDescent="0.25">
      <c r="A2600" s="108">
        <v>46088</v>
      </c>
      <c r="B2600" s="128">
        <v>263</v>
      </c>
      <c r="C2600" s="49" t="s">
        <v>19</v>
      </c>
      <c r="D2600" s="110" t="str">
        <f>IF(ISBLANK($B2600),"",IFERROR(VLOOKUP($B2600,ESTOQUE!$B$2:$D$97168,3,FALSE),"Produto não cadastrado"))</f>
        <v>LUVA DE VAUQETA CINZA</v>
      </c>
      <c r="E2600" s="99" t="str">
        <f>_xlfn.XLOOKUP(B2600,ESTOQUE!B:B,ESTOQUE!G:G,"",0)</f>
        <v>UND</v>
      </c>
      <c r="F2600" s="99">
        <v>20</v>
      </c>
      <c r="G2600" s="146"/>
      <c r="H2600" s="146"/>
      <c r="I2600" s="147"/>
      <c r="J2600" s="147"/>
      <c r="K2600" s="63"/>
      <c r="L2600" s="63"/>
      <c r="M2600" s="63"/>
      <c r="N2600" s="63"/>
      <c r="O2600" s="63"/>
      <c r="P2600" s="63"/>
      <c r="Q2600" s="63"/>
      <c r="R2600" s="63"/>
      <c r="S2600" s="63"/>
      <c r="T2600" s="63"/>
      <c r="U2600" s="63"/>
      <c r="V2600" s="63"/>
      <c r="W2600" s="63"/>
      <c r="X2600" s="63"/>
      <c r="Y2600" s="63"/>
      <c r="Z2600" s="63"/>
      <c r="AA2600" s="63"/>
      <c r="AB2600" s="63"/>
      <c r="AC2600" s="63"/>
    </row>
    <row r="2601" spans="1:29" x14ac:dyDescent="0.25">
      <c r="A2601" s="108">
        <v>46088</v>
      </c>
      <c r="B2601" s="128">
        <v>117</v>
      </c>
      <c r="C2601" s="49" t="s">
        <v>19</v>
      </c>
      <c r="D2601" s="110" t="str">
        <f>IF(ISBLANK($B2601),"",IFERROR(VLOOKUP($B2601,ESTOQUE!$B$2:$D$97168,3,FALSE),"Produto não cadastrado"))</f>
        <v>LUVA PIGMENTADA</v>
      </c>
      <c r="E2601" s="99" t="str">
        <f>_xlfn.XLOOKUP(B2601,ESTOQUE!B:B,ESTOQUE!G:G,"",0)</f>
        <v>PAR</v>
      </c>
      <c r="F2601" s="99">
        <v>35</v>
      </c>
      <c r="G2601" s="146"/>
      <c r="H2601" s="146"/>
      <c r="I2601" s="147"/>
      <c r="J2601" s="147"/>
      <c r="K2601" s="63"/>
      <c r="L2601" s="63"/>
      <c r="M2601" s="63"/>
      <c r="N2601" s="63"/>
      <c r="O2601" s="63"/>
      <c r="P2601" s="63"/>
      <c r="Q2601" s="63"/>
      <c r="R2601" s="63"/>
      <c r="S2601" s="63"/>
      <c r="T2601" s="63"/>
      <c r="U2601" s="63"/>
      <c r="V2601" s="63"/>
      <c r="W2601" s="63"/>
      <c r="X2601" s="63"/>
      <c r="Y2601" s="63"/>
      <c r="Z2601" s="63"/>
      <c r="AA2601" s="63"/>
      <c r="AB2601" s="63"/>
      <c r="AC2601" s="63"/>
    </row>
    <row r="2602" spans="1:29" x14ac:dyDescent="0.25">
      <c r="A2602" s="108">
        <v>46088</v>
      </c>
      <c r="B2602" s="128">
        <v>73</v>
      </c>
      <c r="C2602" s="49" t="s">
        <v>19</v>
      </c>
      <c r="D2602" s="110" t="str">
        <f>IF(ISBLANK($B2602),"",IFERROR(VLOOKUP($B2602,ESTOQUE!$B$2:$D$97168,3,FALSE),"Produto não cadastrado"))</f>
        <v>CAPA DE CHUVA GG</v>
      </c>
      <c r="E2602" s="99" t="str">
        <f>_xlfn.XLOOKUP(B2602,ESTOQUE!B:B,ESTOQUE!G:G,"",0)</f>
        <v>UND</v>
      </c>
      <c r="F2602" s="99">
        <v>40</v>
      </c>
      <c r="G2602" s="146"/>
      <c r="H2602" s="146"/>
      <c r="I2602" s="147"/>
      <c r="J2602" s="147"/>
      <c r="K2602" s="63"/>
      <c r="L2602" s="63"/>
      <c r="M2602" s="63"/>
      <c r="N2602" s="63"/>
      <c r="O2602" s="63"/>
      <c r="P2602" s="63"/>
      <c r="Q2602" s="63"/>
      <c r="R2602" s="63"/>
      <c r="S2602" s="63"/>
      <c r="T2602" s="63"/>
      <c r="U2602" s="63"/>
      <c r="V2602" s="63"/>
      <c r="W2602" s="63"/>
      <c r="X2602" s="63"/>
      <c r="Y2602" s="63"/>
      <c r="Z2602" s="63"/>
      <c r="AA2602" s="63"/>
      <c r="AB2602" s="63"/>
      <c r="AC2602" s="63"/>
    </row>
    <row r="2603" spans="1:29" x14ac:dyDescent="0.25">
      <c r="A2603" s="108">
        <v>46088</v>
      </c>
      <c r="B2603" s="128">
        <v>69</v>
      </c>
      <c r="C2603" s="49" t="s">
        <v>19</v>
      </c>
      <c r="D2603" s="110" t="str">
        <f>IF(ISBLANK($B2603),"",IFERROR(VLOOKUP($B2603,ESTOQUE!$B$2:$D$97168,3,FALSE),"Produto não cadastrado"))</f>
        <v>CAMISA LARANJA OP. C/ FAIXA REFLETIVA TAM: M</v>
      </c>
      <c r="E2603" s="99" t="str">
        <f>_xlfn.XLOOKUP(B2603,ESTOQUE!B:B,ESTOQUE!G:G,"",0)</f>
        <v>UND</v>
      </c>
      <c r="F2603" s="99">
        <v>7</v>
      </c>
      <c r="G2603" s="146"/>
      <c r="H2603" s="146"/>
      <c r="I2603" s="147"/>
      <c r="J2603" s="147"/>
      <c r="K2603" s="63"/>
      <c r="L2603" s="63"/>
      <c r="M2603" s="63"/>
      <c r="N2603" s="63"/>
      <c r="O2603" s="63"/>
      <c r="P2603" s="63"/>
      <c r="Q2603" s="63"/>
      <c r="R2603" s="63"/>
      <c r="S2603" s="63"/>
      <c r="T2603" s="63"/>
      <c r="U2603" s="63"/>
      <c r="V2603" s="63"/>
      <c r="W2603" s="63"/>
      <c r="X2603" s="63"/>
      <c r="Y2603" s="63"/>
      <c r="Z2603" s="63"/>
      <c r="AA2603" s="63"/>
      <c r="AB2603" s="63"/>
      <c r="AC2603" s="63"/>
    </row>
    <row r="2604" spans="1:29" x14ac:dyDescent="0.25">
      <c r="A2604" s="108">
        <v>46088</v>
      </c>
      <c r="B2604" s="128">
        <v>70</v>
      </c>
      <c r="C2604" s="49" t="s">
        <v>19</v>
      </c>
      <c r="D2604" s="110" t="str">
        <f>IF(ISBLANK($B2604),"",IFERROR(VLOOKUP($B2604,ESTOQUE!$B$2:$D$97168,3,FALSE),"Produto não cadastrado"))</f>
        <v>CAMISA LARANJA OP. C/ FAIXA REFLETIVA TAM: P</v>
      </c>
      <c r="E2604" s="99" t="str">
        <f>_xlfn.XLOOKUP(B2604,ESTOQUE!B:B,ESTOQUE!G:G,"",0)</f>
        <v>UND</v>
      </c>
      <c r="F2604" s="99">
        <v>4</v>
      </c>
      <c r="G2604" s="146"/>
      <c r="H2604" s="146"/>
      <c r="I2604" s="147"/>
      <c r="J2604" s="147"/>
      <c r="K2604" s="63"/>
      <c r="L2604" s="63"/>
      <c r="M2604" s="63"/>
      <c r="N2604" s="63"/>
      <c r="O2604" s="63"/>
      <c r="P2604" s="63"/>
      <c r="Q2604" s="63"/>
      <c r="R2604" s="63"/>
      <c r="S2604" s="63"/>
      <c r="T2604" s="63"/>
      <c r="U2604" s="63"/>
      <c r="V2604" s="63"/>
      <c r="W2604" s="63"/>
      <c r="X2604" s="63"/>
      <c r="Y2604" s="63"/>
      <c r="Z2604" s="63"/>
      <c r="AA2604" s="63"/>
      <c r="AB2604" s="63"/>
      <c r="AC2604" s="63"/>
    </row>
    <row r="2605" spans="1:29" x14ac:dyDescent="0.25">
      <c r="A2605" s="108">
        <v>46088</v>
      </c>
      <c r="B2605" s="128">
        <v>125</v>
      </c>
      <c r="C2605" s="49" t="s">
        <v>19</v>
      </c>
      <c r="D2605" s="110" t="str">
        <f>IF(ISBLANK($B2605),"",IFERROR(VLOOKUP($B2605,ESTOQUE!$B$2:$D$97168,3,FALSE),"Produto não cadastrado"))</f>
        <v xml:space="preserve">MASCARA DE SOLDA AUTOMATICA </v>
      </c>
      <c r="E2605" s="99" t="str">
        <f>_xlfn.XLOOKUP(B2605,ESTOQUE!B:B,ESTOQUE!G:G,"",0)</f>
        <v>UND</v>
      </c>
      <c r="F2605" s="99">
        <v>1</v>
      </c>
      <c r="G2605" s="146"/>
      <c r="H2605" s="146"/>
      <c r="I2605" s="147"/>
      <c r="J2605" s="147"/>
      <c r="K2605" s="63"/>
      <c r="L2605" s="63"/>
      <c r="M2605" s="63"/>
      <c r="N2605" s="63"/>
      <c r="O2605" s="63"/>
      <c r="P2605" s="63"/>
      <c r="Q2605" s="63"/>
      <c r="R2605" s="63"/>
      <c r="S2605" s="63"/>
      <c r="T2605" s="63"/>
      <c r="U2605" s="63"/>
      <c r="V2605" s="63"/>
      <c r="W2605" s="63"/>
      <c r="X2605" s="63"/>
      <c r="Y2605" s="63"/>
      <c r="Z2605" s="63"/>
      <c r="AA2605" s="63"/>
      <c r="AB2605" s="63"/>
      <c r="AC2605" s="63"/>
    </row>
    <row r="2606" spans="1:29" x14ac:dyDescent="0.25">
      <c r="A2606" s="108">
        <v>46088</v>
      </c>
      <c r="B2606" s="128">
        <v>194</v>
      </c>
      <c r="C2606" s="49" t="s">
        <v>19</v>
      </c>
      <c r="D2606" s="110" t="str">
        <f>IF(ISBLANK($B2606),"",IFERROR(VLOOKUP($B2606,ESTOQUE!$B$2:$D$97168,3,FALSE),"Produto não cadastrado"))</f>
        <v>VISEIRA ACOPLADA</v>
      </c>
      <c r="E2606" s="99" t="str">
        <f>_xlfn.XLOOKUP(B2606,ESTOQUE!B:B,ESTOQUE!G:G,"",0)</f>
        <v>UND</v>
      </c>
      <c r="F2606" s="99">
        <v>2</v>
      </c>
      <c r="G2606" s="146"/>
      <c r="H2606" s="146"/>
      <c r="I2606" s="147"/>
      <c r="J2606" s="147"/>
      <c r="K2606" s="63"/>
      <c r="L2606" s="63"/>
      <c r="M2606" s="63"/>
      <c r="N2606" s="63"/>
      <c r="O2606" s="63"/>
      <c r="P2606" s="63"/>
      <c r="Q2606" s="63"/>
      <c r="R2606" s="63"/>
      <c r="S2606" s="63"/>
      <c r="T2606" s="63"/>
      <c r="U2606" s="63"/>
      <c r="V2606" s="63"/>
      <c r="W2606" s="63"/>
      <c r="X2606" s="63"/>
      <c r="Y2606" s="63"/>
      <c r="Z2606" s="63"/>
      <c r="AA2606" s="63"/>
      <c r="AB2606" s="63"/>
      <c r="AC2606" s="63"/>
    </row>
    <row r="2607" spans="1:29" x14ac:dyDescent="0.25">
      <c r="A2607" s="108">
        <v>46088</v>
      </c>
      <c r="B2607" s="128">
        <v>47</v>
      </c>
      <c r="C2607" s="49" t="s">
        <v>19</v>
      </c>
      <c r="D2607" s="110" t="str">
        <f>IF(ISBLANK($B2607),"",IFERROR(VLOOKUP($B2607,ESTOQUE!$B$2:$D$97168,3,FALSE),"Produto não cadastrado"))</f>
        <v>CALÇA CINZA OP. C/ FAIXA REFLETIVA TAM: GG</v>
      </c>
      <c r="E2607" s="99" t="str">
        <f>_xlfn.XLOOKUP(B2607,ESTOQUE!B:B,ESTOQUE!G:G,"",0)</f>
        <v>UND</v>
      </c>
      <c r="F2607" s="99">
        <v>3</v>
      </c>
      <c r="G2607" s="146"/>
      <c r="H2607" s="146"/>
      <c r="I2607" s="147"/>
      <c r="J2607" s="147"/>
      <c r="K2607" s="63"/>
      <c r="L2607" s="63"/>
      <c r="M2607" s="63"/>
      <c r="N2607" s="63"/>
      <c r="O2607" s="63"/>
      <c r="P2607" s="63"/>
      <c r="Q2607" s="63"/>
      <c r="R2607" s="63"/>
      <c r="S2607" s="63"/>
      <c r="T2607" s="63"/>
      <c r="U2607" s="63"/>
      <c r="V2607" s="63"/>
      <c r="W2607" s="63"/>
      <c r="X2607" s="63"/>
      <c r="Y2607" s="63"/>
      <c r="Z2607" s="63"/>
      <c r="AA2607" s="63"/>
      <c r="AB2607" s="63"/>
      <c r="AC2607" s="63"/>
    </row>
    <row r="2608" spans="1:29" x14ac:dyDescent="0.25">
      <c r="A2608" s="108">
        <v>46089</v>
      </c>
      <c r="B2608" s="128">
        <v>10</v>
      </c>
      <c r="C2608" s="49" t="s">
        <v>19</v>
      </c>
      <c r="D2608" s="110" t="str">
        <f>IF(ISBLANK($B2608),"",IFERROR(VLOOKUP($B2608,ESTOQUE!$B$2:$D$97168,3,FALSE),"Produto não cadastrado"))</f>
        <v>BOTA PVC CANO LONGO Nº 42</v>
      </c>
      <c r="E2608" s="99" t="str">
        <f>_xlfn.XLOOKUP(B2608,ESTOQUE!B:B,ESTOQUE!G:G,"",0)</f>
        <v>PAR</v>
      </c>
      <c r="F2608" s="99">
        <v>1</v>
      </c>
      <c r="G2608" s="146"/>
      <c r="H2608" s="146"/>
      <c r="I2608" s="147"/>
      <c r="J2608" s="147"/>
      <c r="K2608" s="63"/>
      <c r="L2608" s="63"/>
      <c r="M2608" s="63"/>
      <c r="N2608" s="63"/>
      <c r="O2608" s="63"/>
      <c r="P2608" s="63"/>
      <c r="Q2608" s="63"/>
      <c r="R2608" s="63"/>
      <c r="S2608" s="63"/>
      <c r="T2608" s="63"/>
      <c r="U2608" s="63"/>
      <c r="V2608" s="63"/>
      <c r="W2608" s="63"/>
      <c r="X2608" s="63"/>
      <c r="Y2608" s="63"/>
      <c r="Z2608" s="63"/>
      <c r="AA2608" s="63"/>
      <c r="AB2608" s="63"/>
      <c r="AC2608" s="63"/>
    </row>
    <row r="2609" spans="1:29" x14ac:dyDescent="0.25">
      <c r="A2609" s="108">
        <v>46089</v>
      </c>
      <c r="B2609" s="128">
        <v>39</v>
      </c>
      <c r="C2609" s="49" t="s">
        <v>19</v>
      </c>
      <c r="D2609" s="110" t="str">
        <f>IF(ISBLANK($B2609),"",IFERROR(VLOOKUP($B2609,ESTOQUE!$B$2:$D$97168,3,FALSE),"Produto não cadastrado"))</f>
        <v>BOTINA OP. BICO PVC Nº 41</v>
      </c>
      <c r="E2609" s="99" t="str">
        <f>_xlfn.XLOOKUP(B2609,ESTOQUE!B:B,ESTOQUE!G:G,"",0)</f>
        <v>PAR</v>
      </c>
      <c r="F2609" s="99">
        <v>1</v>
      </c>
      <c r="G2609" s="146"/>
      <c r="H2609" s="146"/>
      <c r="I2609" s="147"/>
      <c r="J2609" s="147"/>
      <c r="K2609" s="63"/>
      <c r="L2609" s="63"/>
      <c r="M2609" s="63"/>
      <c r="N2609" s="63"/>
      <c r="O2609" s="63"/>
      <c r="P2609" s="63"/>
      <c r="Q2609" s="63"/>
      <c r="R2609" s="63"/>
      <c r="S2609" s="63"/>
      <c r="T2609" s="63"/>
      <c r="U2609" s="63"/>
      <c r="V2609" s="63"/>
      <c r="W2609" s="63"/>
      <c r="X2609" s="63"/>
      <c r="Y2609" s="63"/>
      <c r="Z2609" s="63"/>
      <c r="AA2609" s="63"/>
      <c r="AB2609" s="63"/>
      <c r="AC2609" s="63"/>
    </row>
    <row r="2610" spans="1:29" x14ac:dyDescent="0.25">
      <c r="A2610" s="108">
        <v>46089</v>
      </c>
      <c r="B2610" s="128">
        <v>118</v>
      </c>
      <c r="C2610" s="49" t="s">
        <v>19</v>
      </c>
      <c r="D2610" s="110" t="str">
        <f>IF(ISBLANK($B2610),"",IFERROR(VLOOKUP($B2610,ESTOQUE!$B$2:$D$97168,3,FALSE),"Produto não cadastrado"))</f>
        <v>MACACÃO DE PROTEÇÃO TYVEK</v>
      </c>
      <c r="E2610" s="99" t="str">
        <f>_xlfn.XLOOKUP(B2610,ESTOQUE!B:B,ESTOQUE!G:G,"",0)</f>
        <v>UND</v>
      </c>
      <c r="F2610" s="99">
        <v>50</v>
      </c>
      <c r="G2610" s="146"/>
      <c r="H2610" s="146"/>
      <c r="I2610" s="147"/>
      <c r="J2610" s="147"/>
      <c r="K2610" s="63"/>
      <c r="L2610" s="63"/>
      <c r="M2610" s="63"/>
      <c r="N2610" s="63"/>
      <c r="O2610" s="63"/>
      <c r="P2610" s="63"/>
      <c r="Q2610" s="63"/>
      <c r="R2610" s="63"/>
      <c r="S2610" s="63"/>
      <c r="T2610" s="63"/>
      <c r="U2610" s="63"/>
      <c r="V2610" s="63"/>
      <c r="W2610" s="63"/>
      <c r="X2610" s="63"/>
      <c r="Y2610" s="63"/>
      <c r="Z2610" s="63"/>
      <c r="AA2610" s="63"/>
      <c r="AB2610" s="63"/>
      <c r="AC2610" s="63"/>
    </row>
    <row r="2611" spans="1:29" x14ac:dyDescent="0.25">
      <c r="A2611" s="108">
        <v>46089</v>
      </c>
      <c r="B2611" s="128">
        <v>114</v>
      </c>
      <c r="C2611" s="49" t="s">
        <v>19</v>
      </c>
      <c r="D2611" s="110" t="str">
        <f>IF(ISBLANK($B2611),"",IFERROR(VLOOKUP($B2611,ESTOQUE!$B$2:$D$97168,3,FALSE),"Produto não cadastrado"))</f>
        <v xml:space="preserve">LUVA LATEX NITRILICA </v>
      </c>
      <c r="E2611" s="99" t="str">
        <f>_xlfn.XLOOKUP(B2611,ESTOQUE!B:B,ESTOQUE!G:G,"",0)</f>
        <v>PAR</v>
      </c>
      <c r="F2611" s="99">
        <v>4</v>
      </c>
      <c r="G2611" s="146"/>
      <c r="H2611" s="146"/>
      <c r="I2611" s="147"/>
      <c r="J2611" s="147"/>
      <c r="K2611" s="63"/>
      <c r="L2611" s="63"/>
      <c r="M2611" s="63"/>
      <c r="N2611" s="63"/>
      <c r="O2611" s="63"/>
      <c r="P2611" s="63"/>
      <c r="Q2611" s="63"/>
      <c r="R2611" s="63"/>
      <c r="S2611" s="63"/>
      <c r="T2611" s="63"/>
      <c r="U2611" s="63"/>
      <c r="V2611" s="63"/>
      <c r="W2611" s="63"/>
      <c r="X2611" s="63"/>
      <c r="Y2611" s="63"/>
      <c r="Z2611" s="63"/>
      <c r="AA2611" s="63"/>
      <c r="AB2611" s="63"/>
      <c r="AC2611" s="63"/>
    </row>
    <row r="2612" spans="1:29" x14ac:dyDescent="0.25">
      <c r="A2612" s="108">
        <v>46091</v>
      </c>
      <c r="B2612" s="128">
        <v>117</v>
      </c>
      <c r="C2612" s="49" t="s">
        <v>19</v>
      </c>
      <c r="D2612" s="110" t="str">
        <f>IF(ISBLANK($B2612),"",IFERROR(VLOOKUP($B2612,ESTOQUE!$B$2:$D$97168,3,FALSE),"Produto não cadastrado"))</f>
        <v>LUVA PIGMENTADA</v>
      </c>
      <c r="E2612" s="99" t="str">
        <f>_xlfn.XLOOKUP(B2612,ESTOQUE!B:B,ESTOQUE!G:G,"",0)</f>
        <v>PAR</v>
      </c>
      <c r="F2612" s="99">
        <v>28</v>
      </c>
      <c r="G2612" s="146"/>
      <c r="H2612" s="146"/>
      <c r="I2612" s="147"/>
      <c r="J2612" s="147"/>
      <c r="K2612" s="63"/>
      <c r="L2612" s="63"/>
      <c r="M2612" s="63"/>
      <c r="N2612" s="63"/>
      <c r="O2612" s="63"/>
      <c r="P2612" s="63"/>
      <c r="Q2612" s="63"/>
      <c r="R2612" s="63"/>
      <c r="S2612" s="63"/>
      <c r="T2612" s="63"/>
      <c r="U2612" s="63"/>
      <c r="V2612" s="63"/>
      <c r="W2612" s="63"/>
      <c r="X2612" s="63"/>
      <c r="Y2612" s="63"/>
      <c r="Z2612" s="63"/>
      <c r="AA2612" s="63"/>
      <c r="AB2612" s="63"/>
      <c r="AC2612" s="63"/>
    </row>
    <row r="2613" spans="1:29" x14ac:dyDescent="0.25">
      <c r="A2613" s="108">
        <v>46091</v>
      </c>
      <c r="B2613" s="128">
        <v>114</v>
      </c>
      <c r="C2613" s="49" t="s">
        <v>19</v>
      </c>
      <c r="D2613" s="110" t="str">
        <f>IF(ISBLANK($B2613),"",IFERROR(VLOOKUP($B2613,ESTOQUE!$B$2:$D$97168,3,FALSE),"Produto não cadastrado"))</f>
        <v xml:space="preserve">LUVA LATEX NITRILICA </v>
      </c>
      <c r="E2613" s="99" t="str">
        <f>_xlfn.XLOOKUP(B2613,ESTOQUE!B:B,ESTOQUE!G:G,"",0)</f>
        <v>PAR</v>
      </c>
      <c r="F2613" s="99">
        <v>1</v>
      </c>
      <c r="G2613" s="146"/>
      <c r="H2613" s="146"/>
      <c r="I2613" s="147"/>
      <c r="J2613" s="147"/>
      <c r="K2613" s="63"/>
      <c r="L2613" s="63"/>
      <c r="M2613" s="63"/>
      <c r="N2613" s="63"/>
      <c r="O2613" s="63"/>
      <c r="P2613" s="63"/>
      <c r="Q2613" s="63"/>
      <c r="R2613" s="63"/>
      <c r="S2613" s="63"/>
      <c r="T2613" s="63"/>
      <c r="U2613" s="63"/>
      <c r="V2613" s="63"/>
      <c r="W2613" s="63"/>
      <c r="X2613" s="63"/>
      <c r="Y2613" s="63"/>
      <c r="Z2613" s="63"/>
      <c r="AA2613" s="63"/>
      <c r="AB2613" s="63"/>
      <c r="AC2613" s="63"/>
    </row>
    <row r="2614" spans="1:29" x14ac:dyDescent="0.25">
      <c r="A2614" s="108">
        <v>46091</v>
      </c>
      <c r="B2614" s="128">
        <v>73</v>
      </c>
      <c r="C2614" s="49" t="s">
        <v>19</v>
      </c>
      <c r="D2614" s="110" t="str">
        <f>IF(ISBLANK($B2614),"",IFERROR(VLOOKUP($B2614,ESTOQUE!$B$2:$D$97168,3,FALSE),"Produto não cadastrado"))</f>
        <v>CAPA DE CHUVA GG</v>
      </c>
      <c r="E2614" s="99" t="str">
        <f>_xlfn.XLOOKUP(B2614,ESTOQUE!B:B,ESTOQUE!G:G,"",0)</f>
        <v>UND</v>
      </c>
      <c r="F2614" s="99">
        <v>1</v>
      </c>
      <c r="G2614" s="146"/>
      <c r="H2614" s="146"/>
      <c r="I2614" s="147"/>
      <c r="J2614" s="147"/>
      <c r="K2614" s="63"/>
      <c r="L2614" s="63"/>
      <c r="M2614" s="63"/>
      <c r="N2614" s="63"/>
      <c r="O2614" s="63"/>
      <c r="P2614" s="63"/>
      <c r="Q2614" s="63"/>
      <c r="R2614" s="63"/>
      <c r="S2614" s="63"/>
      <c r="T2614" s="63"/>
      <c r="U2614" s="63"/>
      <c r="V2614" s="63"/>
      <c r="W2614" s="63"/>
      <c r="X2614" s="63"/>
      <c r="Y2614" s="63"/>
      <c r="Z2614" s="63"/>
      <c r="AA2614" s="63"/>
      <c r="AB2614" s="63"/>
      <c r="AC2614" s="63"/>
    </row>
    <row r="2615" spans="1:29" x14ac:dyDescent="0.25">
      <c r="A2615" s="108">
        <v>46091</v>
      </c>
      <c r="B2615" s="128">
        <v>46</v>
      </c>
      <c r="C2615" s="49" t="s">
        <v>19</v>
      </c>
      <c r="D2615" s="110" t="str">
        <f>IF(ISBLANK($B2615),"",IFERROR(VLOOKUP($B2615,ESTOQUE!$B$2:$D$97168,3,FALSE),"Produto não cadastrado"))</f>
        <v>CALÇA CINZA OP. C/ FAIXA REFLETIVA TAM: G</v>
      </c>
      <c r="E2615" s="99" t="str">
        <f>_xlfn.XLOOKUP(B2615,ESTOQUE!B:B,ESTOQUE!G:G,"",0)</f>
        <v>UND</v>
      </c>
      <c r="F2615" s="99">
        <v>1</v>
      </c>
      <c r="G2615" s="146"/>
      <c r="H2615" s="146"/>
      <c r="I2615" s="147"/>
      <c r="J2615" s="147"/>
      <c r="K2615" s="63"/>
      <c r="L2615" s="63"/>
      <c r="M2615" s="63"/>
      <c r="N2615" s="63"/>
      <c r="O2615" s="63"/>
      <c r="P2615" s="63"/>
      <c r="Q2615" s="63"/>
      <c r="R2615" s="63"/>
      <c r="S2615" s="63"/>
      <c r="T2615" s="63"/>
      <c r="U2615" s="63"/>
      <c r="V2615" s="63"/>
      <c r="W2615" s="63"/>
      <c r="X2615" s="63"/>
      <c r="Y2615" s="63"/>
      <c r="Z2615" s="63"/>
      <c r="AA2615" s="63"/>
      <c r="AB2615" s="63"/>
      <c r="AC2615" s="63"/>
    </row>
    <row r="2616" spans="1:29" x14ac:dyDescent="0.25">
      <c r="A2616" s="108">
        <v>46091</v>
      </c>
      <c r="B2616" s="128">
        <v>97</v>
      </c>
      <c r="C2616" s="49" t="s">
        <v>19</v>
      </c>
      <c r="D2616" s="110" t="str">
        <f>IF(ISBLANK($B2616),"",IFERROR(VLOOKUP($B2616,ESTOQUE!$B$2:$D$97168,3,FALSE),"Produto não cadastrado"))</f>
        <v>COLETE REFLETIVO LARANJA M</v>
      </c>
      <c r="E2616" s="99" t="str">
        <f>_xlfn.XLOOKUP(B2616,ESTOQUE!B:B,ESTOQUE!G:G,"",0)</f>
        <v>UND</v>
      </c>
      <c r="F2616" s="99">
        <v>1</v>
      </c>
      <c r="G2616" s="146"/>
      <c r="H2616" s="146"/>
      <c r="I2616" s="147"/>
      <c r="J2616" s="147"/>
      <c r="K2616" s="63"/>
      <c r="L2616" s="63"/>
      <c r="M2616" s="63"/>
      <c r="N2616" s="63"/>
      <c r="O2616" s="63"/>
      <c r="P2616" s="63"/>
      <c r="Q2616" s="63"/>
      <c r="R2616" s="63"/>
      <c r="S2616" s="63"/>
      <c r="T2616" s="63"/>
      <c r="U2616" s="63"/>
      <c r="V2616" s="63"/>
      <c r="W2616" s="63"/>
      <c r="X2616" s="63"/>
      <c r="Y2616" s="63"/>
      <c r="Z2616" s="63"/>
      <c r="AA2616" s="63"/>
      <c r="AB2616" s="63"/>
      <c r="AC2616" s="63"/>
    </row>
    <row r="2617" spans="1:29" x14ac:dyDescent="0.25">
      <c r="A2617" s="108">
        <v>46091</v>
      </c>
      <c r="B2617" s="128">
        <v>185</v>
      </c>
      <c r="C2617" s="49" t="s">
        <v>19</v>
      </c>
      <c r="D2617" s="110" t="str">
        <f>IF(ISBLANK($B2617),"",IFERROR(VLOOKUP($B2617,ESTOQUE!$B$2:$D$97168,3,FALSE),"Produto não cadastrado"))</f>
        <v>CAMISA DE ELETRICISTA NR.10 TAM: G</v>
      </c>
      <c r="E2617" s="99" t="str">
        <f>_xlfn.XLOOKUP(B2617,ESTOQUE!B:B,ESTOQUE!G:G,"",0)</f>
        <v>UND</v>
      </c>
      <c r="F2617" s="99">
        <v>1</v>
      </c>
      <c r="G2617" s="146"/>
      <c r="H2617" s="146"/>
      <c r="I2617" s="147"/>
      <c r="J2617" s="147"/>
      <c r="K2617" s="63"/>
      <c r="L2617" s="63"/>
      <c r="M2617" s="63"/>
      <c r="N2617" s="63"/>
      <c r="O2617" s="63"/>
      <c r="P2617" s="63"/>
      <c r="Q2617" s="63"/>
      <c r="R2617" s="63"/>
      <c r="S2617" s="63"/>
      <c r="T2617" s="63"/>
      <c r="U2617" s="63"/>
      <c r="V2617" s="63"/>
      <c r="W2617" s="63"/>
      <c r="X2617" s="63"/>
      <c r="Y2617" s="63"/>
      <c r="Z2617" s="63"/>
      <c r="AA2617" s="63"/>
      <c r="AB2617" s="63"/>
      <c r="AC2617" s="63"/>
    </row>
    <row r="2618" spans="1:29" x14ac:dyDescent="0.25">
      <c r="A2618" s="108">
        <v>46091</v>
      </c>
      <c r="B2618" s="128">
        <v>67</v>
      </c>
      <c r="C2618" s="49" t="s">
        <v>19</v>
      </c>
      <c r="D2618" s="110" t="str">
        <f>IF(ISBLANK($B2618),"",IFERROR(VLOOKUP($B2618,ESTOQUE!$B$2:$D$97168,3,FALSE),"Produto não cadastrado"))</f>
        <v>CAMISA LARANJA OP. C/ FAIXA REFLETIVA TAM: G</v>
      </c>
      <c r="E2618" s="99" t="str">
        <f>_xlfn.XLOOKUP(B2618,ESTOQUE!B:B,ESTOQUE!G:G,"",0)</f>
        <v>UND</v>
      </c>
      <c r="F2618" s="99">
        <v>3</v>
      </c>
      <c r="G2618" s="146"/>
      <c r="H2618" s="146"/>
      <c r="I2618" s="147"/>
      <c r="J2618" s="147"/>
      <c r="K2618" s="63"/>
      <c r="L2618" s="63"/>
      <c r="M2618" s="63"/>
      <c r="N2618" s="63"/>
      <c r="O2618" s="63"/>
      <c r="P2618" s="63"/>
      <c r="Q2618" s="63"/>
      <c r="R2618" s="63"/>
      <c r="S2618" s="63"/>
      <c r="T2618" s="63"/>
      <c r="U2618" s="63"/>
      <c r="V2618" s="63"/>
      <c r="W2618" s="63"/>
      <c r="X2618" s="63"/>
      <c r="Y2618" s="63"/>
      <c r="Z2618" s="63"/>
      <c r="AA2618" s="63"/>
      <c r="AB2618" s="63"/>
      <c r="AC2618" s="63"/>
    </row>
    <row r="2619" spans="1:29" x14ac:dyDescent="0.25">
      <c r="A2619" s="108">
        <v>46091</v>
      </c>
      <c r="B2619" s="128">
        <v>68</v>
      </c>
      <c r="C2619" s="49" t="s">
        <v>19</v>
      </c>
      <c r="D2619" s="110" t="str">
        <f>IF(ISBLANK($B2619),"",IFERROR(VLOOKUP($B2619,ESTOQUE!$B$2:$D$97168,3,FALSE),"Produto não cadastrado"))</f>
        <v>CAMISA LARANJA OP. C/ FAIXA REFLETIVA TAM: GG</v>
      </c>
      <c r="E2619" s="99" t="str">
        <f>_xlfn.XLOOKUP(B2619,ESTOQUE!B:B,ESTOQUE!G:G,"",0)</f>
        <v>UND</v>
      </c>
      <c r="F2619" s="99">
        <v>5</v>
      </c>
      <c r="G2619" s="146"/>
      <c r="H2619" s="146"/>
      <c r="I2619" s="147"/>
      <c r="J2619" s="147"/>
      <c r="K2619" s="63"/>
      <c r="L2619" s="63"/>
      <c r="M2619" s="63"/>
      <c r="N2619" s="63"/>
      <c r="O2619" s="63"/>
      <c r="P2619" s="63"/>
      <c r="Q2619" s="63"/>
      <c r="R2619" s="63"/>
      <c r="S2619" s="63"/>
      <c r="T2619" s="63"/>
      <c r="U2619" s="63"/>
      <c r="V2619" s="63"/>
      <c r="W2619" s="63"/>
      <c r="X2619" s="63"/>
      <c r="Y2619" s="63"/>
      <c r="Z2619" s="63"/>
      <c r="AA2619" s="63"/>
      <c r="AB2619" s="63"/>
      <c r="AC2619" s="63"/>
    </row>
    <row r="2620" spans="1:29" x14ac:dyDescent="0.25">
      <c r="A2620" s="108">
        <v>46091</v>
      </c>
      <c r="B2620" s="128">
        <v>69</v>
      </c>
      <c r="C2620" s="49" t="s">
        <v>19</v>
      </c>
      <c r="D2620" s="110" t="str">
        <f>IF(ISBLANK($B2620),"",IFERROR(VLOOKUP($B2620,ESTOQUE!$B$2:$D$97168,3,FALSE),"Produto não cadastrado"))</f>
        <v>CAMISA LARANJA OP. C/ FAIXA REFLETIVA TAM: M</v>
      </c>
      <c r="E2620" s="99" t="str">
        <f>_xlfn.XLOOKUP(B2620,ESTOQUE!B:B,ESTOQUE!G:G,"",0)</f>
        <v>UND</v>
      </c>
      <c r="F2620" s="99">
        <v>1</v>
      </c>
      <c r="G2620" s="146"/>
      <c r="H2620" s="146"/>
      <c r="I2620" s="147"/>
      <c r="J2620" s="147"/>
      <c r="K2620" s="63"/>
      <c r="L2620" s="63"/>
      <c r="M2620" s="63"/>
      <c r="N2620" s="63"/>
      <c r="O2620" s="63"/>
      <c r="P2620" s="63"/>
      <c r="Q2620" s="63"/>
      <c r="R2620" s="63"/>
      <c r="S2620" s="63"/>
      <c r="T2620" s="63"/>
      <c r="U2620" s="63"/>
      <c r="V2620" s="63"/>
      <c r="W2620" s="63"/>
      <c r="X2620" s="63"/>
      <c r="Y2620" s="63"/>
      <c r="Z2620" s="63"/>
      <c r="AA2620" s="63"/>
      <c r="AB2620" s="63"/>
      <c r="AC2620" s="63"/>
    </row>
    <row r="2621" spans="1:29" x14ac:dyDescent="0.25">
      <c r="A2621" s="108">
        <v>46091</v>
      </c>
      <c r="B2621" s="128">
        <v>70</v>
      </c>
      <c r="C2621" s="49" t="s">
        <v>19</v>
      </c>
      <c r="D2621" s="110" t="str">
        <f>IF(ISBLANK($B2621),"",IFERROR(VLOOKUP($B2621,ESTOQUE!$B$2:$D$97168,3,FALSE),"Produto não cadastrado"))</f>
        <v>CAMISA LARANJA OP. C/ FAIXA REFLETIVA TAM: P</v>
      </c>
      <c r="E2621" s="99" t="str">
        <f>_xlfn.XLOOKUP(B2621,ESTOQUE!B:B,ESTOQUE!G:G,"",0)</f>
        <v>UND</v>
      </c>
      <c r="F2621" s="99">
        <v>0</v>
      </c>
      <c r="G2621" s="146"/>
      <c r="H2621" s="146"/>
      <c r="I2621" s="147"/>
      <c r="J2621" s="147"/>
      <c r="K2621" s="63"/>
      <c r="L2621" s="63"/>
      <c r="M2621" s="63"/>
      <c r="N2621" s="63"/>
      <c r="O2621" s="63"/>
      <c r="P2621" s="63"/>
      <c r="Q2621" s="63"/>
      <c r="R2621" s="63"/>
      <c r="S2621" s="63"/>
      <c r="T2621" s="63"/>
      <c r="U2621" s="63"/>
      <c r="V2621" s="63"/>
      <c r="W2621" s="63"/>
      <c r="X2621" s="63"/>
      <c r="Y2621" s="63"/>
      <c r="Z2621" s="63"/>
      <c r="AA2621" s="63"/>
      <c r="AB2621" s="63"/>
      <c r="AC2621" s="63"/>
    </row>
    <row r="2622" spans="1:29" x14ac:dyDescent="0.25">
      <c r="A2622" s="108">
        <v>46091</v>
      </c>
      <c r="B2622" s="128">
        <v>126</v>
      </c>
      <c r="C2622" s="49" t="s">
        <v>19</v>
      </c>
      <c r="D2622" s="110" t="str">
        <f>IF(ISBLANK($B2622),"",IFERROR(VLOOKUP($B2622,ESTOQUE!$B$2:$D$97168,3,FALSE),"Produto não cadastrado"))</f>
        <v>OCULOS DE PROTEÇÃO ESCURO</v>
      </c>
      <c r="E2622" s="99" t="str">
        <f>_xlfn.XLOOKUP(B2622,ESTOQUE!B:B,ESTOQUE!G:G,"",0)</f>
        <v>UND</v>
      </c>
      <c r="F2622" s="99">
        <v>1</v>
      </c>
      <c r="G2622" s="146"/>
      <c r="H2622" s="146"/>
      <c r="I2622" s="147"/>
      <c r="J2622" s="147"/>
      <c r="K2622" s="63"/>
      <c r="L2622" s="63"/>
      <c r="M2622" s="63"/>
      <c r="N2622" s="63"/>
      <c r="O2622" s="63"/>
      <c r="P2622" s="63"/>
      <c r="Q2622" s="63"/>
      <c r="R2622" s="63"/>
      <c r="S2622" s="63"/>
      <c r="T2622" s="63"/>
      <c r="U2622" s="63"/>
      <c r="V2622" s="63"/>
      <c r="W2622" s="63"/>
      <c r="X2622" s="63"/>
      <c r="Y2622" s="63"/>
      <c r="Z2622" s="63"/>
      <c r="AA2622" s="63"/>
      <c r="AB2622" s="63"/>
      <c r="AC2622" s="63"/>
    </row>
    <row r="2623" spans="1:29" x14ac:dyDescent="0.25">
      <c r="A2623" s="108">
        <v>46091</v>
      </c>
      <c r="B2623" s="128">
        <v>67</v>
      </c>
      <c r="C2623" s="49" t="s">
        <v>19</v>
      </c>
      <c r="D2623" s="110" t="str">
        <f>IF(ISBLANK($B2623),"",IFERROR(VLOOKUP($B2623,ESTOQUE!$B$2:$D$97168,3,FALSE),"Produto não cadastrado"))</f>
        <v>CAMISA LARANJA OP. C/ FAIXA REFLETIVA TAM: G</v>
      </c>
      <c r="E2623" s="99" t="str">
        <f>_xlfn.XLOOKUP(B2623,ESTOQUE!B:B,ESTOQUE!G:G,"",0)</f>
        <v>UND</v>
      </c>
      <c r="F2623" s="99">
        <v>5</v>
      </c>
      <c r="G2623" s="146"/>
      <c r="H2623" s="146"/>
      <c r="I2623" s="147"/>
      <c r="J2623" s="147"/>
      <c r="K2623" s="63"/>
      <c r="L2623" s="63"/>
      <c r="M2623" s="63"/>
      <c r="N2623" s="63"/>
      <c r="O2623" s="63"/>
      <c r="P2623" s="63"/>
      <c r="Q2623" s="63"/>
      <c r="R2623" s="63"/>
      <c r="S2623" s="63"/>
      <c r="T2623" s="63"/>
      <c r="U2623" s="63"/>
      <c r="V2623" s="63"/>
      <c r="W2623" s="63"/>
      <c r="X2623" s="63"/>
      <c r="Y2623" s="63"/>
      <c r="Z2623" s="63"/>
      <c r="AA2623" s="63"/>
      <c r="AB2623" s="63"/>
      <c r="AC2623" s="63"/>
    </row>
    <row r="2624" spans="1:29" x14ac:dyDescent="0.25">
      <c r="A2624" s="108">
        <v>46091</v>
      </c>
      <c r="B2624" s="128">
        <v>124</v>
      </c>
      <c r="C2624" s="49" t="s">
        <v>19</v>
      </c>
      <c r="D2624" s="110" t="str">
        <f>IF(ISBLANK($B2624),"",IFERROR(VLOOKUP($B2624,ESTOQUE!$B$2:$D$97168,3,FALSE),"Produto não cadastrado"))</f>
        <v xml:space="preserve">OCULOS DE PROTEÇÃO INCOLOR </v>
      </c>
      <c r="E2624" s="99" t="str">
        <f>_xlfn.XLOOKUP(B2624,ESTOQUE!B:B,ESTOQUE!G:G,"",0)</f>
        <v>UND</v>
      </c>
      <c r="F2624" s="99">
        <v>20</v>
      </c>
      <c r="G2624" s="146"/>
      <c r="H2624" s="146"/>
      <c r="I2624" s="147"/>
      <c r="J2624" s="147"/>
      <c r="K2624" s="63"/>
      <c r="L2624" s="63"/>
      <c r="M2624" s="63"/>
      <c r="N2624" s="63"/>
      <c r="O2624" s="63"/>
      <c r="P2624" s="63"/>
      <c r="Q2624" s="63"/>
      <c r="R2624" s="63"/>
      <c r="S2624" s="63"/>
      <c r="T2624" s="63"/>
      <c r="U2624" s="63"/>
      <c r="V2624" s="63"/>
      <c r="W2624" s="63"/>
      <c r="X2624" s="63"/>
      <c r="Y2624" s="63"/>
      <c r="Z2624" s="63"/>
      <c r="AA2624" s="63"/>
      <c r="AB2624" s="63"/>
      <c r="AC2624" s="63"/>
    </row>
    <row r="2625" spans="1:29" x14ac:dyDescent="0.25">
      <c r="A2625" s="108">
        <v>46091</v>
      </c>
      <c r="B2625" s="128">
        <v>116</v>
      </c>
      <c r="C2625" s="49" t="s">
        <v>19</v>
      </c>
      <c r="D2625" s="110" t="str">
        <f>IF(ISBLANK($B2625),"",IFERROR(VLOOKUP($B2625,ESTOQUE!$B$2:$D$97168,3,FALSE),"Produto não cadastrado"))</f>
        <v>LUVA PVC LINEA - CANO LONGO</v>
      </c>
      <c r="E2625" s="99" t="str">
        <f>_xlfn.XLOOKUP(B2625,ESTOQUE!B:B,ESTOQUE!G:G,"",0)</f>
        <v>PAR</v>
      </c>
      <c r="F2625" s="99">
        <v>24</v>
      </c>
      <c r="G2625" s="146"/>
      <c r="H2625" s="146"/>
      <c r="I2625" s="147"/>
      <c r="J2625" s="147"/>
      <c r="K2625" s="63"/>
      <c r="L2625" s="63"/>
      <c r="M2625" s="63"/>
      <c r="N2625" s="63"/>
      <c r="O2625" s="63"/>
      <c r="P2625" s="63"/>
      <c r="Q2625" s="63"/>
      <c r="R2625" s="63"/>
      <c r="S2625" s="63"/>
      <c r="T2625" s="63"/>
      <c r="U2625" s="63"/>
      <c r="V2625" s="63"/>
      <c r="W2625" s="63"/>
      <c r="X2625" s="63"/>
      <c r="Y2625" s="63"/>
      <c r="Z2625" s="63"/>
      <c r="AA2625" s="63"/>
      <c r="AB2625" s="63"/>
      <c r="AC2625" s="63"/>
    </row>
    <row r="2626" spans="1:29" x14ac:dyDescent="0.25">
      <c r="A2626" s="108">
        <v>46091</v>
      </c>
      <c r="B2626" s="128">
        <v>49</v>
      </c>
      <c r="C2626" s="49" t="s">
        <v>19</v>
      </c>
      <c r="D2626" s="110" t="str">
        <f>IF(ISBLANK($B2626),"",IFERROR(VLOOKUP($B2626,ESTOQUE!$B$2:$D$97168,3,FALSE),"Produto não cadastrado"))</f>
        <v>CALÇA CINZA OP. C/ FAIXA REFLETIVA TAM: P</v>
      </c>
      <c r="E2626" s="99" t="str">
        <f>_xlfn.XLOOKUP(B2626,ESTOQUE!B:B,ESTOQUE!G:G,"",0)</f>
        <v>UND</v>
      </c>
      <c r="F2626" s="99">
        <v>0</v>
      </c>
      <c r="G2626" s="146"/>
      <c r="H2626" s="146"/>
      <c r="I2626" s="147"/>
      <c r="J2626" s="147"/>
      <c r="K2626" s="63"/>
      <c r="L2626" s="63"/>
      <c r="M2626" s="63"/>
      <c r="N2626" s="63"/>
      <c r="O2626" s="63"/>
      <c r="P2626" s="63"/>
      <c r="Q2626" s="63"/>
      <c r="R2626" s="63"/>
      <c r="S2626" s="63"/>
      <c r="T2626" s="63"/>
      <c r="U2626" s="63"/>
      <c r="V2626" s="63"/>
      <c r="W2626" s="63"/>
      <c r="X2626" s="63"/>
      <c r="Y2626" s="63"/>
      <c r="Z2626" s="63"/>
      <c r="AA2626" s="63"/>
      <c r="AB2626" s="63"/>
      <c r="AC2626" s="63"/>
    </row>
    <row r="2627" spans="1:29" x14ac:dyDescent="0.25">
      <c r="A2627" s="108">
        <v>46091</v>
      </c>
      <c r="B2627" s="128">
        <v>262</v>
      </c>
      <c r="C2627" s="49" t="s">
        <v>19</v>
      </c>
      <c r="D2627" s="110" t="str">
        <f>IF(ISBLANK($B2627),"",IFERROR(VLOOKUP($B2627,ESTOQUE!$B$2:$D$97168,3,FALSE),"Produto não cadastrado"))</f>
        <v xml:space="preserve">LUVA DE RASPA MISTA </v>
      </c>
      <c r="E2627" s="99" t="str">
        <f>_xlfn.XLOOKUP(B2627,ESTOQUE!B:B,ESTOQUE!G:G,"",0)</f>
        <v>PAR</v>
      </c>
      <c r="F2627" s="99">
        <v>2</v>
      </c>
      <c r="G2627" s="146"/>
      <c r="H2627" s="146"/>
      <c r="I2627" s="147"/>
      <c r="J2627" s="147"/>
      <c r="K2627" s="63"/>
      <c r="L2627" s="63"/>
      <c r="M2627" s="63"/>
      <c r="N2627" s="63"/>
      <c r="O2627" s="63"/>
      <c r="P2627" s="63"/>
      <c r="Q2627" s="63"/>
      <c r="R2627" s="63"/>
      <c r="S2627" s="63"/>
      <c r="T2627" s="63"/>
      <c r="U2627" s="63"/>
      <c r="V2627" s="63"/>
      <c r="W2627" s="63"/>
      <c r="X2627" s="63"/>
      <c r="Y2627" s="63"/>
      <c r="Z2627" s="63"/>
      <c r="AA2627" s="63"/>
      <c r="AB2627" s="63"/>
      <c r="AC2627" s="63"/>
    </row>
    <row r="2628" spans="1:29" x14ac:dyDescent="0.25">
      <c r="A2628" s="108">
        <v>46091</v>
      </c>
      <c r="B2628" s="128">
        <v>47</v>
      </c>
      <c r="C2628" s="49" t="s">
        <v>19</v>
      </c>
      <c r="D2628" s="110" t="str">
        <f>IF(ISBLANK($B2628),"",IFERROR(VLOOKUP($B2628,ESTOQUE!$B$2:$D$97168,3,FALSE),"Produto não cadastrado"))</f>
        <v>CALÇA CINZA OP. C/ FAIXA REFLETIVA TAM: GG</v>
      </c>
      <c r="E2628" s="99" t="str">
        <f>_xlfn.XLOOKUP(B2628,ESTOQUE!B:B,ESTOQUE!G:G,"",0)</f>
        <v>UND</v>
      </c>
      <c r="F2628" s="99">
        <v>1</v>
      </c>
      <c r="G2628" s="146"/>
      <c r="H2628" s="146"/>
      <c r="I2628" s="147"/>
      <c r="J2628" s="147"/>
      <c r="K2628" s="63"/>
      <c r="L2628" s="63"/>
      <c r="M2628" s="63"/>
      <c r="N2628" s="63"/>
      <c r="O2628" s="63"/>
      <c r="P2628" s="63"/>
      <c r="Q2628" s="63"/>
      <c r="R2628" s="63"/>
      <c r="S2628" s="63"/>
      <c r="T2628" s="63"/>
      <c r="U2628" s="63"/>
      <c r="V2628" s="63"/>
      <c r="W2628" s="63"/>
      <c r="X2628" s="63"/>
      <c r="Y2628" s="63"/>
      <c r="Z2628" s="63"/>
      <c r="AA2628" s="63"/>
      <c r="AB2628" s="63"/>
      <c r="AC2628" s="63"/>
    </row>
    <row r="2629" spans="1:29" x14ac:dyDescent="0.25">
      <c r="A2629" s="108">
        <v>46091</v>
      </c>
      <c r="B2629" s="128">
        <v>70</v>
      </c>
      <c r="C2629" s="49" t="s">
        <v>19</v>
      </c>
      <c r="D2629" s="110" t="str">
        <f>IF(ISBLANK($B2629),"",IFERROR(VLOOKUP($B2629,ESTOQUE!$B$2:$D$97168,3,FALSE),"Produto não cadastrado"))</f>
        <v>CAMISA LARANJA OP. C/ FAIXA REFLETIVA TAM: P</v>
      </c>
      <c r="E2629" s="99" t="str">
        <f>_xlfn.XLOOKUP(B2629,ESTOQUE!B:B,ESTOQUE!G:G,"",0)</f>
        <v>UND</v>
      </c>
      <c r="F2629" s="99">
        <v>1</v>
      </c>
      <c r="G2629" s="146"/>
      <c r="H2629" s="146"/>
      <c r="I2629" s="147"/>
      <c r="J2629" s="147"/>
      <c r="K2629" s="63"/>
      <c r="L2629" s="63"/>
      <c r="M2629" s="63"/>
      <c r="N2629" s="63"/>
      <c r="O2629" s="63"/>
      <c r="P2629" s="63"/>
      <c r="Q2629" s="63"/>
      <c r="R2629" s="63"/>
      <c r="S2629" s="63"/>
      <c r="T2629" s="63"/>
      <c r="U2629" s="63"/>
      <c r="V2629" s="63"/>
      <c r="W2629" s="63"/>
      <c r="X2629" s="63"/>
      <c r="Y2629" s="63"/>
      <c r="Z2629" s="63"/>
      <c r="AA2629" s="63"/>
      <c r="AB2629" s="63"/>
      <c r="AC2629" s="63"/>
    </row>
    <row r="2630" spans="1:29" x14ac:dyDescent="0.25">
      <c r="A2630" s="108">
        <v>46091</v>
      </c>
      <c r="B2630" s="128">
        <v>118</v>
      </c>
      <c r="C2630" s="49" t="s">
        <v>19</v>
      </c>
      <c r="D2630" s="110" t="str">
        <f>IF(ISBLANK($B2630),"",IFERROR(VLOOKUP($B2630,ESTOQUE!$B$2:$D$97168,3,FALSE),"Produto não cadastrado"))</f>
        <v>MACACÃO DE PROTEÇÃO TYVEK</v>
      </c>
      <c r="E2630" s="99" t="str">
        <f>_xlfn.XLOOKUP(B2630,ESTOQUE!B:B,ESTOQUE!G:G,"",0)</f>
        <v>UND</v>
      </c>
      <c r="F2630" s="99">
        <v>50</v>
      </c>
      <c r="G2630" s="146"/>
      <c r="H2630" s="146"/>
      <c r="I2630" s="147"/>
      <c r="J2630" s="147"/>
      <c r="K2630" s="63"/>
      <c r="L2630" s="63"/>
      <c r="M2630" s="63"/>
      <c r="N2630" s="63"/>
      <c r="O2630" s="63"/>
      <c r="P2630" s="63"/>
      <c r="Q2630" s="63"/>
      <c r="R2630" s="63"/>
      <c r="S2630" s="63"/>
      <c r="T2630" s="63"/>
      <c r="U2630" s="63"/>
      <c r="V2630" s="63"/>
      <c r="W2630" s="63"/>
      <c r="X2630" s="63"/>
      <c r="Y2630" s="63"/>
      <c r="Z2630" s="63"/>
      <c r="AA2630" s="63"/>
      <c r="AB2630" s="63"/>
      <c r="AC2630" s="63"/>
    </row>
    <row r="2631" spans="1:29" x14ac:dyDescent="0.25">
      <c r="A2631" s="108">
        <v>46092</v>
      </c>
      <c r="B2631" s="128">
        <v>10</v>
      </c>
      <c r="C2631" s="49" t="s">
        <v>19</v>
      </c>
      <c r="D2631" s="110" t="str">
        <f>IF(ISBLANK($B2631),"",IFERROR(VLOOKUP($B2631,ESTOQUE!$B$2:$D$97168,3,FALSE),"Produto não cadastrado"))</f>
        <v>BOTA PVC CANO LONGO Nº 42</v>
      </c>
      <c r="E2631" s="99" t="str">
        <f>_xlfn.XLOOKUP(B2631,ESTOQUE!B:B,ESTOQUE!G:G,"",0)</f>
        <v>PAR</v>
      </c>
      <c r="F2631" s="99">
        <v>1</v>
      </c>
      <c r="G2631" s="146"/>
      <c r="H2631" s="146"/>
      <c r="I2631" s="147"/>
      <c r="J2631" s="147"/>
      <c r="K2631" s="63"/>
      <c r="L2631" s="63"/>
      <c r="M2631" s="63"/>
      <c r="N2631" s="63"/>
      <c r="O2631" s="63"/>
      <c r="P2631" s="63"/>
      <c r="Q2631" s="63"/>
      <c r="R2631" s="63"/>
      <c r="S2631" s="63"/>
      <c r="T2631" s="63"/>
      <c r="U2631" s="63"/>
      <c r="V2631" s="63"/>
      <c r="W2631" s="63"/>
      <c r="X2631" s="63"/>
      <c r="Y2631" s="63"/>
      <c r="Z2631" s="63"/>
      <c r="AA2631" s="63"/>
      <c r="AB2631" s="63"/>
      <c r="AC2631" s="63"/>
    </row>
    <row r="2632" spans="1:29" x14ac:dyDescent="0.25">
      <c r="A2632" s="108">
        <v>46092</v>
      </c>
      <c r="B2632" s="128">
        <v>126</v>
      </c>
      <c r="C2632" s="49" t="s">
        <v>19</v>
      </c>
      <c r="D2632" s="110" t="str">
        <f>IF(ISBLANK($B2632),"",IFERROR(VLOOKUP($B2632,ESTOQUE!$B$2:$D$97168,3,FALSE),"Produto não cadastrado"))</f>
        <v>OCULOS DE PROTEÇÃO ESCURO</v>
      </c>
      <c r="E2632" s="99" t="str">
        <f>_xlfn.XLOOKUP(B2632,ESTOQUE!B:B,ESTOQUE!G:G,"",0)</f>
        <v>UND</v>
      </c>
      <c r="F2632" s="99">
        <v>3</v>
      </c>
      <c r="G2632" s="146"/>
      <c r="H2632" s="146"/>
      <c r="I2632" s="147"/>
      <c r="J2632" s="147"/>
      <c r="K2632" s="63"/>
      <c r="L2632" s="63"/>
      <c r="M2632" s="63"/>
      <c r="N2632" s="63"/>
      <c r="O2632" s="63"/>
      <c r="P2632" s="63"/>
      <c r="Q2632" s="63"/>
      <c r="R2632" s="63"/>
      <c r="S2632" s="63"/>
      <c r="T2632" s="63"/>
      <c r="U2632" s="63"/>
      <c r="V2632" s="63"/>
      <c r="W2632" s="63"/>
      <c r="X2632" s="63"/>
      <c r="Y2632" s="63"/>
      <c r="Z2632" s="63"/>
      <c r="AA2632" s="63"/>
      <c r="AB2632" s="63"/>
      <c r="AC2632" s="63"/>
    </row>
    <row r="2633" spans="1:29" x14ac:dyDescent="0.25">
      <c r="A2633" s="108">
        <v>46092</v>
      </c>
      <c r="B2633" s="128">
        <v>141</v>
      </c>
      <c r="C2633" s="49" t="s">
        <v>19</v>
      </c>
      <c r="D2633" s="110" t="str">
        <f>IF(ISBLANK($B2633),"",IFERROR(VLOOKUP($B2633,ESTOQUE!$B$2:$D$97168,3,FALSE),"Produto não cadastrado"))</f>
        <v xml:space="preserve">LUVA DE VAQUETA </v>
      </c>
      <c r="E2633" s="99" t="str">
        <f>_xlfn.XLOOKUP(B2633,ESTOQUE!B:B,ESTOQUE!G:G,"",0)</f>
        <v>PAR</v>
      </c>
      <c r="F2633" s="99">
        <v>1</v>
      </c>
      <c r="G2633" s="146"/>
      <c r="H2633" s="146"/>
      <c r="I2633" s="147"/>
      <c r="J2633" s="147"/>
      <c r="K2633" s="63"/>
      <c r="L2633" s="63"/>
      <c r="M2633" s="63"/>
      <c r="N2633" s="63"/>
      <c r="O2633" s="63"/>
      <c r="P2633" s="63"/>
      <c r="Q2633" s="63"/>
      <c r="R2633" s="63"/>
      <c r="S2633" s="63"/>
      <c r="T2633" s="63"/>
      <c r="U2633" s="63"/>
      <c r="V2633" s="63"/>
      <c r="W2633" s="63"/>
      <c r="X2633" s="63"/>
      <c r="Y2633" s="63"/>
      <c r="Z2633" s="63"/>
      <c r="AA2633" s="63"/>
      <c r="AB2633" s="63"/>
      <c r="AC2633" s="63"/>
    </row>
    <row r="2634" spans="1:29" x14ac:dyDescent="0.25">
      <c r="A2634" s="108">
        <v>46092</v>
      </c>
      <c r="B2634" s="128">
        <v>117</v>
      </c>
      <c r="C2634" s="49" t="s">
        <v>19</v>
      </c>
      <c r="D2634" s="110" t="str">
        <f>IF(ISBLANK($B2634),"",IFERROR(VLOOKUP($B2634,ESTOQUE!$B$2:$D$97168,3,FALSE),"Produto não cadastrado"))</f>
        <v>LUVA PIGMENTADA</v>
      </c>
      <c r="E2634" s="99" t="str">
        <f>_xlfn.XLOOKUP(B2634,ESTOQUE!B:B,ESTOQUE!G:G,"",0)</f>
        <v>PAR</v>
      </c>
      <c r="F2634" s="99">
        <v>3</v>
      </c>
      <c r="G2634" s="146"/>
      <c r="H2634" s="146"/>
      <c r="I2634" s="147"/>
      <c r="J2634" s="147"/>
      <c r="K2634" s="63"/>
      <c r="L2634" s="63"/>
      <c r="M2634" s="63"/>
      <c r="N2634" s="63"/>
      <c r="O2634" s="63"/>
      <c r="P2634" s="63"/>
      <c r="Q2634" s="63"/>
      <c r="R2634" s="63"/>
      <c r="S2634" s="63"/>
      <c r="T2634" s="63"/>
      <c r="U2634" s="63"/>
      <c r="V2634" s="63"/>
      <c r="W2634" s="63"/>
      <c r="X2634" s="63"/>
      <c r="Y2634" s="63"/>
      <c r="Z2634" s="63"/>
      <c r="AA2634" s="63"/>
      <c r="AB2634" s="63"/>
      <c r="AC2634" s="63"/>
    </row>
    <row r="2635" spans="1:29" x14ac:dyDescent="0.25">
      <c r="A2635" s="108">
        <v>46092</v>
      </c>
      <c r="B2635" s="128">
        <v>40</v>
      </c>
      <c r="C2635" s="49" t="s">
        <v>19</v>
      </c>
      <c r="D2635" s="110" t="str">
        <f>IF(ISBLANK($B2635),"",IFERROR(VLOOKUP($B2635,ESTOQUE!$B$2:$D$97168,3,FALSE),"Produto não cadastrado"))</f>
        <v>BOTINA OP. BICO PVC Nº 42</v>
      </c>
      <c r="E2635" s="99" t="str">
        <f>_xlfn.XLOOKUP(B2635,ESTOQUE!B:B,ESTOQUE!G:G,"",0)</f>
        <v>PAR</v>
      </c>
      <c r="F2635" s="99">
        <v>1</v>
      </c>
      <c r="G2635" s="146"/>
      <c r="H2635" s="146"/>
      <c r="I2635" s="147"/>
      <c r="J2635" s="147"/>
      <c r="K2635" s="63"/>
      <c r="L2635" s="63"/>
      <c r="M2635" s="63"/>
      <c r="N2635" s="63"/>
      <c r="O2635" s="63"/>
      <c r="P2635" s="63"/>
      <c r="Q2635" s="63"/>
      <c r="R2635" s="63"/>
      <c r="S2635" s="63"/>
      <c r="T2635" s="63"/>
      <c r="U2635" s="63"/>
      <c r="V2635" s="63"/>
      <c r="W2635" s="63"/>
      <c r="X2635" s="63"/>
      <c r="Y2635" s="63"/>
      <c r="Z2635" s="63"/>
      <c r="AA2635" s="63"/>
      <c r="AB2635" s="63"/>
      <c r="AC2635" s="63"/>
    </row>
    <row r="2636" spans="1:29" x14ac:dyDescent="0.25">
      <c r="A2636" s="108">
        <v>46092</v>
      </c>
      <c r="B2636" s="128">
        <v>267</v>
      </c>
      <c r="C2636" s="49" t="s">
        <v>19</v>
      </c>
      <c r="D2636" s="110" t="str">
        <f>IF(ISBLANK($B2636),"",IFERROR(VLOOKUP($B2636,ESTOQUE!$B$2:$D$97168,3,FALSE),"Produto não cadastrado"))</f>
        <v>LUVA POLIESTER ANTICORTE CANO LONGO</v>
      </c>
      <c r="E2636" s="99" t="str">
        <f>_xlfn.XLOOKUP(B2636,ESTOQUE!B:B,ESTOQUE!G:G,"",0)</f>
        <v>UND</v>
      </c>
      <c r="F2636" s="99">
        <v>29</v>
      </c>
      <c r="G2636" s="146"/>
      <c r="H2636" s="146"/>
      <c r="I2636" s="147"/>
      <c r="J2636" s="147"/>
      <c r="K2636" s="63"/>
      <c r="L2636" s="63"/>
      <c r="M2636" s="63"/>
      <c r="N2636" s="63"/>
      <c r="O2636" s="63"/>
      <c r="P2636" s="63"/>
      <c r="Q2636" s="63"/>
      <c r="R2636" s="63"/>
      <c r="S2636" s="63"/>
      <c r="T2636" s="63"/>
      <c r="U2636" s="63"/>
      <c r="V2636" s="63"/>
      <c r="W2636" s="63"/>
      <c r="X2636" s="63"/>
      <c r="Y2636" s="63"/>
      <c r="Z2636" s="63"/>
      <c r="AA2636" s="63"/>
      <c r="AB2636" s="63"/>
      <c r="AC2636" s="63"/>
    </row>
    <row r="2637" spans="1:29" x14ac:dyDescent="0.25">
      <c r="A2637" s="108">
        <v>46092</v>
      </c>
      <c r="B2637" s="128">
        <v>114</v>
      </c>
      <c r="C2637" s="49" t="s">
        <v>19</v>
      </c>
      <c r="D2637" s="110" t="str">
        <f>IF(ISBLANK($B2637),"",IFERROR(VLOOKUP($B2637,ESTOQUE!$B$2:$D$97168,3,FALSE),"Produto não cadastrado"))</f>
        <v xml:space="preserve">LUVA LATEX NITRILICA </v>
      </c>
      <c r="E2637" s="99" t="str">
        <f>_xlfn.XLOOKUP(B2637,ESTOQUE!B:B,ESTOQUE!G:G,"",0)</f>
        <v>PAR</v>
      </c>
      <c r="F2637" s="99">
        <v>26</v>
      </c>
      <c r="G2637" s="146"/>
      <c r="H2637" s="146"/>
      <c r="I2637" s="147"/>
      <c r="J2637" s="147"/>
      <c r="K2637" s="63"/>
      <c r="L2637" s="63"/>
      <c r="M2637" s="63"/>
      <c r="N2637" s="63"/>
      <c r="O2637" s="63"/>
      <c r="P2637" s="63"/>
      <c r="Q2637" s="63"/>
      <c r="R2637" s="63"/>
      <c r="S2637" s="63"/>
      <c r="T2637" s="63"/>
      <c r="U2637" s="63"/>
      <c r="V2637" s="63"/>
      <c r="W2637" s="63"/>
      <c r="X2637" s="63"/>
      <c r="Y2637" s="63"/>
      <c r="Z2637" s="63"/>
      <c r="AA2637" s="63"/>
      <c r="AB2637" s="63"/>
      <c r="AC2637" s="63"/>
    </row>
    <row r="2638" spans="1:29" x14ac:dyDescent="0.25">
      <c r="A2638" s="108">
        <v>46092</v>
      </c>
      <c r="B2638" s="128">
        <v>39</v>
      </c>
      <c r="C2638" s="49" t="s">
        <v>19</v>
      </c>
      <c r="D2638" s="110" t="str">
        <f>IF(ISBLANK($B2638),"",IFERROR(VLOOKUP($B2638,ESTOQUE!$B$2:$D$97168,3,FALSE),"Produto não cadastrado"))</f>
        <v>BOTINA OP. BICO PVC Nº 41</v>
      </c>
      <c r="E2638" s="99" t="str">
        <f>_xlfn.XLOOKUP(B2638,ESTOQUE!B:B,ESTOQUE!G:G,"",0)</f>
        <v>PAR</v>
      </c>
      <c r="F2638" s="99">
        <v>1</v>
      </c>
      <c r="G2638" s="146"/>
      <c r="H2638" s="146"/>
      <c r="I2638" s="147"/>
      <c r="J2638" s="147"/>
      <c r="K2638" s="63"/>
      <c r="L2638" s="63"/>
      <c r="M2638" s="63"/>
      <c r="N2638" s="63"/>
      <c r="O2638" s="63"/>
      <c r="P2638" s="63"/>
      <c r="Q2638" s="63"/>
      <c r="R2638" s="63"/>
      <c r="S2638" s="63"/>
      <c r="T2638" s="63"/>
      <c r="U2638" s="63"/>
      <c r="V2638" s="63"/>
      <c r="W2638" s="63"/>
      <c r="X2638" s="63"/>
      <c r="Y2638" s="63"/>
      <c r="Z2638" s="63"/>
      <c r="AA2638" s="63"/>
      <c r="AB2638" s="63"/>
      <c r="AC2638" s="63"/>
    </row>
    <row r="2639" spans="1:29" x14ac:dyDescent="0.25">
      <c r="A2639" s="108">
        <v>46092</v>
      </c>
      <c r="B2639" s="128">
        <v>47</v>
      </c>
      <c r="C2639" s="49" t="s">
        <v>19</v>
      </c>
      <c r="D2639" s="110" t="str">
        <f>IF(ISBLANK($B2639),"",IFERROR(VLOOKUP($B2639,ESTOQUE!$B$2:$D$97168,3,FALSE),"Produto não cadastrado"))</f>
        <v>CALÇA CINZA OP. C/ FAIXA REFLETIVA TAM: GG</v>
      </c>
      <c r="E2639" s="99" t="str">
        <f>_xlfn.XLOOKUP(B2639,ESTOQUE!B:B,ESTOQUE!G:G,"",0)</f>
        <v>UND</v>
      </c>
      <c r="F2639" s="99">
        <v>4</v>
      </c>
      <c r="G2639" s="146"/>
      <c r="H2639" s="146"/>
      <c r="I2639" s="147"/>
      <c r="J2639" s="147"/>
      <c r="K2639" s="63"/>
      <c r="L2639" s="63"/>
      <c r="M2639" s="63"/>
      <c r="N2639" s="63"/>
      <c r="O2639" s="63"/>
      <c r="P2639" s="63"/>
      <c r="Q2639" s="63"/>
      <c r="R2639" s="63"/>
      <c r="S2639" s="63"/>
      <c r="T2639" s="63"/>
      <c r="U2639" s="63"/>
      <c r="V2639" s="63"/>
      <c r="W2639" s="63"/>
      <c r="X2639" s="63"/>
      <c r="Y2639" s="63"/>
      <c r="Z2639" s="63"/>
      <c r="AA2639" s="63"/>
      <c r="AB2639" s="63"/>
      <c r="AC2639" s="63"/>
    </row>
    <row r="2640" spans="1:29" x14ac:dyDescent="0.25">
      <c r="A2640" s="108">
        <v>46092</v>
      </c>
      <c r="B2640" s="128">
        <v>48</v>
      </c>
      <c r="C2640" s="49" t="s">
        <v>19</v>
      </c>
      <c r="D2640" s="110" t="str">
        <f>IF(ISBLANK($B2640),"",IFERROR(VLOOKUP($B2640,ESTOQUE!$B$2:$D$97168,3,FALSE),"Produto não cadastrado"))</f>
        <v>CALÇA CINZA OP. C/ FAIXA REFLETIVA TAM: M</v>
      </c>
      <c r="E2640" s="99" t="str">
        <f>_xlfn.XLOOKUP(B2640,ESTOQUE!B:B,ESTOQUE!G:G,"",0)</f>
        <v>UND</v>
      </c>
      <c r="F2640" s="99">
        <v>1</v>
      </c>
      <c r="G2640" s="146"/>
      <c r="H2640" s="146"/>
      <c r="I2640" s="147"/>
      <c r="J2640" s="147"/>
      <c r="K2640" s="63"/>
      <c r="L2640" s="63"/>
      <c r="M2640" s="63"/>
      <c r="N2640" s="63"/>
      <c r="O2640" s="63"/>
      <c r="P2640" s="63"/>
      <c r="Q2640" s="63"/>
      <c r="R2640" s="63"/>
      <c r="S2640" s="63"/>
      <c r="T2640" s="63"/>
      <c r="U2640" s="63"/>
      <c r="V2640" s="63"/>
      <c r="W2640" s="63"/>
      <c r="X2640" s="63"/>
      <c r="Y2640" s="63"/>
      <c r="Z2640" s="63"/>
      <c r="AA2640" s="63"/>
      <c r="AB2640" s="63"/>
      <c r="AC2640" s="63"/>
    </row>
    <row r="2641" spans="1:29" x14ac:dyDescent="0.25">
      <c r="A2641" s="108">
        <v>46092</v>
      </c>
      <c r="B2641" s="128">
        <v>46</v>
      </c>
      <c r="C2641" s="49" t="s">
        <v>19</v>
      </c>
      <c r="D2641" s="110" t="str">
        <f>IF(ISBLANK($B2641),"",IFERROR(VLOOKUP($B2641,ESTOQUE!$B$2:$D$97168,3,FALSE),"Produto não cadastrado"))</f>
        <v>CALÇA CINZA OP. C/ FAIXA REFLETIVA TAM: G</v>
      </c>
      <c r="E2641" s="99" t="str">
        <f>_xlfn.XLOOKUP(B2641,ESTOQUE!B:B,ESTOQUE!G:G,"",0)</f>
        <v>UND</v>
      </c>
      <c r="F2641" s="99">
        <v>3</v>
      </c>
      <c r="G2641" s="146"/>
      <c r="H2641" s="146"/>
      <c r="I2641" s="147"/>
      <c r="J2641" s="147"/>
      <c r="K2641" s="63"/>
      <c r="L2641" s="63"/>
      <c r="M2641" s="63"/>
      <c r="N2641" s="63"/>
      <c r="O2641" s="63"/>
      <c r="P2641" s="63"/>
      <c r="Q2641" s="63"/>
      <c r="R2641" s="63"/>
      <c r="S2641" s="63"/>
      <c r="T2641" s="63"/>
      <c r="U2641" s="63"/>
      <c r="V2641" s="63"/>
      <c r="W2641" s="63"/>
      <c r="X2641" s="63"/>
      <c r="Y2641" s="63"/>
      <c r="Z2641" s="63"/>
      <c r="AA2641" s="63"/>
      <c r="AB2641" s="63"/>
      <c r="AC2641" s="63"/>
    </row>
    <row r="2642" spans="1:29" x14ac:dyDescent="0.25">
      <c r="A2642" s="108">
        <v>46092</v>
      </c>
      <c r="B2642" s="128">
        <v>118</v>
      </c>
      <c r="C2642" s="49" t="s">
        <v>19</v>
      </c>
      <c r="D2642" s="110" t="str">
        <f>IF(ISBLANK($B2642),"",IFERROR(VLOOKUP($B2642,ESTOQUE!$B$2:$D$97168,3,FALSE),"Produto não cadastrado"))</f>
        <v>MACACÃO DE PROTEÇÃO TYVEK</v>
      </c>
      <c r="E2642" s="99" t="str">
        <f>_xlfn.XLOOKUP(B2642,ESTOQUE!B:B,ESTOQUE!G:G,"",0)</f>
        <v>UND</v>
      </c>
      <c r="F2642" s="99">
        <v>104</v>
      </c>
      <c r="G2642" s="146"/>
      <c r="H2642" s="146"/>
      <c r="I2642" s="147"/>
      <c r="J2642" s="147"/>
      <c r="K2642" s="63"/>
      <c r="L2642" s="63"/>
      <c r="M2642" s="63"/>
      <c r="N2642" s="63"/>
      <c r="O2642" s="63"/>
      <c r="P2642" s="63"/>
      <c r="Q2642" s="63"/>
      <c r="R2642" s="63"/>
      <c r="S2642" s="63"/>
      <c r="T2642" s="63"/>
      <c r="U2642" s="63"/>
      <c r="V2642" s="63"/>
      <c r="W2642" s="63"/>
      <c r="X2642" s="63"/>
      <c r="Y2642" s="63"/>
      <c r="Z2642" s="63"/>
      <c r="AA2642" s="63"/>
      <c r="AB2642" s="63"/>
      <c r="AC2642" s="63"/>
    </row>
    <row r="2643" spans="1:29" x14ac:dyDescent="0.25">
      <c r="A2643" s="108">
        <v>46092</v>
      </c>
      <c r="B2643" s="128">
        <v>39</v>
      </c>
      <c r="C2643" s="49" t="s">
        <v>19</v>
      </c>
      <c r="D2643" s="110" t="str">
        <f>IF(ISBLANK($B2643),"",IFERROR(VLOOKUP($B2643,ESTOQUE!$B$2:$D$97168,3,FALSE),"Produto não cadastrado"))</f>
        <v>BOTINA OP. BICO PVC Nº 41</v>
      </c>
      <c r="E2643" s="99" t="str">
        <f>_xlfn.XLOOKUP(B2643,ESTOQUE!B:B,ESTOQUE!G:G,"",0)</f>
        <v>PAR</v>
      </c>
      <c r="F2643" s="99">
        <v>1</v>
      </c>
      <c r="G2643" s="146"/>
      <c r="H2643" s="146"/>
      <c r="I2643" s="147"/>
      <c r="J2643" s="147"/>
      <c r="K2643" s="63"/>
      <c r="L2643" s="63"/>
      <c r="M2643" s="63"/>
      <c r="N2643" s="63"/>
      <c r="O2643" s="63"/>
      <c r="P2643" s="63"/>
      <c r="Q2643" s="63"/>
      <c r="R2643" s="63"/>
      <c r="S2643" s="63"/>
      <c r="T2643" s="63"/>
      <c r="U2643" s="63"/>
      <c r="V2643" s="63"/>
      <c r="W2643" s="63"/>
      <c r="X2643" s="63"/>
      <c r="Y2643" s="63"/>
      <c r="Z2643" s="63"/>
      <c r="AA2643" s="63"/>
      <c r="AB2643" s="63"/>
      <c r="AC2643" s="63"/>
    </row>
    <row r="2644" spans="1:29" x14ac:dyDescent="0.25">
      <c r="A2644" s="108">
        <v>46092</v>
      </c>
      <c r="B2644" s="128">
        <v>67</v>
      </c>
      <c r="C2644" s="49" t="s">
        <v>19</v>
      </c>
      <c r="D2644" s="110" t="str">
        <f>IF(ISBLANK($B2644),"",IFERROR(VLOOKUP($B2644,ESTOQUE!$B$2:$D$97168,3,FALSE),"Produto não cadastrado"))</f>
        <v>CAMISA LARANJA OP. C/ FAIXA REFLETIVA TAM: G</v>
      </c>
      <c r="E2644" s="99" t="str">
        <f>_xlfn.XLOOKUP(B2644,ESTOQUE!B:B,ESTOQUE!G:G,"",0)</f>
        <v>UND</v>
      </c>
      <c r="F2644" s="99">
        <v>2</v>
      </c>
      <c r="G2644" s="146"/>
      <c r="H2644" s="146"/>
      <c r="I2644" s="147"/>
      <c r="J2644" s="147"/>
      <c r="K2644" s="63"/>
      <c r="L2644" s="63"/>
      <c r="M2644" s="63"/>
      <c r="N2644" s="63"/>
      <c r="O2644" s="63"/>
      <c r="P2644" s="63"/>
      <c r="Q2644" s="63"/>
      <c r="R2644" s="63"/>
      <c r="S2644" s="63"/>
      <c r="T2644" s="63"/>
      <c r="U2644" s="63"/>
      <c r="V2644" s="63"/>
      <c r="W2644" s="63"/>
      <c r="X2644" s="63"/>
      <c r="Y2644" s="63"/>
      <c r="Z2644" s="63"/>
      <c r="AA2644" s="63"/>
      <c r="AB2644" s="63"/>
      <c r="AC2644" s="63"/>
    </row>
    <row r="2645" spans="1:29" x14ac:dyDescent="0.25">
      <c r="A2645" s="108">
        <v>46092</v>
      </c>
      <c r="B2645" s="128">
        <v>69</v>
      </c>
      <c r="C2645" s="49" t="s">
        <v>19</v>
      </c>
      <c r="D2645" s="110" t="str">
        <f>IF(ISBLANK($B2645),"",IFERROR(VLOOKUP($B2645,ESTOQUE!$B$2:$D$97168,3,FALSE),"Produto não cadastrado"))</f>
        <v>CAMISA LARANJA OP. C/ FAIXA REFLETIVA TAM: M</v>
      </c>
      <c r="E2645" s="99" t="str">
        <f>_xlfn.XLOOKUP(B2645,ESTOQUE!B:B,ESTOQUE!G:G,"",0)</f>
        <v>UND</v>
      </c>
      <c r="F2645" s="99">
        <v>2</v>
      </c>
      <c r="G2645" s="146"/>
      <c r="H2645" s="146"/>
      <c r="I2645" s="147"/>
      <c r="J2645" s="147"/>
      <c r="K2645" s="63"/>
      <c r="L2645" s="63"/>
      <c r="M2645" s="63"/>
      <c r="N2645" s="63"/>
      <c r="O2645" s="63"/>
      <c r="P2645" s="63"/>
      <c r="Q2645" s="63"/>
      <c r="R2645" s="63"/>
      <c r="S2645" s="63"/>
      <c r="T2645" s="63"/>
      <c r="U2645" s="63"/>
      <c r="V2645" s="63"/>
      <c r="W2645" s="63"/>
      <c r="X2645" s="63"/>
      <c r="Y2645" s="63"/>
      <c r="Z2645" s="63"/>
      <c r="AA2645" s="63"/>
      <c r="AB2645" s="63"/>
      <c r="AC2645" s="63"/>
    </row>
    <row r="2646" spans="1:29" x14ac:dyDescent="0.25">
      <c r="A2646" s="108">
        <v>46092</v>
      </c>
      <c r="B2646" s="128">
        <v>70</v>
      </c>
      <c r="C2646" s="49" t="s">
        <v>19</v>
      </c>
      <c r="D2646" s="110" t="str">
        <f>IF(ISBLANK($B2646),"",IFERROR(VLOOKUP($B2646,ESTOQUE!$B$2:$D$97168,3,FALSE),"Produto não cadastrado"))</f>
        <v>CAMISA LARANJA OP. C/ FAIXA REFLETIVA TAM: P</v>
      </c>
      <c r="E2646" s="99" t="str">
        <f>_xlfn.XLOOKUP(B2646,ESTOQUE!B:B,ESTOQUE!G:G,"",0)</f>
        <v>UND</v>
      </c>
      <c r="F2646" s="99">
        <v>4</v>
      </c>
      <c r="G2646" s="146"/>
      <c r="H2646" s="146"/>
      <c r="I2646" s="147"/>
      <c r="J2646" s="147"/>
      <c r="K2646" s="63"/>
      <c r="L2646" s="63"/>
      <c r="M2646" s="63"/>
      <c r="N2646" s="63"/>
      <c r="O2646" s="63"/>
      <c r="P2646" s="63"/>
      <c r="Q2646" s="63"/>
      <c r="R2646" s="63"/>
      <c r="S2646" s="63"/>
      <c r="T2646" s="63"/>
      <c r="U2646" s="63"/>
      <c r="V2646" s="63"/>
      <c r="W2646" s="63"/>
      <c r="X2646" s="63"/>
      <c r="Y2646" s="63"/>
      <c r="Z2646" s="63"/>
      <c r="AA2646" s="63"/>
      <c r="AB2646" s="63"/>
      <c r="AC2646" s="63"/>
    </row>
    <row r="2647" spans="1:29" x14ac:dyDescent="0.25">
      <c r="A2647" s="108">
        <v>46092</v>
      </c>
      <c r="B2647" s="128">
        <v>73</v>
      </c>
      <c r="C2647" s="49" t="s">
        <v>19</v>
      </c>
      <c r="D2647" s="110" t="str">
        <f>IF(ISBLANK($B2647),"",IFERROR(VLOOKUP($B2647,ESTOQUE!$B$2:$D$97168,3,FALSE),"Produto não cadastrado"))</f>
        <v>CAPA DE CHUVA GG</v>
      </c>
      <c r="E2647" s="99" t="str">
        <f>_xlfn.XLOOKUP(B2647,ESTOQUE!B:B,ESTOQUE!G:G,"",0)</f>
        <v>UND</v>
      </c>
      <c r="F2647" s="99">
        <v>1</v>
      </c>
      <c r="G2647" s="146"/>
      <c r="H2647" s="146"/>
      <c r="I2647" s="147"/>
      <c r="J2647" s="147"/>
      <c r="K2647" s="63"/>
      <c r="L2647" s="63"/>
      <c r="M2647" s="63"/>
      <c r="N2647" s="63"/>
      <c r="O2647" s="63"/>
      <c r="P2647" s="63"/>
      <c r="Q2647" s="63"/>
      <c r="R2647" s="63"/>
      <c r="S2647" s="63"/>
      <c r="T2647" s="63"/>
      <c r="U2647" s="63"/>
      <c r="V2647" s="63"/>
      <c r="W2647" s="63"/>
      <c r="X2647" s="63"/>
      <c r="Y2647" s="63"/>
      <c r="Z2647" s="63"/>
      <c r="AA2647" s="63"/>
      <c r="AB2647" s="63"/>
      <c r="AC2647" s="63"/>
    </row>
    <row r="2648" spans="1:29" x14ac:dyDescent="0.25">
      <c r="A2648" s="108">
        <v>46093</v>
      </c>
      <c r="B2648" s="128">
        <v>190</v>
      </c>
      <c r="C2648" s="49" t="s">
        <v>19</v>
      </c>
      <c r="D2648" s="110" t="str">
        <f>IF(ISBLANK($B2648),"",IFERROR(VLOOKUP($B2648,ESTOQUE!$B$2:$D$97168,3,FALSE),"Produto não cadastrado"))</f>
        <v>AVENTAL DE RASPA TAM 120X60</v>
      </c>
      <c r="E2648" s="99" t="str">
        <f>_xlfn.XLOOKUP(B2648,ESTOQUE!B:B,ESTOQUE!G:G,"",0)</f>
        <v>UND</v>
      </c>
      <c r="F2648" s="99">
        <v>1</v>
      </c>
      <c r="G2648" s="146"/>
      <c r="H2648" s="146"/>
      <c r="I2648" s="147"/>
      <c r="J2648" s="147"/>
      <c r="K2648" s="63"/>
      <c r="L2648" s="63"/>
      <c r="M2648" s="63"/>
      <c r="N2648" s="63"/>
      <c r="O2648" s="63"/>
      <c r="P2648" s="63"/>
      <c r="Q2648" s="63"/>
      <c r="R2648" s="63"/>
      <c r="S2648" s="63"/>
      <c r="T2648" s="63"/>
      <c r="U2648" s="63"/>
      <c r="V2648" s="63"/>
      <c r="W2648" s="63"/>
      <c r="X2648" s="63"/>
      <c r="Y2648" s="63"/>
      <c r="Z2648" s="63"/>
      <c r="AA2648" s="63"/>
      <c r="AB2648" s="63"/>
      <c r="AC2648" s="63"/>
    </row>
    <row r="2649" spans="1:29" x14ac:dyDescent="0.25">
      <c r="A2649" s="108">
        <v>46093</v>
      </c>
      <c r="B2649" s="128">
        <v>39</v>
      </c>
      <c r="C2649" s="49" t="s">
        <v>19</v>
      </c>
      <c r="D2649" s="110" t="str">
        <f>IF(ISBLANK($B2649),"",IFERROR(VLOOKUP($B2649,ESTOQUE!$B$2:$D$97168,3,FALSE),"Produto não cadastrado"))</f>
        <v>BOTINA OP. BICO PVC Nº 41</v>
      </c>
      <c r="E2649" s="99" t="str">
        <f>_xlfn.XLOOKUP(B2649,ESTOQUE!B:B,ESTOQUE!G:G,"",0)</f>
        <v>PAR</v>
      </c>
      <c r="F2649" s="99">
        <v>2</v>
      </c>
      <c r="G2649" s="146"/>
      <c r="H2649" s="146"/>
      <c r="I2649" s="147"/>
      <c r="J2649" s="147"/>
      <c r="K2649" s="63"/>
      <c r="L2649" s="63"/>
      <c r="M2649" s="63"/>
      <c r="N2649" s="63"/>
      <c r="O2649" s="63"/>
      <c r="P2649" s="63"/>
      <c r="Q2649" s="63"/>
      <c r="R2649" s="63"/>
      <c r="S2649" s="63"/>
      <c r="T2649" s="63"/>
      <c r="U2649" s="63"/>
      <c r="V2649" s="63"/>
      <c r="W2649" s="63"/>
      <c r="X2649" s="63"/>
      <c r="Y2649" s="63"/>
      <c r="Z2649" s="63"/>
      <c r="AA2649" s="63"/>
      <c r="AB2649" s="63"/>
      <c r="AC2649" s="63"/>
    </row>
    <row r="2650" spans="1:29" x14ac:dyDescent="0.25">
      <c r="A2650" s="108">
        <v>46093</v>
      </c>
      <c r="B2650" s="128">
        <v>46</v>
      </c>
      <c r="C2650" s="49" t="s">
        <v>19</v>
      </c>
      <c r="D2650" s="110" t="str">
        <f>IF(ISBLANK($B2650),"",IFERROR(VLOOKUP($B2650,ESTOQUE!$B$2:$D$97168,3,FALSE),"Produto não cadastrado"))</f>
        <v>CALÇA CINZA OP. C/ FAIXA REFLETIVA TAM: G</v>
      </c>
      <c r="E2650" s="99" t="str">
        <f>_xlfn.XLOOKUP(B2650,ESTOQUE!B:B,ESTOQUE!G:G,"",0)</f>
        <v>UND</v>
      </c>
      <c r="F2650" s="99">
        <v>7</v>
      </c>
      <c r="G2650" s="146"/>
      <c r="H2650" s="146"/>
      <c r="I2650" s="147"/>
      <c r="J2650" s="147"/>
      <c r="K2650" s="63"/>
      <c r="L2650" s="63"/>
      <c r="M2650" s="63"/>
      <c r="N2650" s="63"/>
      <c r="O2650" s="63"/>
      <c r="P2650" s="63"/>
      <c r="Q2650" s="63"/>
      <c r="R2650" s="63"/>
      <c r="S2650" s="63"/>
      <c r="T2650" s="63"/>
      <c r="U2650" s="63"/>
      <c r="V2650" s="63"/>
      <c r="W2650" s="63"/>
      <c r="X2650" s="63"/>
      <c r="Y2650" s="63"/>
      <c r="Z2650" s="63"/>
      <c r="AA2650" s="63"/>
      <c r="AB2650" s="63"/>
      <c r="AC2650" s="63"/>
    </row>
    <row r="2651" spans="1:29" x14ac:dyDescent="0.25">
      <c r="A2651" s="108">
        <v>46093</v>
      </c>
      <c r="B2651" s="128">
        <v>47</v>
      </c>
      <c r="C2651" s="49" t="s">
        <v>19</v>
      </c>
      <c r="D2651" s="110" t="str">
        <f>IF(ISBLANK($B2651),"",IFERROR(VLOOKUP($B2651,ESTOQUE!$B$2:$D$97168,3,FALSE),"Produto não cadastrado"))</f>
        <v>CALÇA CINZA OP. C/ FAIXA REFLETIVA TAM: GG</v>
      </c>
      <c r="E2651" s="99" t="str">
        <f>_xlfn.XLOOKUP(B2651,ESTOQUE!B:B,ESTOQUE!G:G,"",0)</f>
        <v>UND</v>
      </c>
      <c r="F2651" s="99">
        <v>2</v>
      </c>
      <c r="G2651" s="146"/>
      <c r="H2651" s="146"/>
      <c r="I2651" s="147"/>
      <c r="J2651" s="147"/>
      <c r="K2651" s="63"/>
      <c r="L2651" s="63"/>
      <c r="M2651" s="63"/>
      <c r="N2651" s="63"/>
      <c r="O2651" s="63"/>
      <c r="P2651" s="63"/>
      <c r="Q2651" s="63"/>
      <c r="R2651" s="63"/>
      <c r="S2651" s="63"/>
      <c r="T2651" s="63"/>
      <c r="U2651" s="63"/>
      <c r="V2651" s="63"/>
      <c r="W2651" s="63"/>
      <c r="X2651" s="63"/>
      <c r="Y2651" s="63"/>
      <c r="Z2651" s="63"/>
      <c r="AA2651" s="63"/>
      <c r="AB2651" s="63"/>
      <c r="AC2651" s="63"/>
    </row>
    <row r="2652" spans="1:29" x14ac:dyDescent="0.25">
      <c r="A2652" s="108">
        <v>46093</v>
      </c>
      <c r="B2652" s="128">
        <v>48</v>
      </c>
      <c r="C2652" s="49" t="s">
        <v>19</v>
      </c>
      <c r="D2652" s="110" t="str">
        <f>IF(ISBLANK($B2652),"",IFERROR(VLOOKUP($B2652,ESTOQUE!$B$2:$D$97168,3,FALSE),"Produto não cadastrado"))</f>
        <v>CALÇA CINZA OP. C/ FAIXA REFLETIVA TAM: M</v>
      </c>
      <c r="E2652" s="99" t="str">
        <f>_xlfn.XLOOKUP(B2652,ESTOQUE!B:B,ESTOQUE!G:G,"",0)</f>
        <v>UND</v>
      </c>
      <c r="F2652" s="99">
        <v>4</v>
      </c>
      <c r="G2652" s="146"/>
      <c r="H2652" s="146"/>
      <c r="I2652" s="147"/>
      <c r="J2652" s="147"/>
      <c r="K2652" s="63"/>
      <c r="L2652" s="63"/>
      <c r="M2652" s="63"/>
      <c r="N2652" s="63"/>
      <c r="O2652" s="63"/>
      <c r="P2652" s="63"/>
      <c r="Q2652" s="63"/>
      <c r="R2652" s="63"/>
      <c r="S2652" s="63"/>
      <c r="T2652" s="63"/>
      <c r="U2652" s="63"/>
      <c r="V2652" s="63"/>
      <c r="W2652" s="63"/>
      <c r="X2652" s="63"/>
      <c r="Y2652" s="63"/>
      <c r="Z2652" s="63"/>
      <c r="AA2652" s="63"/>
      <c r="AB2652" s="63"/>
      <c r="AC2652" s="63"/>
    </row>
    <row r="2653" spans="1:29" x14ac:dyDescent="0.25">
      <c r="A2653" s="108">
        <v>46093</v>
      </c>
      <c r="B2653" s="128">
        <v>49</v>
      </c>
      <c r="C2653" s="49" t="s">
        <v>19</v>
      </c>
      <c r="D2653" s="110" t="str">
        <f>IF(ISBLANK($B2653),"",IFERROR(VLOOKUP($B2653,ESTOQUE!$B$2:$D$97168,3,FALSE),"Produto não cadastrado"))</f>
        <v>CALÇA CINZA OP. C/ FAIXA REFLETIVA TAM: P</v>
      </c>
      <c r="E2653" s="99" t="str">
        <f>_xlfn.XLOOKUP(B2653,ESTOQUE!B:B,ESTOQUE!G:G,"",0)</f>
        <v>UND</v>
      </c>
      <c r="F2653" s="99">
        <v>3</v>
      </c>
      <c r="G2653" s="146"/>
      <c r="H2653" s="146"/>
      <c r="I2653" s="147"/>
      <c r="J2653" s="147"/>
      <c r="K2653" s="63"/>
      <c r="L2653" s="63"/>
      <c r="M2653" s="63"/>
      <c r="N2653" s="63"/>
      <c r="O2653" s="63"/>
      <c r="P2653" s="63"/>
      <c r="Q2653" s="63"/>
      <c r="R2653" s="63"/>
      <c r="S2653" s="63"/>
      <c r="T2653" s="63"/>
      <c r="U2653" s="63"/>
      <c r="V2653" s="63"/>
      <c r="W2653" s="63"/>
      <c r="X2653" s="63"/>
      <c r="Y2653" s="63"/>
      <c r="Z2653" s="63"/>
      <c r="AA2653" s="63"/>
      <c r="AB2653" s="63"/>
      <c r="AC2653" s="63"/>
    </row>
    <row r="2654" spans="1:29" x14ac:dyDescent="0.25">
      <c r="A2654" s="108">
        <v>46093</v>
      </c>
      <c r="B2654" s="128">
        <v>67</v>
      </c>
      <c r="C2654" s="49" t="s">
        <v>19</v>
      </c>
      <c r="D2654" s="110" t="str">
        <f>IF(ISBLANK($B2654),"",IFERROR(VLOOKUP($B2654,ESTOQUE!$B$2:$D$97168,3,FALSE),"Produto não cadastrado"))</f>
        <v>CAMISA LARANJA OP. C/ FAIXA REFLETIVA TAM: G</v>
      </c>
      <c r="E2654" s="99" t="str">
        <f>_xlfn.XLOOKUP(B2654,ESTOQUE!B:B,ESTOQUE!G:G,"",0)</f>
        <v>UND</v>
      </c>
      <c r="F2654" s="99">
        <v>2</v>
      </c>
      <c r="G2654" s="146"/>
      <c r="H2654" s="146"/>
      <c r="I2654" s="147"/>
      <c r="J2654" s="147"/>
      <c r="K2654" s="63"/>
      <c r="L2654" s="63"/>
      <c r="M2654" s="63"/>
      <c r="N2654" s="63"/>
      <c r="O2654" s="63"/>
      <c r="P2654" s="63"/>
      <c r="Q2654" s="63"/>
      <c r="R2654" s="63"/>
      <c r="S2654" s="63"/>
      <c r="T2654" s="63"/>
      <c r="U2654" s="63"/>
      <c r="V2654" s="63"/>
      <c r="W2654" s="63"/>
      <c r="X2654" s="63"/>
      <c r="Y2654" s="63"/>
      <c r="Z2654" s="63"/>
      <c r="AA2654" s="63"/>
      <c r="AB2654" s="63"/>
      <c r="AC2654" s="63"/>
    </row>
    <row r="2655" spans="1:29" x14ac:dyDescent="0.25">
      <c r="A2655" s="108">
        <v>46093</v>
      </c>
      <c r="B2655" s="128">
        <v>68</v>
      </c>
      <c r="C2655" s="49" t="s">
        <v>19</v>
      </c>
      <c r="D2655" s="110" t="str">
        <f>IF(ISBLANK($B2655),"",IFERROR(VLOOKUP($B2655,ESTOQUE!$B$2:$D$97168,3,FALSE),"Produto não cadastrado"))</f>
        <v>CAMISA LARANJA OP. C/ FAIXA REFLETIVA TAM: GG</v>
      </c>
      <c r="E2655" s="99" t="str">
        <f>_xlfn.XLOOKUP(B2655,ESTOQUE!B:B,ESTOQUE!G:G,"",0)</f>
        <v>UND</v>
      </c>
      <c r="F2655" s="99">
        <v>1</v>
      </c>
      <c r="G2655" s="146"/>
      <c r="H2655" s="146"/>
      <c r="I2655" s="147"/>
      <c r="J2655" s="147"/>
      <c r="K2655" s="63"/>
      <c r="L2655" s="63"/>
      <c r="M2655" s="63"/>
      <c r="N2655" s="63"/>
      <c r="O2655" s="63"/>
      <c r="P2655" s="63"/>
      <c r="Q2655" s="63"/>
      <c r="R2655" s="63"/>
      <c r="S2655" s="63"/>
      <c r="T2655" s="63"/>
      <c r="U2655" s="63"/>
      <c r="V2655" s="63"/>
      <c r="W2655" s="63"/>
      <c r="X2655" s="63"/>
      <c r="Y2655" s="63"/>
      <c r="Z2655" s="63"/>
      <c r="AA2655" s="63"/>
      <c r="AB2655" s="63"/>
      <c r="AC2655" s="63"/>
    </row>
    <row r="2656" spans="1:29" x14ac:dyDescent="0.25">
      <c r="A2656" s="108">
        <v>46093</v>
      </c>
      <c r="B2656" s="128">
        <v>69</v>
      </c>
      <c r="C2656" s="49" t="s">
        <v>19</v>
      </c>
      <c r="D2656" s="110" t="str">
        <f>IF(ISBLANK($B2656),"",IFERROR(VLOOKUP($B2656,ESTOQUE!$B$2:$D$97168,3,FALSE),"Produto não cadastrado"))</f>
        <v>CAMISA LARANJA OP. C/ FAIXA REFLETIVA TAM: M</v>
      </c>
      <c r="E2656" s="99" t="str">
        <f>_xlfn.XLOOKUP(B2656,ESTOQUE!B:B,ESTOQUE!G:G,"",0)</f>
        <v>UND</v>
      </c>
      <c r="F2656" s="99">
        <v>2</v>
      </c>
      <c r="G2656" s="146"/>
      <c r="H2656" s="146"/>
      <c r="I2656" s="147"/>
      <c r="J2656" s="147"/>
      <c r="K2656" s="63"/>
      <c r="L2656" s="63"/>
      <c r="M2656" s="63"/>
      <c r="N2656" s="63"/>
      <c r="O2656" s="63"/>
      <c r="P2656" s="63"/>
      <c r="Q2656" s="63"/>
      <c r="R2656" s="63"/>
      <c r="S2656" s="63"/>
      <c r="T2656" s="63"/>
      <c r="U2656" s="63"/>
      <c r="V2656" s="63"/>
      <c r="W2656" s="63"/>
      <c r="X2656" s="63"/>
      <c r="Y2656" s="63"/>
      <c r="Z2656" s="63"/>
      <c r="AA2656" s="63"/>
      <c r="AB2656" s="63"/>
      <c r="AC2656" s="63"/>
    </row>
    <row r="2657" spans="1:29" x14ac:dyDescent="0.25">
      <c r="A2657" s="108">
        <v>46093</v>
      </c>
      <c r="B2657" s="128">
        <v>70</v>
      </c>
      <c r="C2657" s="49" t="s">
        <v>19</v>
      </c>
      <c r="D2657" s="110" t="str">
        <f>IF(ISBLANK($B2657),"",IFERROR(VLOOKUP($B2657,ESTOQUE!$B$2:$D$97168,3,FALSE),"Produto não cadastrado"))</f>
        <v>CAMISA LARANJA OP. C/ FAIXA REFLETIVA TAM: P</v>
      </c>
      <c r="E2657" s="99" t="str">
        <f>_xlfn.XLOOKUP(B2657,ESTOQUE!B:B,ESTOQUE!G:G,"",0)</f>
        <v>UND</v>
      </c>
      <c r="F2657" s="99">
        <v>0</v>
      </c>
      <c r="G2657" s="146"/>
      <c r="H2657" s="146"/>
      <c r="I2657" s="147"/>
      <c r="J2657" s="147"/>
      <c r="K2657" s="63"/>
      <c r="L2657" s="63"/>
      <c r="M2657" s="63"/>
      <c r="N2657" s="63"/>
      <c r="O2657" s="63"/>
      <c r="P2657" s="63"/>
      <c r="Q2657" s="63"/>
      <c r="R2657" s="63"/>
      <c r="S2657" s="63"/>
      <c r="T2657" s="63"/>
      <c r="U2657" s="63"/>
      <c r="V2657" s="63"/>
      <c r="W2657" s="63"/>
      <c r="X2657" s="63"/>
      <c r="Y2657" s="63"/>
      <c r="Z2657" s="63"/>
      <c r="AA2657" s="63"/>
      <c r="AB2657" s="63"/>
      <c r="AC2657" s="63"/>
    </row>
    <row r="2658" spans="1:29" x14ac:dyDescent="0.25">
      <c r="A2658" s="108">
        <v>46093</v>
      </c>
      <c r="B2658" s="128">
        <v>71</v>
      </c>
      <c r="C2658" s="49" t="s">
        <v>19</v>
      </c>
      <c r="D2658" s="110" t="str">
        <f>IF(ISBLANK($B2658),"",IFERROR(VLOOKUP($B2658,ESTOQUE!$B$2:$D$97168,3,FALSE),"Produto não cadastrado"))</f>
        <v>CAMISA LARANJA OP. C/ FAIXA REFLETIVA TAM: XG</v>
      </c>
      <c r="E2658" s="99" t="str">
        <f>_xlfn.XLOOKUP(B2658,ESTOQUE!B:B,ESTOQUE!G:G,"",0)</f>
        <v>UND</v>
      </c>
      <c r="F2658" s="99">
        <v>2</v>
      </c>
      <c r="G2658" s="146"/>
      <c r="H2658" s="146"/>
      <c r="I2658" s="147"/>
      <c r="J2658" s="147"/>
      <c r="K2658" s="63"/>
      <c r="L2658" s="63"/>
      <c r="M2658" s="63"/>
      <c r="N2658" s="63"/>
      <c r="O2658" s="63"/>
      <c r="P2658" s="63"/>
      <c r="Q2658" s="63"/>
      <c r="R2658" s="63"/>
      <c r="S2658" s="63"/>
      <c r="T2658" s="63"/>
      <c r="U2658" s="63"/>
      <c r="V2658" s="63"/>
      <c r="W2658" s="63"/>
      <c r="X2658" s="63"/>
      <c r="Y2658" s="63"/>
      <c r="Z2658" s="63"/>
      <c r="AA2658" s="63"/>
      <c r="AB2658" s="63"/>
      <c r="AC2658" s="63"/>
    </row>
    <row r="2659" spans="1:29" x14ac:dyDescent="0.25">
      <c r="A2659" s="108">
        <v>46093</v>
      </c>
      <c r="B2659" s="128">
        <v>73</v>
      </c>
      <c r="C2659" s="49" t="s">
        <v>19</v>
      </c>
      <c r="D2659" s="110" t="str">
        <f>IF(ISBLANK($B2659),"",IFERROR(VLOOKUP($B2659,ESTOQUE!$B$2:$D$97168,3,FALSE),"Produto não cadastrado"))</f>
        <v>CAPA DE CHUVA GG</v>
      </c>
      <c r="E2659" s="99" t="str">
        <f>_xlfn.XLOOKUP(B2659,ESTOQUE!B:B,ESTOQUE!G:G,"",0)</f>
        <v>UND</v>
      </c>
      <c r="F2659" s="99">
        <v>3</v>
      </c>
      <c r="G2659" s="146"/>
      <c r="H2659" s="146"/>
      <c r="I2659" s="147"/>
      <c r="J2659" s="147"/>
      <c r="K2659" s="63"/>
      <c r="L2659" s="63"/>
      <c r="M2659" s="63"/>
      <c r="N2659" s="63"/>
      <c r="O2659" s="63"/>
      <c r="P2659" s="63"/>
      <c r="Q2659" s="63"/>
      <c r="R2659" s="63"/>
      <c r="S2659" s="63"/>
      <c r="T2659" s="63"/>
      <c r="U2659" s="63"/>
      <c r="V2659" s="63"/>
      <c r="W2659" s="63"/>
      <c r="X2659" s="63"/>
      <c r="Y2659" s="63"/>
      <c r="Z2659" s="63"/>
      <c r="AA2659" s="63"/>
      <c r="AB2659" s="63"/>
      <c r="AC2659" s="63"/>
    </row>
    <row r="2660" spans="1:29" x14ac:dyDescent="0.25">
      <c r="A2660" s="108">
        <v>46093</v>
      </c>
      <c r="B2660" s="128">
        <v>266</v>
      </c>
      <c r="C2660" s="49" t="s">
        <v>19</v>
      </c>
      <c r="D2660" s="110" t="str">
        <f>IF(ISBLANK($B2660),"",IFERROR(VLOOKUP($B2660,ESTOQUE!$B$2:$D$97168,3,FALSE),"Produto não cadastrado"))</f>
        <v>CINTO DE SEGURANÇA ATHENAS TAM:2</v>
      </c>
      <c r="E2660" s="99" t="str">
        <f>_xlfn.XLOOKUP(B2660,ESTOQUE!B:B,ESTOQUE!G:G,"",0)</f>
        <v>UND</v>
      </c>
      <c r="F2660" s="99">
        <v>3</v>
      </c>
      <c r="G2660" s="146"/>
      <c r="H2660" s="146"/>
      <c r="I2660" s="147"/>
      <c r="J2660" s="147"/>
      <c r="K2660" s="63"/>
      <c r="L2660" s="63"/>
      <c r="M2660" s="63"/>
      <c r="N2660" s="63"/>
      <c r="O2660" s="63"/>
      <c r="P2660" s="63"/>
      <c r="Q2660" s="63"/>
      <c r="R2660" s="63"/>
      <c r="S2660" s="63"/>
      <c r="T2660" s="63"/>
      <c r="U2660" s="63"/>
      <c r="V2660" s="63"/>
      <c r="W2660" s="63"/>
      <c r="X2660" s="63"/>
      <c r="Y2660" s="63"/>
      <c r="Z2660" s="63"/>
      <c r="AA2660" s="63"/>
      <c r="AB2660" s="63"/>
      <c r="AC2660" s="63"/>
    </row>
    <row r="2661" spans="1:29" x14ac:dyDescent="0.25">
      <c r="A2661" s="108">
        <v>46093</v>
      </c>
      <c r="B2661" s="128">
        <v>161</v>
      </c>
      <c r="C2661" s="49" t="s">
        <v>19</v>
      </c>
      <c r="D2661" s="110" t="str">
        <f>IF(ISBLANK($B2661),"",IFERROR(VLOOKUP($B2661,ESTOQUE!$B$2:$D$97168,3,FALSE),"Produto não cadastrado"))</f>
        <v>JUGULAR</v>
      </c>
      <c r="E2661" s="99" t="str">
        <f>_xlfn.XLOOKUP(B2661,ESTOQUE!B:B,ESTOQUE!G:G,"",0)</f>
        <v>UND</v>
      </c>
      <c r="F2661" s="99">
        <v>1</v>
      </c>
      <c r="G2661" s="146"/>
      <c r="H2661" s="146"/>
      <c r="I2661" s="147"/>
      <c r="J2661" s="147"/>
      <c r="K2661" s="63"/>
      <c r="L2661" s="63"/>
      <c r="M2661" s="63"/>
      <c r="N2661" s="63"/>
      <c r="O2661" s="63"/>
      <c r="P2661" s="63"/>
      <c r="Q2661" s="63"/>
      <c r="R2661" s="63"/>
      <c r="S2661" s="63"/>
      <c r="T2661" s="63"/>
      <c r="U2661" s="63"/>
      <c r="V2661" s="63"/>
      <c r="W2661" s="63"/>
      <c r="X2661" s="63"/>
      <c r="Y2661" s="63"/>
      <c r="Z2661" s="63"/>
      <c r="AA2661" s="63"/>
      <c r="AB2661" s="63"/>
      <c r="AC2661" s="63"/>
    </row>
    <row r="2662" spans="1:29" x14ac:dyDescent="0.25">
      <c r="A2662" s="108">
        <v>46093</v>
      </c>
      <c r="B2662" s="128">
        <v>110</v>
      </c>
      <c r="C2662" s="49" t="s">
        <v>19</v>
      </c>
      <c r="D2662" s="110" t="str">
        <f>IF(ISBLANK($B2662),"",IFERROR(VLOOKUP($B2662,ESTOQUE!$B$2:$D$97168,3,FALSE),"Produto não cadastrado"))</f>
        <v>LUVA DE RASPA CANO LONGO</v>
      </c>
      <c r="E2662" s="99" t="str">
        <f>_xlfn.XLOOKUP(B2662,ESTOQUE!B:B,ESTOQUE!G:G,"",0)</f>
        <v>PAR</v>
      </c>
      <c r="F2662" s="99">
        <v>10</v>
      </c>
      <c r="G2662" s="146"/>
      <c r="H2662" s="146"/>
      <c r="I2662" s="147"/>
      <c r="J2662" s="147"/>
      <c r="K2662" s="63"/>
      <c r="L2662" s="63"/>
      <c r="M2662" s="63"/>
      <c r="N2662" s="63"/>
      <c r="O2662" s="63"/>
      <c r="P2662" s="63"/>
      <c r="Q2662" s="63"/>
      <c r="R2662" s="63"/>
      <c r="S2662" s="63"/>
      <c r="T2662" s="63"/>
      <c r="U2662" s="63"/>
      <c r="V2662" s="63"/>
      <c r="W2662" s="63"/>
      <c r="X2662" s="63"/>
      <c r="Y2662" s="63"/>
      <c r="Z2662" s="63"/>
      <c r="AA2662" s="63"/>
      <c r="AB2662" s="63"/>
      <c r="AC2662" s="63"/>
    </row>
    <row r="2663" spans="1:29" x14ac:dyDescent="0.25">
      <c r="A2663" s="108">
        <v>46093</v>
      </c>
      <c r="B2663" s="128">
        <v>111</v>
      </c>
      <c r="C2663" s="49" t="s">
        <v>19</v>
      </c>
      <c r="D2663" s="110" t="str">
        <f>IF(ISBLANK($B2663),"",IFERROR(VLOOKUP($B2663,ESTOQUE!$B$2:$D$97168,3,FALSE),"Produto não cadastrado"))</f>
        <v>LUVA DE VAQUETA MARROM</v>
      </c>
      <c r="E2663" s="99" t="str">
        <f>_xlfn.XLOOKUP(B2663,ESTOQUE!B:B,ESTOQUE!G:G,"",0)</f>
        <v>PAR</v>
      </c>
      <c r="F2663" s="99">
        <v>0</v>
      </c>
      <c r="G2663" s="146"/>
      <c r="H2663" s="146"/>
      <c r="I2663" s="147"/>
      <c r="J2663" s="147"/>
      <c r="K2663" s="63"/>
      <c r="L2663" s="63"/>
      <c r="M2663" s="63"/>
      <c r="N2663" s="63"/>
      <c r="O2663" s="63"/>
      <c r="P2663" s="63"/>
      <c r="Q2663" s="63"/>
      <c r="R2663" s="63"/>
      <c r="S2663" s="63"/>
      <c r="T2663" s="63"/>
      <c r="U2663" s="63"/>
      <c r="V2663" s="63"/>
      <c r="W2663" s="63"/>
      <c r="X2663" s="63"/>
      <c r="Y2663" s="63"/>
      <c r="Z2663" s="63"/>
      <c r="AA2663" s="63"/>
      <c r="AB2663" s="63"/>
      <c r="AC2663" s="63"/>
    </row>
    <row r="2664" spans="1:29" x14ac:dyDescent="0.25">
      <c r="A2664" s="108">
        <v>46093</v>
      </c>
      <c r="B2664" s="128">
        <v>114</v>
      </c>
      <c r="C2664" s="49" t="s">
        <v>19</v>
      </c>
      <c r="D2664" s="110" t="str">
        <f>IF(ISBLANK($B2664),"",IFERROR(VLOOKUP($B2664,ESTOQUE!$B$2:$D$97168,3,FALSE),"Produto não cadastrado"))</f>
        <v xml:space="preserve">LUVA LATEX NITRILICA </v>
      </c>
      <c r="E2664" s="99" t="str">
        <f>_xlfn.XLOOKUP(B2664,ESTOQUE!B:B,ESTOQUE!G:G,"",0)</f>
        <v>PAR</v>
      </c>
      <c r="F2664" s="99">
        <v>12</v>
      </c>
      <c r="G2664" s="146"/>
      <c r="H2664" s="146"/>
      <c r="I2664" s="147"/>
      <c r="J2664" s="147"/>
      <c r="K2664" s="63"/>
      <c r="L2664" s="63"/>
      <c r="M2664" s="63"/>
      <c r="N2664" s="63"/>
      <c r="O2664" s="63"/>
      <c r="P2664" s="63"/>
      <c r="Q2664" s="63"/>
      <c r="R2664" s="63"/>
      <c r="S2664" s="63"/>
      <c r="T2664" s="63"/>
      <c r="U2664" s="63"/>
      <c r="V2664" s="63"/>
      <c r="W2664" s="63"/>
      <c r="X2664" s="63"/>
      <c r="Y2664" s="63"/>
      <c r="Z2664" s="63"/>
      <c r="AA2664" s="63"/>
      <c r="AB2664" s="63"/>
      <c r="AC2664" s="63"/>
    </row>
    <row r="2665" spans="1:29" x14ac:dyDescent="0.25">
      <c r="A2665" s="108">
        <v>46093</v>
      </c>
      <c r="B2665" s="128">
        <v>117</v>
      </c>
      <c r="C2665" s="49" t="s">
        <v>19</v>
      </c>
      <c r="D2665" s="110" t="str">
        <f>IF(ISBLANK($B2665),"",IFERROR(VLOOKUP($B2665,ESTOQUE!$B$2:$D$97168,3,FALSE),"Produto não cadastrado"))</f>
        <v>LUVA PIGMENTADA</v>
      </c>
      <c r="E2665" s="99" t="str">
        <f>_xlfn.XLOOKUP(B2665,ESTOQUE!B:B,ESTOQUE!G:G,"",0)</f>
        <v>PAR</v>
      </c>
      <c r="F2665" s="99">
        <v>13</v>
      </c>
      <c r="G2665" s="146"/>
      <c r="H2665" s="146"/>
      <c r="I2665" s="147"/>
      <c r="J2665" s="147"/>
      <c r="K2665" s="63"/>
      <c r="L2665" s="63"/>
      <c r="M2665" s="63"/>
      <c r="N2665" s="63"/>
      <c r="O2665" s="63"/>
      <c r="P2665" s="63"/>
      <c r="Q2665" s="63"/>
      <c r="R2665" s="63"/>
      <c r="S2665" s="63"/>
      <c r="T2665" s="63"/>
      <c r="U2665" s="63"/>
      <c r="V2665" s="63"/>
      <c r="W2665" s="63"/>
      <c r="X2665" s="63"/>
      <c r="Y2665" s="63"/>
      <c r="Z2665" s="63"/>
      <c r="AA2665" s="63"/>
      <c r="AB2665" s="63"/>
      <c r="AC2665" s="63"/>
    </row>
    <row r="2666" spans="1:29" x14ac:dyDescent="0.25">
      <c r="A2666" s="108">
        <v>46093</v>
      </c>
      <c r="B2666" s="128">
        <v>207</v>
      </c>
      <c r="C2666" s="49" t="s">
        <v>19</v>
      </c>
      <c r="D2666" s="110" t="str">
        <f>IF(ISBLANK($B2666),"",IFERROR(VLOOKUP($B2666,ESTOQUE!$B$2:$D$97168,3,FALSE),"Produto não cadastrado"))</f>
        <v>LUVA POLIESTER ANTICORTE BANHADA PU TAM 9</v>
      </c>
      <c r="E2666" s="99" t="str">
        <f>_xlfn.XLOOKUP(B2666,ESTOQUE!B:B,ESTOQUE!G:G,"",0)</f>
        <v>PAR</v>
      </c>
      <c r="F2666" s="99">
        <v>1</v>
      </c>
      <c r="G2666" s="146"/>
      <c r="H2666" s="146"/>
      <c r="I2666" s="147"/>
      <c r="J2666" s="147"/>
      <c r="K2666" s="63"/>
      <c r="L2666" s="63"/>
      <c r="M2666" s="63"/>
      <c r="N2666" s="63"/>
      <c r="O2666" s="63"/>
      <c r="P2666" s="63"/>
      <c r="Q2666" s="63"/>
      <c r="R2666" s="63"/>
      <c r="S2666" s="63"/>
      <c r="T2666" s="63"/>
      <c r="U2666" s="63"/>
      <c r="V2666" s="63"/>
      <c r="W2666" s="63"/>
      <c r="X2666" s="63"/>
      <c r="Y2666" s="63"/>
      <c r="Z2666" s="63"/>
      <c r="AA2666" s="63"/>
      <c r="AB2666" s="63"/>
      <c r="AC2666" s="63"/>
    </row>
    <row r="2667" spans="1:29" x14ac:dyDescent="0.25">
      <c r="A2667" s="108">
        <v>46093</v>
      </c>
      <c r="B2667" s="128">
        <v>267</v>
      </c>
      <c r="C2667" s="49" t="s">
        <v>19</v>
      </c>
      <c r="D2667" s="110" t="str">
        <f>IF(ISBLANK($B2667),"",IFERROR(VLOOKUP($B2667,ESTOQUE!$B$2:$D$97168,3,FALSE),"Produto não cadastrado"))</f>
        <v>LUVA POLIESTER ANTICORTE CANO LONGO</v>
      </c>
      <c r="E2667" s="99" t="str">
        <f>_xlfn.XLOOKUP(B2667,ESTOQUE!B:B,ESTOQUE!G:G,"",0)</f>
        <v>UND</v>
      </c>
      <c r="F2667" s="99">
        <v>24</v>
      </c>
      <c r="G2667" s="146"/>
      <c r="H2667" s="146"/>
      <c r="I2667" s="147"/>
      <c r="J2667" s="147"/>
      <c r="K2667" s="63"/>
      <c r="L2667" s="63"/>
      <c r="M2667" s="63"/>
      <c r="N2667" s="63"/>
      <c r="O2667" s="63"/>
      <c r="P2667" s="63"/>
      <c r="Q2667" s="63"/>
      <c r="R2667" s="63"/>
      <c r="S2667" s="63"/>
      <c r="T2667" s="63"/>
      <c r="U2667" s="63"/>
      <c r="V2667" s="63"/>
      <c r="W2667" s="63"/>
      <c r="X2667" s="63"/>
      <c r="Y2667" s="63"/>
      <c r="Z2667" s="63"/>
      <c r="AA2667" s="63"/>
      <c r="AB2667" s="63"/>
      <c r="AC2667" s="63"/>
    </row>
    <row r="2668" spans="1:29" x14ac:dyDescent="0.25">
      <c r="A2668" s="108">
        <v>46093</v>
      </c>
      <c r="B2668" s="128">
        <v>118</v>
      </c>
      <c r="C2668" s="49" t="s">
        <v>19</v>
      </c>
      <c r="D2668" s="110" t="str">
        <f>IF(ISBLANK($B2668),"",IFERROR(VLOOKUP($B2668,ESTOQUE!$B$2:$D$97168,3,FALSE),"Produto não cadastrado"))</f>
        <v>MACACÃO DE PROTEÇÃO TYVEK</v>
      </c>
      <c r="E2668" s="99" t="str">
        <f>_xlfn.XLOOKUP(B2668,ESTOQUE!B:B,ESTOQUE!G:G,"",0)</f>
        <v>UND</v>
      </c>
      <c r="F2668" s="99">
        <v>54</v>
      </c>
      <c r="G2668" s="146"/>
      <c r="H2668" s="146"/>
      <c r="I2668" s="147"/>
      <c r="J2668" s="147"/>
      <c r="K2668" s="63"/>
      <c r="L2668" s="63"/>
      <c r="M2668" s="63"/>
      <c r="N2668" s="63"/>
      <c r="O2668" s="63"/>
      <c r="P2668" s="63"/>
      <c r="Q2668" s="63"/>
      <c r="R2668" s="63"/>
      <c r="S2668" s="63"/>
      <c r="T2668" s="63"/>
      <c r="U2668" s="63"/>
      <c r="V2668" s="63"/>
      <c r="W2668" s="63"/>
      <c r="X2668" s="63"/>
      <c r="Y2668" s="63"/>
      <c r="Z2668" s="63"/>
      <c r="AA2668" s="63"/>
      <c r="AB2668" s="63"/>
      <c r="AC2668" s="63"/>
    </row>
    <row r="2669" spans="1:29" x14ac:dyDescent="0.25">
      <c r="A2669" s="108">
        <v>46093</v>
      </c>
      <c r="B2669" s="128">
        <v>125</v>
      </c>
      <c r="C2669" s="49" t="s">
        <v>19</v>
      </c>
      <c r="D2669" s="110" t="str">
        <f>IF(ISBLANK($B2669),"",IFERROR(VLOOKUP($B2669,ESTOQUE!$B$2:$D$97168,3,FALSE),"Produto não cadastrado"))</f>
        <v xml:space="preserve">MASCARA DE SOLDA AUTOMATICA </v>
      </c>
      <c r="E2669" s="99" t="str">
        <f>_xlfn.XLOOKUP(B2669,ESTOQUE!B:B,ESTOQUE!G:G,"",0)</f>
        <v>UND</v>
      </c>
      <c r="F2669" s="99">
        <v>1</v>
      </c>
      <c r="G2669" s="146"/>
      <c r="H2669" s="146"/>
      <c r="I2669" s="147"/>
      <c r="J2669" s="147"/>
      <c r="K2669" s="63"/>
      <c r="L2669" s="63"/>
      <c r="M2669" s="63"/>
      <c r="N2669" s="63"/>
      <c r="O2669" s="63"/>
      <c r="P2669" s="63"/>
      <c r="Q2669" s="63"/>
      <c r="R2669" s="63"/>
      <c r="S2669" s="63"/>
      <c r="T2669" s="63"/>
      <c r="U2669" s="63"/>
      <c r="V2669" s="63"/>
      <c r="W2669" s="63"/>
      <c r="X2669" s="63"/>
      <c r="Y2669" s="63"/>
      <c r="Z2669" s="63"/>
      <c r="AA2669" s="63"/>
      <c r="AB2669" s="63"/>
      <c r="AC2669" s="63"/>
    </row>
    <row r="2670" spans="1:29" x14ac:dyDescent="0.25">
      <c r="A2670" s="108">
        <v>46093</v>
      </c>
      <c r="B2670" s="128">
        <v>144</v>
      </c>
      <c r="C2670" s="49" t="s">
        <v>19</v>
      </c>
      <c r="D2670" s="110" t="str">
        <f>IF(ISBLANK($B2670),"",IFERROR(VLOOKUP($B2670,ESTOQUE!$B$2:$D$97168,3,FALSE),"Produto não cadastrado"))</f>
        <v>MASCARA PFF2-S C/ FILTRO</v>
      </c>
      <c r="E2670" s="99" t="str">
        <f>_xlfn.XLOOKUP(B2670,ESTOQUE!B:B,ESTOQUE!G:G,"",0)</f>
        <v>UND</v>
      </c>
      <c r="F2670" s="99">
        <v>350</v>
      </c>
      <c r="G2670" s="146"/>
      <c r="H2670" s="146"/>
      <c r="I2670" s="147"/>
      <c r="J2670" s="147"/>
      <c r="K2670" s="63"/>
      <c r="L2670" s="63"/>
      <c r="M2670" s="63"/>
      <c r="N2670" s="63"/>
      <c r="O2670" s="63"/>
      <c r="P2670" s="63"/>
      <c r="Q2670" s="63"/>
      <c r="R2670" s="63"/>
      <c r="S2670" s="63"/>
      <c r="T2670" s="63"/>
      <c r="U2670" s="63"/>
      <c r="V2670" s="63"/>
      <c r="W2670" s="63"/>
      <c r="X2670" s="63"/>
      <c r="Y2670" s="63"/>
      <c r="Z2670" s="63"/>
      <c r="AA2670" s="63"/>
      <c r="AB2670" s="63"/>
      <c r="AC2670" s="63"/>
    </row>
    <row r="2671" spans="1:29" x14ac:dyDescent="0.25">
      <c r="A2671" s="108">
        <v>46093</v>
      </c>
      <c r="B2671" s="128">
        <v>129</v>
      </c>
      <c r="C2671" s="49" t="s">
        <v>19</v>
      </c>
      <c r="D2671" s="110" t="str">
        <f>IF(ISBLANK($B2671),"",IFERROR(VLOOKUP($B2671,ESTOQUE!$B$2:$D$97168,3,FALSE),"Produto não cadastrado"))</f>
        <v>PERNEIRA DE RASPA</v>
      </c>
      <c r="E2671" s="99" t="str">
        <f>_xlfn.XLOOKUP(B2671,ESTOQUE!B:B,ESTOQUE!G:G,"",0)</f>
        <v>PAR</v>
      </c>
      <c r="F2671" s="99">
        <v>1</v>
      </c>
      <c r="G2671" s="146"/>
      <c r="H2671" s="146"/>
      <c r="I2671" s="147"/>
      <c r="J2671" s="147"/>
      <c r="K2671" s="63"/>
      <c r="L2671" s="63"/>
      <c r="M2671" s="63"/>
      <c r="N2671" s="63"/>
      <c r="O2671" s="63"/>
      <c r="P2671" s="63"/>
      <c r="Q2671" s="63"/>
      <c r="R2671" s="63"/>
      <c r="S2671" s="63"/>
      <c r="T2671" s="63"/>
      <c r="U2671" s="63"/>
      <c r="V2671" s="63"/>
      <c r="W2671" s="63"/>
      <c r="X2671" s="63"/>
      <c r="Y2671" s="63"/>
      <c r="Z2671" s="63"/>
      <c r="AA2671" s="63"/>
      <c r="AB2671" s="63"/>
      <c r="AC2671" s="63"/>
    </row>
    <row r="2672" spans="1:29" x14ac:dyDescent="0.25">
      <c r="A2672" s="108">
        <v>46093</v>
      </c>
      <c r="B2672" s="128">
        <v>139</v>
      </c>
      <c r="C2672" s="49" t="s">
        <v>19</v>
      </c>
      <c r="D2672" s="110" t="str">
        <f>IF(ISBLANK($B2672),"",IFERROR(VLOOKUP($B2672,ESTOQUE!$B$2:$D$97168,3,FALSE),"Produto não cadastrado"))</f>
        <v>PROTETOR AURICULAR TIPO PLUG</v>
      </c>
      <c r="E2672" s="99" t="str">
        <f>_xlfn.XLOOKUP(B2672,ESTOQUE!B:B,ESTOQUE!G:G,"",0)</f>
        <v>UND</v>
      </c>
      <c r="F2672" s="99">
        <v>1</v>
      </c>
      <c r="G2672" s="146"/>
      <c r="H2672" s="146"/>
      <c r="I2672" s="147"/>
      <c r="J2672" s="147"/>
      <c r="K2672" s="63"/>
      <c r="L2672" s="63"/>
      <c r="M2672" s="63"/>
      <c r="N2672" s="63"/>
      <c r="O2672" s="63"/>
      <c r="P2672" s="63"/>
      <c r="Q2672" s="63"/>
      <c r="R2672" s="63"/>
      <c r="S2672" s="63"/>
      <c r="T2672" s="63"/>
      <c r="U2672" s="63"/>
      <c r="V2672" s="63"/>
      <c r="W2672" s="63"/>
      <c r="X2672" s="63"/>
      <c r="Y2672" s="63"/>
      <c r="Z2672" s="63"/>
      <c r="AA2672" s="63"/>
      <c r="AB2672" s="63"/>
      <c r="AC2672" s="63"/>
    </row>
    <row r="2673" spans="1:29" x14ac:dyDescent="0.25">
      <c r="A2673" s="108">
        <v>46093</v>
      </c>
      <c r="B2673" s="128">
        <v>135</v>
      </c>
      <c r="C2673" s="49" t="s">
        <v>19</v>
      </c>
      <c r="D2673" s="110" t="str">
        <f>IF(ISBLANK($B2673),"",IFERROR(VLOOKUP($B2673,ESTOQUE!$B$2:$D$97168,3,FALSE),"Produto não cadastrado"))</f>
        <v>TALABARTE DUPLO TIPO Y</v>
      </c>
      <c r="E2673" s="99" t="str">
        <f>_xlfn.XLOOKUP(B2673,ESTOQUE!B:B,ESTOQUE!G:G,"",0)</f>
        <v>UND</v>
      </c>
      <c r="F2673" s="99">
        <v>0</v>
      </c>
      <c r="G2673" s="146"/>
      <c r="H2673" s="146"/>
      <c r="I2673" s="147"/>
      <c r="J2673" s="147"/>
      <c r="K2673" s="63"/>
      <c r="L2673" s="63"/>
      <c r="M2673" s="63"/>
      <c r="N2673" s="63"/>
      <c r="O2673" s="63"/>
      <c r="P2673" s="63"/>
      <c r="Q2673" s="63"/>
      <c r="R2673" s="63"/>
      <c r="S2673" s="63"/>
      <c r="T2673" s="63"/>
      <c r="U2673" s="63"/>
      <c r="V2673" s="63"/>
      <c r="W2673" s="63"/>
      <c r="X2673" s="63"/>
      <c r="Y2673" s="63"/>
      <c r="Z2673" s="63"/>
      <c r="AA2673" s="63"/>
      <c r="AB2673" s="63"/>
      <c r="AC2673" s="63"/>
    </row>
    <row r="2674" spans="1:29" x14ac:dyDescent="0.25">
      <c r="A2674" s="108">
        <v>46093</v>
      </c>
      <c r="B2674" s="128">
        <v>137</v>
      </c>
      <c r="C2674" s="49" t="s">
        <v>19</v>
      </c>
      <c r="D2674" s="110" t="str">
        <f>IF(ISBLANK($B2674),"",IFERROR(VLOOKUP($B2674,ESTOQUE!$B$2:$D$97168,3,FALSE),"Produto não cadastrado"))</f>
        <v xml:space="preserve">TOUCA ARABE </v>
      </c>
      <c r="E2674" s="99" t="str">
        <f>_xlfn.XLOOKUP(B2674,ESTOQUE!B:B,ESTOQUE!G:G,"",0)</f>
        <v>UND</v>
      </c>
      <c r="F2674" s="99">
        <v>2</v>
      </c>
      <c r="G2674" s="146"/>
      <c r="H2674" s="146"/>
      <c r="I2674" s="147"/>
      <c r="J2674" s="147"/>
      <c r="K2674" s="63"/>
      <c r="L2674" s="63"/>
      <c r="M2674" s="63"/>
      <c r="N2674" s="63"/>
      <c r="O2674" s="63"/>
      <c r="P2674" s="63"/>
      <c r="Q2674" s="63"/>
      <c r="R2674" s="63"/>
      <c r="S2674" s="63"/>
      <c r="T2674" s="63"/>
      <c r="U2674" s="63"/>
      <c r="V2674" s="63"/>
      <c r="W2674" s="63"/>
      <c r="X2674" s="63"/>
      <c r="Y2674" s="63"/>
      <c r="Z2674" s="63"/>
      <c r="AA2674" s="63"/>
      <c r="AB2674" s="63"/>
      <c r="AC2674" s="63"/>
    </row>
    <row r="2675" spans="1:29" x14ac:dyDescent="0.25">
      <c r="A2675" s="108">
        <v>46094</v>
      </c>
      <c r="B2675" s="128">
        <v>158</v>
      </c>
      <c r="C2675" s="49" t="s">
        <v>19</v>
      </c>
      <c r="D2675" s="110" t="str">
        <f>IF(ISBLANK($B2675),"",IFERROR(VLOOKUP($B2675,ESTOQUE!$B$2:$D$97168,3,FALSE),"Produto não cadastrado"))</f>
        <v>AVENTAL DE PVC</v>
      </c>
      <c r="E2675" s="99" t="str">
        <f>_xlfn.XLOOKUP(B2675,ESTOQUE!B:B,ESTOQUE!G:G,"",0)</f>
        <v>UND</v>
      </c>
      <c r="F2675" s="99">
        <v>0</v>
      </c>
      <c r="G2675" s="146"/>
      <c r="H2675" s="146"/>
      <c r="I2675" s="147"/>
      <c r="J2675" s="147"/>
      <c r="K2675" s="63"/>
      <c r="L2675" s="63"/>
      <c r="M2675" s="63"/>
      <c r="N2675" s="63"/>
      <c r="O2675" s="63"/>
      <c r="P2675" s="63"/>
      <c r="Q2675" s="63"/>
      <c r="R2675" s="63"/>
      <c r="S2675" s="63"/>
      <c r="T2675" s="63"/>
      <c r="U2675" s="63"/>
      <c r="V2675" s="63"/>
      <c r="W2675" s="63"/>
      <c r="X2675" s="63"/>
      <c r="Y2675" s="63"/>
      <c r="Z2675" s="63"/>
      <c r="AA2675" s="63"/>
      <c r="AB2675" s="63"/>
      <c r="AC2675" s="63"/>
    </row>
    <row r="2676" spans="1:29" x14ac:dyDescent="0.25">
      <c r="A2676" s="108">
        <v>46094</v>
      </c>
      <c r="B2676" s="128">
        <v>190</v>
      </c>
      <c r="C2676" s="49" t="s">
        <v>19</v>
      </c>
      <c r="D2676" s="110" t="str">
        <f>IF(ISBLANK($B2676),"",IFERROR(VLOOKUP($B2676,ESTOQUE!$B$2:$D$97168,3,FALSE),"Produto não cadastrado"))</f>
        <v>AVENTAL DE RASPA TAM 120X60</v>
      </c>
      <c r="E2676" s="99" t="str">
        <f>_xlfn.XLOOKUP(B2676,ESTOQUE!B:B,ESTOQUE!G:G,"",0)</f>
        <v>UND</v>
      </c>
      <c r="F2676" s="99">
        <v>1</v>
      </c>
      <c r="G2676" s="146"/>
      <c r="H2676" s="146"/>
      <c r="I2676" s="147"/>
      <c r="J2676" s="147"/>
      <c r="K2676" s="63"/>
      <c r="L2676" s="63"/>
      <c r="M2676" s="63"/>
      <c r="N2676" s="63"/>
      <c r="O2676" s="63"/>
      <c r="P2676" s="63"/>
      <c r="Q2676" s="63"/>
      <c r="R2676" s="63"/>
      <c r="S2676" s="63"/>
      <c r="T2676" s="63"/>
      <c r="U2676" s="63"/>
      <c r="V2676" s="63"/>
      <c r="W2676" s="63"/>
      <c r="X2676" s="63"/>
      <c r="Y2676" s="63"/>
      <c r="Z2676" s="63"/>
      <c r="AA2676" s="63"/>
      <c r="AB2676" s="63"/>
      <c r="AC2676" s="63"/>
    </row>
    <row r="2677" spans="1:29" x14ac:dyDescent="0.25">
      <c r="A2677" s="108">
        <v>46094</v>
      </c>
      <c r="B2677" s="128">
        <v>6</v>
      </c>
      <c r="C2677" s="49" t="s">
        <v>19</v>
      </c>
      <c r="D2677" s="110" t="str">
        <f>IF(ISBLANK($B2677),"",IFERROR(VLOOKUP($B2677,ESTOQUE!$B$2:$D$97168,3,FALSE),"Produto não cadastrado"))</f>
        <v>BOTA PVC CANO LONGO Nº 38</v>
      </c>
      <c r="E2677" s="99" t="str">
        <f>_xlfn.XLOOKUP(B2677,ESTOQUE!B:B,ESTOQUE!G:G,"",0)</f>
        <v>PAR</v>
      </c>
      <c r="F2677" s="99">
        <v>3</v>
      </c>
      <c r="G2677" s="146"/>
      <c r="H2677" s="146"/>
      <c r="I2677" s="147"/>
      <c r="J2677" s="147"/>
      <c r="K2677" s="63"/>
      <c r="L2677" s="63"/>
      <c r="M2677" s="63"/>
      <c r="N2677" s="63"/>
      <c r="O2677" s="63"/>
      <c r="P2677" s="63"/>
      <c r="Q2677" s="63"/>
      <c r="R2677" s="63"/>
      <c r="S2677" s="63"/>
      <c r="T2677" s="63"/>
      <c r="U2677" s="63"/>
      <c r="V2677" s="63"/>
      <c r="W2677" s="63"/>
      <c r="X2677" s="63"/>
      <c r="Y2677" s="63"/>
      <c r="Z2677" s="63"/>
      <c r="AA2677" s="63"/>
      <c r="AB2677" s="63"/>
      <c r="AC2677" s="63"/>
    </row>
    <row r="2678" spans="1:29" x14ac:dyDescent="0.25">
      <c r="A2678" s="108">
        <v>46094</v>
      </c>
      <c r="B2678" s="128">
        <v>8</v>
      </c>
      <c r="C2678" s="49" t="s">
        <v>19</v>
      </c>
      <c r="D2678" s="110" t="str">
        <f>IF(ISBLANK($B2678),"",IFERROR(VLOOKUP($B2678,ESTOQUE!$B$2:$D$97168,3,FALSE),"Produto não cadastrado"))</f>
        <v>BOTA PVC CANO LONGO Nº 40</v>
      </c>
      <c r="E2678" s="99" t="str">
        <f>_xlfn.XLOOKUP(B2678,ESTOQUE!B:B,ESTOQUE!G:G,"",0)</f>
        <v>PAR</v>
      </c>
      <c r="F2678" s="99">
        <v>0</v>
      </c>
      <c r="G2678" s="146"/>
      <c r="H2678" s="146"/>
      <c r="I2678" s="147"/>
      <c r="J2678" s="147"/>
      <c r="K2678" s="63"/>
      <c r="L2678" s="63"/>
      <c r="M2678" s="63"/>
      <c r="N2678" s="63"/>
      <c r="O2678" s="63"/>
      <c r="P2678" s="63"/>
      <c r="Q2678" s="63"/>
      <c r="R2678" s="63"/>
      <c r="S2678" s="63"/>
      <c r="T2678" s="63"/>
      <c r="U2678" s="63"/>
      <c r="V2678" s="63"/>
      <c r="W2678" s="63"/>
      <c r="X2678" s="63"/>
      <c r="Y2678" s="63"/>
      <c r="Z2678" s="63"/>
      <c r="AA2678" s="63"/>
      <c r="AB2678" s="63"/>
      <c r="AC2678" s="63"/>
    </row>
    <row r="2679" spans="1:29" x14ac:dyDescent="0.25">
      <c r="A2679" s="108">
        <v>46094</v>
      </c>
      <c r="B2679" s="128">
        <v>13</v>
      </c>
      <c r="C2679" s="49" t="s">
        <v>19</v>
      </c>
      <c r="D2679" s="110" t="str">
        <f>IF(ISBLANK($B2679),"",IFERROR(VLOOKUP($B2679,ESTOQUE!$B$2:$D$97168,3,FALSE),"Produto não cadastrado"))</f>
        <v>BOTA PVC CANO LONGO Nº 45</v>
      </c>
      <c r="E2679" s="99" t="str">
        <f>_xlfn.XLOOKUP(B2679,ESTOQUE!B:B,ESTOQUE!G:G,"",0)</f>
        <v>PAR</v>
      </c>
      <c r="F2679" s="99">
        <v>2</v>
      </c>
      <c r="G2679" s="146"/>
      <c r="H2679" s="146"/>
      <c r="I2679" s="147"/>
      <c r="J2679" s="147"/>
      <c r="K2679" s="63"/>
      <c r="L2679" s="63"/>
      <c r="M2679" s="63"/>
      <c r="N2679" s="63"/>
      <c r="O2679" s="63"/>
      <c r="P2679" s="63"/>
      <c r="Q2679" s="63"/>
      <c r="R2679" s="63"/>
      <c r="S2679" s="63"/>
      <c r="T2679" s="63"/>
      <c r="U2679" s="63"/>
      <c r="V2679" s="63"/>
      <c r="W2679" s="63"/>
      <c r="X2679" s="63"/>
      <c r="Y2679" s="63"/>
      <c r="Z2679" s="63"/>
      <c r="AA2679" s="63"/>
      <c r="AB2679" s="63"/>
      <c r="AC2679" s="63"/>
    </row>
    <row r="2680" spans="1:29" x14ac:dyDescent="0.25">
      <c r="A2680" s="108">
        <v>46094</v>
      </c>
      <c r="B2680" s="128">
        <v>39</v>
      </c>
      <c r="C2680" s="49" t="s">
        <v>19</v>
      </c>
      <c r="D2680" s="110" t="str">
        <f>IF(ISBLANK($B2680),"",IFERROR(VLOOKUP($B2680,ESTOQUE!$B$2:$D$97168,3,FALSE),"Produto não cadastrado"))</f>
        <v>BOTINA OP. BICO PVC Nº 41</v>
      </c>
      <c r="E2680" s="99" t="str">
        <f>_xlfn.XLOOKUP(B2680,ESTOQUE!B:B,ESTOQUE!G:G,"",0)</f>
        <v>PAR</v>
      </c>
      <c r="F2680" s="99">
        <v>1</v>
      </c>
      <c r="G2680" s="146"/>
      <c r="H2680" s="146"/>
      <c r="I2680" s="147"/>
      <c r="J2680" s="147"/>
      <c r="K2680" s="63"/>
      <c r="L2680" s="63"/>
      <c r="M2680" s="63"/>
      <c r="N2680" s="63"/>
      <c r="O2680" s="63"/>
      <c r="P2680" s="63"/>
      <c r="Q2680" s="63"/>
      <c r="R2680" s="63"/>
      <c r="S2680" s="63"/>
      <c r="T2680" s="63"/>
      <c r="U2680" s="63"/>
      <c r="V2680" s="63"/>
      <c r="W2680" s="63"/>
      <c r="X2680" s="63"/>
      <c r="Y2680" s="63"/>
      <c r="Z2680" s="63"/>
      <c r="AA2680" s="63"/>
      <c r="AB2680" s="63"/>
      <c r="AC2680" s="63"/>
    </row>
    <row r="2681" spans="1:29" x14ac:dyDescent="0.25">
      <c r="A2681" s="108">
        <v>46094</v>
      </c>
      <c r="B2681" s="128">
        <v>40</v>
      </c>
      <c r="C2681" s="49" t="s">
        <v>19</v>
      </c>
      <c r="D2681" s="110" t="str">
        <f>IF(ISBLANK($B2681),"",IFERROR(VLOOKUP($B2681,ESTOQUE!$B$2:$D$97168,3,FALSE),"Produto não cadastrado"))</f>
        <v>BOTINA OP. BICO PVC Nº 42</v>
      </c>
      <c r="E2681" s="99" t="str">
        <f>_xlfn.XLOOKUP(B2681,ESTOQUE!B:B,ESTOQUE!G:G,"",0)</f>
        <v>PAR</v>
      </c>
      <c r="F2681" s="99">
        <v>1</v>
      </c>
      <c r="G2681" s="146"/>
      <c r="H2681" s="146"/>
      <c r="I2681" s="147"/>
      <c r="J2681" s="147"/>
      <c r="K2681" s="63"/>
      <c r="L2681" s="63"/>
      <c r="M2681" s="63"/>
      <c r="N2681" s="63"/>
      <c r="O2681" s="63"/>
      <c r="P2681" s="63"/>
      <c r="Q2681" s="63"/>
      <c r="R2681" s="63"/>
      <c r="S2681" s="63"/>
      <c r="T2681" s="63"/>
      <c r="U2681" s="63"/>
      <c r="V2681" s="63"/>
      <c r="W2681" s="63"/>
      <c r="X2681" s="63"/>
      <c r="Y2681" s="63"/>
      <c r="Z2681" s="63"/>
      <c r="AA2681" s="63"/>
      <c r="AB2681" s="63"/>
      <c r="AC2681" s="63"/>
    </row>
    <row r="2682" spans="1:29" x14ac:dyDescent="0.25">
      <c r="A2682" s="108">
        <v>46094</v>
      </c>
      <c r="B2682" s="128">
        <v>46</v>
      </c>
      <c r="C2682" s="49" t="s">
        <v>19</v>
      </c>
      <c r="D2682" s="110" t="str">
        <f>IF(ISBLANK($B2682),"",IFERROR(VLOOKUP($B2682,ESTOQUE!$B$2:$D$97168,3,FALSE),"Produto não cadastrado"))</f>
        <v>CALÇA CINZA OP. C/ FAIXA REFLETIVA TAM: G</v>
      </c>
      <c r="E2682" s="99" t="str">
        <f>_xlfn.XLOOKUP(B2682,ESTOQUE!B:B,ESTOQUE!G:G,"",0)</f>
        <v>UND</v>
      </c>
      <c r="F2682" s="99">
        <v>1</v>
      </c>
      <c r="G2682" s="146"/>
      <c r="H2682" s="146"/>
      <c r="I2682" s="147"/>
      <c r="J2682" s="147"/>
      <c r="K2682" s="63"/>
      <c r="L2682" s="63"/>
      <c r="M2682" s="63"/>
      <c r="N2682" s="63"/>
      <c r="O2682" s="63"/>
      <c r="P2682" s="63"/>
      <c r="Q2682" s="63"/>
      <c r="R2682" s="63"/>
      <c r="S2682" s="63"/>
      <c r="T2682" s="63"/>
      <c r="U2682" s="63"/>
      <c r="V2682" s="63"/>
      <c r="W2682" s="63"/>
      <c r="X2682" s="63"/>
      <c r="Y2682" s="63"/>
      <c r="Z2682" s="63"/>
      <c r="AA2682" s="63"/>
      <c r="AB2682" s="63"/>
      <c r="AC2682" s="63"/>
    </row>
    <row r="2683" spans="1:29" x14ac:dyDescent="0.25">
      <c r="A2683" s="108">
        <v>46094</v>
      </c>
      <c r="B2683" s="128">
        <v>47</v>
      </c>
      <c r="C2683" s="49" t="s">
        <v>19</v>
      </c>
      <c r="D2683" s="110" t="str">
        <f>IF(ISBLANK($B2683),"",IFERROR(VLOOKUP($B2683,ESTOQUE!$B$2:$D$97168,3,FALSE),"Produto não cadastrado"))</f>
        <v>CALÇA CINZA OP. C/ FAIXA REFLETIVA TAM: GG</v>
      </c>
      <c r="E2683" s="99" t="str">
        <f>_xlfn.XLOOKUP(B2683,ESTOQUE!B:B,ESTOQUE!G:G,"",0)</f>
        <v>UND</v>
      </c>
      <c r="F2683" s="99">
        <v>3</v>
      </c>
      <c r="G2683" s="146"/>
      <c r="H2683" s="146"/>
      <c r="I2683" s="147"/>
      <c r="J2683" s="147"/>
      <c r="K2683" s="63"/>
      <c r="L2683" s="63"/>
      <c r="M2683" s="63"/>
      <c r="N2683" s="63"/>
      <c r="O2683" s="63"/>
      <c r="P2683" s="63"/>
      <c r="Q2683" s="63"/>
      <c r="R2683" s="63"/>
      <c r="S2683" s="63"/>
      <c r="T2683" s="63"/>
      <c r="U2683" s="63"/>
      <c r="V2683" s="63"/>
      <c r="W2683" s="63"/>
      <c r="X2683" s="63"/>
      <c r="Y2683" s="63"/>
      <c r="Z2683" s="63"/>
      <c r="AA2683" s="63"/>
      <c r="AB2683" s="63"/>
      <c r="AC2683" s="63"/>
    </row>
    <row r="2684" spans="1:29" x14ac:dyDescent="0.25">
      <c r="A2684" s="108">
        <v>46094</v>
      </c>
      <c r="B2684" s="128">
        <v>48</v>
      </c>
      <c r="C2684" s="49" t="s">
        <v>19</v>
      </c>
      <c r="D2684" s="110" t="str">
        <f>IF(ISBLANK($B2684),"",IFERROR(VLOOKUP($B2684,ESTOQUE!$B$2:$D$97168,3,FALSE),"Produto não cadastrado"))</f>
        <v>CALÇA CINZA OP. C/ FAIXA REFLETIVA TAM: M</v>
      </c>
      <c r="E2684" s="99" t="str">
        <f>_xlfn.XLOOKUP(B2684,ESTOQUE!B:B,ESTOQUE!G:G,"",0)</f>
        <v>UND</v>
      </c>
      <c r="F2684" s="99">
        <v>9</v>
      </c>
      <c r="G2684" s="146"/>
      <c r="H2684" s="146"/>
      <c r="I2684" s="147"/>
      <c r="J2684" s="147"/>
      <c r="K2684" s="63"/>
      <c r="L2684" s="63"/>
      <c r="M2684" s="63"/>
      <c r="N2684" s="63"/>
      <c r="O2684" s="63"/>
      <c r="P2684" s="63"/>
      <c r="Q2684" s="63"/>
      <c r="R2684" s="63"/>
      <c r="S2684" s="63"/>
      <c r="T2684" s="63"/>
      <c r="U2684" s="63"/>
      <c r="V2684" s="63"/>
      <c r="W2684" s="63"/>
      <c r="X2684" s="63"/>
      <c r="Y2684" s="63"/>
      <c r="Z2684" s="63"/>
      <c r="AA2684" s="63"/>
      <c r="AB2684" s="63"/>
      <c r="AC2684" s="63"/>
    </row>
    <row r="2685" spans="1:29" x14ac:dyDescent="0.25">
      <c r="A2685" s="108">
        <v>46094</v>
      </c>
      <c r="B2685" s="128">
        <v>49</v>
      </c>
      <c r="C2685" s="49" t="s">
        <v>19</v>
      </c>
      <c r="D2685" s="110" t="str">
        <f>IF(ISBLANK($B2685),"",IFERROR(VLOOKUP($B2685,ESTOQUE!$B$2:$D$97168,3,FALSE),"Produto não cadastrado"))</f>
        <v>CALÇA CINZA OP. C/ FAIXA REFLETIVA TAM: P</v>
      </c>
      <c r="E2685" s="99" t="str">
        <f>_xlfn.XLOOKUP(B2685,ESTOQUE!B:B,ESTOQUE!G:G,"",0)</f>
        <v>UND</v>
      </c>
      <c r="F2685" s="99">
        <v>0</v>
      </c>
      <c r="G2685" s="146"/>
      <c r="H2685" s="146"/>
      <c r="I2685" s="147"/>
      <c r="J2685" s="147"/>
      <c r="K2685" s="63"/>
      <c r="L2685" s="63"/>
      <c r="M2685" s="63"/>
      <c r="N2685" s="63"/>
      <c r="O2685" s="63"/>
      <c r="P2685" s="63"/>
      <c r="Q2685" s="63"/>
      <c r="R2685" s="63"/>
      <c r="S2685" s="63"/>
      <c r="T2685" s="63"/>
      <c r="U2685" s="63"/>
      <c r="V2685" s="63"/>
      <c r="W2685" s="63"/>
      <c r="X2685" s="63"/>
      <c r="Y2685" s="63"/>
      <c r="Z2685" s="63"/>
      <c r="AA2685" s="63"/>
      <c r="AB2685" s="63"/>
      <c r="AC2685" s="63"/>
    </row>
    <row r="2686" spans="1:29" x14ac:dyDescent="0.25">
      <c r="A2686" s="108">
        <v>46094</v>
      </c>
      <c r="B2686" s="128">
        <v>67</v>
      </c>
      <c r="C2686" s="49" t="s">
        <v>19</v>
      </c>
      <c r="D2686" s="110" t="str">
        <f>IF(ISBLANK($B2686),"",IFERROR(VLOOKUP($B2686,ESTOQUE!$B$2:$D$97168,3,FALSE),"Produto não cadastrado"))</f>
        <v>CAMISA LARANJA OP. C/ FAIXA REFLETIVA TAM: G</v>
      </c>
      <c r="E2686" s="99" t="str">
        <f>_xlfn.XLOOKUP(B2686,ESTOQUE!B:B,ESTOQUE!G:G,"",0)</f>
        <v>UND</v>
      </c>
      <c r="F2686" s="99">
        <v>2</v>
      </c>
      <c r="G2686" s="146"/>
      <c r="H2686" s="146"/>
      <c r="I2686" s="147"/>
      <c r="J2686" s="147"/>
      <c r="K2686" s="63"/>
      <c r="L2686" s="63"/>
      <c r="M2686" s="63"/>
      <c r="N2686" s="63"/>
      <c r="O2686" s="63"/>
      <c r="P2686" s="63"/>
      <c r="Q2686" s="63"/>
      <c r="R2686" s="63"/>
      <c r="S2686" s="63"/>
      <c r="T2686" s="63"/>
      <c r="U2686" s="63"/>
      <c r="V2686" s="63"/>
      <c r="W2686" s="63"/>
      <c r="X2686" s="63"/>
      <c r="Y2686" s="63"/>
      <c r="Z2686" s="63"/>
      <c r="AA2686" s="63"/>
      <c r="AB2686" s="63"/>
      <c r="AC2686" s="63"/>
    </row>
    <row r="2687" spans="1:29" x14ac:dyDescent="0.25">
      <c r="A2687" s="108">
        <v>46094</v>
      </c>
      <c r="B2687" s="128">
        <v>68</v>
      </c>
      <c r="C2687" s="49" t="s">
        <v>19</v>
      </c>
      <c r="D2687" s="110" t="str">
        <f>IF(ISBLANK($B2687),"",IFERROR(VLOOKUP($B2687,ESTOQUE!$B$2:$D$97168,3,FALSE),"Produto não cadastrado"))</f>
        <v>CAMISA LARANJA OP. C/ FAIXA REFLETIVA TAM: GG</v>
      </c>
      <c r="E2687" s="99" t="str">
        <f>_xlfn.XLOOKUP(B2687,ESTOQUE!B:B,ESTOQUE!G:G,"",0)</f>
        <v>UND</v>
      </c>
      <c r="F2687" s="99">
        <v>5</v>
      </c>
      <c r="G2687" s="146"/>
      <c r="H2687" s="146"/>
      <c r="I2687" s="147"/>
      <c r="J2687" s="147"/>
      <c r="K2687" s="63"/>
      <c r="L2687" s="63"/>
      <c r="M2687" s="63"/>
      <c r="N2687" s="63"/>
      <c r="O2687" s="63"/>
      <c r="P2687" s="63"/>
      <c r="Q2687" s="63"/>
      <c r="R2687" s="63"/>
      <c r="S2687" s="63"/>
      <c r="T2687" s="63"/>
      <c r="U2687" s="63"/>
      <c r="V2687" s="63"/>
      <c r="W2687" s="63"/>
      <c r="X2687" s="63"/>
      <c r="Y2687" s="63"/>
      <c r="Z2687" s="63"/>
      <c r="AA2687" s="63"/>
      <c r="AB2687" s="63"/>
      <c r="AC2687" s="63"/>
    </row>
    <row r="2688" spans="1:29" x14ac:dyDescent="0.25">
      <c r="A2688" s="108">
        <v>46094</v>
      </c>
      <c r="B2688" s="128">
        <v>69</v>
      </c>
      <c r="C2688" s="49" t="s">
        <v>19</v>
      </c>
      <c r="D2688" s="110" t="str">
        <f>IF(ISBLANK($B2688),"",IFERROR(VLOOKUP($B2688,ESTOQUE!$B$2:$D$97168,3,FALSE),"Produto não cadastrado"))</f>
        <v>CAMISA LARANJA OP. C/ FAIXA REFLETIVA TAM: M</v>
      </c>
      <c r="E2688" s="99" t="str">
        <f>_xlfn.XLOOKUP(B2688,ESTOQUE!B:B,ESTOQUE!G:G,"",0)</f>
        <v>UND</v>
      </c>
      <c r="F2688" s="99">
        <v>5</v>
      </c>
      <c r="G2688" s="146"/>
      <c r="H2688" s="146"/>
      <c r="I2688" s="147"/>
      <c r="J2688" s="147"/>
      <c r="K2688" s="63"/>
      <c r="L2688" s="63"/>
      <c r="M2688" s="63"/>
      <c r="N2688" s="63"/>
      <c r="O2688" s="63"/>
      <c r="P2688" s="63"/>
      <c r="Q2688" s="63"/>
      <c r="R2688" s="63"/>
      <c r="S2688" s="63"/>
      <c r="T2688" s="63"/>
      <c r="U2688" s="63"/>
      <c r="V2688" s="63"/>
      <c r="W2688" s="63"/>
      <c r="X2688" s="63"/>
      <c r="Y2688" s="63"/>
      <c r="Z2688" s="63"/>
      <c r="AA2688" s="63"/>
      <c r="AB2688" s="63"/>
      <c r="AC2688" s="63"/>
    </row>
    <row r="2689" spans="1:29" x14ac:dyDescent="0.25">
      <c r="A2689" s="108">
        <v>46094</v>
      </c>
      <c r="B2689" s="128">
        <v>73</v>
      </c>
      <c r="C2689" s="49" t="s">
        <v>19</v>
      </c>
      <c r="D2689" s="110" t="str">
        <f>IF(ISBLANK($B2689),"",IFERROR(VLOOKUP($B2689,ESTOQUE!$B$2:$D$97168,3,FALSE),"Produto não cadastrado"))</f>
        <v>CAPA DE CHUVA GG</v>
      </c>
      <c r="E2689" s="99" t="str">
        <f>_xlfn.XLOOKUP(B2689,ESTOQUE!B:B,ESTOQUE!G:G,"",0)</f>
        <v>UND</v>
      </c>
      <c r="F2689" s="99">
        <v>2</v>
      </c>
      <c r="G2689" s="146"/>
      <c r="H2689" s="146"/>
      <c r="I2689" s="147"/>
      <c r="J2689" s="147"/>
      <c r="K2689" s="63"/>
      <c r="L2689" s="63"/>
      <c r="M2689" s="63"/>
      <c r="N2689" s="63"/>
      <c r="O2689" s="63"/>
      <c r="P2689" s="63"/>
      <c r="Q2689" s="63"/>
      <c r="R2689" s="63"/>
      <c r="S2689" s="63"/>
      <c r="T2689" s="63"/>
      <c r="U2689" s="63"/>
      <c r="V2689" s="63"/>
      <c r="W2689" s="63"/>
      <c r="X2689" s="63"/>
      <c r="Y2689" s="63"/>
      <c r="Z2689" s="63"/>
      <c r="AA2689" s="63"/>
      <c r="AB2689" s="63"/>
      <c r="AC2689" s="63"/>
    </row>
    <row r="2690" spans="1:29" x14ac:dyDescent="0.25">
      <c r="A2690" s="108">
        <v>46094</v>
      </c>
      <c r="B2690" s="128">
        <v>264</v>
      </c>
      <c r="C2690" s="49" t="s">
        <v>19</v>
      </c>
      <c r="D2690" s="110" t="str">
        <f>IF(ISBLANK($B2690),"",IFERROR(VLOOKUP($B2690,ESTOQUE!$B$2:$D$97168,3,FALSE),"Produto não cadastrado"))</f>
        <v xml:space="preserve">CINTO DE SEGURANÇA ARAMIDA </v>
      </c>
      <c r="E2690" s="99" t="str">
        <f>_xlfn.XLOOKUP(B2690,ESTOQUE!B:B,ESTOQUE!G:G,"",0)</f>
        <v>UND</v>
      </c>
      <c r="F2690" s="99">
        <v>0</v>
      </c>
      <c r="G2690" s="146"/>
      <c r="H2690" s="146"/>
      <c r="I2690" s="147"/>
      <c r="J2690" s="147"/>
      <c r="K2690" s="63"/>
      <c r="L2690" s="63"/>
      <c r="M2690" s="63"/>
      <c r="N2690" s="63"/>
      <c r="O2690" s="63"/>
      <c r="P2690" s="63"/>
      <c r="Q2690" s="63"/>
      <c r="R2690" s="63"/>
      <c r="S2690" s="63"/>
      <c r="T2690" s="63"/>
      <c r="U2690" s="63"/>
      <c r="V2690" s="63"/>
      <c r="W2690" s="63"/>
      <c r="X2690" s="63"/>
      <c r="Y2690" s="63"/>
      <c r="Z2690" s="63"/>
      <c r="AA2690" s="63"/>
      <c r="AB2690" s="63"/>
      <c r="AC2690" s="63"/>
    </row>
    <row r="2691" spans="1:29" x14ac:dyDescent="0.25">
      <c r="A2691" s="108">
        <v>46094</v>
      </c>
      <c r="B2691" s="128">
        <v>210</v>
      </c>
      <c r="C2691" s="49" t="s">
        <v>19</v>
      </c>
      <c r="D2691" s="110" t="str">
        <f>IF(ISBLANK($B2691),"",IFERROR(VLOOKUP($B2691,ESTOQUE!$B$2:$D$97168,3,FALSE),"Produto não cadastrado"))</f>
        <v>COLETE REFLETIVO LARANJA G</v>
      </c>
      <c r="E2691" s="99" t="str">
        <f>_xlfn.XLOOKUP(B2691,ESTOQUE!B:B,ESTOQUE!G:G,"",0)</f>
        <v>UND</v>
      </c>
      <c r="F2691" s="99">
        <v>4</v>
      </c>
      <c r="G2691" s="146"/>
      <c r="H2691" s="146"/>
      <c r="I2691" s="147"/>
      <c r="J2691" s="147"/>
      <c r="K2691" s="63"/>
      <c r="L2691" s="63"/>
      <c r="M2691" s="63"/>
      <c r="N2691" s="63"/>
      <c r="O2691" s="63"/>
      <c r="P2691" s="63"/>
      <c r="Q2691" s="63"/>
      <c r="R2691" s="63"/>
      <c r="S2691" s="63"/>
      <c r="T2691" s="63"/>
      <c r="U2691" s="63"/>
      <c r="V2691" s="63"/>
      <c r="W2691" s="63"/>
      <c r="X2691" s="63"/>
      <c r="Y2691" s="63"/>
      <c r="Z2691" s="63"/>
      <c r="AA2691" s="63"/>
      <c r="AB2691" s="63"/>
      <c r="AC2691" s="63"/>
    </row>
    <row r="2692" spans="1:29" x14ac:dyDescent="0.25">
      <c r="A2692" s="108">
        <v>46094</v>
      </c>
      <c r="B2692" s="128">
        <v>97</v>
      </c>
      <c r="C2692" s="49" t="s">
        <v>19</v>
      </c>
      <c r="D2692" s="110" t="str">
        <f>IF(ISBLANK($B2692),"",IFERROR(VLOOKUP($B2692,ESTOQUE!$B$2:$D$97168,3,FALSE),"Produto não cadastrado"))</f>
        <v>COLETE REFLETIVO LARANJA M</v>
      </c>
      <c r="E2692" s="99" t="str">
        <f>_xlfn.XLOOKUP(B2692,ESTOQUE!B:B,ESTOQUE!G:G,"",0)</f>
        <v>UND</v>
      </c>
      <c r="F2692" s="99">
        <v>1</v>
      </c>
      <c r="G2692" s="146"/>
      <c r="H2692" s="146"/>
      <c r="I2692" s="147"/>
      <c r="J2692" s="147"/>
      <c r="K2692" s="63"/>
      <c r="L2692" s="63"/>
      <c r="M2692" s="63"/>
      <c r="N2692" s="63"/>
      <c r="O2692" s="63"/>
      <c r="P2692" s="63"/>
      <c r="Q2692" s="63"/>
      <c r="R2692" s="63"/>
      <c r="S2692" s="63"/>
      <c r="T2692" s="63"/>
      <c r="U2692" s="63"/>
      <c r="V2692" s="63"/>
      <c r="W2692" s="63"/>
      <c r="X2692" s="63"/>
      <c r="Y2692" s="63"/>
      <c r="Z2692" s="63"/>
      <c r="AA2692" s="63"/>
      <c r="AB2692" s="63"/>
      <c r="AC2692" s="63"/>
    </row>
    <row r="2693" spans="1:29" x14ac:dyDescent="0.25">
      <c r="A2693" s="108">
        <v>46094</v>
      </c>
      <c r="B2693" s="128">
        <v>110</v>
      </c>
      <c r="C2693" s="49" t="s">
        <v>19</v>
      </c>
      <c r="D2693" s="110" t="str">
        <f>IF(ISBLANK($B2693),"",IFERROR(VLOOKUP($B2693,ESTOQUE!$B$2:$D$97168,3,FALSE),"Produto não cadastrado"))</f>
        <v>LUVA DE RASPA CANO LONGO</v>
      </c>
      <c r="E2693" s="99" t="str">
        <f>_xlfn.XLOOKUP(B2693,ESTOQUE!B:B,ESTOQUE!G:G,"",0)</f>
        <v>PAR</v>
      </c>
      <c r="F2693" s="99">
        <v>7</v>
      </c>
      <c r="G2693" s="146"/>
      <c r="H2693" s="146"/>
      <c r="I2693" s="147"/>
      <c r="J2693" s="147"/>
      <c r="K2693" s="63"/>
      <c r="L2693" s="63"/>
      <c r="M2693" s="63"/>
      <c r="N2693" s="63"/>
      <c r="O2693" s="63"/>
      <c r="P2693" s="63"/>
      <c r="Q2693" s="63"/>
      <c r="R2693" s="63"/>
      <c r="S2693" s="63"/>
      <c r="T2693" s="63"/>
      <c r="U2693" s="63"/>
      <c r="V2693" s="63"/>
      <c r="W2693" s="63"/>
      <c r="X2693" s="63"/>
      <c r="Y2693" s="63"/>
      <c r="Z2693" s="63"/>
      <c r="AA2693" s="63"/>
      <c r="AB2693" s="63"/>
      <c r="AC2693" s="63"/>
    </row>
    <row r="2694" spans="1:29" x14ac:dyDescent="0.25">
      <c r="A2694" s="108">
        <v>46094</v>
      </c>
      <c r="B2694" s="128">
        <v>111</v>
      </c>
      <c r="C2694" s="49" t="s">
        <v>19</v>
      </c>
      <c r="D2694" s="110" t="str">
        <f>IF(ISBLANK($B2694),"",IFERROR(VLOOKUP($B2694,ESTOQUE!$B$2:$D$97168,3,FALSE),"Produto não cadastrado"))</f>
        <v>LUVA DE VAQUETA MARROM</v>
      </c>
      <c r="E2694" s="99" t="str">
        <f>_xlfn.XLOOKUP(B2694,ESTOQUE!B:B,ESTOQUE!G:G,"",0)</f>
        <v>PAR</v>
      </c>
      <c r="F2694" s="99">
        <v>31</v>
      </c>
      <c r="G2694" s="146"/>
      <c r="H2694" s="146"/>
      <c r="I2694" s="147"/>
      <c r="J2694" s="147"/>
      <c r="K2694" s="63"/>
      <c r="L2694" s="63"/>
      <c r="M2694" s="63"/>
      <c r="N2694" s="63"/>
      <c r="O2694" s="63"/>
      <c r="P2694" s="63"/>
      <c r="Q2694" s="63"/>
      <c r="R2694" s="63"/>
      <c r="S2694" s="63"/>
      <c r="T2694" s="63"/>
      <c r="U2694" s="63"/>
      <c r="V2694" s="63"/>
      <c r="W2694" s="63"/>
      <c r="X2694" s="63"/>
      <c r="Y2694" s="63"/>
      <c r="Z2694" s="63"/>
      <c r="AA2694" s="63"/>
      <c r="AB2694" s="63"/>
      <c r="AC2694" s="63"/>
    </row>
    <row r="2695" spans="1:29" x14ac:dyDescent="0.25">
      <c r="A2695" s="108">
        <v>46094</v>
      </c>
      <c r="B2695" s="128">
        <v>189</v>
      </c>
      <c r="C2695" s="49" t="s">
        <v>19</v>
      </c>
      <c r="D2695" s="110" t="str">
        <f>IF(ISBLANK($B2695),"",IFERROR(VLOOKUP($B2695,ESTOQUE!$B$2:$D$97168,3,FALSE),"Produto não cadastrado"))</f>
        <v xml:space="preserve">LUVA DE VAQUETA MISTA </v>
      </c>
      <c r="E2695" s="99" t="str">
        <f>_xlfn.XLOOKUP(B2695,ESTOQUE!B:B,ESTOQUE!G:G,"",0)</f>
        <v>UND</v>
      </c>
      <c r="F2695" s="99">
        <v>20</v>
      </c>
      <c r="G2695" s="146"/>
      <c r="H2695" s="146"/>
      <c r="I2695" s="147"/>
      <c r="J2695" s="147"/>
      <c r="K2695" s="63"/>
      <c r="L2695" s="63"/>
      <c r="M2695" s="63"/>
      <c r="N2695" s="63"/>
      <c r="O2695" s="63"/>
      <c r="P2695" s="63"/>
      <c r="Q2695" s="63"/>
      <c r="R2695" s="63"/>
      <c r="S2695" s="63"/>
      <c r="T2695" s="63"/>
      <c r="U2695" s="63"/>
      <c r="V2695" s="63"/>
      <c r="W2695" s="63"/>
      <c r="X2695" s="63"/>
      <c r="Y2695" s="63"/>
      <c r="Z2695" s="63"/>
      <c r="AA2695" s="63"/>
      <c r="AB2695" s="63"/>
      <c r="AC2695" s="63"/>
    </row>
    <row r="2696" spans="1:29" x14ac:dyDescent="0.25">
      <c r="A2696" s="108">
        <v>46094</v>
      </c>
      <c r="B2696" s="128">
        <v>114</v>
      </c>
      <c r="C2696" s="49" t="s">
        <v>19</v>
      </c>
      <c r="D2696" s="110" t="str">
        <f>IF(ISBLANK($B2696),"",IFERROR(VLOOKUP($B2696,ESTOQUE!$B$2:$D$97168,3,FALSE),"Produto não cadastrado"))</f>
        <v xml:space="preserve">LUVA LATEX NITRILICA </v>
      </c>
      <c r="E2696" s="99" t="str">
        <f>_xlfn.XLOOKUP(B2696,ESTOQUE!B:B,ESTOQUE!G:G,"",0)</f>
        <v>PAR</v>
      </c>
      <c r="F2696" s="99">
        <v>12</v>
      </c>
      <c r="G2696" s="146"/>
      <c r="H2696" s="146"/>
      <c r="I2696" s="147"/>
      <c r="J2696" s="147"/>
      <c r="K2696" s="63"/>
      <c r="L2696" s="63"/>
      <c r="M2696" s="63"/>
      <c r="N2696" s="63"/>
      <c r="O2696" s="63"/>
      <c r="P2696" s="63"/>
      <c r="Q2696" s="63"/>
      <c r="R2696" s="63"/>
      <c r="S2696" s="63"/>
      <c r="T2696" s="63"/>
      <c r="U2696" s="63"/>
      <c r="V2696" s="63"/>
      <c r="W2696" s="63"/>
      <c r="X2696" s="63"/>
      <c r="Y2696" s="63"/>
      <c r="Z2696" s="63"/>
      <c r="AA2696" s="63"/>
      <c r="AB2696" s="63"/>
      <c r="AC2696" s="63"/>
    </row>
    <row r="2697" spans="1:29" x14ac:dyDescent="0.25">
      <c r="A2697" s="108">
        <v>46094</v>
      </c>
      <c r="B2697" s="128">
        <v>117</v>
      </c>
      <c r="C2697" s="49" t="s">
        <v>19</v>
      </c>
      <c r="D2697" s="110" t="str">
        <f>IF(ISBLANK($B2697),"",IFERROR(VLOOKUP($B2697,ESTOQUE!$B$2:$D$97168,3,FALSE),"Produto não cadastrado"))</f>
        <v>LUVA PIGMENTADA</v>
      </c>
      <c r="E2697" s="99" t="str">
        <f>_xlfn.XLOOKUP(B2697,ESTOQUE!B:B,ESTOQUE!G:G,"",0)</f>
        <v>PAR</v>
      </c>
      <c r="F2697" s="99">
        <v>24</v>
      </c>
      <c r="G2697" s="146"/>
      <c r="H2697" s="146"/>
      <c r="I2697" s="147"/>
      <c r="J2697" s="147"/>
      <c r="K2697" s="63"/>
      <c r="L2697" s="63"/>
      <c r="M2697" s="63"/>
      <c r="N2697" s="63"/>
      <c r="O2697" s="63"/>
      <c r="P2697" s="63"/>
      <c r="Q2697" s="63"/>
      <c r="R2697" s="63"/>
      <c r="S2697" s="63"/>
      <c r="T2697" s="63"/>
      <c r="U2697" s="63"/>
      <c r="V2697" s="63"/>
      <c r="W2697" s="63"/>
      <c r="X2697" s="63"/>
      <c r="Y2697" s="63"/>
      <c r="Z2697" s="63"/>
      <c r="AA2697" s="63"/>
      <c r="AB2697" s="63"/>
      <c r="AC2697" s="63"/>
    </row>
    <row r="2698" spans="1:29" x14ac:dyDescent="0.25">
      <c r="A2698" s="108">
        <v>46094</v>
      </c>
      <c r="B2698" s="128">
        <v>207</v>
      </c>
      <c r="C2698" s="49" t="s">
        <v>19</v>
      </c>
      <c r="D2698" s="110" t="str">
        <f>IF(ISBLANK($B2698),"",IFERROR(VLOOKUP($B2698,ESTOQUE!$B$2:$D$97168,3,FALSE),"Produto não cadastrado"))</f>
        <v>LUVA POLIESTER ANTICORTE BANHADA PU TAM 9</v>
      </c>
      <c r="E2698" s="99" t="str">
        <f>_xlfn.XLOOKUP(B2698,ESTOQUE!B:B,ESTOQUE!G:G,"",0)</f>
        <v>PAR</v>
      </c>
      <c r="F2698" s="99">
        <v>1</v>
      </c>
      <c r="G2698" s="146"/>
      <c r="H2698" s="146"/>
      <c r="I2698" s="147"/>
      <c r="J2698" s="147"/>
      <c r="K2698" s="63"/>
      <c r="L2698" s="63"/>
      <c r="M2698" s="63"/>
      <c r="N2698" s="63"/>
      <c r="O2698" s="63"/>
      <c r="P2698" s="63"/>
      <c r="Q2698" s="63"/>
      <c r="R2698" s="63"/>
      <c r="S2698" s="63"/>
      <c r="T2698" s="63"/>
      <c r="U2698" s="63"/>
      <c r="V2698" s="63"/>
      <c r="W2698" s="63"/>
      <c r="X2698" s="63"/>
      <c r="Y2698" s="63"/>
      <c r="Z2698" s="63"/>
      <c r="AA2698" s="63"/>
      <c r="AB2698" s="63"/>
      <c r="AC2698" s="63"/>
    </row>
    <row r="2699" spans="1:29" x14ac:dyDescent="0.25">
      <c r="A2699" s="108">
        <v>46094</v>
      </c>
      <c r="B2699" s="128">
        <v>267</v>
      </c>
      <c r="C2699" s="49" t="s">
        <v>19</v>
      </c>
      <c r="D2699" s="110" t="str">
        <f>IF(ISBLANK($B2699),"",IFERROR(VLOOKUP($B2699,ESTOQUE!$B$2:$D$97168,3,FALSE),"Produto não cadastrado"))</f>
        <v>LUVA POLIESTER ANTICORTE CANO LONGO</v>
      </c>
      <c r="E2699" s="99" t="str">
        <f>_xlfn.XLOOKUP(B2699,ESTOQUE!B:B,ESTOQUE!G:G,"",0)</f>
        <v>UND</v>
      </c>
      <c r="F2699" s="99">
        <v>2</v>
      </c>
      <c r="G2699" s="146"/>
      <c r="H2699" s="146"/>
      <c r="I2699" s="147"/>
      <c r="J2699" s="147"/>
      <c r="K2699" s="63"/>
      <c r="L2699" s="63"/>
      <c r="M2699" s="63"/>
      <c r="N2699" s="63"/>
      <c r="O2699" s="63"/>
      <c r="P2699" s="63"/>
      <c r="Q2699" s="63"/>
      <c r="R2699" s="63"/>
      <c r="S2699" s="63"/>
      <c r="T2699" s="63"/>
      <c r="U2699" s="63"/>
      <c r="V2699" s="63"/>
      <c r="W2699" s="63"/>
      <c r="X2699" s="63"/>
      <c r="Y2699" s="63"/>
      <c r="Z2699" s="63"/>
      <c r="AA2699" s="63"/>
      <c r="AB2699" s="63"/>
      <c r="AC2699" s="63"/>
    </row>
    <row r="2700" spans="1:29" x14ac:dyDescent="0.25">
      <c r="A2700" s="108">
        <v>46094</v>
      </c>
      <c r="B2700" s="128">
        <v>118</v>
      </c>
      <c r="C2700" s="49" t="s">
        <v>19</v>
      </c>
      <c r="D2700" s="110" t="str">
        <f>IF(ISBLANK($B2700),"",IFERROR(VLOOKUP($B2700,ESTOQUE!$B$2:$D$97168,3,FALSE),"Produto não cadastrado"))</f>
        <v>MACACÃO DE PROTEÇÃO TYVEK</v>
      </c>
      <c r="E2700" s="99" t="str">
        <f>_xlfn.XLOOKUP(B2700,ESTOQUE!B:B,ESTOQUE!G:G,"",0)</f>
        <v>UND</v>
      </c>
      <c r="F2700" s="99">
        <v>95</v>
      </c>
      <c r="G2700" s="146"/>
      <c r="H2700" s="146"/>
      <c r="I2700" s="147"/>
      <c r="J2700" s="147"/>
      <c r="K2700" s="63"/>
      <c r="L2700" s="63"/>
      <c r="M2700" s="63"/>
      <c r="N2700" s="63"/>
      <c r="O2700" s="63"/>
      <c r="P2700" s="63"/>
      <c r="Q2700" s="63"/>
      <c r="R2700" s="63"/>
      <c r="S2700" s="63"/>
      <c r="T2700" s="63"/>
      <c r="U2700" s="63"/>
      <c r="V2700" s="63"/>
      <c r="W2700" s="63"/>
      <c r="X2700" s="63"/>
      <c r="Y2700" s="63"/>
      <c r="Z2700" s="63"/>
      <c r="AA2700" s="63"/>
      <c r="AB2700" s="63"/>
      <c r="AC2700" s="63"/>
    </row>
    <row r="2701" spans="1:29" x14ac:dyDescent="0.25">
      <c r="A2701" s="108">
        <v>46094</v>
      </c>
      <c r="B2701" s="128">
        <v>125</v>
      </c>
      <c r="C2701" s="49" t="s">
        <v>19</v>
      </c>
      <c r="D2701" s="110" t="str">
        <f>IF(ISBLANK($B2701),"",IFERROR(VLOOKUP($B2701,ESTOQUE!$B$2:$D$97168,3,FALSE),"Produto não cadastrado"))</f>
        <v xml:space="preserve">MASCARA DE SOLDA AUTOMATICA </v>
      </c>
      <c r="E2701" s="99" t="str">
        <f>_xlfn.XLOOKUP(B2701,ESTOQUE!B:B,ESTOQUE!G:G,"",0)</f>
        <v>UND</v>
      </c>
      <c r="F2701" s="99">
        <v>1</v>
      </c>
      <c r="G2701" s="146"/>
      <c r="H2701" s="146"/>
      <c r="I2701" s="147"/>
      <c r="J2701" s="147"/>
      <c r="K2701" s="63"/>
      <c r="L2701" s="63"/>
      <c r="M2701" s="63"/>
      <c r="N2701" s="63"/>
      <c r="O2701" s="63"/>
      <c r="P2701" s="63"/>
      <c r="Q2701" s="63"/>
      <c r="R2701" s="63"/>
      <c r="S2701" s="63"/>
      <c r="T2701" s="63"/>
      <c r="U2701" s="63"/>
      <c r="V2701" s="63"/>
      <c r="W2701" s="63"/>
      <c r="X2701" s="63"/>
      <c r="Y2701" s="63"/>
      <c r="Z2701" s="63"/>
      <c r="AA2701" s="63"/>
      <c r="AB2701" s="63"/>
      <c r="AC2701" s="63"/>
    </row>
    <row r="2702" spans="1:29" x14ac:dyDescent="0.25">
      <c r="A2702" s="108">
        <v>46094</v>
      </c>
      <c r="B2702" s="128">
        <v>144</v>
      </c>
      <c r="C2702" s="49" t="s">
        <v>19</v>
      </c>
      <c r="D2702" s="110" t="str">
        <f>IF(ISBLANK($B2702),"",IFERROR(VLOOKUP($B2702,ESTOQUE!$B$2:$D$97168,3,FALSE),"Produto não cadastrado"))</f>
        <v>MASCARA PFF2-S C/ FILTRO</v>
      </c>
      <c r="E2702" s="99" t="str">
        <f>_xlfn.XLOOKUP(B2702,ESTOQUE!B:B,ESTOQUE!G:G,"",0)</f>
        <v>UND</v>
      </c>
      <c r="F2702" s="99">
        <v>3</v>
      </c>
      <c r="G2702" s="146"/>
      <c r="H2702" s="146"/>
      <c r="I2702" s="147"/>
      <c r="J2702" s="147"/>
      <c r="K2702" s="63"/>
      <c r="L2702" s="63"/>
      <c r="M2702" s="63"/>
      <c r="N2702" s="63"/>
      <c r="O2702" s="63"/>
      <c r="P2702" s="63"/>
      <c r="Q2702" s="63"/>
      <c r="R2702" s="63"/>
      <c r="S2702" s="63"/>
      <c r="T2702" s="63"/>
      <c r="U2702" s="63"/>
      <c r="V2702" s="63"/>
      <c r="W2702" s="63"/>
      <c r="X2702" s="63"/>
      <c r="Y2702" s="63"/>
      <c r="Z2702" s="63"/>
      <c r="AA2702" s="63"/>
      <c r="AB2702" s="63"/>
      <c r="AC2702" s="63"/>
    </row>
    <row r="2703" spans="1:29" x14ac:dyDescent="0.25">
      <c r="A2703" s="108">
        <v>46094</v>
      </c>
      <c r="B2703" s="128">
        <v>126</v>
      </c>
      <c r="C2703" s="49" t="s">
        <v>19</v>
      </c>
      <c r="D2703" s="110" t="str">
        <f>IF(ISBLANK($B2703),"",IFERROR(VLOOKUP($B2703,ESTOQUE!$B$2:$D$97168,3,FALSE),"Produto não cadastrado"))</f>
        <v>OCULOS DE PROTEÇÃO ESCURO</v>
      </c>
      <c r="E2703" s="99" t="str">
        <f>_xlfn.XLOOKUP(B2703,ESTOQUE!B:B,ESTOQUE!G:G,"",0)</f>
        <v>UND</v>
      </c>
      <c r="F2703" s="99">
        <v>121</v>
      </c>
      <c r="G2703" s="146"/>
      <c r="H2703" s="146"/>
      <c r="I2703" s="147"/>
      <c r="J2703" s="147"/>
      <c r="K2703" s="63"/>
      <c r="L2703" s="63"/>
      <c r="M2703" s="63"/>
      <c r="N2703" s="63"/>
      <c r="O2703" s="63"/>
      <c r="P2703" s="63"/>
      <c r="Q2703" s="63"/>
      <c r="R2703" s="63"/>
      <c r="S2703" s="63"/>
      <c r="T2703" s="63"/>
      <c r="U2703" s="63"/>
      <c r="V2703" s="63"/>
      <c r="W2703" s="63"/>
      <c r="X2703" s="63"/>
      <c r="Y2703" s="63"/>
      <c r="Z2703" s="63"/>
      <c r="AA2703" s="63"/>
      <c r="AB2703" s="63"/>
      <c r="AC2703" s="63"/>
    </row>
    <row r="2704" spans="1:29" x14ac:dyDescent="0.25">
      <c r="A2704" s="108">
        <v>46094</v>
      </c>
      <c r="B2704" s="128">
        <v>124</v>
      </c>
      <c r="C2704" s="49" t="s">
        <v>19</v>
      </c>
      <c r="D2704" s="110" t="str">
        <f>IF(ISBLANK($B2704),"",IFERROR(VLOOKUP($B2704,ESTOQUE!$B$2:$D$97168,3,FALSE),"Produto não cadastrado"))</f>
        <v xml:space="preserve">OCULOS DE PROTEÇÃO INCOLOR </v>
      </c>
      <c r="E2704" s="99" t="str">
        <f>_xlfn.XLOOKUP(B2704,ESTOQUE!B:B,ESTOQUE!G:G,"",0)</f>
        <v>UND</v>
      </c>
      <c r="F2704" s="99">
        <v>20</v>
      </c>
      <c r="G2704" s="146"/>
      <c r="H2704" s="146"/>
      <c r="I2704" s="147"/>
      <c r="J2704" s="147"/>
      <c r="K2704" s="63"/>
      <c r="L2704" s="63"/>
      <c r="M2704" s="63"/>
      <c r="N2704" s="63"/>
      <c r="O2704" s="63"/>
      <c r="P2704" s="63"/>
      <c r="Q2704" s="63"/>
      <c r="R2704" s="63"/>
      <c r="S2704" s="63"/>
      <c r="T2704" s="63"/>
      <c r="U2704" s="63"/>
      <c r="V2704" s="63"/>
      <c r="W2704" s="63"/>
      <c r="X2704" s="63"/>
      <c r="Y2704" s="63"/>
      <c r="Z2704" s="63"/>
      <c r="AA2704" s="63"/>
      <c r="AB2704" s="63"/>
      <c r="AC2704" s="63"/>
    </row>
    <row r="2705" spans="1:29" x14ac:dyDescent="0.25">
      <c r="A2705" s="108">
        <v>46094</v>
      </c>
      <c r="B2705" s="128">
        <v>130</v>
      </c>
      <c r="C2705" s="49" t="s">
        <v>19</v>
      </c>
      <c r="D2705" s="110" t="str">
        <f>IF(ISBLANK($B2705),"",IFERROR(VLOOKUP($B2705,ESTOQUE!$B$2:$D$97168,3,FALSE),"Produto não cadastrado"))</f>
        <v>PROTETOR AUDITIVO TIPO CONCHA L-300</v>
      </c>
      <c r="E2705" s="99" t="str">
        <f>_xlfn.XLOOKUP(B2705,ESTOQUE!B:B,ESTOQUE!G:G,"",0)</f>
        <v>UND</v>
      </c>
      <c r="F2705" s="99">
        <v>1</v>
      </c>
      <c r="G2705" s="146"/>
      <c r="H2705" s="146"/>
      <c r="I2705" s="147"/>
      <c r="J2705" s="147"/>
      <c r="K2705" s="63"/>
      <c r="L2705" s="63"/>
      <c r="M2705" s="63"/>
      <c r="N2705" s="63"/>
      <c r="O2705" s="63"/>
      <c r="P2705" s="63"/>
      <c r="Q2705" s="63"/>
      <c r="R2705" s="63"/>
      <c r="S2705" s="63"/>
      <c r="T2705" s="63"/>
      <c r="U2705" s="63"/>
      <c r="V2705" s="63"/>
      <c r="W2705" s="63"/>
      <c r="X2705" s="63"/>
      <c r="Y2705" s="63"/>
      <c r="Z2705" s="63"/>
      <c r="AA2705" s="63"/>
      <c r="AB2705" s="63"/>
      <c r="AC2705" s="63"/>
    </row>
    <row r="2706" spans="1:29" x14ac:dyDescent="0.25">
      <c r="A2706" s="108">
        <v>46094</v>
      </c>
      <c r="B2706" s="128">
        <v>139</v>
      </c>
      <c r="C2706" s="49" t="s">
        <v>19</v>
      </c>
      <c r="D2706" s="110" t="str">
        <f>IF(ISBLANK($B2706),"",IFERROR(VLOOKUP($B2706,ESTOQUE!$B$2:$D$97168,3,FALSE),"Produto não cadastrado"))</f>
        <v>PROTETOR AURICULAR TIPO PLUG</v>
      </c>
      <c r="E2706" s="99" t="str">
        <f>_xlfn.XLOOKUP(B2706,ESTOQUE!B:B,ESTOQUE!G:G,"",0)</f>
        <v>UND</v>
      </c>
      <c r="F2706" s="99">
        <v>30</v>
      </c>
      <c r="G2706" s="146"/>
      <c r="H2706" s="146"/>
      <c r="I2706" s="147"/>
      <c r="J2706" s="147"/>
      <c r="K2706" s="63"/>
      <c r="L2706" s="63"/>
      <c r="M2706" s="63"/>
      <c r="N2706" s="63"/>
      <c r="O2706" s="63"/>
      <c r="P2706" s="63"/>
      <c r="Q2706" s="63"/>
      <c r="R2706" s="63"/>
      <c r="S2706" s="63"/>
      <c r="T2706" s="63"/>
      <c r="U2706" s="63"/>
      <c r="V2706" s="63"/>
      <c r="W2706" s="63"/>
      <c r="X2706" s="63"/>
      <c r="Y2706" s="63"/>
      <c r="Z2706" s="63"/>
      <c r="AA2706" s="63"/>
      <c r="AB2706" s="63"/>
      <c r="AC2706" s="63"/>
    </row>
    <row r="2707" spans="1:29" x14ac:dyDescent="0.25">
      <c r="A2707" s="108">
        <v>46094</v>
      </c>
      <c r="B2707" s="128">
        <v>132</v>
      </c>
      <c r="C2707" s="49" t="s">
        <v>19</v>
      </c>
      <c r="D2707" s="110" t="str">
        <f>IF(ISBLANK($B2707),"",IFERROR(VLOOKUP($B2707,ESTOQUE!$B$2:$D$97168,3,FALSE),"Produto não cadastrado"))</f>
        <v>PROTETOR FACIAL COM LENTE FOSCA</v>
      </c>
      <c r="E2707" s="99" t="str">
        <f>_xlfn.XLOOKUP(B2707,ESTOQUE!B:B,ESTOQUE!G:G,"",0)</f>
        <v>UND</v>
      </c>
      <c r="F2707" s="99">
        <v>0</v>
      </c>
      <c r="G2707" s="146"/>
      <c r="H2707" s="146"/>
      <c r="I2707" s="147"/>
      <c r="J2707" s="147"/>
      <c r="K2707" s="63"/>
      <c r="L2707" s="63"/>
      <c r="M2707" s="63"/>
      <c r="N2707" s="63"/>
      <c r="O2707" s="63"/>
      <c r="P2707" s="63"/>
      <c r="Q2707" s="63"/>
      <c r="R2707" s="63"/>
      <c r="S2707" s="63"/>
      <c r="T2707" s="63"/>
      <c r="U2707" s="63"/>
      <c r="V2707" s="63"/>
      <c r="W2707" s="63"/>
      <c r="X2707" s="63"/>
      <c r="Y2707" s="63"/>
      <c r="Z2707" s="63"/>
      <c r="AA2707" s="63"/>
      <c r="AB2707" s="63"/>
      <c r="AC2707" s="63"/>
    </row>
    <row r="2708" spans="1:29" x14ac:dyDescent="0.25">
      <c r="A2708" s="108">
        <v>46094</v>
      </c>
      <c r="B2708" s="128">
        <v>135</v>
      </c>
      <c r="C2708" s="49" t="s">
        <v>19</v>
      </c>
      <c r="D2708" s="110" t="str">
        <f>IF(ISBLANK($B2708),"",IFERROR(VLOOKUP($B2708,ESTOQUE!$B$2:$D$97168,3,FALSE),"Produto não cadastrado"))</f>
        <v>TALABARTE DUPLO TIPO Y</v>
      </c>
      <c r="E2708" s="99" t="str">
        <f>_xlfn.XLOOKUP(B2708,ESTOQUE!B:B,ESTOQUE!G:G,"",0)</f>
        <v>UND</v>
      </c>
      <c r="F2708" s="99">
        <v>11</v>
      </c>
      <c r="G2708" s="146"/>
      <c r="H2708" s="146"/>
      <c r="I2708" s="147"/>
      <c r="J2708" s="147"/>
      <c r="K2708" s="63"/>
      <c r="L2708" s="63"/>
      <c r="M2708" s="63"/>
      <c r="N2708" s="63"/>
      <c r="O2708" s="63"/>
      <c r="P2708" s="63"/>
      <c r="Q2708" s="63"/>
      <c r="R2708" s="63"/>
      <c r="S2708" s="63"/>
      <c r="T2708" s="63"/>
      <c r="U2708" s="63"/>
      <c r="V2708" s="63"/>
      <c r="W2708" s="63"/>
      <c r="X2708" s="63"/>
      <c r="Y2708" s="63"/>
      <c r="Z2708" s="63"/>
      <c r="AA2708" s="63"/>
      <c r="AB2708" s="63"/>
      <c r="AC2708" s="63"/>
    </row>
    <row r="2709" spans="1:29" x14ac:dyDescent="0.25">
      <c r="A2709" s="108">
        <v>46095</v>
      </c>
      <c r="B2709" s="128">
        <v>31</v>
      </c>
      <c r="C2709" s="49" t="s">
        <v>19</v>
      </c>
      <c r="D2709" s="110" t="str">
        <f>IF(ISBLANK($B2709),"",IFERROR(VLOOKUP($B2709,ESTOQUE!$B$2:$D$97168,3,FALSE),"Produto não cadastrado"))</f>
        <v>BOTINA DE ELETRICISTA Nº 41</v>
      </c>
      <c r="E2709" s="99" t="str">
        <f>_xlfn.XLOOKUP(B2709,ESTOQUE!B:B,ESTOQUE!G:G,"",0)</f>
        <v>PAR</v>
      </c>
      <c r="F2709" s="99">
        <v>1</v>
      </c>
      <c r="G2709" s="146"/>
      <c r="H2709" s="146"/>
      <c r="I2709" s="147"/>
      <c r="J2709" s="147"/>
      <c r="K2709" s="63"/>
      <c r="L2709" s="63"/>
      <c r="M2709" s="63"/>
      <c r="N2709" s="63"/>
      <c r="O2709" s="63"/>
      <c r="P2709" s="63"/>
      <c r="Q2709" s="63"/>
      <c r="R2709" s="63"/>
      <c r="S2709" s="63"/>
      <c r="T2709" s="63"/>
      <c r="U2709" s="63"/>
      <c r="V2709" s="63"/>
      <c r="W2709" s="63"/>
      <c r="X2709" s="63"/>
      <c r="Y2709" s="63"/>
      <c r="Z2709" s="63"/>
      <c r="AA2709" s="63"/>
      <c r="AB2709" s="63"/>
      <c r="AC2709" s="63"/>
    </row>
    <row r="2710" spans="1:29" x14ac:dyDescent="0.25">
      <c r="A2710" s="108">
        <v>46095</v>
      </c>
      <c r="B2710" s="128">
        <v>163</v>
      </c>
      <c r="C2710" s="49" t="s">
        <v>19</v>
      </c>
      <c r="D2710" s="110" t="str">
        <f>IF(ISBLANK($B2710),"",IFERROR(VLOOKUP($B2710,ESTOQUE!$B$2:$D$97168,3,FALSE),"Produto não cadastrado"))</f>
        <v>BOTINA DE ELETRICISTA Nº 43</v>
      </c>
      <c r="E2710" s="99" t="str">
        <f>_xlfn.XLOOKUP(B2710,ESTOQUE!B:B,ESTOQUE!G:G,"",0)</f>
        <v>PAR</v>
      </c>
      <c r="F2710" s="99">
        <v>0</v>
      </c>
      <c r="G2710" s="146"/>
      <c r="H2710" s="146"/>
      <c r="I2710" s="147"/>
      <c r="J2710" s="147"/>
      <c r="K2710" s="63"/>
      <c r="L2710" s="63"/>
      <c r="M2710" s="63"/>
      <c r="N2710" s="63"/>
      <c r="O2710" s="63"/>
      <c r="P2710" s="63"/>
      <c r="Q2710" s="63"/>
      <c r="R2710" s="63"/>
      <c r="S2710" s="63"/>
      <c r="T2710" s="63"/>
      <c r="U2710" s="63"/>
      <c r="V2710" s="63"/>
      <c r="W2710" s="63"/>
      <c r="X2710" s="63"/>
      <c r="Y2710" s="63"/>
      <c r="Z2710" s="63"/>
      <c r="AA2710" s="63"/>
      <c r="AB2710" s="63"/>
      <c r="AC2710" s="63"/>
    </row>
    <row r="2711" spans="1:29" x14ac:dyDescent="0.25">
      <c r="A2711" s="108">
        <v>46095</v>
      </c>
      <c r="B2711" s="128">
        <v>219</v>
      </c>
      <c r="C2711" s="49" t="s">
        <v>19</v>
      </c>
      <c r="D2711" s="110" t="str">
        <f>IF(ISBLANK($B2711),"",IFERROR(VLOOKUP($B2711,ESTOQUE!$B$2:$D$97168,3,FALSE),"Produto não cadastrado"))</f>
        <v>BOTINA SEGURANÇA METATARSO  42</v>
      </c>
      <c r="E2711" s="99" t="str">
        <f>_xlfn.XLOOKUP(B2711,ESTOQUE!B:B,ESTOQUE!G:G,"",0)</f>
        <v>PAR</v>
      </c>
      <c r="F2711" s="99">
        <v>0</v>
      </c>
      <c r="G2711" s="146"/>
      <c r="H2711" s="146"/>
      <c r="I2711" s="147"/>
      <c r="J2711" s="147"/>
      <c r="K2711" s="63"/>
      <c r="L2711" s="63"/>
      <c r="M2711" s="63"/>
      <c r="N2711" s="63"/>
      <c r="O2711" s="63"/>
      <c r="P2711" s="63"/>
      <c r="Q2711" s="63"/>
      <c r="R2711" s="63"/>
      <c r="S2711" s="63"/>
      <c r="T2711" s="63"/>
      <c r="U2711" s="63"/>
      <c r="V2711" s="63"/>
      <c r="W2711" s="63"/>
      <c r="X2711" s="63"/>
      <c r="Y2711" s="63"/>
      <c r="Z2711" s="63"/>
      <c r="AA2711" s="63"/>
      <c r="AB2711" s="63"/>
      <c r="AC2711" s="63"/>
    </row>
    <row r="2712" spans="1:29" x14ac:dyDescent="0.25">
      <c r="A2712" s="108">
        <v>46095</v>
      </c>
      <c r="B2712" s="128">
        <v>46</v>
      </c>
      <c r="C2712" s="49" t="s">
        <v>19</v>
      </c>
      <c r="D2712" s="110" t="str">
        <f>IF(ISBLANK($B2712),"",IFERROR(VLOOKUP($B2712,ESTOQUE!$B$2:$D$97168,3,FALSE),"Produto não cadastrado"))</f>
        <v>CALÇA CINZA OP. C/ FAIXA REFLETIVA TAM: G</v>
      </c>
      <c r="E2712" s="99" t="str">
        <f>_xlfn.XLOOKUP(B2712,ESTOQUE!B:B,ESTOQUE!G:G,"",0)</f>
        <v>UND</v>
      </c>
      <c r="F2712" s="99">
        <v>5</v>
      </c>
      <c r="G2712" s="146"/>
      <c r="H2712" s="146"/>
      <c r="I2712" s="147"/>
      <c r="J2712" s="147"/>
      <c r="K2712" s="63"/>
      <c r="L2712" s="63"/>
      <c r="M2712" s="63"/>
      <c r="N2712" s="63"/>
      <c r="O2712" s="63"/>
      <c r="P2712" s="63"/>
      <c r="Q2712" s="63"/>
      <c r="R2712" s="63"/>
      <c r="S2712" s="63"/>
      <c r="T2712" s="63"/>
      <c r="U2712" s="63"/>
      <c r="V2712" s="63"/>
      <c r="W2712" s="63"/>
      <c r="X2712" s="63"/>
      <c r="Y2712" s="63"/>
      <c r="Z2712" s="63"/>
      <c r="AA2712" s="63"/>
      <c r="AB2712" s="63"/>
      <c r="AC2712" s="63"/>
    </row>
    <row r="2713" spans="1:29" x14ac:dyDescent="0.25">
      <c r="A2713" s="108">
        <v>46095</v>
      </c>
      <c r="B2713" s="128">
        <v>47</v>
      </c>
      <c r="C2713" s="49" t="s">
        <v>19</v>
      </c>
      <c r="D2713" s="110" t="str">
        <f>IF(ISBLANK($B2713),"",IFERROR(VLOOKUP($B2713,ESTOQUE!$B$2:$D$97168,3,FALSE),"Produto não cadastrado"))</f>
        <v>CALÇA CINZA OP. C/ FAIXA REFLETIVA TAM: GG</v>
      </c>
      <c r="E2713" s="99" t="str">
        <f>_xlfn.XLOOKUP(B2713,ESTOQUE!B:B,ESTOQUE!G:G,"",0)</f>
        <v>UND</v>
      </c>
      <c r="F2713" s="99">
        <v>1</v>
      </c>
      <c r="G2713" s="146"/>
      <c r="H2713" s="146"/>
      <c r="I2713" s="147"/>
      <c r="J2713" s="147"/>
      <c r="K2713" s="63"/>
      <c r="L2713" s="63"/>
      <c r="M2713" s="63"/>
      <c r="N2713" s="63"/>
      <c r="O2713" s="63"/>
      <c r="P2713" s="63"/>
      <c r="Q2713" s="63"/>
      <c r="R2713" s="63"/>
      <c r="S2713" s="63"/>
      <c r="T2713" s="63"/>
      <c r="U2713" s="63"/>
      <c r="V2713" s="63"/>
      <c r="W2713" s="63"/>
      <c r="X2713" s="63"/>
      <c r="Y2713" s="63"/>
      <c r="Z2713" s="63"/>
      <c r="AA2713" s="63"/>
      <c r="AB2713" s="63"/>
      <c r="AC2713" s="63"/>
    </row>
    <row r="2714" spans="1:29" x14ac:dyDescent="0.25">
      <c r="A2714" s="108">
        <v>46095</v>
      </c>
      <c r="B2714" s="128">
        <v>48</v>
      </c>
      <c r="C2714" s="49" t="s">
        <v>19</v>
      </c>
      <c r="D2714" s="110" t="str">
        <f>IF(ISBLANK($B2714),"",IFERROR(VLOOKUP($B2714,ESTOQUE!$B$2:$D$97168,3,FALSE),"Produto não cadastrado"))</f>
        <v>CALÇA CINZA OP. C/ FAIXA REFLETIVA TAM: M</v>
      </c>
      <c r="E2714" s="99" t="str">
        <f>_xlfn.XLOOKUP(B2714,ESTOQUE!B:B,ESTOQUE!G:G,"",0)</f>
        <v>UND</v>
      </c>
      <c r="F2714" s="99">
        <v>3</v>
      </c>
      <c r="G2714" s="146"/>
      <c r="H2714" s="146"/>
      <c r="I2714" s="147"/>
      <c r="J2714" s="147"/>
      <c r="K2714" s="63"/>
      <c r="L2714" s="63"/>
      <c r="M2714" s="63"/>
      <c r="N2714" s="63"/>
      <c r="O2714" s="63"/>
      <c r="P2714" s="63"/>
      <c r="Q2714" s="63"/>
      <c r="R2714" s="63"/>
      <c r="S2714" s="63"/>
      <c r="T2714" s="63"/>
      <c r="U2714" s="63"/>
      <c r="V2714" s="63"/>
      <c r="W2714" s="63"/>
      <c r="X2714" s="63"/>
      <c r="Y2714" s="63"/>
      <c r="Z2714" s="63"/>
      <c r="AA2714" s="63"/>
      <c r="AB2714" s="63"/>
      <c r="AC2714" s="63"/>
    </row>
    <row r="2715" spans="1:29" x14ac:dyDescent="0.25">
      <c r="A2715" s="108">
        <v>46095</v>
      </c>
      <c r="B2715" s="128">
        <v>49</v>
      </c>
      <c r="C2715" s="49" t="s">
        <v>19</v>
      </c>
      <c r="D2715" s="110" t="str">
        <f>IF(ISBLANK($B2715),"",IFERROR(VLOOKUP($B2715,ESTOQUE!$B$2:$D$97168,3,FALSE),"Produto não cadastrado"))</f>
        <v>CALÇA CINZA OP. C/ FAIXA REFLETIVA TAM: P</v>
      </c>
      <c r="E2715" s="99" t="str">
        <f>_xlfn.XLOOKUP(B2715,ESTOQUE!B:B,ESTOQUE!G:G,"",0)</f>
        <v>UND</v>
      </c>
      <c r="F2715" s="99">
        <v>0</v>
      </c>
      <c r="G2715" s="146"/>
      <c r="H2715" s="146"/>
      <c r="I2715" s="147"/>
      <c r="J2715" s="147"/>
      <c r="K2715" s="63"/>
      <c r="L2715" s="63"/>
      <c r="M2715" s="63"/>
      <c r="N2715" s="63"/>
      <c r="O2715" s="63"/>
      <c r="P2715" s="63"/>
      <c r="Q2715" s="63"/>
      <c r="R2715" s="63"/>
      <c r="S2715" s="63"/>
      <c r="T2715" s="63"/>
      <c r="U2715" s="63"/>
      <c r="V2715" s="63"/>
      <c r="W2715" s="63"/>
      <c r="X2715" s="63"/>
      <c r="Y2715" s="63"/>
      <c r="Z2715" s="63"/>
      <c r="AA2715" s="63"/>
      <c r="AB2715" s="63"/>
      <c r="AC2715" s="63"/>
    </row>
    <row r="2716" spans="1:29" x14ac:dyDescent="0.25">
      <c r="A2716" s="108">
        <v>46095</v>
      </c>
      <c r="B2716" s="128">
        <v>67</v>
      </c>
      <c r="C2716" s="49" t="s">
        <v>19</v>
      </c>
      <c r="D2716" s="110" t="str">
        <f>IF(ISBLANK($B2716),"",IFERROR(VLOOKUP($B2716,ESTOQUE!$B$2:$D$97168,3,FALSE),"Produto não cadastrado"))</f>
        <v>CAMISA LARANJA OP. C/ FAIXA REFLETIVA TAM: G</v>
      </c>
      <c r="E2716" s="99" t="str">
        <f>_xlfn.XLOOKUP(B2716,ESTOQUE!B:B,ESTOQUE!G:G,"",0)</f>
        <v>UND</v>
      </c>
      <c r="F2716" s="99">
        <v>3</v>
      </c>
      <c r="G2716" s="146"/>
      <c r="H2716" s="146"/>
      <c r="I2716" s="147"/>
      <c r="J2716" s="147"/>
      <c r="K2716" s="63"/>
      <c r="L2716" s="63"/>
      <c r="M2716" s="63"/>
      <c r="N2716" s="63"/>
      <c r="O2716" s="63"/>
      <c r="P2716" s="63"/>
      <c r="Q2716" s="63"/>
      <c r="R2716" s="63"/>
      <c r="S2716" s="63"/>
      <c r="T2716" s="63"/>
      <c r="U2716" s="63"/>
      <c r="V2716" s="63"/>
      <c r="W2716" s="63"/>
      <c r="X2716" s="63"/>
      <c r="Y2716" s="63"/>
      <c r="Z2716" s="63"/>
      <c r="AA2716" s="63"/>
      <c r="AB2716" s="63"/>
      <c r="AC2716" s="63"/>
    </row>
    <row r="2717" spans="1:29" x14ac:dyDescent="0.25">
      <c r="A2717" s="108">
        <v>46095</v>
      </c>
      <c r="B2717" s="128">
        <v>68</v>
      </c>
      <c r="C2717" s="49" t="s">
        <v>19</v>
      </c>
      <c r="D2717" s="110" t="str">
        <f>IF(ISBLANK($B2717),"",IFERROR(VLOOKUP($B2717,ESTOQUE!$B$2:$D$97168,3,FALSE),"Produto não cadastrado"))</f>
        <v>CAMISA LARANJA OP. C/ FAIXA REFLETIVA TAM: GG</v>
      </c>
      <c r="E2717" s="99" t="str">
        <f>_xlfn.XLOOKUP(B2717,ESTOQUE!B:B,ESTOQUE!G:G,"",0)</f>
        <v>UND</v>
      </c>
      <c r="F2717" s="99">
        <v>2</v>
      </c>
      <c r="G2717" s="146"/>
      <c r="H2717" s="146"/>
      <c r="I2717" s="147"/>
      <c r="J2717" s="147"/>
      <c r="K2717" s="63"/>
      <c r="L2717" s="63"/>
      <c r="M2717" s="63"/>
      <c r="N2717" s="63"/>
      <c r="O2717" s="63"/>
      <c r="P2717" s="63"/>
      <c r="Q2717" s="63"/>
      <c r="R2717" s="63"/>
      <c r="S2717" s="63"/>
      <c r="T2717" s="63"/>
      <c r="U2717" s="63"/>
      <c r="V2717" s="63"/>
      <c r="W2717" s="63"/>
      <c r="X2717" s="63"/>
      <c r="Y2717" s="63"/>
      <c r="Z2717" s="63"/>
      <c r="AA2717" s="63"/>
      <c r="AB2717" s="63"/>
      <c r="AC2717" s="63"/>
    </row>
    <row r="2718" spans="1:29" x14ac:dyDescent="0.25">
      <c r="A2718" s="108">
        <v>46095</v>
      </c>
      <c r="B2718" s="128">
        <v>69</v>
      </c>
      <c r="C2718" s="49" t="s">
        <v>19</v>
      </c>
      <c r="D2718" s="110" t="str">
        <f>IF(ISBLANK($B2718),"",IFERROR(VLOOKUP($B2718,ESTOQUE!$B$2:$D$97168,3,FALSE),"Produto não cadastrado"))</f>
        <v>CAMISA LARANJA OP. C/ FAIXA REFLETIVA TAM: M</v>
      </c>
      <c r="E2718" s="99" t="str">
        <f>_xlfn.XLOOKUP(B2718,ESTOQUE!B:B,ESTOQUE!G:G,"",0)</f>
        <v>UND</v>
      </c>
      <c r="F2718" s="99">
        <v>9</v>
      </c>
      <c r="G2718" s="146"/>
      <c r="H2718" s="146"/>
      <c r="I2718" s="147"/>
      <c r="J2718" s="147"/>
      <c r="K2718" s="63"/>
      <c r="L2718" s="63"/>
      <c r="M2718" s="63"/>
      <c r="N2718" s="63"/>
      <c r="O2718" s="63"/>
      <c r="P2718" s="63"/>
      <c r="Q2718" s="63"/>
      <c r="R2718" s="63"/>
      <c r="S2718" s="63"/>
      <c r="T2718" s="63"/>
      <c r="U2718" s="63"/>
      <c r="V2718" s="63"/>
      <c r="W2718" s="63"/>
      <c r="X2718" s="63"/>
      <c r="Y2718" s="63"/>
      <c r="Z2718" s="63"/>
      <c r="AA2718" s="63"/>
      <c r="AB2718" s="63"/>
      <c r="AC2718" s="63"/>
    </row>
    <row r="2719" spans="1:29" x14ac:dyDescent="0.25">
      <c r="A2719" s="108">
        <v>46095</v>
      </c>
      <c r="B2719" s="128">
        <v>70</v>
      </c>
      <c r="C2719" s="49" t="s">
        <v>19</v>
      </c>
      <c r="D2719" s="110" t="str">
        <f>IF(ISBLANK($B2719),"",IFERROR(VLOOKUP($B2719,ESTOQUE!$B$2:$D$97168,3,FALSE),"Produto não cadastrado"))</f>
        <v>CAMISA LARANJA OP. C/ FAIXA REFLETIVA TAM: P</v>
      </c>
      <c r="E2719" s="99" t="str">
        <f>_xlfn.XLOOKUP(B2719,ESTOQUE!B:B,ESTOQUE!G:G,"",0)</f>
        <v>UND</v>
      </c>
      <c r="F2719" s="99">
        <v>1</v>
      </c>
      <c r="G2719" s="146"/>
      <c r="H2719" s="146"/>
      <c r="I2719" s="147"/>
      <c r="J2719" s="147"/>
      <c r="K2719" s="63"/>
      <c r="L2719" s="63"/>
      <c r="M2719" s="63"/>
      <c r="N2719" s="63"/>
      <c r="O2719" s="63"/>
      <c r="P2719" s="63"/>
      <c r="Q2719" s="63"/>
      <c r="R2719" s="63"/>
      <c r="S2719" s="63"/>
      <c r="T2719" s="63"/>
      <c r="U2719" s="63"/>
      <c r="V2719" s="63"/>
      <c r="W2719" s="63"/>
      <c r="X2719" s="63"/>
      <c r="Y2719" s="63"/>
      <c r="Z2719" s="63"/>
      <c r="AA2719" s="63"/>
      <c r="AB2719" s="63"/>
      <c r="AC2719" s="63"/>
    </row>
    <row r="2720" spans="1:29" x14ac:dyDescent="0.25">
      <c r="A2720" s="108">
        <v>46095</v>
      </c>
      <c r="B2720" s="128">
        <v>96</v>
      </c>
      <c r="C2720" s="49" t="s">
        <v>19</v>
      </c>
      <c r="D2720" s="110" t="str">
        <f>IF(ISBLANK($B2720),"",IFERROR(VLOOKUP($B2720,ESTOQUE!$B$2:$D$97168,3,FALSE),"Produto não cadastrado"))</f>
        <v xml:space="preserve">CINTO DE SEGURANÇA MODELO:C70 </v>
      </c>
      <c r="E2720" s="99" t="str">
        <f>_xlfn.XLOOKUP(B2720,ESTOQUE!B:B,ESTOQUE!G:G,"",0)</f>
        <v>UND</v>
      </c>
      <c r="F2720" s="99">
        <v>5</v>
      </c>
      <c r="G2720" s="146"/>
      <c r="H2720" s="146"/>
      <c r="I2720" s="147"/>
      <c r="J2720" s="147"/>
      <c r="K2720" s="63"/>
      <c r="L2720" s="63"/>
      <c r="M2720" s="63"/>
      <c r="N2720" s="63"/>
      <c r="O2720" s="63"/>
      <c r="P2720" s="63"/>
      <c r="Q2720" s="63"/>
      <c r="R2720" s="63"/>
      <c r="S2720" s="63"/>
      <c r="T2720" s="63"/>
      <c r="U2720" s="63"/>
      <c r="V2720" s="63"/>
      <c r="W2720" s="63"/>
      <c r="X2720" s="63"/>
      <c r="Y2720" s="63"/>
      <c r="Z2720" s="63"/>
      <c r="AA2720" s="63"/>
      <c r="AB2720" s="63"/>
      <c r="AC2720" s="63"/>
    </row>
    <row r="2721" spans="1:29" x14ac:dyDescent="0.25">
      <c r="A2721" s="108">
        <v>46095</v>
      </c>
      <c r="B2721" s="128">
        <v>110</v>
      </c>
      <c r="C2721" s="49" t="s">
        <v>19</v>
      </c>
      <c r="D2721" s="110" t="str">
        <f>IF(ISBLANK($B2721),"",IFERROR(VLOOKUP($B2721,ESTOQUE!$B$2:$D$97168,3,FALSE),"Produto não cadastrado"))</f>
        <v>LUVA DE RASPA CANO LONGO</v>
      </c>
      <c r="E2721" s="99" t="str">
        <f>_xlfn.XLOOKUP(B2721,ESTOQUE!B:B,ESTOQUE!G:G,"",0)</f>
        <v>PAR</v>
      </c>
      <c r="F2721" s="99">
        <v>10</v>
      </c>
      <c r="G2721" s="146"/>
      <c r="H2721" s="146"/>
      <c r="I2721" s="147"/>
      <c r="J2721" s="147"/>
      <c r="K2721" s="63"/>
      <c r="L2721" s="63"/>
      <c r="M2721" s="63"/>
      <c r="N2721" s="63"/>
      <c r="O2721" s="63"/>
      <c r="P2721" s="63"/>
      <c r="Q2721" s="63"/>
      <c r="R2721" s="63"/>
      <c r="S2721" s="63"/>
      <c r="T2721" s="63"/>
      <c r="U2721" s="63"/>
      <c r="V2721" s="63"/>
      <c r="W2721" s="63"/>
      <c r="X2721" s="63"/>
      <c r="Y2721" s="63"/>
      <c r="Z2721" s="63"/>
      <c r="AA2721" s="63"/>
      <c r="AB2721" s="63"/>
      <c r="AC2721" s="63"/>
    </row>
    <row r="2722" spans="1:29" x14ac:dyDescent="0.25">
      <c r="A2722" s="108">
        <v>46095</v>
      </c>
      <c r="B2722" s="128">
        <v>189</v>
      </c>
      <c r="C2722" s="49" t="s">
        <v>19</v>
      </c>
      <c r="D2722" s="110" t="str">
        <f>IF(ISBLANK($B2722),"",IFERROR(VLOOKUP($B2722,ESTOQUE!$B$2:$D$97168,3,FALSE),"Produto não cadastrado"))</f>
        <v xml:space="preserve">LUVA DE VAQUETA MISTA </v>
      </c>
      <c r="E2722" s="99" t="str">
        <f>_xlfn.XLOOKUP(B2722,ESTOQUE!B:B,ESTOQUE!G:G,"",0)</f>
        <v>UND</v>
      </c>
      <c r="F2722" s="99">
        <v>1</v>
      </c>
      <c r="G2722" s="146"/>
      <c r="H2722" s="146"/>
      <c r="I2722" s="147"/>
      <c r="J2722" s="147"/>
      <c r="K2722" s="63"/>
      <c r="L2722" s="63"/>
      <c r="M2722" s="63"/>
      <c r="N2722" s="63"/>
      <c r="O2722" s="63"/>
      <c r="P2722" s="63"/>
      <c r="Q2722" s="63"/>
      <c r="R2722" s="63"/>
      <c r="S2722" s="63"/>
      <c r="T2722" s="63"/>
      <c r="U2722" s="63"/>
      <c r="V2722" s="63"/>
      <c r="W2722" s="63"/>
      <c r="X2722" s="63"/>
      <c r="Y2722" s="63"/>
      <c r="Z2722" s="63"/>
      <c r="AA2722" s="63"/>
      <c r="AB2722" s="63"/>
      <c r="AC2722" s="63"/>
    </row>
    <row r="2723" spans="1:29" x14ac:dyDescent="0.25">
      <c r="A2723" s="108">
        <v>46095</v>
      </c>
      <c r="B2723" s="128">
        <v>114</v>
      </c>
      <c r="C2723" s="49" t="s">
        <v>19</v>
      </c>
      <c r="D2723" s="110" t="str">
        <f>IF(ISBLANK($B2723),"",IFERROR(VLOOKUP($B2723,ESTOQUE!$B$2:$D$97168,3,FALSE),"Produto não cadastrado"))</f>
        <v xml:space="preserve">LUVA LATEX NITRILICA </v>
      </c>
      <c r="E2723" s="99" t="str">
        <f>_xlfn.XLOOKUP(B2723,ESTOQUE!B:B,ESTOQUE!G:G,"",0)</f>
        <v>PAR</v>
      </c>
      <c r="F2723" s="99">
        <v>3</v>
      </c>
      <c r="G2723" s="146"/>
      <c r="H2723" s="146"/>
      <c r="I2723" s="147"/>
      <c r="J2723" s="147"/>
      <c r="K2723" s="63"/>
      <c r="L2723" s="63"/>
      <c r="M2723" s="63"/>
      <c r="N2723" s="63"/>
      <c r="O2723" s="63"/>
      <c r="P2723" s="63"/>
      <c r="Q2723" s="63"/>
      <c r="R2723" s="63"/>
      <c r="S2723" s="63"/>
      <c r="T2723" s="63"/>
      <c r="U2723" s="63"/>
      <c r="V2723" s="63"/>
      <c r="W2723" s="63"/>
      <c r="X2723" s="63"/>
      <c r="Y2723" s="63"/>
      <c r="Z2723" s="63"/>
      <c r="AA2723" s="63"/>
      <c r="AB2723" s="63"/>
      <c r="AC2723" s="63"/>
    </row>
    <row r="2724" spans="1:29" x14ac:dyDescent="0.25">
      <c r="A2724" s="108">
        <v>46095</v>
      </c>
      <c r="B2724" s="128">
        <v>267</v>
      </c>
      <c r="C2724" s="49" t="s">
        <v>19</v>
      </c>
      <c r="D2724" s="110" t="str">
        <f>IF(ISBLANK($B2724),"",IFERROR(VLOOKUP($B2724,ESTOQUE!$B$2:$D$97168,3,FALSE),"Produto não cadastrado"))</f>
        <v>LUVA POLIESTER ANTICORTE CANO LONGO</v>
      </c>
      <c r="E2724" s="99" t="str">
        <f>_xlfn.XLOOKUP(B2724,ESTOQUE!B:B,ESTOQUE!G:G,"",0)</f>
        <v>UND</v>
      </c>
      <c r="F2724" s="99">
        <v>4</v>
      </c>
      <c r="G2724" s="146"/>
      <c r="H2724" s="146"/>
      <c r="I2724" s="147"/>
      <c r="J2724" s="147"/>
      <c r="K2724" s="63"/>
      <c r="L2724" s="63"/>
      <c r="M2724" s="63"/>
      <c r="N2724" s="63"/>
      <c r="O2724" s="63"/>
      <c r="P2724" s="63"/>
      <c r="Q2724" s="63"/>
      <c r="R2724" s="63"/>
      <c r="S2724" s="63"/>
      <c r="T2724" s="63"/>
      <c r="U2724" s="63"/>
      <c r="V2724" s="63"/>
      <c r="W2724" s="63"/>
      <c r="X2724" s="63"/>
      <c r="Y2724" s="63"/>
      <c r="Z2724" s="63"/>
      <c r="AA2724" s="63"/>
      <c r="AB2724" s="63"/>
      <c r="AC2724" s="63"/>
    </row>
    <row r="2725" spans="1:29" x14ac:dyDescent="0.25">
      <c r="A2725" s="108">
        <v>46095</v>
      </c>
      <c r="B2725" s="128">
        <v>118</v>
      </c>
      <c r="C2725" s="49" t="s">
        <v>19</v>
      </c>
      <c r="D2725" s="110" t="str">
        <f>IF(ISBLANK($B2725),"",IFERROR(VLOOKUP($B2725,ESTOQUE!$B$2:$D$97168,3,FALSE),"Produto não cadastrado"))</f>
        <v>MACACÃO DE PROTEÇÃO TYVEK</v>
      </c>
      <c r="E2725" s="99" t="str">
        <f>_xlfn.XLOOKUP(B2725,ESTOQUE!B:B,ESTOQUE!G:G,"",0)</f>
        <v>UND</v>
      </c>
      <c r="F2725" s="99">
        <v>26</v>
      </c>
      <c r="G2725" s="146"/>
      <c r="H2725" s="146"/>
      <c r="I2725" s="147"/>
      <c r="J2725" s="147"/>
      <c r="K2725" s="63"/>
      <c r="L2725" s="63"/>
      <c r="M2725" s="63"/>
      <c r="N2725" s="63"/>
      <c r="O2725" s="63"/>
      <c r="P2725" s="63"/>
      <c r="Q2725" s="63"/>
      <c r="R2725" s="63"/>
      <c r="S2725" s="63"/>
      <c r="T2725" s="63"/>
      <c r="U2725" s="63"/>
      <c r="V2725" s="63"/>
      <c r="W2725" s="63"/>
      <c r="X2725" s="63"/>
      <c r="Y2725" s="63"/>
      <c r="Z2725" s="63"/>
      <c r="AA2725" s="63"/>
      <c r="AB2725" s="63"/>
      <c r="AC2725" s="63"/>
    </row>
    <row r="2726" spans="1:29" x14ac:dyDescent="0.25">
      <c r="A2726" s="108">
        <v>46095</v>
      </c>
      <c r="B2726" s="128">
        <v>131</v>
      </c>
      <c r="C2726" s="49" t="s">
        <v>19</v>
      </c>
      <c r="D2726" s="110" t="str">
        <f>IF(ISBLANK($B2726),"",IFERROR(VLOOKUP($B2726,ESTOQUE!$B$2:$D$97168,3,FALSE),"Produto não cadastrado"))</f>
        <v>MACACÃO DE RASPA MANGA LONGA</v>
      </c>
      <c r="E2726" s="99" t="str">
        <f>_xlfn.XLOOKUP(B2726,ESTOQUE!B:B,ESTOQUE!G:G,"",0)</f>
        <v>UND</v>
      </c>
      <c r="F2726" s="99">
        <v>0</v>
      </c>
      <c r="G2726" s="146"/>
      <c r="H2726" s="146"/>
      <c r="I2726" s="147"/>
      <c r="J2726" s="147"/>
      <c r="K2726" s="63"/>
      <c r="L2726" s="63"/>
      <c r="M2726" s="63"/>
      <c r="N2726" s="63"/>
      <c r="O2726" s="63"/>
      <c r="P2726" s="63"/>
      <c r="Q2726" s="63"/>
      <c r="R2726" s="63"/>
      <c r="S2726" s="63"/>
      <c r="T2726" s="63"/>
      <c r="U2726" s="63"/>
      <c r="V2726" s="63"/>
      <c r="W2726" s="63"/>
      <c r="X2726" s="63"/>
      <c r="Y2726" s="63"/>
      <c r="Z2726" s="63"/>
      <c r="AA2726" s="63"/>
      <c r="AB2726" s="63"/>
      <c r="AC2726" s="63"/>
    </row>
    <row r="2727" spans="1:29" x14ac:dyDescent="0.25">
      <c r="A2727" s="108">
        <v>46095</v>
      </c>
      <c r="B2727" s="128">
        <v>126</v>
      </c>
      <c r="C2727" s="49" t="s">
        <v>19</v>
      </c>
      <c r="D2727" s="110" t="str">
        <f>IF(ISBLANK($B2727),"",IFERROR(VLOOKUP($B2727,ESTOQUE!$B$2:$D$97168,3,FALSE),"Produto não cadastrado"))</f>
        <v>OCULOS DE PROTEÇÃO ESCURO</v>
      </c>
      <c r="E2727" s="99" t="str">
        <f>_xlfn.XLOOKUP(B2727,ESTOQUE!B:B,ESTOQUE!G:G,"",0)</f>
        <v>UND</v>
      </c>
      <c r="F2727" s="99">
        <v>3</v>
      </c>
      <c r="G2727" s="146"/>
      <c r="H2727" s="146"/>
      <c r="I2727" s="147"/>
      <c r="J2727" s="147"/>
      <c r="K2727" s="63"/>
      <c r="L2727" s="63"/>
      <c r="M2727" s="63"/>
      <c r="N2727" s="63"/>
      <c r="O2727" s="63"/>
      <c r="P2727" s="63"/>
      <c r="Q2727" s="63"/>
      <c r="R2727" s="63"/>
      <c r="S2727" s="63"/>
      <c r="T2727" s="63"/>
      <c r="U2727" s="63"/>
      <c r="V2727" s="63"/>
      <c r="W2727" s="63"/>
      <c r="X2727" s="63"/>
      <c r="Y2727" s="63"/>
      <c r="Z2727" s="63"/>
      <c r="AA2727" s="63"/>
      <c r="AB2727" s="63"/>
      <c r="AC2727" s="63"/>
    </row>
    <row r="2728" spans="1:29" x14ac:dyDescent="0.25">
      <c r="A2728" s="108">
        <v>46095</v>
      </c>
      <c r="B2728" s="128">
        <v>124</v>
      </c>
      <c r="C2728" s="49" t="s">
        <v>19</v>
      </c>
      <c r="D2728" s="110" t="str">
        <f>IF(ISBLANK($B2728),"",IFERROR(VLOOKUP($B2728,ESTOQUE!$B$2:$D$97168,3,FALSE),"Produto não cadastrado"))</f>
        <v xml:space="preserve">OCULOS DE PROTEÇÃO INCOLOR </v>
      </c>
      <c r="E2728" s="99" t="str">
        <f>_xlfn.XLOOKUP(B2728,ESTOQUE!B:B,ESTOQUE!G:G,"",0)</f>
        <v>UND</v>
      </c>
      <c r="F2728" s="99">
        <v>3</v>
      </c>
      <c r="G2728" s="146"/>
      <c r="H2728" s="146"/>
      <c r="I2728" s="147"/>
      <c r="J2728" s="147"/>
      <c r="K2728" s="63"/>
      <c r="L2728" s="63"/>
      <c r="M2728" s="63"/>
      <c r="N2728" s="63"/>
      <c r="O2728" s="63"/>
      <c r="P2728" s="63"/>
      <c r="Q2728" s="63"/>
      <c r="R2728" s="63"/>
      <c r="S2728" s="63"/>
      <c r="T2728" s="63"/>
      <c r="U2728" s="63"/>
      <c r="V2728" s="63"/>
      <c r="W2728" s="63"/>
      <c r="X2728" s="63"/>
      <c r="Y2728" s="63"/>
      <c r="Z2728" s="63"/>
      <c r="AA2728" s="63"/>
      <c r="AB2728" s="63"/>
      <c r="AC2728" s="63"/>
    </row>
    <row r="2729" spans="1:29" x14ac:dyDescent="0.25">
      <c r="A2729" s="108">
        <v>46095</v>
      </c>
      <c r="B2729" s="128">
        <v>139</v>
      </c>
      <c r="C2729" s="49" t="s">
        <v>19</v>
      </c>
      <c r="D2729" s="110" t="str">
        <f>IF(ISBLANK($B2729),"",IFERROR(VLOOKUP($B2729,ESTOQUE!$B$2:$D$97168,3,FALSE),"Produto não cadastrado"))</f>
        <v>PROTETOR AURICULAR TIPO PLUG</v>
      </c>
      <c r="E2729" s="99" t="str">
        <f>_xlfn.XLOOKUP(B2729,ESTOQUE!B:B,ESTOQUE!G:G,"",0)</f>
        <v>UND</v>
      </c>
      <c r="F2729" s="99">
        <v>2</v>
      </c>
      <c r="G2729" s="146"/>
      <c r="H2729" s="146"/>
      <c r="I2729" s="147"/>
      <c r="J2729" s="147"/>
      <c r="K2729" s="63"/>
      <c r="L2729" s="63"/>
      <c r="M2729" s="63"/>
      <c r="N2729" s="63"/>
      <c r="O2729" s="63"/>
      <c r="P2729" s="63"/>
      <c r="Q2729" s="63"/>
      <c r="R2729" s="63"/>
      <c r="S2729" s="63"/>
      <c r="T2729" s="63"/>
      <c r="U2729" s="63"/>
      <c r="V2729" s="63"/>
      <c r="W2729" s="63"/>
      <c r="X2729" s="63"/>
      <c r="Y2729" s="63"/>
      <c r="Z2729" s="63"/>
      <c r="AA2729" s="63"/>
      <c r="AB2729" s="63"/>
      <c r="AC2729" s="63"/>
    </row>
    <row r="2730" spans="1:29" x14ac:dyDescent="0.25">
      <c r="A2730" s="108">
        <v>46095</v>
      </c>
      <c r="B2730" s="128">
        <v>135</v>
      </c>
      <c r="C2730" s="49" t="s">
        <v>19</v>
      </c>
      <c r="D2730" s="110" t="str">
        <f>IF(ISBLANK($B2730),"",IFERROR(VLOOKUP($B2730,ESTOQUE!$B$2:$D$97168,3,FALSE),"Produto não cadastrado"))</f>
        <v>TALABARTE DUPLO TIPO Y</v>
      </c>
      <c r="E2730" s="99" t="str">
        <f>_xlfn.XLOOKUP(B2730,ESTOQUE!B:B,ESTOQUE!G:G,"",0)</f>
        <v>UND</v>
      </c>
      <c r="F2730" s="99">
        <v>5</v>
      </c>
      <c r="G2730" s="146"/>
      <c r="H2730" s="146"/>
      <c r="I2730" s="147"/>
      <c r="J2730" s="147"/>
      <c r="K2730" s="63"/>
      <c r="L2730" s="63"/>
      <c r="M2730" s="63"/>
      <c r="N2730" s="63"/>
      <c r="O2730" s="63"/>
      <c r="P2730" s="63"/>
      <c r="Q2730" s="63"/>
      <c r="R2730" s="63"/>
      <c r="S2730" s="63"/>
      <c r="T2730" s="63"/>
      <c r="U2730" s="63"/>
      <c r="V2730" s="63"/>
      <c r="W2730" s="63"/>
      <c r="X2730" s="63"/>
      <c r="Y2730" s="63"/>
      <c r="Z2730" s="63"/>
      <c r="AA2730" s="63"/>
      <c r="AB2730" s="63"/>
      <c r="AC2730" s="63"/>
    </row>
    <row r="2731" spans="1:29" x14ac:dyDescent="0.25">
      <c r="A2731" s="108">
        <v>46095</v>
      </c>
      <c r="B2731" s="128">
        <v>137</v>
      </c>
      <c r="C2731" s="49" t="s">
        <v>19</v>
      </c>
      <c r="D2731" s="110" t="str">
        <f>IF(ISBLANK($B2731),"",IFERROR(VLOOKUP($B2731,ESTOQUE!$B$2:$D$97168,3,FALSE),"Produto não cadastrado"))</f>
        <v xml:space="preserve">TOUCA ARABE </v>
      </c>
      <c r="E2731" s="99" t="str">
        <f>_xlfn.XLOOKUP(B2731,ESTOQUE!B:B,ESTOQUE!G:G,"",0)</f>
        <v>UND</v>
      </c>
      <c r="F2731" s="99">
        <v>2</v>
      </c>
      <c r="G2731" s="146"/>
      <c r="H2731" s="146"/>
      <c r="I2731" s="147"/>
      <c r="J2731" s="147"/>
      <c r="K2731" s="63"/>
      <c r="L2731" s="63"/>
      <c r="M2731" s="63"/>
      <c r="N2731" s="63"/>
      <c r="O2731" s="63"/>
      <c r="P2731" s="63"/>
      <c r="Q2731" s="63"/>
      <c r="R2731" s="63"/>
      <c r="S2731" s="63"/>
      <c r="T2731" s="63"/>
      <c r="U2731" s="63"/>
      <c r="V2731" s="63"/>
      <c r="W2731" s="63"/>
      <c r="X2731" s="63"/>
      <c r="Y2731" s="63"/>
      <c r="Z2731" s="63"/>
      <c r="AA2731" s="63"/>
      <c r="AB2731" s="63"/>
      <c r="AC2731" s="63"/>
    </row>
    <row r="2732" spans="1:29" x14ac:dyDescent="0.25">
      <c r="A2732" s="108">
        <v>46097</v>
      </c>
      <c r="B2732" s="128">
        <v>190</v>
      </c>
      <c r="C2732" s="49" t="s">
        <v>19</v>
      </c>
      <c r="D2732" s="110" t="str">
        <f>IF(ISBLANK($B2732),"",IFERROR(VLOOKUP($B2732,ESTOQUE!$B$2:$D$97168,3,FALSE),"Produto não cadastrado"))</f>
        <v>AVENTAL DE RASPA TAM 120X60</v>
      </c>
      <c r="E2732" s="99" t="str">
        <f>_xlfn.XLOOKUP(B2732,ESTOQUE!B:B,ESTOQUE!G:G,"",0)</f>
        <v>UND</v>
      </c>
      <c r="F2732" s="99">
        <v>1</v>
      </c>
      <c r="G2732" s="146"/>
      <c r="H2732" s="146"/>
      <c r="I2732" s="147"/>
      <c r="J2732" s="147"/>
      <c r="K2732" s="63"/>
      <c r="L2732" s="63"/>
      <c r="M2732" s="63"/>
      <c r="N2732" s="63"/>
      <c r="O2732" s="63"/>
      <c r="P2732" s="63"/>
      <c r="Q2732" s="63"/>
      <c r="R2732" s="63"/>
      <c r="S2732" s="63"/>
      <c r="T2732" s="63"/>
      <c r="U2732" s="63"/>
      <c r="V2732" s="63"/>
      <c r="W2732" s="63"/>
      <c r="X2732" s="63"/>
      <c r="Y2732" s="63"/>
      <c r="Z2732" s="63"/>
      <c r="AA2732" s="63"/>
      <c r="AB2732" s="63"/>
      <c r="AC2732" s="63"/>
    </row>
    <row r="2733" spans="1:29" x14ac:dyDescent="0.25">
      <c r="A2733" s="108">
        <v>46097</v>
      </c>
      <c r="B2733" s="128">
        <v>171</v>
      </c>
      <c r="C2733" s="49" t="s">
        <v>19</v>
      </c>
      <c r="D2733" s="110" t="str">
        <f>IF(ISBLANK($B2733),"",IFERROR(VLOOKUP($B2733,ESTOQUE!$B$2:$D$97168,3,FALSE),"Produto não cadastrado"))</f>
        <v>BOTA PVC CANO CURTO Nº 40</v>
      </c>
      <c r="E2733" s="99" t="str">
        <f>_xlfn.XLOOKUP(B2733,ESTOQUE!B:B,ESTOQUE!G:G,"",0)</f>
        <v>PAR</v>
      </c>
      <c r="F2733" s="99">
        <v>1</v>
      </c>
      <c r="G2733" s="146"/>
      <c r="H2733" s="146"/>
      <c r="I2733" s="147"/>
      <c r="J2733" s="147"/>
      <c r="K2733" s="63"/>
      <c r="L2733" s="63"/>
      <c r="M2733" s="63"/>
      <c r="N2733" s="63"/>
      <c r="O2733" s="63"/>
      <c r="P2733" s="63"/>
      <c r="Q2733" s="63"/>
      <c r="R2733" s="63"/>
      <c r="S2733" s="63"/>
      <c r="T2733" s="63"/>
      <c r="U2733" s="63"/>
      <c r="V2733" s="63"/>
      <c r="W2733" s="63"/>
      <c r="X2733" s="63"/>
      <c r="Y2733" s="63"/>
      <c r="Z2733" s="63"/>
      <c r="AA2733" s="63"/>
      <c r="AB2733" s="63"/>
      <c r="AC2733" s="63"/>
    </row>
    <row r="2734" spans="1:29" x14ac:dyDescent="0.25">
      <c r="A2734" s="108">
        <v>46097</v>
      </c>
      <c r="B2734" s="128">
        <v>8</v>
      </c>
      <c r="C2734" s="49" t="s">
        <v>19</v>
      </c>
      <c r="D2734" s="110" t="str">
        <f>IF(ISBLANK($B2734),"",IFERROR(VLOOKUP($B2734,ESTOQUE!$B$2:$D$97168,3,FALSE),"Produto não cadastrado"))</f>
        <v>BOTA PVC CANO LONGO Nº 40</v>
      </c>
      <c r="E2734" s="99" t="str">
        <f>_xlfn.XLOOKUP(B2734,ESTOQUE!B:B,ESTOQUE!G:G,"",0)</f>
        <v>PAR</v>
      </c>
      <c r="F2734" s="99">
        <v>0</v>
      </c>
      <c r="G2734" s="146"/>
      <c r="H2734" s="146"/>
      <c r="I2734" s="147"/>
      <c r="J2734" s="147"/>
      <c r="K2734" s="63"/>
      <c r="L2734" s="63"/>
      <c r="M2734" s="63"/>
      <c r="N2734" s="63"/>
      <c r="O2734" s="63"/>
      <c r="P2734" s="63"/>
      <c r="Q2734" s="63"/>
      <c r="R2734" s="63"/>
      <c r="S2734" s="63"/>
      <c r="T2734" s="63"/>
      <c r="U2734" s="63"/>
      <c r="V2734" s="63"/>
      <c r="W2734" s="63"/>
      <c r="X2734" s="63"/>
      <c r="Y2734" s="63"/>
      <c r="Z2734" s="63"/>
      <c r="AA2734" s="63"/>
      <c r="AB2734" s="63"/>
      <c r="AC2734" s="63"/>
    </row>
    <row r="2735" spans="1:29" x14ac:dyDescent="0.25">
      <c r="A2735" s="108">
        <v>46097</v>
      </c>
      <c r="B2735" s="128">
        <v>19</v>
      </c>
      <c r="C2735" s="49" t="s">
        <v>19</v>
      </c>
      <c r="D2735" s="110" t="str">
        <f>IF(ISBLANK($B2735),"",IFERROR(VLOOKUP($B2735,ESTOQUE!$B$2:$D$97168,3,FALSE),"Produto não cadastrado"))</f>
        <v>BOTA PVC CANO MEDIO Nº 40</v>
      </c>
      <c r="E2735" s="99" t="str">
        <f>_xlfn.XLOOKUP(B2735,ESTOQUE!B:B,ESTOQUE!G:G,"",0)</f>
        <v>PAR</v>
      </c>
      <c r="F2735" s="99">
        <v>1</v>
      </c>
      <c r="G2735" s="146"/>
      <c r="H2735" s="146"/>
      <c r="I2735" s="147"/>
      <c r="J2735" s="147"/>
      <c r="K2735" s="63"/>
      <c r="L2735" s="63"/>
      <c r="M2735" s="63"/>
      <c r="N2735" s="63"/>
      <c r="O2735" s="63"/>
      <c r="P2735" s="63"/>
      <c r="Q2735" s="63"/>
      <c r="R2735" s="63"/>
      <c r="S2735" s="63"/>
      <c r="T2735" s="63"/>
      <c r="U2735" s="63"/>
      <c r="V2735" s="63"/>
      <c r="W2735" s="63"/>
      <c r="X2735" s="63"/>
      <c r="Y2735" s="63"/>
      <c r="Z2735" s="63"/>
      <c r="AA2735" s="63"/>
      <c r="AB2735" s="63"/>
      <c r="AC2735" s="63"/>
    </row>
    <row r="2736" spans="1:29" x14ac:dyDescent="0.25">
      <c r="A2736" s="108">
        <v>46097</v>
      </c>
      <c r="B2736" s="128">
        <v>20</v>
      </c>
      <c r="C2736" s="49" t="s">
        <v>19</v>
      </c>
      <c r="D2736" s="110" t="str">
        <f>IF(ISBLANK($B2736),"",IFERROR(VLOOKUP($B2736,ESTOQUE!$B$2:$D$97168,3,FALSE),"Produto não cadastrado"))</f>
        <v>BOTA PVC CANO MEDIO Nº 41</v>
      </c>
      <c r="E2736" s="99" t="str">
        <f>_xlfn.XLOOKUP(B2736,ESTOQUE!B:B,ESTOQUE!G:G,"",0)</f>
        <v>PAR</v>
      </c>
      <c r="F2736" s="99">
        <v>1</v>
      </c>
      <c r="G2736" s="146"/>
      <c r="H2736" s="146"/>
      <c r="I2736" s="147"/>
      <c r="J2736" s="147"/>
      <c r="K2736" s="63"/>
      <c r="L2736" s="63"/>
      <c r="M2736" s="63"/>
      <c r="N2736" s="63"/>
      <c r="O2736" s="63"/>
      <c r="P2736" s="63"/>
      <c r="Q2736" s="63"/>
      <c r="R2736" s="63"/>
      <c r="S2736" s="63"/>
      <c r="T2736" s="63"/>
      <c r="U2736" s="63"/>
      <c r="V2736" s="63"/>
      <c r="W2736" s="63"/>
      <c r="X2736" s="63"/>
      <c r="Y2736" s="63"/>
      <c r="Z2736" s="63"/>
      <c r="AA2736" s="63"/>
      <c r="AB2736" s="63"/>
      <c r="AC2736" s="63"/>
    </row>
    <row r="2737" spans="1:29" x14ac:dyDescent="0.25">
      <c r="A2737" s="108">
        <v>46097</v>
      </c>
      <c r="B2737" s="128">
        <v>31</v>
      </c>
      <c r="C2737" s="49" t="s">
        <v>19</v>
      </c>
      <c r="D2737" s="110" t="str">
        <f>IF(ISBLANK($B2737),"",IFERROR(VLOOKUP($B2737,ESTOQUE!$B$2:$D$97168,3,FALSE),"Produto não cadastrado"))</f>
        <v>BOTINA DE ELETRICISTA Nº 41</v>
      </c>
      <c r="E2737" s="99" t="str">
        <f>_xlfn.XLOOKUP(B2737,ESTOQUE!B:B,ESTOQUE!G:G,"",0)</f>
        <v>PAR</v>
      </c>
      <c r="F2737" s="99">
        <v>1</v>
      </c>
      <c r="G2737" s="146"/>
      <c r="H2737" s="146"/>
      <c r="I2737" s="147"/>
      <c r="J2737" s="147"/>
      <c r="K2737" s="63"/>
      <c r="L2737" s="63"/>
      <c r="M2737" s="63"/>
      <c r="N2737" s="63"/>
      <c r="O2737" s="63"/>
      <c r="P2737" s="63"/>
      <c r="Q2737" s="63"/>
      <c r="R2737" s="63"/>
      <c r="S2737" s="63"/>
      <c r="T2737" s="63"/>
      <c r="U2737" s="63"/>
      <c r="V2737" s="63"/>
      <c r="W2737" s="63"/>
      <c r="X2737" s="63"/>
      <c r="Y2737" s="63"/>
      <c r="Z2737" s="63"/>
      <c r="AA2737" s="63"/>
      <c r="AB2737" s="63"/>
      <c r="AC2737" s="63"/>
    </row>
    <row r="2738" spans="1:29" x14ac:dyDescent="0.25">
      <c r="A2738" s="108">
        <v>46097</v>
      </c>
      <c r="B2738" s="128">
        <v>162</v>
      </c>
      <c r="C2738" s="49" t="s">
        <v>19</v>
      </c>
      <c r="D2738" s="110" t="str">
        <f>IF(ISBLANK($B2738),"",IFERROR(VLOOKUP($B2738,ESTOQUE!$B$2:$D$97168,3,FALSE),"Produto não cadastrado"))</f>
        <v>BOTINA DE ELETRICISTA Nº 42</v>
      </c>
      <c r="E2738" s="99" t="str">
        <f>_xlfn.XLOOKUP(B2738,ESTOQUE!B:B,ESTOQUE!G:G,"",0)</f>
        <v>PAR</v>
      </c>
      <c r="F2738" s="99">
        <v>1</v>
      </c>
      <c r="G2738" s="146"/>
      <c r="H2738" s="146"/>
      <c r="I2738" s="147"/>
      <c r="J2738" s="147"/>
      <c r="K2738" s="63"/>
      <c r="L2738" s="63"/>
      <c r="M2738" s="63"/>
      <c r="N2738" s="63"/>
      <c r="O2738" s="63"/>
      <c r="P2738" s="63"/>
      <c r="Q2738" s="63"/>
      <c r="R2738" s="63"/>
      <c r="S2738" s="63"/>
      <c r="T2738" s="63"/>
      <c r="U2738" s="63"/>
      <c r="V2738" s="63"/>
      <c r="W2738" s="63"/>
      <c r="X2738" s="63"/>
      <c r="Y2738" s="63"/>
      <c r="Z2738" s="63"/>
      <c r="AA2738" s="63"/>
      <c r="AB2738" s="63"/>
      <c r="AC2738" s="63"/>
    </row>
    <row r="2739" spans="1:29" x14ac:dyDescent="0.25">
      <c r="A2739" s="108">
        <v>46097</v>
      </c>
      <c r="B2739" s="128">
        <v>46</v>
      </c>
      <c r="C2739" s="49" t="s">
        <v>19</v>
      </c>
      <c r="D2739" s="110" t="str">
        <f>IF(ISBLANK($B2739),"",IFERROR(VLOOKUP($B2739,ESTOQUE!$B$2:$D$97168,3,FALSE),"Produto não cadastrado"))</f>
        <v>CALÇA CINZA OP. C/ FAIXA REFLETIVA TAM: G</v>
      </c>
      <c r="E2739" s="99" t="str">
        <f>_xlfn.XLOOKUP(B2739,ESTOQUE!B:B,ESTOQUE!G:G,"",0)</f>
        <v>UND</v>
      </c>
      <c r="F2739" s="99">
        <v>6</v>
      </c>
      <c r="G2739" s="146"/>
      <c r="H2739" s="146"/>
      <c r="I2739" s="147"/>
      <c r="J2739" s="147"/>
      <c r="K2739" s="63"/>
      <c r="L2739" s="63"/>
      <c r="M2739" s="63"/>
      <c r="N2739" s="63"/>
      <c r="O2739" s="63"/>
      <c r="P2739" s="63"/>
      <c r="Q2739" s="63"/>
      <c r="R2739" s="63"/>
      <c r="S2739" s="63"/>
      <c r="T2739" s="63"/>
      <c r="U2739" s="63"/>
      <c r="V2739" s="63"/>
      <c r="W2739" s="63"/>
      <c r="X2739" s="63"/>
      <c r="Y2739" s="63"/>
      <c r="Z2739" s="63"/>
      <c r="AA2739" s="63"/>
      <c r="AB2739" s="63"/>
      <c r="AC2739" s="63"/>
    </row>
    <row r="2740" spans="1:29" x14ac:dyDescent="0.25">
      <c r="A2740" s="108">
        <v>46097</v>
      </c>
      <c r="B2740" s="128">
        <v>48</v>
      </c>
      <c r="C2740" s="49" t="s">
        <v>19</v>
      </c>
      <c r="D2740" s="110" t="str">
        <f>IF(ISBLANK($B2740),"",IFERROR(VLOOKUP($B2740,ESTOQUE!$B$2:$D$97168,3,FALSE),"Produto não cadastrado"))</f>
        <v>CALÇA CINZA OP. C/ FAIXA REFLETIVA TAM: M</v>
      </c>
      <c r="E2740" s="99" t="str">
        <f>_xlfn.XLOOKUP(B2740,ESTOQUE!B:B,ESTOQUE!G:G,"",0)</f>
        <v>UND</v>
      </c>
      <c r="F2740" s="99">
        <v>12</v>
      </c>
      <c r="G2740" s="146"/>
      <c r="H2740" s="146"/>
      <c r="I2740" s="147"/>
      <c r="J2740" s="147"/>
      <c r="K2740" s="63"/>
      <c r="L2740" s="63"/>
      <c r="M2740" s="63"/>
      <c r="N2740" s="63"/>
      <c r="O2740" s="63"/>
      <c r="P2740" s="63"/>
      <c r="Q2740" s="63"/>
      <c r="R2740" s="63"/>
      <c r="S2740" s="63"/>
      <c r="T2740" s="63"/>
      <c r="U2740" s="63"/>
      <c r="V2740" s="63"/>
      <c r="W2740" s="63"/>
      <c r="X2740" s="63"/>
      <c r="Y2740" s="63"/>
      <c r="Z2740" s="63"/>
      <c r="AA2740" s="63"/>
      <c r="AB2740" s="63"/>
      <c r="AC2740" s="63"/>
    </row>
    <row r="2741" spans="1:29" x14ac:dyDescent="0.25">
      <c r="A2741" s="108">
        <v>46097</v>
      </c>
      <c r="B2741" s="128">
        <v>49</v>
      </c>
      <c r="C2741" s="49" t="s">
        <v>19</v>
      </c>
      <c r="D2741" s="110" t="str">
        <f>IF(ISBLANK($B2741),"",IFERROR(VLOOKUP($B2741,ESTOQUE!$B$2:$D$97168,3,FALSE),"Produto não cadastrado"))</f>
        <v>CALÇA CINZA OP. C/ FAIXA REFLETIVA TAM: P</v>
      </c>
      <c r="E2741" s="99" t="str">
        <f>_xlfn.XLOOKUP(B2741,ESTOQUE!B:B,ESTOQUE!G:G,"",0)</f>
        <v>UND</v>
      </c>
      <c r="F2741" s="99">
        <v>0</v>
      </c>
      <c r="G2741" s="146"/>
      <c r="H2741" s="146"/>
      <c r="I2741" s="147"/>
      <c r="J2741" s="147"/>
      <c r="K2741" s="63"/>
      <c r="L2741" s="63"/>
      <c r="M2741" s="63"/>
      <c r="N2741" s="63"/>
      <c r="O2741" s="63"/>
      <c r="P2741" s="63"/>
      <c r="Q2741" s="63"/>
      <c r="R2741" s="63"/>
      <c r="S2741" s="63"/>
      <c r="T2741" s="63"/>
      <c r="U2741" s="63"/>
      <c r="V2741" s="63"/>
      <c r="W2741" s="63"/>
      <c r="X2741" s="63"/>
      <c r="Y2741" s="63"/>
      <c r="Z2741" s="63"/>
      <c r="AA2741" s="63"/>
      <c r="AB2741" s="63"/>
      <c r="AC2741" s="63"/>
    </row>
    <row r="2742" spans="1:29" x14ac:dyDescent="0.25">
      <c r="A2742" s="108">
        <v>46097</v>
      </c>
      <c r="B2742" s="128">
        <v>67</v>
      </c>
      <c r="C2742" s="49" t="s">
        <v>19</v>
      </c>
      <c r="D2742" s="110" t="str">
        <f>IF(ISBLANK($B2742),"",IFERROR(VLOOKUP($B2742,ESTOQUE!$B$2:$D$97168,3,FALSE),"Produto não cadastrado"))</f>
        <v>CAMISA LARANJA OP. C/ FAIXA REFLETIVA TAM: G</v>
      </c>
      <c r="E2742" s="99" t="str">
        <f>_xlfn.XLOOKUP(B2742,ESTOQUE!B:B,ESTOQUE!G:G,"",0)</f>
        <v>UND</v>
      </c>
      <c r="F2742" s="99">
        <v>6</v>
      </c>
      <c r="G2742" s="146"/>
      <c r="H2742" s="146"/>
      <c r="I2742" s="147"/>
      <c r="J2742" s="147"/>
      <c r="K2742" s="63"/>
      <c r="L2742" s="63"/>
      <c r="M2742" s="63"/>
      <c r="N2742" s="63"/>
      <c r="O2742" s="63"/>
      <c r="P2742" s="63"/>
      <c r="Q2742" s="63"/>
      <c r="R2742" s="63"/>
      <c r="S2742" s="63"/>
      <c r="T2742" s="63"/>
      <c r="U2742" s="63"/>
      <c r="V2742" s="63"/>
      <c r="W2742" s="63"/>
      <c r="X2742" s="63"/>
      <c r="Y2742" s="63"/>
      <c r="Z2742" s="63"/>
      <c r="AA2742" s="63"/>
      <c r="AB2742" s="63"/>
      <c r="AC2742" s="63"/>
    </row>
    <row r="2743" spans="1:29" x14ac:dyDescent="0.25">
      <c r="A2743" s="108">
        <v>46097</v>
      </c>
      <c r="B2743" s="128">
        <v>68</v>
      </c>
      <c r="C2743" s="49" t="s">
        <v>19</v>
      </c>
      <c r="D2743" s="110" t="str">
        <f>IF(ISBLANK($B2743),"",IFERROR(VLOOKUP($B2743,ESTOQUE!$B$2:$D$97168,3,FALSE),"Produto não cadastrado"))</f>
        <v>CAMISA LARANJA OP. C/ FAIXA REFLETIVA TAM: GG</v>
      </c>
      <c r="E2743" s="99" t="str">
        <f>_xlfn.XLOOKUP(B2743,ESTOQUE!B:B,ESTOQUE!G:G,"",0)</f>
        <v>UND</v>
      </c>
      <c r="F2743" s="99">
        <v>1</v>
      </c>
      <c r="G2743" s="146"/>
      <c r="H2743" s="146"/>
      <c r="I2743" s="147"/>
      <c r="J2743" s="147"/>
      <c r="K2743" s="63"/>
      <c r="L2743" s="63"/>
      <c r="M2743" s="63"/>
      <c r="N2743" s="63"/>
      <c r="O2743" s="63"/>
      <c r="P2743" s="63"/>
      <c r="Q2743" s="63"/>
      <c r="R2743" s="63"/>
      <c r="S2743" s="63"/>
      <c r="T2743" s="63"/>
      <c r="U2743" s="63"/>
      <c r="V2743" s="63"/>
      <c r="W2743" s="63"/>
      <c r="X2743" s="63"/>
      <c r="Y2743" s="63"/>
      <c r="Z2743" s="63"/>
      <c r="AA2743" s="63"/>
      <c r="AB2743" s="63"/>
      <c r="AC2743" s="63"/>
    </row>
    <row r="2744" spans="1:29" x14ac:dyDescent="0.25">
      <c r="A2744" s="108">
        <v>46097</v>
      </c>
      <c r="B2744" s="128">
        <v>69</v>
      </c>
      <c r="C2744" s="49" t="s">
        <v>19</v>
      </c>
      <c r="D2744" s="110" t="str">
        <f>IF(ISBLANK($B2744),"",IFERROR(VLOOKUP($B2744,ESTOQUE!$B$2:$D$97168,3,FALSE),"Produto não cadastrado"))</f>
        <v>CAMISA LARANJA OP. C/ FAIXA REFLETIVA TAM: M</v>
      </c>
      <c r="E2744" s="99" t="str">
        <f>_xlfn.XLOOKUP(B2744,ESTOQUE!B:B,ESTOQUE!G:G,"",0)</f>
        <v>UND</v>
      </c>
      <c r="F2744" s="99">
        <v>5</v>
      </c>
      <c r="G2744" s="146"/>
      <c r="H2744" s="146"/>
      <c r="I2744" s="147"/>
      <c r="J2744" s="147"/>
      <c r="K2744" s="63"/>
      <c r="L2744" s="63"/>
      <c r="M2744" s="63"/>
      <c r="N2744" s="63"/>
      <c r="O2744" s="63"/>
      <c r="P2744" s="63"/>
      <c r="Q2744" s="63"/>
      <c r="R2744" s="63"/>
      <c r="S2744" s="63"/>
      <c r="T2744" s="63"/>
      <c r="U2744" s="63"/>
      <c r="V2744" s="63"/>
      <c r="W2744" s="63"/>
      <c r="X2744" s="63"/>
      <c r="Y2744" s="63"/>
      <c r="Z2744" s="63"/>
      <c r="AA2744" s="63"/>
      <c r="AB2744" s="63"/>
      <c r="AC2744" s="63"/>
    </row>
    <row r="2745" spans="1:29" x14ac:dyDescent="0.25">
      <c r="A2745" s="108">
        <v>46097</v>
      </c>
      <c r="B2745" s="128">
        <v>70</v>
      </c>
      <c r="C2745" s="49" t="s">
        <v>19</v>
      </c>
      <c r="D2745" s="110" t="str">
        <f>IF(ISBLANK($B2745),"",IFERROR(VLOOKUP($B2745,ESTOQUE!$B$2:$D$97168,3,FALSE),"Produto não cadastrado"))</f>
        <v>CAMISA LARANJA OP. C/ FAIXA REFLETIVA TAM: P</v>
      </c>
      <c r="E2745" s="99" t="str">
        <f>_xlfn.XLOOKUP(B2745,ESTOQUE!B:B,ESTOQUE!G:G,"",0)</f>
        <v>UND</v>
      </c>
      <c r="F2745" s="99">
        <v>2</v>
      </c>
      <c r="G2745" s="146"/>
      <c r="H2745" s="146"/>
      <c r="I2745" s="147"/>
      <c r="J2745" s="147"/>
      <c r="K2745" s="63"/>
      <c r="L2745" s="63"/>
      <c r="M2745" s="63"/>
      <c r="N2745" s="63"/>
      <c r="O2745" s="63"/>
      <c r="P2745" s="63"/>
      <c r="Q2745" s="63"/>
      <c r="R2745" s="63"/>
      <c r="S2745" s="63"/>
      <c r="T2745" s="63"/>
      <c r="U2745" s="63"/>
      <c r="V2745" s="63"/>
      <c r="W2745" s="63"/>
      <c r="X2745" s="63"/>
      <c r="Y2745" s="63"/>
      <c r="Z2745" s="63"/>
      <c r="AA2745" s="63"/>
      <c r="AB2745" s="63"/>
      <c r="AC2745" s="63"/>
    </row>
    <row r="2746" spans="1:29" x14ac:dyDescent="0.25">
      <c r="A2746" s="108">
        <v>46097</v>
      </c>
      <c r="B2746" s="128">
        <v>73</v>
      </c>
      <c r="C2746" s="49" t="s">
        <v>19</v>
      </c>
      <c r="D2746" s="110" t="str">
        <f>IF(ISBLANK($B2746),"",IFERROR(VLOOKUP($B2746,ESTOQUE!$B$2:$D$97168,3,FALSE),"Produto não cadastrado"))</f>
        <v>CAPA DE CHUVA GG</v>
      </c>
      <c r="E2746" s="99" t="str">
        <f>_xlfn.XLOOKUP(B2746,ESTOQUE!B:B,ESTOQUE!G:G,"",0)</f>
        <v>UND</v>
      </c>
      <c r="F2746" s="99">
        <v>3</v>
      </c>
      <c r="G2746" s="146"/>
      <c r="H2746" s="146"/>
      <c r="I2746" s="147"/>
      <c r="J2746" s="147"/>
      <c r="K2746" s="63"/>
      <c r="L2746" s="63"/>
      <c r="M2746" s="63"/>
      <c r="N2746" s="63"/>
      <c r="O2746" s="63"/>
      <c r="P2746" s="63"/>
      <c r="Q2746" s="63"/>
      <c r="R2746" s="63"/>
      <c r="S2746" s="63"/>
      <c r="T2746" s="63"/>
      <c r="U2746" s="63"/>
      <c r="V2746" s="63"/>
      <c r="W2746" s="63"/>
      <c r="X2746" s="63"/>
      <c r="Y2746" s="63"/>
      <c r="Z2746" s="63"/>
      <c r="AA2746" s="63"/>
      <c r="AB2746" s="63"/>
      <c r="AC2746" s="63"/>
    </row>
    <row r="2747" spans="1:29" x14ac:dyDescent="0.25">
      <c r="A2747" s="108">
        <v>46097</v>
      </c>
      <c r="B2747" s="128">
        <v>91</v>
      </c>
      <c r="C2747" s="49" t="s">
        <v>19</v>
      </c>
      <c r="D2747" s="110" t="str">
        <f>IF(ISBLANK($B2747),"",IFERROR(VLOOKUP($B2747,ESTOQUE!$B$2:$D$97168,3,FALSE),"Produto não cadastrado"))</f>
        <v>CAPACETE PLASTCOR ROXO</v>
      </c>
      <c r="E2747" s="99" t="str">
        <f>_xlfn.XLOOKUP(B2747,ESTOQUE!B:B,ESTOQUE!G:G,"",0)</f>
        <v>UND</v>
      </c>
      <c r="F2747" s="99">
        <v>1</v>
      </c>
      <c r="G2747" s="146"/>
      <c r="H2747" s="146"/>
      <c r="I2747" s="147"/>
      <c r="J2747" s="147"/>
      <c r="K2747" s="63"/>
      <c r="L2747" s="63"/>
      <c r="M2747" s="63"/>
      <c r="N2747" s="63"/>
      <c r="O2747" s="63"/>
      <c r="P2747" s="63"/>
      <c r="Q2747" s="63"/>
      <c r="R2747" s="63"/>
      <c r="S2747" s="63"/>
      <c r="T2747" s="63"/>
      <c r="U2747" s="63"/>
      <c r="V2747" s="63"/>
      <c r="W2747" s="63"/>
      <c r="X2747" s="63"/>
      <c r="Y2747" s="63"/>
      <c r="Z2747" s="63"/>
      <c r="AA2747" s="63"/>
      <c r="AB2747" s="63"/>
      <c r="AC2747" s="63"/>
    </row>
    <row r="2748" spans="1:29" x14ac:dyDescent="0.25">
      <c r="A2748" s="108">
        <v>46097</v>
      </c>
      <c r="B2748" s="128">
        <v>93</v>
      </c>
      <c r="C2748" s="49" t="s">
        <v>19</v>
      </c>
      <c r="D2748" s="110" t="str">
        <f>IF(ISBLANK($B2748),"",IFERROR(VLOOKUP($B2748,ESTOQUE!$B$2:$D$97168,3,FALSE),"Produto não cadastrado"))</f>
        <v>CARNEIRA P/ CAPACETE C/ CATRACA GENESIS</v>
      </c>
      <c r="E2748" s="99" t="str">
        <f>_xlfn.XLOOKUP(B2748,ESTOQUE!B:B,ESTOQUE!G:G,"",0)</f>
        <v>UND</v>
      </c>
      <c r="F2748" s="99">
        <v>1</v>
      </c>
      <c r="G2748" s="146"/>
      <c r="H2748" s="146"/>
      <c r="I2748" s="147"/>
      <c r="J2748" s="147"/>
      <c r="K2748" s="63"/>
      <c r="L2748" s="63"/>
      <c r="M2748" s="63"/>
      <c r="N2748" s="63"/>
      <c r="O2748" s="63"/>
      <c r="P2748" s="63"/>
      <c r="Q2748" s="63"/>
      <c r="R2748" s="63"/>
      <c r="S2748" s="63"/>
      <c r="T2748" s="63"/>
      <c r="U2748" s="63"/>
      <c r="V2748" s="63"/>
      <c r="W2748" s="63"/>
      <c r="X2748" s="63"/>
      <c r="Y2748" s="63"/>
      <c r="Z2748" s="63"/>
      <c r="AA2748" s="63"/>
      <c r="AB2748" s="63"/>
      <c r="AC2748" s="63"/>
    </row>
    <row r="2749" spans="1:29" x14ac:dyDescent="0.25">
      <c r="A2749" s="108">
        <v>46097</v>
      </c>
      <c r="B2749" s="128">
        <v>266</v>
      </c>
      <c r="C2749" s="49" t="s">
        <v>19</v>
      </c>
      <c r="D2749" s="110" t="str">
        <f>IF(ISBLANK($B2749),"",IFERROR(VLOOKUP($B2749,ESTOQUE!$B$2:$D$97168,3,FALSE),"Produto não cadastrado"))</f>
        <v>CINTO DE SEGURANÇA ATHENAS TAM:2</v>
      </c>
      <c r="E2749" s="99" t="str">
        <f>_xlfn.XLOOKUP(B2749,ESTOQUE!B:B,ESTOQUE!G:G,"",0)</f>
        <v>UND</v>
      </c>
      <c r="F2749" s="99">
        <v>6</v>
      </c>
      <c r="G2749" s="146"/>
      <c r="H2749" s="146"/>
      <c r="I2749" s="147"/>
      <c r="J2749" s="147"/>
      <c r="K2749" s="63"/>
      <c r="L2749" s="63"/>
      <c r="M2749" s="63"/>
      <c r="N2749" s="63"/>
      <c r="O2749" s="63"/>
      <c r="P2749" s="63"/>
      <c r="Q2749" s="63"/>
      <c r="R2749" s="63"/>
      <c r="S2749" s="63"/>
      <c r="T2749" s="63"/>
      <c r="U2749" s="63"/>
      <c r="V2749" s="63"/>
      <c r="W2749" s="63"/>
      <c r="X2749" s="63"/>
      <c r="Y2749" s="63"/>
      <c r="Z2749" s="63"/>
      <c r="AA2749" s="63"/>
      <c r="AB2749" s="63"/>
      <c r="AC2749" s="63"/>
    </row>
    <row r="2750" spans="1:29" x14ac:dyDescent="0.25">
      <c r="A2750" s="108">
        <v>46097</v>
      </c>
      <c r="B2750" s="128">
        <v>102</v>
      </c>
      <c r="C2750" s="49" t="s">
        <v>19</v>
      </c>
      <c r="D2750" s="110" t="str">
        <f>IF(ISBLANK($B2750),"",IFERROR(VLOOKUP($B2750,ESTOQUE!$B$2:$D$97168,3,FALSE),"Produto não cadastrado"))</f>
        <v>JARDINEIRA AMARELA BOTA Nº 40</v>
      </c>
      <c r="E2750" s="99" t="str">
        <f>_xlfn.XLOOKUP(B2750,ESTOQUE!B:B,ESTOQUE!G:G,"",0)</f>
        <v>UND</v>
      </c>
      <c r="F2750" s="99">
        <v>2</v>
      </c>
      <c r="G2750" s="146"/>
      <c r="H2750" s="146"/>
      <c r="I2750" s="147"/>
      <c r="J2750" s="147"/>
      <c r="K2750" s="63"/>
      <c r="L2750" s="63"/>
      <c r="M2750" s="63"/>
      <c r="N2750" s="63"/>
      <c r="O2750" s="63"/>
      <c r="P2750" s="63"/>
      <c r="Q2750" s="63"/>
      <c r="R2750" s="63"/>
      <c r="S2750" s="63"/>
      <c r="T2750" s="63"/>
      <c r="U2750" s="63"/>
      <c r="V2750" s="63"/>
      <c r="W2750" s="63"/>
      <c r="X2750" s="63"/>
      <c r="Y2750" s="63"/>
      <c r="Z2750" s="63"/>
      <c r="AA2750" s="63"/>
      <c r="AB2750" s="63"/>
      <c r="AC2750" s="63"/>
    </row>
    <row r="2751" spans="1:29" x14ac:dyDescent="0.25">
      <c r="A2751" s="108">
        <v>46097</v>
      </c>
      <c r="B2751" s="128">
        <v>110</v>
      </c>
      <c r="C2751" s="49" t="s">
        <v>19</v>
      </c>
      <c r="D2751" s="110" t="str">
        <f>IF(ISBLANK($B2751),"",IFERROR(VLOOKUP($B2751,ESTOQUE!$B$2:$D$97168,3,FALSE),"Produto não cadastrado"))</f>
        <v>LUVA DE RASPA CANO LONGO</v>
      </c>
      <c r="E2751" s="99" t="str">
        <f>_xlfn.XLOOKUP(B2751,ESTOQUE!B:B,ESTOQUE!G:G,"",0)</f>
        <v>PAR</v>
      </c>
      <c r="F2751" s="99">
        <v>1</v>
      </c>
      <c r="G2751" s="146"/>
      <c r="H2751" s="146"/>
      <c r="I2751" s="147"/>
      <c r="J2751" s="147"/>
      <c r="K2751" s="63"/>
      <c r="L2751" s="63"/>
      <c r="M2751" s="63"/>
      <c r="N2751" s="63"/>
      <c r="O2751" s="63"/>
      <c r="P2751" s="63"/>
      <c r="Q2751" s="63"/>
      <c r="R2751" s="63"/>
      <c r="S2751" s="63"/>
      <c r="T2751" s="63"/>
      <c r="U2751" s="63"/>
      <c r="V2751" s="63"/>
      <c r="W2751" s="63"/>
      <c r="X2751" s="63"/>
      <c r="Y2751" s="63"/>
      <c r="Z2751" s="63"/>
      <c r="AA2751" s="63"/>
      <c r="AB2751" s="63"/>
      <c r="AC2751" s="63"/>
    </row>
    <row r="2752" spans="1:29" x14ac:dyDescent="0.25">
      <c r="A2752" s="108">
        <v>46097</v>
      </c>
      <c r="B2752" s="128">
        <v>111</v>
      </c>
      <c r="C2752" s="49" t="s">
        <v>19</v>
      </c>
      <c r="D2752" s="110" t="str">
        <f>IF(ISBLANK($B2752),"",IFERROR(VLOOKUP($B2752,ESTOQUE!$B$2:$D$97168,3,FALSE),"Produto não cadastrado"))</f>
        <v>LUVA DE VAQUETA MARROM</v>
      </c>
      <c r="E2752" s="99" t="str">
        <f>_xlfn.XLOOKUP(B2752,ESTOQUE!B:B,ESTOQUE!G:G,"",0)</f>
        <v>PAR</v>
      </c>
      <c r="F2752" s="99">
        <v>1</v>
      </c>
      <c r="G2752" s="146"/>
      <c r="H2752" s="146"/>
      <c r="I2752" s="147"/>
      <c r="J2752" s="147"/>
      <c r="K2752" s="63"/>
      <c r="L2752" s="63"/>
      <c r="M2752" s="63"/>
      <c r="N2752" s="63"/>
      <c r="O2752" s="63"/>
      <c r="P2752" s="63"/>
      <c r="Q2752" s="63"/>
      <c r="R2752" s="63"/>
      <c r="S2752" s="63"/>
      <c r="T2752" s="63"/>
      <c r="U2752" s="63"/>
      <c r="V2752" s="63"/>
      <c r="W2752" s="63"/>
      <c r="X2752" s="63"/>
      <c r="Y2752" s="63"/>
      <c r="Z2752" s="63"/>
      <c r="AA2752" s="63"/>
      <c r="AB2752" s="63"/>
      <c r="AC2752" s="63"/>
    </row>
    <row r="2753" spans="1:29" x14ac:dyDescent="0.25">
      <c r="A2753" s="108">
        <v>46097</v>
      </c>
      <c r="B2753" s="128">
        <v>189</v>
      </c>
      <c r="C2753" s="49" t="s">
        <v>19</v>
      </c>
      <c r="D2753" s="110" t="str">
        <f>IF(ISBLANK($B2753),"",IFERROR(VLOOKUP($B2753,ESTOQUE!$B$2:$D$97168,3,FALSE),"Produto não cadastrado"))</f>
        <v xml:space="preserve">LUVA DE VAQUETA MISTA </v>
      </c>
      <c r="E2753" s="99" t="str">
        <f>_xlfn.XLOOKUP(B2753,ESTOQUE!B:B,ESTOQUE!G:G,"",0)</f>
        <v>UND</v>
      </c>
      <c r="F2753" s="99">
        <v>21</v>
      </c>
      <c r="G2753" s="146"/>
      <c r="H2753" s="146"/>
      <c r="I2753" s="147"/>
      <c r="J2753" s="147"/>
      <c r="K2753" s="63"/>
      <c r="L2753" s="63"/>
      <c r="M2753" s="63"/>
      <c r="N2753" s="63"/>
      <c r="O2753" s="63"/>
      <c r="P2753" s="63"/>
      <c r="Q2753" s="63"/>
      <c r="R2753" s="63"/>
      <c r="S2753" s="63"/>
      <c r="T2753" s="63"/>
      <c r="U2753" s="63"/>
      <c r="V2753" s="63"/>
      <c r="W2753" s="63"/>
      <c r="X2753" s="63"/>
      <c r="Y2753" s="63"/>
      <c r="Z2753" s="63"/>
      <c r="AA2753" s="63"/>
      <c r="AB2753" s="63"/>
      <c r="AC2753" s="63"/>
    </row>
    <row r="2754" spans="1:29" x14ac:dyDescent="0.25">
      <c r="A2754" s="108">
        <v>46097</v>
      </c>
      <c r="B2754" s="128">
        <v>263</v>
      </c>
      <c r="C2754" s="49" t="s">
        <v>19</v>
      </c>
      <c r="D2754" s="110" t="str">
        <f>IF(ISBLANK($B2754),"",IFERROR(VLOOKUP($B2754,ESTOQUE!$B$2:$D$97168,3,FALSE),"Produto não cadastrado"))</f>
        <v>LUVA DE VAUQETA CINZA</v>
      </c>
      <c r="E2754" s="99" t="str">
        <f>_xlfn.XLOOKUP(B2754,ESTOQUE!B:B,ESTOQUE!G:G,"",0)</f>
        <v>UND</v>
      </c>
      <c r="F2754" s="99">
        <v>2</v>
      </c>
      <c r="G2754" s="146"/>
      <c r="H2754" s="146"/>
      <c r="I2754" s="147"/>
      <c r="J2754" s="147"/>
      <c r="K2754" s="63"/>
      <c r="L2754" s="63"/>
      <c r="M2754" s="63"/>
      <c r="N2754" s="63"/>
      <c r="O2754" s="63"/>
      <c r="P2754" s="63"/>
      <c r="Q2754" s="63"/>
      <c r="R2754" s="63"/>
      <c r="S2754" s="63"/>
      <c r="T2754" s="63"/>
      <c r="U2754" s="63"/>
      <c r="V2754" s="63"/>
      <c r="W2754" s="63"/>
      <c r="X2754" s="63"/>
      <c r="Y2754" s="63"/>
      <c r="Z2754" s="63"/>
      <c r="AA2754" s="63"/>
      <c r="AB2754" s="63"/>
      <c r="AC2754" s="63"/>
    </row>
    <row r="2755" spans="1:29" x14ac:dyDescent="0.25">
      <c r="A2755" s="108">
        <v>46097</v>
      </c>
      <c r="B2755" s="128">
        <v>114</v>
      </c>
      <c r="C2755" s="49" t="s">
        <v>19</v>
      </c>
      <c r="D2755" s="110" t="str">
        <f>IF(ISBLANK($B2755),"",IFERROR(VLOOKUP($B2755,ESTOQUE!$B$2:$D$97168,3,FALSE),"Produto não cadastrado"))</f>
        <v xml:space="preserve">LUVA LATEX NITRILICA </v>
      </c>
      <c r="E2755" s="99" t="str">
        <f>_xlfn.XLOOKUP(B2755,ESTOQUE!B:B,ESTOQUE!G:G,"",0)</f>
        <v>PAR</v>
      </c>
      <c r="F2755" s="99">
        <v>24</v>
      </c>
      <c r="G2755" s="146"/>
      <c r="H2755" s="146"/>
      <c r="I2755" s="147"/>
      <c r="J2755" s="147"/>
      <c r="K2755" s="63"/>
      <c r="L2755" s="63"/>
      <c r="M2755" s="63"/>
      <c r="N2755" s="63"/>
      <c r="O2755" s="63"/>
      <c r="P2755" s="63"/>
      <c r="Q2755" s="63"/>
      <c r="R2755" s="63"/>
      <c r="S2755" s="63"/>
      <c r="T2755" s="63"/>
      <c r="U2755" s="63"/>
      <c r="V2755" s="63"/>
      <c r="W2755" s="63"/>
      <c r="X2755" s="63"/>
      <c r="Y2755" s="63"/>
      <c r="Z2755" s="63"/>
      <c r="AA2755" s="63"/>
      <c r="AB2755" s="63"/>
      <c r="AC2755" s="63"/>
    </row>
    <row r="2756" spans="1:29" x14ac:dyDescent="0.25">
      <c r="A2756" s="108">
        <v>46097</v>
      </c>
      <c r="B2756" s="128">
        <v>117</v>
      </c>
      <c r="C2756" s="49" t="s">
        <v>19</v>
      </c>
      <c r="D2756" s="110" t="str">
        <f>IF(ISBLANK($B2756),"",IFERROR(VLOOKUP($B2756,ESTOQUE!$B$2:$D$97168,3,FALSE),"Produto não cadastrado"))</f>
        <v>LUVA PIGMENTADA</v>
      </c>
      <c r="E2756" s="99" t="str">
        <f>_xlfn.XLOOKUP(B2756,ESTOQUE!B:B,ESTOQUE!G:G,"",0)</f>
        <v>PAR</v>
      </c>
      <c r="F2756" s="99">
        <v>33</v>
      </c>
      <c r="G2756" s="146"/>
      <c r="H2756" s="146"/>
      <c r="I2756" s="147"/>
      <c r="J2756" s="147"/>
      <c r="K2756" s="63"/>
      <c r="L2756" s="63"/>
      <c r="M2756" s="63"/>
      <c r="N2756" s="63"/>
      <c r="O2756" s="63"/>
      <c r="P2756" s="63"/>
      <c r="Q2756" s="63"/>
      <c r="R2756" s="63"/>
      <c r="S2756" s="63"/>
      <c r="T2756" s="63"/>
      <c r="U2756" s="63"/>
      <c r="V2756" s="63"/>
      <c r="W2756" s="63"/>
      <c r="X2756" s="63"/>
      <c r="Y2756" s="63"/>
      <c r="Z2756" s="63"/>
      <c r="AA2756" s="63"/>
      <c r="AB2756" s="63"/>
      <c r="AC2756" s="63"/>
    </row>
    <row r="2757" spans="1:29" x14ac:dyDescent="0.25">
      <c r="A2757" s="108">
        <v>46097</v>
      </c>
      <c r="B2757" s="128">
        <v>207</v>
      </c>
      <c r="C2757" s="49" t="s">
        <v>19</v>
      </c>
      <c r="D2757" s="110" t="str">
        <f>IF(ISBLANK($B2757),"",IFERROR(VLOOKUP($B2757,ESTOQUE!$B$2:$D$97168,3,FALSE),"Produto não cadastrado"))</f>
        <v>LUVA POLIESTER ANTICORTE BANHADA PU TAM 9</v>
      </c>
      <c r="E2757" s="99" t="str">
        <f>_xlfn.XLOOKUP(B2757,ESTOQUE!B:B,ESTOQUE!G:G,"",0)</f>
        <v>PAR</v>
      </c>
      <c r="F2757" s="99">
        <v>1</v>
      </c>
      <c r="G2757" s="146"/>
      <c r="H2757" s="146"/>
      <c r="I2757" s="147"/>
      <c r="J2757" s="147"/>
      <c r="K2757" s="63"/>
      <c r="L2757" s="63"/>
      <c r="M2757" s="63"/>
      <c r="N2757" s="63"/>
      <c r="O2757" s="63"/>
      <c r="P2757" s="63"/>
      <c r="Q2757" s="63"/>
      <c r="R2757" s="63"/>
      <c r="S2757" s="63"/>
      <c r="T2757" s="63"/>
      <c r="U2757" s="63"/>
      <c r="V2757" s="63"/>
      <c r="W2757" s="63"/>
      <c r="X2757" s="63"/>
      <c r="Y2757" s="63"/>
      <c r="Z2757" s="63"/>
      <c r="AA2757" s="63"/>
      <c r="AB2757" s="63"/>
      <c r="AC2757" s="63"/>
    </row>
    <row r="2758" spans="1:29" x14ac:dyDescent="0.25">
      <c r="A2758" s="108">
        <v>46097</v>
      </c>
      <c r="B2758" s="128">
        <v>267</v>
      </c>
      <c r="C2758" s="49" t="s">
        <v>19</v>
      </c>
      <c r="D2758" s="110" t="str">
        <f>IF(ISBLANK($B2758),"",IFERROR(VLOOKUP($B2758,ESTOQUE!$B$2:$D$97168,3,FALSE),"Produto não cadastrado"))</f>
        <v>LUVA POLIESTER ANTICORTE CANO LONGO</v>
      </c>
      <c r="E2758" s="99" t="str">
        <f>_xlfn.XLOOKUP(B2758,ESTOQUE!B:B,ESTOQUE!G:G,"",0)</f>
        <v>UND</v>
      </c>
      <c r="F2758" s="99">
        <v>5</v>
      </c>
      <c r="G2758" s="146"/>
      <c r="H2758" s="146"/>
      <c r="I2758" s="147"/>
      <c r="J2758" s="147"/>
      <c r="K2758" s="63"/>
      <c r="L2758" s="63"/>
      <c r="M2758" s="63"/>
      <c r="N2758" s="63"/>
      <c r="O2758" s="63"/>
      <c r="P2758" s="63"/>
      <c r="Q2758" s="63"/>
      <c r="R2758" s="63"/>
      <c r="S2758" s="63"/>
      <c r="T2758" s="63"/>
      <c r="U2758" s="63"/>
      <c r="V2758" s="63"/>
      <c r="W2758" s="63"/>
      <c r="X2758" s="63"/>
      <c r="Y2758" s="63"/>
      <c r="Z2758" s="63"/>
      <c r="AA2758" s="63"/>
      <c r="AB2758" s="63"/>
      <c r="AC2758" s="63"/>
    </row>
    <row r="2759" spans="1:29" x14ac:dyDescent="0.25">
      <c r="A2759" s="108">
        <v>46097</v>
      </c>
      <c r="B2759" s="128">
        <v>118</v>
      </c>
      <c r="C2759" s="49" t="s">
        <v>19</v>
      </c>
      <c r="D2759" s="110" t="str">
        <f>IF(ISBLANK($B2759),"",IFERROR(VLOOKUP($B2759,ESTOQUE!$B$2:$D$97168,3,FALSE),"Produto não cadastrado"))</f>
        <v>MACACÃO DE PROTEÇÃO TYVEK</v>
      </c>
      <c r="E2759" s="99" t="str">
        <f>_xlfn.XLOOKUP(B2759,ESTOQUE!B:B,ESTOQUE!G:G,"",0)</f>
        <v>UND</v>
      </c>
      <c r="F2759" s="99">
        <v>61</v>
      </c>
      <c r="G2759" s="146"/>
      <c r="H2759" s="146"/>
      <c r="I2759" s="147"/>
      <c r="J2759" s="147"/>
      <c r="K2759" s="63"/>
      <c r="L2759" s="63"/>
      <c r="M2759" s="63"/>
      <c r="N2759" s="63"/>
      <c r="O2759" s="63"/>
      <c r="P2759" s="63"/>
      <c r="Q2759" s="63"/>
      <c r="R2759" s="63"/>
      <c r="S2759" s="63"/>
      <c r="T2759" s="63"/>
      <c r="U2759" s="63"/>
      <c r="V2759" s="63"/>
      <c r="W2759" s="63"/>
      <c r="X2759" s="63"/>
      <c r="Y2759" s="63"/>
      <c r="Z2759" s="63"/>
      <c r="AA2759" s="63"/>
      <c r="AB2759" s="63"/>
      <c r="AC2759" s="63"/>
    </row>
    <row r="2760" spans="1:29" x14ac:dyDescent="0.25">
      <c r="A2760" s="108">
        <v>46097</v>
      </c>
      <c r="B2760" s="128">
        <v>114</v>
      </c>
      <c r="C2760" s="49" t="s">
        <v>19</v>
      </c>
      <c r="D2760" s="110" t="str">
        <f>IF(ISBLANK($B2760),"",IFERROR(VLOOKUP($B2760,ESTOQUE!$B$2:$D$97168,3,FALSE),"Produto não cadastrado"))</f>
        <v xml:space="preserve">LUVA LATEX NITRILICA </v>
      </c>
      <c r="E2760" s="99" t="str">
        <f>_xlfn.XLOOKUP(B2760,ESTOQUE!B:B,ESTOQUE!G:G,"",0)</f>
        <v>PAR</v>
      </c>
      <c r="F2760" s="99">
        <v>1</v>
      </c>
      <c r="G2760" s="146"/>
      <c r="H2760" s="146"/>
      <c r="I2760" s="147"/>
      <c r="J2760" s="147"/>
      <c r="K2760" s="63"/>
      <c r="L2760" s="63"/>
      <c r="M2760" s="63"/>
      <c r="N2760" s="63"/>
      <c r="O2760" s="63"/>
      <c r="P2760" s="63"/>
      <c r="Q2760" s="63"/>
      <c r="R2760" s="63"/>
      <c r="S2760" s="63"/>
      <c r="T2760" s="63"/>
      <c r="U2760" s="63"/>
      <c r="V2760" s="63"/>
      <c r="W2760" s="63"/>
      <c r="X2760" s="63"/>
      <c r="Y2760" s="63"/>
      <c r="Z2760" s="63"/>
      <c r="AA2760" s="63"/>
      <c r="AB2760" s="63"/>
      <c r="AC2760" s="63"/>
    </row>
    <row r="2761" spans="1:29" x14ac:dyDescent="0.25">
      <c r="A2761" s="108">
        <v>46097</v>
      </c>
      <c r="B2761" s="128">
        <v>126</v>
      </c>
      <c r="C2761" s="49" t="s">
        <v>19</v>
      </c>
      <c r="D2761" s="110" t="str">
        <f>IF(ISBLANK($B2761),"",IFERROR(VLOOKUP($B2761,ESTOQUE!$B$2:$D$97168,3,FALSE),"Produto não cadastrado"))</f>
        <v>OCULOS DE PROTEÇÃO ESCURO</v>
      </c>
      <c r="E2761" s="99" t="str">
        <f>_xlfn.XLOOKUP(B2761,ESTOQUE!B:B,ESTOQUE!G:G,"",0)</f>
        <v>UND</v>
      </c>
      <c r="F2761" s="99">
        <v>4</v>
      </c>
      <c r="G2761" s="146"/>
      <c r="H2761" s="146"/>
      <c r="I2761" s="147"/>
      <c r="J2761" s="147"/>
      <c r="K2761" s="63"/>
      <c r="L2761" s="63"/>
      <c r="M2761" s="63"/>
      <c r="N2761" s="63"/>
      <c r="O2761" s="63"/>
      <c r="P2761" s="63"/>
      <c r="Q2761" s="63"/>
      <c r="R2761" s="63"/>
      <c r="S2761" s="63"/>
      <c r="T2761" s="63"/>
      <c r="U2761" s="63"/>
      <c r="V2761" s="63"/>
      <c r="W2761" s="63"/>
      <c r="X2761" s="63"/>
      <c r="Y2761" s="63"/>
      <c r="Z2761" s="63"/>
      <c r="AA2761" s="63"/>
      <c r="AB2761" s="63"/>
      <c r="AC2761" s="63"/>
    </row>
    <row r="2762" spans="1:29" x14ac:dyDescent="0.25">
      <c r="A2762" s="108">
        <v>46097</v>
      </c>
      <c r="B2762" s="128">
        <v>224</v>
      </c>
      <c r="C2762" s="49" t="s">
        <v>19</v>
      </c>
      <c r="D2762" s="110" t="str">
        <f>IF(ISBLANK($B2762),"",IFERROR(VLOOKUP($B2762,ESTOQUE!$B$2:$D$97168,3,FALSE),"Produto não cadastrado"))</f>
        <v>OCULOS OPERACIONAL SOBRE POR ESCURO</v>
      </c>
      <c r="E2762" s="99" t="str">
        <f>_xlfn.XLOOKUP(B2762,ESTOQUE!B:B,ESTOQUE!G:G,"",0)</f>
        <v>UND</v>
      </c>
      <c r="F2762" s="99">
        <v>1</v>
      </c>
      <c r="G2762" s="146"/>
      <c r="H2762" s="146"/>
      <c r="I2762" s="147"/>
      <c r="J2762" s="147"/>
      <c r="K2762" s="63"/>
      <c r="L2762" s="63"/>
      <c r="M2762" s="63"/>
      <c r="N2762" s="63"/>
      <c r="O2762" s="63"/>
      <c r="P2762" s="63"/>
      <c r="Q2762" s="63"/>
      <c r="R2762" s="63"/>
      <c r="S2762" s="63"/>
      <c r="T2762" s="63"/>
      <c r="U2762" s="63"/>
      <c r="V2762" s="63"/>
      <c r="W2762" s="63"/>
      <c r="X2762" s="63"/>
      <c r="Y2762" s="63"/>
      <c r="Z2762" s="63"/>
      <c r="AA2762" s="63"/>
      <c r="AB2762" s="63"/>
      <c r="AC2762" s="63"/>
    </row>
    <row r="2763" spans="1:29" x14ac:dyDescent="0.25">
      <c r="A2763" s="108">
        <v>46097</v>
      </c>
      <c r="B2763" s="128">
        <v>221</v>
      </c>
      <c r="C2763" s="49" t="s">
        <v>19</v>
      </c>
      <c r="D2763" s="110" t="str">
        <f>IF(ISBLANK($B2763),"",IFERROR(VLOOKUP($B2763,ESTOQUE!$B$2:$D$97168,3,FALSE),"Produto não cadastrado"))</f>
        <v>BOTINA SEGURANÇA METATARSO  44</v>
      </c>
      <c r="E2763" s="99" t="str">
        <f>_xlfn.XLOOKUP(B2763,ESTOQUE!B:B,ESTOQUE!G:G,"",0)</f>
        <v>PAR</v>
      </c>
      <c r="F2763" s="99">
        <v>0</v>
      </c>
      <c r="G2763" s="146"/>
      <c r="H2763" s="146"/>
      <c r="I2763" s="147"/>
      <c r="J2763" s="147"/>
      <c r="K2763" s="63"/>
      <c r="L2763" s="63"/>
      <c r="M2763" s="63"/>
      <c r="N2763" s="63"/>
      <c r="O2763" s="63"/>
      <c r="P2763" s="63"/>
      <c r="Q2763" s="63"/>
      <c r="R2763" s="63"/>
      <c r="S2763" s="63"/>
      <c r="T2763" s="63"/>
      <c r="U2763" s="63"/>
      <c r="V2763" s="63"/>
      <c r="W2763" s="63"/>
      <c r="X2763" s="63"/>
      <c r="Y2763" s="63"/>
      <c r="Z2763" s="63"/>
      <c r="AA2763" s="63"/>
      <c r="AB2763" s="63"/>
      <c r="AC2763" s="63"/>
    </row>
    <row r="2764" spans="1:29" x14ac:dyDescent="0.25">
      <c r="A2764" s="108">
        <v>46097</v>
      </c>
      <c r="B2764" s="128">
        <v>135</v>
      </c>
      <c r="C2764" s="49" t="s">
        <v>19</v>
      </c>
      <c r="D2764" s="110" t="str">
        <f>IF(ISBLANK($B2764),"",IFERROR(VLOOKUP($B2764,ESTOQUE!$B$2:$D$97168,3,FALSE),"Produto não cadastrado"))</f>
        <v>TALABARTE DUPLO TIPO Y</v>
      </c>
      <c r="E2764" s="99" t="str">
        <f>_xlfn.XLOOKUP(B2764,ESTOQUE!B:B,ESTOQUE!G:G,"",0)</f>
        <v>UND</v>
      </c>
      <c r="F2764" s="99">
        <v>6</v>
      </c>
      <c r="G2764" s="146"/>
      <c r="H2764" s="146"/>
      <c r="I2764" s="147"/>
      <c r="J2764" s="147"/>
      <c r="K2764" s="63"/>
      <c r="L2764" s="63"/>
      <c r="M2764" s="63"/>
      <c r="N2764" s="63"/>
      <c r="O2764" s="63"/>
      <c r="P2764" s="63"/>
      <c r="Q2764" s="63"/>
      <c r="R2764" s="63"/>
      <c r="S2764" s="63"/>
      <c r="T2764" s="63"/>
      <c r="U2764" s="63"/>
      <c r="V2764" s="63"/>
      <c r="W2764" s="63"/>
      <c r="X2764" s="63"/>
      <c r="Y2764" s="63"/>
      <c r="Z2764" s="63"/>
      <c r="AA2764" s="63"/>
      <c r="AB2764" s="63"/>
      <c r="AC2764" s="63"/>
    </row>
    <row r="2765" spans="1:29" x14ac:dyDescent="0.25">
      <c r="A2765" s="108">
        <v>46097</v>
      </c>
      <c r="B2765" s="128">
        <v>137</v>
      </c>
      <c r="C2765" s="49" t="s">
        <v>19</v>
      </c>
      <c r="D2765" s="110" t="str">
        <f>IF(ISBLANK($B2765),"",IFERROR(VLOOKUP($B2765,ESTOQUE!$B$2:$D$97168,3,FALSE),"Produto não cadastrado"))</f>
        <v xml:space="preserve">TOUCA ARABE </v>
      </c>
      <c r="E2765" s="99" t="str">
        <f>_xlfn.XLOOKUP(B2765,ESTOQUE!B:B,ESTOQUE!G:G,"",0)</f>
        <v>UND</v>
      </c>
      <c r="F2765" s="99">
        <v>2</v>
      </c>
      <c r="G2765" s="146"/>
      <c r="H2765" s="146"/>
      <c r="I2765" s="147"/>
      <c r="J2765" s="147"/>
      <c r="K2765" s="63"/>
      <c r="L2765" s="63"/>
      <c r="M2765" s="63"/>
      <c r="N2765" s="63"/>
      <c r="O2765" s="63"/>
      <c r="P2765" s="63"/>
      <c r="Q2765" s="63"/>
      <c r="R2765" s="63"/>
      <c r="S2765" s="63"/>
      <c r="T2765" s="63"/>
      <c r="U2765" s="63"/>
      <c r="V2765" s="63"/>
      <c r="W2765" s="63"/>
      <c r="X2765" s="63"/>
      <c r="Y2765" s="63"/>
      <c r="Z2765" s="63"/>
      <c r="AA2765" s="63"/>
      <c r="AB2765" s="63"/>
      <c r="AC2765" s="63"/>
    </row>
    <row r="2766" spans="1:29" x14ac:dyDescent="0.25">
      <c r="A2766" s="108">
        <v>46099</v>
      </c>
      <c r="B2766" s="128">
        <v>190</v>
      </c>
      <c r="C2766" s="49" t="s">
        <v>19</v>
      </c>
      <c r="D2766" s="110" t="str">
        <f>IF(ISBLANK($B2766),"",IFERROR(VLOOKUP($B2766,ESTOQUE!$B$2:$D$97168,3,FALSE),"Produto não cadastrado"))</f>
        <v>AVENTAL DE RASPA TAM 120X60</v>
      </c>
      <c r="E2766" s="99" t="str">
        <f>_xlfn.XLOOKUP(B2766,ESTOQUE!B:B,ESTOQUE!G:G,"",0)</f>
        <v>UND</v>
      </c>
      <c r="F2766" s="99">
        <v>1</v>
      </c>
      <c r="G2766" s="146"/>
      <c r="H2766" s="146"/>
      <c r="I2766" s="147"/>
      <c r="J2766" s="147"/>
      <c r="K2766" s="63"/>
      <c r="L2766" s="63"/>
      <c r="M2766" s="63"/>
      <c r="N2766" s="63"/>
      <c r="O2766" s="63"/>
      <c r="P2766" s="63"/>
      <c r="Q2766" s="63"/>
      <c r="R2766" s="63"/>
      <c r="S2766" s="63"/>
      <c r="T2766" s="63"/>
      <c r="U2766" s="63"/>
      <c r="V2766" s="63"/>
      <c r="W2766" s="63"/>
      <c r="X2766" s="63"/>
      <c r="Y2766" s="63"/>
      <c r="Z2766" s="63"/>
      <c r="AA2766" s="63"/>
      <c r="AB2766" s="63"/>
      <c r="AC2766" s="63"/>
    </row>
    <row r="2767" spans="1:29" x14ac:dyDescent="0.25">
      <c r="A2767" s="108">
        <v>46099</v>
      </c>
      <c r="B2767" s="128">
        <v>228</v>
      </c>
      <c r="C2767" s="49" t="s">
        <v>19</v>
      </c>
      <c r="D2767" s="110" t="str">
        <f>IF(ISBLANK($B2767),"",IFERROR(VLOOKUP($B2767,ESTOQUE!$B$2:$D$97168,3,FALSE),"Produto não cadastrado"))</f>
        <v xml:space="preserve">BALACLAVA  </v>
      </c>
      <c r="E2767" s="99" t="str">
        <f>_xlfn.XLOOKUP(B2767,ESTOQUE!B:B,ESTOQUE!G:G,"",0)</f>
        <v>UND</v>
      </c>
      <c r="F2767" s="99">
        <v>0</v>
      </c>
      <c r="G2767" s="146"/>
      <c r="H2767" s="146"/>
      <c r="I2767" s="147"/>
      <c r="J2767" s="147"/>
      <c r="K2767" s="63"/>
      <c r="L2767" s="63"/>
      <c r="M2767" s="63"/>
      <c r="N2767" s="63"/>
      <c r="O2767" s="63"/>
      <c r="P2767" s="63"/>
      <c r="Q2767" s="63"/>
      <c r="R2767" s="63"/>
      <c r="S2767" s="63"/>
      <c r="T2767" s="63"/>
      <c r="U2767" s="63"/>
      <c r="V2767" s="63"/>
      <c r="W2767" s="63"/>
      <c r="X2767" s="63"/>
      <c r="Y2767" s="63"/>
      <c r="Z2767" s="63"/>
      <c r="AA2767" s="63"/>
      <c r="AB2767" s="63"/>
      <c r="AC2767" s="63"/>
    </row>
    <row r="2768" spans="1:29" x14ac:dyDescent="0.25">
      <c r="A2768" s="108">
        <v>46099</v>
      </c>
      <c r="B2768" s="128">
        <v>10</v>
      </c>
      <c r="C2768" s="49" t="s">
        <v>19</v>
      </c>
      <c r="D2768" s="110" t="str">
        <f>IF(ISBLANK($B2768),"",IFERROR(VLOOKUP($B2768,ESTOQUE!$B$2:$D$97168,3,FALSE),"Produto não cadastrado"))</f>
        <v>BOTA PVC CANO LONGO Nº 42</v>
      </c>
      <c r="E2768" s="99" t="str">
        <f>_xlfn.XLOOKUP(B2768,ESTOQUE!B:B,ESTOQUE!G:G,"",0)</f>
        <v>PAR</v>
      </c>
      <c r="F2768" s="99">
        <v>1</v>
      </c>
      <c r="G2768" s="146"/>
      <c r="H2768" s="146"/>
      <c r="I2768" s="147"/>
      <c r="J2768" s="147"/>
      <c r="K2768" s="63"/>
      <c r="L2768" s="63"/>
      <c r="M2768" s="63"/>
      <c r="N2768" s="63"/>
      <c r="O2768" s="63"/>
      <c r="P2768" s="63"/>
      <c r="Q2768" s="63"/>
      <c r="R2768" s="63"/>
      <c r="S2768" s="63"/>
      <c r="T2768" s="63"/>
      <c r="U2768" s="63"/>
      <c r="V2768" s="63"/>
      <c r="W2768" s="63"/>
      <c r="X2768" s="63"/>
      <c r="Y2768" s="63"/>
      <c r="Z2768" s="63"/>
      <c r="AA2768" s="63"/>
      <c r="AB2768" s="63"/>
      <c r="AC2768" s="63"/>
    </row>
    <row r="2769" spans="1:29" x14ac:dyDescent="0.25">
      <c r="A2769" s="108">
        <v>46099</v>
      </c>
      <c r="B2769" s="128">
        <v>21</v>
      </c>
      <c r="C2769" s="49" t="s">
        <v>19</v>
      </c>
      <c r="D2769" s="110" t="str">
        <f>IF(ISBLANK($B2769),"",IFERROR(VLOOKUP($B2769,ESTOQUE!$B$2:$D$97168,3,FALSE),"Produto não cadastrado"))</f>
        <v>BOTA PVC CANO MEDIO Nº 42</v>
      </c>
      <c r="E2769" s="99" t="str">
        <f>_xlfn.XLOOKUP(B2769,ESTOQUE!B:B,ESTOQUE!G:G,"",0)</f>
        <v>PAR</v>
      </c>
      <c r="F2769" s="99">
        <v>0</v>
      </c>
      <c r="G2769" s="146"/>
      <c r="H2769" s="146"/>
      <c r="I2769" s="147"/>
      <c r="J2769" s="147"/>
      <c r="K2769" s="63"/>
      <c r="L2769" s="63"/>
      <c r="M2769" s="63"/>
      <c r="N2769" s="63"/>
      <c r="O2769" s="63"/>
      <c r="P2769" s="63"/>
      <c r="Q2769" s="63"/>
      <c r="R2769" s="63"/>
      <c r="S2769" s="63"/>
      <c r="T2769" s="63"/>
      <c r="U2769" s="63"/>
      <c r="V2769" s="63"/>
      <c r="W2769" s="63"/>
      <c r="X2769" s="63"/>
      <c r="Y2769" s="63"/>
      <c r="Z2769" s="63"/>
      <c r="AA2769" s="63"/>
      <c r="AB2769" s="63"/>
      <c r="AC2769" s="63"/>
    </row>
    <row r="2770" spans="1:29" x14ac:dyDescent="0.25">
      <c r="A2770" s="108">
        <v>46099</v>
      </c>
      <c r="B2770" s="128">
        <v>28</v>
      </c>
      <c r="C2770" s="49" t="s">
        <v>19</v>
      </c>
      <c r="D2770" s="110" t="str">
        <f>IF(ISBLANK($B2770),"",IFERROR(VLOOKUP($B2770,ESTOQUE!$B$2:$D$97168,3,FALSE),"Produto não cadastrado"))</f>
        <v>BOTINA DE ELETRICISTA Nº 38</v>
      </c>
      <c r="E2770" s="99" t="str">
        <f>_xlfn.XLOOKUP(B2770,ESTOQUE!B:B,ESTOQUE!G:G,"",0)</f>
        <v>PAR</v>
      </c>
      <c r="F2770" s="99">
        <v>1</v>
      </c>
      <c r="G2770" s="146"/>
      <c r="H2770" s="146"/>
      <c r="I2770" s="147"/>
      <c r="J2770" s="147"/>
      <c r="K2770" s="63"/>
      <c r="L2770" s="63"/>
      <c r="M2770" s="63"/>
      <c r="N2770" s="63"/>
      <c r="O2770" s="63"/>
      <c r="P2770" s="63"/>
      <c r="Q2770" s="63"/>
      <c r="R2770" s="63"/>
      <c r="S2770" s="63"/>
      <c r="T2770" s="63"/>
      <c r="U2770" s="63"/>
      <c r="V2770" s="63"/>
      <c r="W2770" s="63"/>
      <c r="X2770" s="63"/>
      <c r="Y2770" s="63"/>
      <c r="Z2770" s="63"/>
      <c r="AA2770" s="63"/>
      <c r="AB2770" s="63"/>
      <c r="AC2770" s="63"/>
    </row>
    <row r="2771" spans="1:29" x14ac:dyDescent="0.25">
      <c r="A2771" s="108">
        <v>46099</v>
      </c>
      <c r="B2771" s="128">
        <v>36</v>
      </c>
      <c r="C2771" s="49" t="s">
        <v>19</v>
      </c>
      <c r="D2771" s="110" t="str">
        <f>IF(ISBLANK($B2771),"",IFERROR(VLOOKUP($B2771,ESTOQUE!$B$2:$D$97168,3,FALSE),"Produto não cadastrado"))</f>
        <v>BOTINA OP. BICO PVC Nº 38</v>
      </c>
      <c r="E2771" s="99" t="str">
        <f>_xlfn.XLOOKUP(B2771,ESTOQUE!B:B,ESTOQUE!G:G,"",0)</f>
        <v>PAR</v>
      </c>
      <c r="F2771" s="99">
        <v>1</v>
      </c>
      <c r="G2771" s="146"/>
      <c r="H2771" s="146"/>
      <c r="I2771" s="147"/>
      <c r="J2771" s="147"/>
      <c r="K2771" s="63"/>
      <c r="L2771" s="63"/>
      <c r="M2771" s="63"/>
      <c r="N2771" s="63"/>
      <c r="O2771" s="63"/>
      <c r="P2771" s="63"/>
      <c r="Q2771" s="63"/>
      <c r="R2771" s="63"/>
      <c r="S2771" s="63"/>
      <c r="T2771" s="63"/>
      <c r="U2771" s="63"/>
      <c r="V2771" s="63"/>
      <c r="W2771" s="63"/>
      <c r="X2771" s="63"/>
      <c r="Y2771" s="63"/>
      <c r="Z2771" s="63"/>
      <c r="AA2771" s="63"/>
      <c r="AB2771" s="63"/>
      <c r="AC2771" s="63"/>
    </row>
    <row r="2772" spans="1:29" x14ac:dyDescent="0.25">
      <c r="A2772" s="108">
        <v>46099</v>
      </c>
      <c r="B2772" s="128">
        <v>41</v>
      </c>
      <c r="C2772" s="49" t="s">
        <v>19</v>
      </c>
      <c r="D2772" s="110" t="str">
        <f>IF(ISBLANK($B2772),"",IFERROR(VLOOKUP($B2772,ESTOQUE!$B$2:$D$97168,3,FALSE),"Produto não cadastrado"))</f>
        <v>BOTINA OP. BICO PVC Nº 43</v>
      </c>
      <c r="E2772" s="99" t="str">
        <f>_xlfn.XLOOKUP(B2772,ESTOQUE!B:B,ESTOQUE!G:G,"",0)</f>
        <v>PAR</v>
      </c>
      <c r="F2772" s="99">
        <v>1</v>
      </c>
      <c r="G2772" s="146"/>
      <c r="H2772" s="146"/>
      <c r="I2772" s="147"/>
      <c r="J2772" s="147"/>
      <c r="K2772" s="63"/>
      <c r="L2772" s="63"/>
      <c r="M2772" s="63"/>
      <c r="N2772" s="63"/>
      <c r="O2772" s="63"/>
      <c r="P2772" s="63"/>
      <c r="Q2772" s="63"/>
      <c r="R2772" s="63"/>
      <c r="S2772" s="63"/>
      <c r="T2772" s="63"/>
      <c r="U2772" s="63"/>
      <c r="V2772" s="63"/>
      <c r="W2772" s="63"/>
      <c r="X2772" s="63"/>
      <c r="Y2772" s="63"/>
      <c r="Z2772" s="63"/>
      <c r="AA2772" s="63"/>
      <c r="AB2772" s="63"/>
      <c r="AC2772" s="63"/>
    </row>
    <row r="2773" spans="1:29" x14ac:dyDescent="0.25">
      <c r="A2773" s="108">
        <v>46099</v>
      </c>
      <c r="B2773" s="128">
        <v>219</v>
      </c>
      <c r="C2773" s="49" t="s">
        <v>19</v>
      </c>
      <c r="D2773" s="110" t="str">
        <f>IF(ISBLANK($B2773),"",IFERROR(VLOOKUP($B2773,ESTOQUE!$B$2:$D$97168,3,FALSE),"Produto não cadastrado"))</f>
        <v>BOTINA SEGURANÇA METATARSO  42</v>
      </c>
      <c r="E2773" s="99" t="str">
        <f>_xlfn.XLOOKUP(B2773,ESTOQUE!B:B,ESTOQUE!G:G,"",0)</f>
        <v>PAR</v>
      </c>
      <c r="F2773" s="99">
        <v>0</v>
      </c>
      <c r="G2773" s="146"/>
      <c r="H2773" s="146"/>
      <c r="I2773" s="147"/>
      <c r="J2773" s="147"/>
      <c r="K2773" s="63"/>
      <c r="L2773" s="63"/>
      <c r="M2773" s="63"/>
      <c r="N2773" s="63"/>
      <c r="O2773" s="63"/>
      <c r="P2773" s="63"/>
      <c r="Q2773" s="63"/>
      <c r="R2773" s="63"/>
      <c r="S2773" s="63"/>
      <c r="T2773" s="63"/>
      <c r="U2773" s="63"/>
      <c r="V2773" s="63"/>
      <c r="W2773" s="63"/>
      <c r="X2773" s="63"/>
      <c r="Y2773" s="63"/>
      <c r="Z2773" s="63"/>
      <c r="AA2773" s="63"/>
      <c r="AB2773" s="63"/>
      <c r="AC2773" s="63"/>
    </row>
    <row r="2774" spans="1:29" x14ac:dyDescent="0.25">
      <c r="A2774" s="108">
        <v>46099</v>
      </c>
      <c r="B2774" s="128">
        <v>46</v>
      </c>
      <c r="C2774" s="49" t="s">
        <v>19</v>
      </c>
      <c r="D2774" s="110" t="str">
        <f>IF(ISBLANK($B2774),"",IFERROR(VLOOKUP($B2774,ESTOQUE!$B$2:$D$97168,3,FALSE),"Produto não cadastrado"))</f>
        <v>CALÇA CINZA OP. C/ FAIXA REFLETIVA TAM: G</v>
      </c>
      <c r="E2774" s="99" t="str">
        <f>_xlfn.XLOOKUP(B2774,ESTOQUE!B:B,ESTOQUE!G:G,"",0)</f>
        <v>UND</v>
      </c>
      <c r="F2774" s="99">
        <v>2</v>
      </c>
      <c r="G2774" s="146"/>
      <c r="H2774" s="146"/>
      <c r="I2774" s="147"/>
      <c r="J2774" s="147"/>
      <c r="K2774" s="63"/>
      <c r="L2774" s="63"/>
      <c r="M2774" s="63"/>
      <c r="N2774" s="63"/>
      <c r="O2774" s="63"/>
      <c r="P2774" s="63"/>
      <c r="Q2774" s="63"/>
      <c r="R2774" s="63"/>
      <c r="S2774" s="63"/>
      <c r="T2774" s="63"/>
      <c r="U2774" s="63"/>
      <c r="V2774" s="63"/>
      <c r="W2774" s="63"/>
      <c r="X2774" s="63"/>
      <c r="Y2774" s="63"/>
      <c r="Z2774" s="63"/>
      <c r="AA2774" s="63"/>
      <c r="AB2774" s="63"/>
      <c r="AC2774" s="63"/>
    </row>
    <row r="2775" spans="1:29" x14ac:dyDescent="0.25">
      <c r="A2775" s="108">
        <v>46099</v>
      </c>
      <c r="B2775" s="128">
        <v>47</v>
      </c>
      <c r="C2775" s="49" t="s">
        <v>19</v>
      </c>
      <c r="D2775" s="110" t="str">
        <f>IF(ISBLANK($B2775),"",IFERROR(VLOOKUP($B2775,ESTOQUE!$B$2:$D$97168,3,FALSE),"Produto não cadastrado"))</f>
        <v>CALÇA CINZA OP. C/ FAIXA REFLETIVA TAM: GG</v>
      </c>
      <c r="E2775" s="99" t="str">
        <f>_xlfn.XLOOKUP(B2775,ESTOQUE!B:B,ESTOQUE!G:G,"",0)</f>
        <v>UND</v>
      </c>
      <c r="F2775" s="99">
        <v>1</v>
      </c>
      <c r="G2775" s="146"/>
      <c r="H2775" s="146"/>
      <c r="I2775" s="147"/>
      <c r="J2775" s="147"/>
      <c r="K2775" s="63"/>
      <c r="L2775" s="63"/>
      <c r="M2775" s="63"/>
      <c r="N2775" s="63"/>
      <c r="O2775" s="63"/>
      <c r="P2775" s="63"/>
      <c r="Q2775" s="63"/>
      <c r="R2775" s="63"/>
      <c r="S2775" s="63"/>
      <c r="T2775" s="63"/>
      <c r="U2775" s="63"/>
      <c r="V2775" s="63"/>
      <c r="W2775" s="63"/>
      <c r="X2775" s="63"/>
      <c r="Y2775" s="63"/>
      <c r="Z2775" s="63"/>
      <c r="AA2775" s="63"/>
      <c r="AB2775" s="63"/>
      <c r="AC2775" s="63"/>
    </row>
    <row r="2776" spans="1:29" x14ac:dyDescent="0.25">
      <c r="A2776" s="108">
        <v>46099</v>
      </c>
      <c r="B2776" s="128">
        <v>48</v>
      </c>
      <c r="C2776" s="49" t="s">
        <v>19</v>
      </c>
      <c r="D2776" s="110" t="str">
        <f>IF(ISBLANK($B2776),"",IFERROR(VLOOKUP($B2776,ESTOQUE!$B$2:$D$97168,3,FALSE),"Produto não cadastrado"))</f>
        <v>CALÇA CINZA OP. C/ FAIXA REFLETIVA TAM: M</v>
      </c>
      <c r="E2776" s="99" t="str">
        <f>_xlfn.XLOOKUP(B2776,ESTOQUE!B:B,ESTOQUE!G:G,"",0)</f>
        <v>UND</v>
      </c>
      <c r="F2776" s="99">
        <v>3</v>
      </c>
      <c r="G2776" s="146"/>
      <c r="H2776" s="146"/>
      <c r="I2776" s="147"/>
      <c r="J2776" s="147"/>
      <c r="K2776" s="63"/>
      <c r="L2776" s="63"/>
      <c r="M2776" s="63"/>
      <c r="N2776" s="63"/>
      <c r="O2776" s="63"/>
      <c r="P2776" s="63"/>
      <c r="Q2776" s="63"/>
      <c r="R2776" s="63"/>
      <c r="S2776" s="63"/>
      <c r="T2776" s="63"/>
      <c r="U2776" s="63"/>
      <c r="V2776" s="63"/>
      <c r="W2776" s="63"/>
      <c r="X2776" s="63"/>
      <c r="Y2776" s="63"/>
      <c r="Z2776" s="63"/>
      <c r="AA2776" s="63"/>
      <c r="AB2776" s="63"/>
      <c r="AC2776" s="63"/>
    </row>
    <row r="2777" spans="1:29" x14ac:dyDescent="0.25">
      <c r="A2777" s="108">
        <v>46099</v>
      </c>
      <c r="B2777" s="128">
        <v>49</v>
      </c>
      <c r="C2777" s="49" t="s">
        <v>19</v>
      </c>
      <c r="D2777" s="110" t="str">
        <f>IF(ISBLANK($B2777),"",IFERROR(VLOOKUP($B2777,ESTOQUE!$B$2:$D$97168,3,FALSE),"Produto não cadastrado"))</f>
        <v>CALÇA CINZA OP. C/ FAIXA REFLETIVA TAM: P</v>
      </c>
      <c r="E2777" s="99" t="str">
        <f>_xlfn.XLOOKUP(B2777,ESTOQUE!B:B,ESTOQUE!G:G,"",0)</f>
        <v>UND</v>
      </c>
      <c r="F2777" s="99">
        <v>6</v>
      </c>
      <c r="G2777" s="146"/>
      <c r="H2777" s="146"/>
      <c r="I2777" s="147"/>
      <c r="J2777" s="147"/>
      <c r="K2777" s="63"/>
      <c r="L2777" s="63"/>
      <c r="M2777" s="63"/>
      <c r="N2777" s="63"/>
      <c r="O2777" s="63"/>
      <c r="P2777" s="63"/>
      <c r="Q2777" s="63"/>
      <c r="R2777" s="63"/>
      <c r="S2777" s="63"/>
      <c r="T2777" s="63"/>
      <c r="U2777" s="63"/>
      <c r="V2777" s="63"/>
      <c r="W2777" s="63"/>
      <c r="X2777" s="63"/>
      <c r="Y2777" s="63"/>
      <c r="Z2777" s="63"/>
      <c r="AA2777" s="63"/>
      <c r="AB2777" s="63"/>
      <c r="AC2777" s="63"/>
    </row>
    <row r="2778" spans="1:29" x14ac:dyDescent="0.25">
      <c r="A2778" s="108">
        <v>46099</v>
      </c>
      <c r="B2778" s="128">
        <v>67</v>
      </c>
      <c r="C2778" s="49" t="s">
        <v>19</v>
      </c>
      <c r="D2778" s="110" t="str">
        <f>IF(ISBLANK($B2778),"",IFERROR(VLOOKUP($B2778,ESTOQUE!$B$2:$D$97168,3,FALSE),"Produto não cadastrado"))</f>
        <v>CAMISA LARANJA OP. C/ FAIXA REFLETIVA TAM: G</v>
      </c>
      <c r="E2778" s="99" t="str">
        <f>_xlfn.XLOOKUP(B2778,ESTOQUE!B:B,ESTOQUE!G:G,"",0)</f>
        <v>UND</v>
      </c>
      <c r="F2778" s="99">
        <v>2</v>
      </c>
      <c r="G2778" s="146"/>
      <c r="H2778" s="146"/>
      <c r="I2778" s="147"/>
      <c r="J2778" s="147"/>
      <c r="K2778" s="63"/>
      <c r="L2778" s="63"/>
      <c r="M2778" s="63"/>
      <c r="N2778" s="63"/>
      <c r="O2778" s="63"/>
      <c r="P2778" s="63"/>
      <c r="Q2778" s="63"/>
      <c r="R2778" s="63"/>
      <c r="S2778" s="63"/>
      <c r="T2778" s="63"/>
      <c r="U2778" s="63"/>
      <c r="V2778" s="63"/>
      <c r="W2778" s="63"/>
      <c r="X2778" s="63"/>
      <c r="Y2778" s="63"/>
      <c r="Z2778" s="63"/>
      <c r="AA2778" s="63"/>
      <c r="AB2778" s="63"/>
      <c r="AC2778" s="63"/>
    </row>
    <row r="2779" spans="1:29" x14ac:dyDescent="0.25">
      <c r="A2779" s="108">
        <v>46099</v>
      </c>
      <c r="B2779" s="128">
        <v>69</v>
      </c>
      <c r="C2779" s="49" t="s">
        <v>19</v>
      </c>
      <c r="D2779" s="110" t="str">
        <f>IF(ISBLANK($B2779),"",IFERROR(VLOOKUP($B2779,ESTOQUE!$B$2:$D$97168,3,FALSE),"Produto não cadastrado"))</f>
        <v>CAMISA LARANJA OP. C/ FAIXA REFLETIVA TAM: M</v>
      </c>
      <c r="E2779" s="99" t="str">
        <f>_xlfn.XLOOKUP(B2779,ESTOQUE!B:B,ESTOQUE!G:G,"",0)</f>
        <v>UND</v>
      </c>
      <c r="F2779" s="99">
        <v>4</v>
      </c>
      <c r="G2779" s="146"/>
      <c r="H2779" s="146"/>
      <c r="I2779" s="147"/>
      <c r="J2779" s="147"/>
      <c r="K2779" s="63"/>
      <c r="L2779" s="63"/>
      <c r="M2779" s="63"/>
      <c r="N2779" s="63"/>
      <c r="O2779" s="63"/>
      <c r="P2779" s="63"/>
      <c r="Q2779" s="63"/>
      <c r="R2779" s="63"/>
      <c r="S2779" s="63"/>
      <c r="T2779" s="63"/>
      <c r="U2779" s="63"/>
      <c r="V2779" s="63"/>
      <c r="W2779" s="63"/>
      <c r="X2779" s="63"/>
      <c r="Y2779" s="63"/>
      <c r="Z2779" s="63"/>
      <c r="AA2779" s="63"/>
      <c r="AB2779" s="63"/>
      <c r="AC2779" s="63"/>
    </row>
    <row r="2780" spans="1:29" x14ac:dyDescent="0.25">
      <c r="A2780" s="108">
        <v>46099</v>
      </c>
      <c r="B2780" s="128">
        <v>72</v>
      </c>
      <c r="C2780" s="49" t="s">
        <v>19</v>
      </c>
      <c r="D2780" s="110" t="str">
        <f>IF(ISBLANK($B2780),"",IFERROR(VLOOKUP($B2780,ESTOQUE!$B$2:$D$97168,3,FALSE),"Produto não cadastrado"))</f>
        <v>CAPA DE CHUVA G</v>
      </c>
      <c r="E2780" s="99" t="str">
        <f>_xlfn.XLOOKUP(B2780,ESTOQUE!B:B,ESTOQUE!G:G,"",0)</f>
        <v>UND</v>
      </c>
      <c r="F2780" s="99">
        <v>30</v>
      </c>
      <c r="G2780" s="146"/>
      <c r="H2780" s="146"/>
      <c r="I2780" s="147"/>
      <c r="J2780" s="147"/>
      <c r="K2780" s="63"/>
      <c r="L2780" s="63"/>
      <c r="M2780" s="63"/>
      <c r="N2780" s="63"/>
      <c r="O2780" s="63"/>
      <c r="P2780" s="63"/>
      <c r="Q2780" s="63"/>
      <c r="R2780" s="63"/>
      <c r="S2780" s="63"/>
      <c r="T2780" s="63"/>
      <c r="U2780" s="63"/>
      <c r="V2780" s="63"/>
      <c r="W2780" s="63"/>
      <c r="X2780" s="63"/>
      <c r="Y2780" s="63"/>
      <c r="Z2780" s="63"/>
      <c r="AA2780" s="63"/>
      <c r="AB2780" s="63"/>
      <c r="AC2780" s="63"/>
    </row>
    <row r="2781" spans="1:29" x14ac:dyDescent="0.25">
      <c r="A2781" s="108">
        <v>46099</v>
      </c>
      <c r="B2781" s="128">
        <v>73</v>
      </c>
      <c r="C2781" s="49" t="s">
        <v>19</v>
      </c>
      <c r="D2781" s="110" t="str">
        <f>IF(ISBLANK($B2781),"",IFERROR(VLOOKUP($B2781,ESTOQUE!$B$2:$D$97168,3,FALSE),"Produto não cadastrado"))</f>
        <v>CAPA DE CHUVA GG</v>
      </c>
      <c r="E2781" s="99" t="str">
        <f>_xlfn.XLOOKUP(B2781,ESTOQUE!B:B,ESTOQUE!G:G,"",0)</f>
        <v>UND</v>
      </c>
      <c r="F2781" s="99">
        <v>66</v>
      </c>
      <c r="G2781" s="146"/>
      <c r="H2781" s="146"/>
      <c r="I2781" s="147"/>
      <c r="J2781" s="147"/>
      <c r="K2781" s="63"/>
      <c r="L2781" s="63"/>
      <c r="M2781" s="63"/>
      <c r="N2781" s="63"/>
      <c r="O2781" s="63"/>
      <c r="P2781" s="63"/>
      <c r="Q2781" s="63"/>
      <c r="R2781" s="63"/>
      <c r="S2781" s="63"/>
      <c r="T2781" s="63"/>
      <c r="U2781" s="63"/>
      <c r="V2781" s="63"/>
      <c r="W2781" s="63"/>
      <c r="X2781" s="63"/>
      <c r="Y2781" s="63"/>
      <c r="Z2781" s="63"/>
      <c r="AA2781" s="63"/>
      <c r="AB2781" s="63"/>
      <c r="AC2781" s="63"/>
    </row>
    <row r="2782" spans="1:29" x14ac:dyDescent="0.25">
      <c r="A2782" s="108">
        <v>46099</v>
      </c>
      <c r="B2782" s="128">
        <v>266</v>
      </c>
      <c r="C2782" s="49" t="s">
        <v>19</v>
      </c>
      <c r="D2782" s="110" t="str">
        <f>IF(ISBLANK($B2782),"",IFERROR(VLOOKUP($B2782,ESTOQUE!$B$2:$D$97168,3,FALSE),"Produto não cadastrado"))</f>
        <v>CINTO DE SEGURANÇA ATHENAS TAM:2</v>
      </c>
      <c r="E2782" s="99" t="str">
        <f>_xlfn.XLOOKUP(B2782,ESTOQUE!B:B,ESTOQUE!G:G,"",0)</f>
        <v>UND</v>
      </c>
      <c r="F2782" s="99">
        <v>6</v>
      </c>
      <c r="G2782" s="146"/>
      <c r="H2782" s="146"/>
      <c r="I2782" s="147"/>
      <c r="J2782" s="147"/>
      <c r="K2782" s="63"/>
      <c r="L2782" s="63"/>
      <c r="M2782" s="63"/>
      <c r="N2782" s="63"/>
      <c r="O2782" s="63"/>
      <c r="P2782" s="63"/>
      <c r="Q2782" s="63"/>
      <c r="R2782" s="63"/>
      <c r="S2782" s="63"/>
      <c r="T2782" s="63"/>
      <c r="U2782" s="63"/>
      <c r="V2782" s="63"/>
      <c r="W2782" s="63"/>
      <c r="X2782" s="63"/>
      <c r="Y2782" s="63"/>
      <c r="Z2782" s="63"/>
      <c r="AA2782" s="63"/>
      <c r="AB2782" s="63"/>
      <c r="AC2782" s="63"/>
    </row>
    <row r="2783" spans="1:29" x14ac:dyDescent="0.25">
      <c r="A2783" s="108">
        <v>46099</v>
      </c>
      <c r="B2783" s="128">
        <v>233</v>
      </c>
      <c r="C2783" s="49" t="s">
        <v>19</v>
      </c>
      <c r="D2783" s="110" t="str">
        <f>IF(ISBLANK($B2783),"",IFERROR(VLOOKUP($B2783,ESTOQUE!$B$2:$D$97168,3,FALSE),"Produto não cadastrado"))</f>
        <v>CINTO PQD SOLDADOR</v>
      </c>
      <c r="E2783" s="99" t="str">
        <f>_xlfn.XLOOKUP(B2783,ESTOQUE!B:B,ESTOQUE!G:G,"",0)</f>
        <v>UND</v>
      </c>
      <c r="F2783" s="99">
        <v>1</v>
      </c>
      <c r="G2783" s="146"/>
      <c r="H2783" s="146"/>
      <c r="I2783" s="147"/>
      <c r="J2783" s="147"/>
      <c r="K2783" s="63"/>
      <c r="L2783" s="63"/>
      <c r="M2783" s="63"/>
      <c r="N2783" s="63"/>
      <c r="O2783" s="63"/>
      <c r="P2783" s="63"/>
      <c r="Q2783" s="63"/>
      <c r="R2783" s="63"/>
      <c r="S2783" s="63"/>
      <c r="T2783" s="63"/>
      <c r="U2783" s="63"/>
      <c r="V2783" s="63"/>
      <c r="W2783" s="63"/>
      <c r="X2783" s="63"/>
      <c r="Y2783" s="63"/>
      <c r="Z2783" s="63"/>
      <c r="AA2783" s="63"/>
      <c r="AB2783" s="63"/>
      <c r="AC2783" s="63"/>
    </row>
    <row r="2784" spans="1:29" x14ac:dyDescent="0.25">
      <c r="A2784" s="108">
        <v>46099</v>
      </c>
      <c r="B2784" s="128">
        <v>187</v>
      </c>
      <c r="C2784" s="49" t="s">
        <v>19</v>
      </c>
      <c r="D2784" s="110" t="str">
        <f>IF(ISBLANK($B2784),"",IFERROR(VLOOKUP($B2784,ESTOQUE!$B$2:$D$97168,3,FALSE),"Produto não cadastrado"))</f>
        <v>COLETE REFLETIVO LARANJA XXG</v>
      </c>
      <c r="E2784" s="99" t="str">
        <f>_xlfn.XLOOKUP(B2784,ESTOQUE!B:B,ESTOQUE!G:G,"",0)</f>
        <v>UND</v>
      </c>
      <c r="F2784" s="99">
        <v>0</v>
      </c>
      <c r="G2784" s="146"/>
      <c r="H2784" s="146"/>
      <c r="I2784" s="147"/>
      <c r="J2784" s="147"/>
      <c r="K2784" s="63"/>
      <c r="L2784" s="63"/>
      <c r="M2784" s="63"/>
      <c r="N2784" s="63"/>
      <c r="O2784" s="63"/>
      <c r="P2784" s="63"/>
      <c r="Q2784" s="63"/>
      <c r="R2784" s="63"/>
      <c r="S2784" s="63"/>
      <c r="T2784" s="63"/>
      <c r="U2784" s="63"/>
      <c r="V2784" s="63"/>
      <c r="W2784" s="63"/>
      <c r="X2784" s="63"/>
      <c r="Y2784" s="63"/>
      <c r="Z2784" s="63"/>
      <c r="AA2784" s="63"/>
      <c r="AB2784" s="63"/>
      <c r="AC2784" s="63"/>
    </row>
    <row r="2785" spans="1:29" x14ac:dyDescent="0.25">
      <c r="A2785" s="108">
        <v>46099</v>
      </c>
      <c r="B2785" s="128">
        <v>262</v>
      </c>
      <c r="C2785" s="49" t="s">
        <v>19</v>
      </c>
      <c r="D2785" s="110" t="str">
        <f>IF(ISBLANK($B2785),"",IFERROR(VLOOKUP($B2785,ESTOQUE!$B$2:$D$97168,3,FALSE),"Produto não cadastrado"))</f>
        <v xml:space="preserve">LUVA DE RASPA MISTA </v>
      </c>
      <c r="E2785" s="99" t="str">
        <f>_xlfn.XLOOKUP(B2785,ESTOQUE!B:B,ESTOQUE!G:G,"",0)</f>
        <v>PAR</v>
      </c>
      <c r="F2785" s="99">
        <v>1</v>
      </c>
      <c r="G2785" s="146"/>
      <c r="H2785" s="146"/>
      <c r="I2785" s="147"/>
      <c r="J2785" s="147"/>
      <c r="K2785" s="63"/>
      <c r="L2785" s="63"/>
      <c r="M2785" s="63"/>
      <c r="N2785" s="63"/>
      <c r="O2785" s="63"/>
      <c r="P2785" s="63"/>
      <c r="Q2785" s="63"/>
      <c r="R2785" s="63"/>
      <c r="S2785" s="63"/>
      <c r="T2785" s="63"/>
      <c r="U2785" s="63"/>
      <c r="V2785" s="63"/>
      <c r="W2785" s="63"/>
      <c r="X2785" s="63"/>
      <c r="Y2785" s="63"/>
      <c r="Z2785" s="63"/>
      <c r="AA2785" s="63"/>
      <c r="AB2785" s="63"/>
      <c r="AC2785" s="63"/>
    </row>
    <row r="2786" spans="1:29" x14ac:dyDescent="0.25">
      <c r="A2786" s="108">
        <v>46099</v>
      </c>
      <c r="B2786" s="128">
        <v>111</v>
      </c>
      <c r="C2786" s="49" t="s">
        <v>19</v>
      </c>
      <c r="D2786" s="110" t="str">
        <f>IF(ISBLANK($B2786),"",IFERROR(VLOOKUP($B2786,ESTOQUE!$B$2:$D$97168,3,FALSE),"Produto não cadastrado"))</f>
        <v>LUVA DE VAQUETA MARROM</v>
      </c>
      <c r="E2786" s="99" t="str">
        <f>_xlfn.XLOOKUP(B2786,ESTOQUE!B:B,ESTOQUE!G:G,"",0)</f>
        <v>PAR</v>
      </c>
      <c r="F2786" s="99">
        <v>1</v>
      </c>
      <c r="G2786" s="146"/>
      <c r="H2786" s="146"/>
      <c r="I2786" s="147"/>
      <c r="J2786" s="147"/>
      <c r="K2786" s="63"/>
      <c r="L2786" s="63"/>
      <c r="M2786" s="63"/>
      <c r="N2786" s="63"/>
      <c r="O2786" s="63"/>
      <c r="P2786" s="63"/>
      <c r="Q2786" s="63"/>
      <c r="R2786" s="63"/>
      <c r="S2786" s="63"/>
      <c r="T2786" s="63"/>
      <c r="U2786" s="63"/>
      <c r="V2786" s="63"/>
      <c r="W2786" s="63"/>
      <c r="X2786" s="63"/>
      <c r="Y2786" s="63"/>
      <c r="Z2786" s="63"/>
      <c r="AA2786" s="63"/>
      <c r="AB2786" s="63"/>
      <c r="AC2786" s="63"/>
    </row>
    <row r="2787" spans="1:29" x14ac:dyDescent="0.25">
      <c r="A2787" s="108">
        <v>46099</v>
      </c>
      <c r="B2787" s="128">
        <v>189</v>
      </c>
      <c r="C2787" s="49" t="s">
        <v>19</v>
      </c>
      <c r="D2787" s="110" t="str">
        <f>IF(ISBLANK($B2787),"",IFERROR(VLOOKUP($B2787,ESTOQUE!$B$2:$D$97168,3,FALSE),"Produto não cadastrado"))</f>
        <v xml:space="preserve">LUVA DE VAQUETA MISTA </v>
      </c>
      <c r="E2787" s="99" t="str">
        <f>_xlfn.XLOOKUP(B2787,ESTOQUE!B:B,ESTOQUE!G:G,"",0)</f>
        <v>UND</v>
      </c>
      <c r="F2787" s="99">
        <v>1</v>
      </c>
      <c r="G2787" s="146"/>
      <c r="H2787" s="146"/>
      <c r="I2787" s="147"/>
      <c r="J2787" s="147"/>
      <c r="K2787" s="63"/>
      <c r="L2787" s="63"/>
      <c r="M2787" s="63"/>
      <c r="N2787" s="63"/>
      <c r="O2787" s="63"/>
      <c r="P2787" s="63"/>
      <c r="Q2787" s="63"/>
      <c r="R2787" s="63"/>
      <c r="S2787" s="63"/>
      <c r="T2787" s="63"/>
      <c r="U2787" s="63"/>
      <c r="V2787" s="63"/>
      <c r="W2787" s="63"/>
      <c r="X2787" s="63"/>
      <c r="Y2787" s="63"/>
      <c r="Z2787" s="63"/>
      <c r="AA2787" s="63"/>
      <c r="AB2787" s="63"/>
      <c r="AC2787" s="63"/>
    </row>
    <row r="2788" spans="1:29" x14ac:dyDescent="0.25">
      <c r="A2788" s="108">
        <v>46099</v>
      </c>
      <c r="B2788" s="128">
        <v>263</v>
      </c>
      <c r="C2788" s="49" t="s">
        <v>19</v>
      </c>
      <c r="D2788" s="110" t="str">
        <f>IF(ISBLANK($B2788),"",IFERROR(VLOOKUP($B2788,ESTOQUE!$B$2:$D$97168,3,FALSE),"Produto não cadastrado"))</f>
        <v>LUVA DE VAUQETA CINZA</v>
      </c>
      <c r="E2788" s="99" t="str">
        <f>_xlfn.XLOOKUP(B2788,ESTOQUE!B:B,ESTOQUE!G:G,"",0)</f>
        <v>UND</v>
      </c>
      <c r="F2788" s="99">
        <v>2</v>
      </c>
      <c r="G2788" s="146"/>
      <c r="H2788" s="146"/>
      <c r="I2788" s="147"/>
      <c r="J2788" s="147"/>
      <c r="K2788" s="63"/>
      <c r="L2788" s="63"/>
      <c r="M2788" s="63"/>
      <c r="N2788" s="63"/>
      <c r="O2788" s="63"/>
      <c r="P2788" s="63"/>
      <c r="Q2788" s="63"/>
      <c r="R2788" s="63"/>
      <c r="S2788" s="63"/>
      <c r="T2788" s="63"/>
      <c r="U2788" s="63"/>
      <c r="V2788" s="63"/>
      <c r="W2788" s="63"/>
      <c r="X2788" s="63"/>
      <c r="Y2788" s="63"/>
      <c r="Z2788" s="63"/>
      <c r="AA2788" s="63"/>
      <c r="AB2788" s="63"/>
      <c r="AC2788" s="63"/>
    </row>
    <row r="2789" spans="1:29" x14ac:dyDescent="0.25">
      <c r="A2789" s="108">
        <v>46099</v>
      </c>
      <c r="B2789" s="128">
        <v>114</v>
      </c>
      <c r="C2789" s="49" t="s">
        <v>19</v>
      </c>
      <c r="D2789" s="110" t="str">
        <f>IF(ISBLANK($B2789),"",IFERROR(VLOOKUP($B2789,ESTOQUE!$B$2:$D$97168,3,FALSE),"Produto não cadastrado"))</f>
        <v xml:space="preserve">LUVA LATEX NITRILICA </v>
      </c>
      <c r="E2789" s="99" t="str">
        <f>_xlfn.XLOOKUP(B2789,ESTOQUE!B:B,ESTOQUE!G:G,"",0)</f>
        <v>PAR</v>
      </c>
      <c r="F2789" s="99">
        <v>1</v>
      </c>
      <c r="G2789" s="146"/>
      <c r="H2789" s="146"/>
      <c r="I2789" s="147"/>
      <c r="J2789" s="147"/>
      <c r="K2789" s="63"/>
      <c r="L2789" s="63"/>
      <c r="M2789" s="63"/>
      <c r="N2789" s="63"/>
      <c r="O2789" s="63"/>
      <c r="P2789" s="63"/>
      <c r="Q2789" s="63"/>
      <c r="R2789" s="63"/>
      <c r="S2789" s="63"/>
      <c r="T2789" s="63"/>
      <c r="U2789" s="63"/>
      <c r="V2789" s="63"/>
      <c r="W2789" s="63"/>
      <c r="X2789" s="63"/>
      <c r="Y2789" s="63"/>
      <c r="Z2789" s="63"/>
      <c r="AA2789" s="63"/>
      <c r="AB2789" s="63"/>
      <c r="AC2789" s="63"/>
    </row>
    <row r="2790" spans="1:29" x14ac:dyDescent="0.25">
      <c r="A2790" s="108">
        <v>46099</v>
      </c>
      <c r="B2790" s="128">
        <v>257</v>
      </c>
      <c r="C2790" s="49" t="s">
        <v>19</v>
      </c>
      <c r="D2790" s="110" t="str">
        <f>IF(ISBLANK($B2790),"",IFERROR(VLOOKUP($B2790,ESTOQUE!$B$2:$D$97168,3,FALSE),"Produto não cadastrado"))</f>
        <v xml:space="preserve">LUVA MULTITATO </v>
      </c>
      <c r="E2790" s="99" t="str">
        <f>_xlfn.XLOOKUP(B2790,ESTOQUE!B:B,ESTOQUE!G:G,"",0)</f>
        <v>UND</v>
      </c>
      <c r="F2790" s="99">
        <v>12</v>
      </c>
      <c r="G2790" s="146"/>
      <c r="H2790" s="146"/>
      <c r="I2790" s="147"/>
      <c r="J2790" s="147"/>
      <c r="K2790" s="63"/>
      <c r="L2790" s="63"/>
      <c r="M2790" s="63"/>
      <c r="N2790" s="63"/>
      <c r="O2790" s="63"/>
      <c r="P2790" s="63"/>
      <c r="Q2790" s="63"/>
      <c r="R2790" s="63"/>
      <c r="S2790" s="63"/>
      <c r="T2790" s="63"/>
      <c r="U2790" s="63"/>
      <c r="V2790" s="63"/>
      <c r="W2790" s="63"/>
      <c r="X2790" s="63"/>
      <c r="Y2790" s="63"/>
      <c r="Z2790" s="63"/>
      <c r="AA2790" s="63"/>
      <c r="AB2790" s="63"/>
      <c r="AC2790" s="63"/>
    </row>
    <row r="2791" spans="1:29" x14ac:dyDescent="0.25">
      <c r="A2791" s="108">
        <v>46099</v>
      </c>
      <c r="B2791" s="128">
        <v>117</v>
      </c>
      <c r="C2791" s="49" t="s">
        <v>19</v>
      </c>
      <c r="D2791" s="110" t="str">
        <f>IF(ISBLANK($B2791),"",IFERROR(VLOOKUP($B2791,ESTOQUE!$B$2:$D$97168,3,FALSE),"Produto não cadastrado"))</f>
        <v>LUVA PIGMENTADA</v>
      </c>
      <c r="E2791" s="99" t="str">
        <f>_xlfn.XLOOKUP(B2791,ESTOQUE!B:B,ESTOQUE!G:G,"",0)</f>
        <v>PAR</v>
      </c>
      <c r="F2791" s="99">
        <v>2</v>
      </c>
      <c r="G2791" s="146"/>
      <c r="H2791" s="146"/>
      <c r="I2791" s="147"/>
      <c r="J2791" s="147"/>
      <c r="K2791" s="63"/>
      <c r="L2791" s="63"/>
      <c r="M2791" s="63"/>
      <c r="N2791" s="63"/>
      <c r="O2791" s="63"/>
      <c r="P2791" s="63"/>
      <c r="Q2791" s="63"/>
      <c r="R2791" s="63"/>
      <c r="S2791" s="63"/>
      <c r="T2791" s="63"/>
      <c r="U2791" s="63"/>
      <c r="V2791" s="63"/>
      <c r="W2791" s="63"/>
      <c r="X2791" s="63"/>
      <c r="Y2791" s="63"/>
      <c r="Z2791" s="63"/>
      <c r="AA2791" s="63"/>
      <c r="AB2791" s="63"/>
      <c r="AC2791" s="63"/>
    </row>
    <row r="2792" spans="1:29" x14ac:dyDescent="0.25">
      <c r="A2792" s="108">
        <v>46099</v>
      </c>
      <c r="B2792" s="128">
        <v>207</v>
      </c>
      <c r="C2792" s="49" t="s">
        <v>19</v>
      </c>
      <c r="D2792" s="110" t="str">
        <f>IF(ISBLANK($B2792),"",IFERROR(VLOOKUP($B2792,ESTOQUE!$B$2:$D$97168,3,FALSE),"Produto não cadastrado"))</f>
        <v>LUVA POLIESTER ANTICORTE BANHADA PU TAM 9</v>
      </c>
      <c r="E2792" s="99" t="str">
        <f>_xlfn.XLOOKUP(B2792,ESTOQUE!B:B,ESTOQUE!G:G,"",0)</f>
        <v>PAR</v>
      </c>
      <c r="F2792" s="99">
        <v>2</v>
      </c>
      <c r="G2792" s="146"/>
      <c r="H2792" s="146"/>
      <c r="I2792" s="147"/>
      <c r="J2792" s="147"/>
      <c r="K2792" s="63"/>
      <c r="L2792" s="63"/>
      <c r="M2792" s="63"/>
      <c r="N2792" s="63"/>
      <c r="O2792" s="63"/>
      <c r="P2792" s="63"/>
      <c r="Q2792" s="63"/>
      <c r="R2792" s="63"/>
      <c r="S2792" s="63"/>
      <c r="T2792" s="63"/>
      <c r="U2792" s="63"/>
      <c r="V2792" s="63"/>
      <c r="W2792" s="63"/>
      <c r="X2792" s="63"/>
      <c r="Y2792" s="63"/>
      <c r="Z2792" s="63"/>
      <c r="AA2792" s="63"/>
      <c r="AB2792" s="63"/>
      <c r="AC2792" s="63"/>
    </row>
    <row r="2793" spans="1:29" x14ac:dyDescent="0.25">
      <c r="A2793" s="108">
        <v>46099</v>
      </c>
      <c r="B2793" s="128">
        <v>267</v>
      </c>
      <c r="C2793" s="49" t="s">
        <v>19</v>
      </c>
      <c r="D2793" s="110" t="str">
        <f>IF(ISBLANK($B2793),"",IFERROR(VLOOKUP($B2793,ESTOQUE!$B$2:$D$97168,3,FALSE),"Produto não cadastrado"))</f>
        <v>LUVA POLIESTER ANTICORTE CANO LONGO</v>
      </c>
      <c r="E2793" s="99" t="str">
        <f>_xlfn.XLOOKUP(B2793,ESTOQUE!B:B,ESTOQUE!G:G,"",0)</f>
        <v>UND</v>
      </c>
      <c r="F2793" s="99">
        <v>5</v>
      </c>
      <c r="G2793" s="146"/>
      <c r="H2793" s="146"/>
      <c r="I2793" s="147"/>
      <c r="J2793" s="147"/>
      <c r="K2793" s="63"/>
      <c r="L2793" s="63"/>
      <c r="M2793" s="63"/>
      <c r="N2793" s="63"/>
      <c r="O2793" s="63"/>
      <c r="P2793" s="63"/>
      <c r="Q2793" s="63"/>
      <c r="R2793" s="63"/>
      <c r="S2793" s="63"/>
      <c r="T2793" s="63"/>
      <c r="U2793" s="63"/>
      <c r="V2793" s="63"/>
      <c r="W2793" s="63"/>
      <c r="X2793" s="63"/>
      <c r="Y2793" s="63"/>
      <c r="Z2793" s="63"/>
      <c r="AA2793" s="63"/>
      <c r="AB2793" s="63"/>
      <c r="AC2793" s="63"/>
    </row>
    <row r="2794" spans="1:29" x14ac:dyDescent="0.25">
      <c r="A2794" s="108">
        <v>46099</v>
      </c>
      <c r="B2794" s="128">
        <v>118</v>
      </c>
      <c r="C2794" s="49" t="s">
        <v>19</v>
      </c>
      <c r="D2794" s="110" t="str">
        <f>IF(ISBLANK($B2794),"",IFERROR(VLOOKUP($B2794,ESTOQUE!$B$2:$D$97168,3,FALSE),"Produto não cadastrado"))</f>
        <v>MACACÃO DE PROTEÇÃO TYVEK</v>
      </c>
      <c r="E2794" s="99" t="str">
        <f>_xlfn.XLOOKUP(B2794,ESTOQUE!B:B,ESTOQUE!G:G,"",0)</f>
        <v>UND</v>
      </c>
      <c r="F2794" s="99">
        <v>58</v>
      </c>
      <c r="G2794" s="146"/>
      <c r="H2794" s="146"/>
      <c r="I2794" s="147"/>
      <c r="J2794" s="147"/>
      <c r="K2794" s="63"/>
      <c r="L2794" s="63"/>
      <c r="M2794" s="63"/>
      <c r="N2794" s="63"/>
      <c r="O2794" s="63"/>
      <c r="P2794" s="63"/>
      <c r="Q2794" s="63"/>
      <c r="R2794" s="63"/>
      <c r="S2794" s="63"/>
      <c r="T2794" s="63"/>
      <c r="U2794" s="63"/>
      <c r="V2794" s="63"/>
      <c r="W2794" s="63"/>
      <c r="X2794" s="63"/>
      <c r="Y2794" s="63"/>
      <c r="Z2794" s="63"/>
      <c r="AA2794" s="63"/>
      <c r="AB2794" s="63"/>
      <c r="AC2794" s="63"/>
    </row>
    <row r="2795" spans="1:29" x14ac:dyDescent="0.25">
      <c r="A2795" s="108">
        <v>46099</v>
      </c>
      <c r="B2795" s="128">
        <v>144</v>
      </c>
      <c r="C2795" s="49" t="s">
        <v>19</v>
      </c>
      <c r="D2795" s="110" t="str">
        <f>IF(ISBLANK($B2795),"",IFERROR(VLOOKUP($B2795,ESTOQUE!$B$2:$D$97168,3,FALSE),"Produto não cadastrado"))</f>
        <v>MASCARA PFF2-S C/ FILTRO</v>
      </c>
      <c r="E2795" s="99" t="str">
        <f>_xlfn.XLOOKUP(B2795,ESTOQUE!B:B,ESTOQUE!G:G,"",0)</f>
        <v>UND</v>
      </c>
      <c r="F2795" s="99">
        <v>6</v>
      </c>
      <c r="G2795" s="146"/>
      <c r="H2795" s="146"/>
      <c r="I2795" s="147"/>
      <c r="J2795" s="147"/>
      <c r="K2795" s="63"/>
      <c r="L2795" s="63"/>
      <c r="M2795" s="63"/>
      <c r="N2795" s="63"/>
      <c r="O2795" s="63"/>
      <c r="P2795" s="63"/>
      <c r="Q2795" s="63"/>
      <c r="R2795" s="63"/>
      <c r="S2795" s="63"/>
      <c r="T2795" s="63"/>
      <c r="U2795" s="63"/>
      <c r="V2795" s="63"/>
      <c r="W2795" s="63"/>
      <c r="X2795" s="63"/>
      <c r="Y2795" s="63"/>
      <c r="Z2795" s="63"/>
      <c r="AA2795" s="63"/>
      <c r="AB2795" s="63"/>
      <c r="AC2795" s="63"/>
    </row>
    <row r="2796" spans="1:29" x14ac:dyDescent="0.25">
      <c r="A2796" s="108">
        <v>46099</v>
      </c>
      <c r="B2796" s="128">
        <v>126</v>
      </c>
      <c r="C2796" s="49" t="s">
        <v>19</v>
      </c>
      <c r="D2796" s="110" t="str">
        <f>IF(ISBLANK($B2796),"",IFERROR(VLOOKUP($B2796,ESTOQUE!$B$2:$D$97168,3,FALSE),"Produto não cadastrado"))</f>
        <v>OCULOS DE PROTEÇÃO ESCURO</v>
      </c>
      <c r="E2796" s="99" t="str">
        <f>_xlfn.XLOOKUP(B2796,ESTOQUE!B:B,ESTOQUE!G:G,"",0)</f>
        <v>UND</v>
      </c>
      <c r="F2796" s="99">
        <v>2</v>
      </c>
      <c r="G2796" s="146"/>
      <c r="H2796" s="146"/>
      <c r="I2796" s="147"/>
      <c r="J2796" s="147"/>
      <c r="K2796" s="63"/>
      <c r="L2796" s="63"/>
      <c r="M2796" s="63"/>
      <c r="N2796" s="63"/>
      <c r="O2796" s="63"/>
      <c r="P2796" s="63"/>
      <c r="Q2796" s="63"/>
      <c r="R2796" s="63"/>
      <c r="S2796" s="63"/>
      <c r="T2796" s="63"/>
      <c r="U2796" s="63"/>
      <c r="V2796" s="63"/>
      <c r="W2796" s="63"/>
      <c r="X2796" s="63"/>
      <c r="Y2796" s="63"/>
      <c r="Z2796" s="63"/>
      <c r="AA2796" s="63"/>
      <c r="AB2796" s="63"/>
      <c r="AC2796" s="63"/>
    </row>
    <row r="2797" spans="1:29" x14ac:dyDescent="0.25">
      <c r="A2797" s="108">
        <v>46099</v>
      </c>
      <c r="B2797" s="128">
        <v>130</v>
      </c>
      <c r="C2797" s="49" t="s">
        <v>19</v>
      </c>
      <c r="D2797" s="110" t="str">
        <f>IF(ISBLANK($B2797),"",IFERROR(VLOOKUP($B2797,ESTOQUE!$B$2:$D$97168,3,FALSE),"Produto não cadastrado"))</f>
        <v>PROTETOR AUDITIVO TIPO CONCHA L-300</v>
      </c>
      <c r="E2797" s="99" t="str">
        <f>_xlfn.XLOOKUP(B2797,ESTOQUE!B:B,ESTOQUE!G:G,"",0)</f>
        <v>UND</v>
      </c>
      <c r="F2797" s="99">
        <v>2</v>
      </c>
      <c r="G2797" s="146"/>
      <c r="H2797" s="146"/>
      <c r="I2797" s="147"/>
      <c r="J2797" s="147"/>
      <c r="K2797" s="63"/>
      <c r="L2797" s="63"/>
      <c r="M2797" s="63"/>
      <c r="N2797" s="63"/>
      <c r="O2797" s="63"/>
      <c r="P2797" s="63"/>
      <c r="Q2797" s="63"/>
      <c r="R2797" s="63"/>
      <c r="S2797" s="63"/>
      <c r="T2797" s="63"/>
      <c r="U2797" s="63"/>
      <c r="V2797" s="63"/>
      <c r="W2797" s="63"/>
      <c r="X2797" s="63"/>
      <c r="Y2797" s="63"/>
      <c r="Z2797" s="63"/>
      <c r="AA2797" s="63"/>
      <c r="AB2797" s="63"/>
      <c r="AC2797" s="63"/>
    </row>
    <row r="2798" spans="1:29" x14ac:dyDescent="0.25">
      <c r="A2798" s="108">
        <v>46099</v>
      </c>
      <c r="B2798" s="128">
        <v>135</v>
      </c>
      <c r="C2798" s="49" t="s">
        <v>19</v>
      </c>
      <c r="D2798" s="110" t="str">
        <f>IF(ISBLANK($B2798),"",IFERROR(VLOOKUP($B2798,ESTOQUE!$B$2:$D$97168,3,FALSE),"Produto não cadastrado"))</f>
        <v>TALABARTE DUPLO TIPO Y</v>
      </c>
      <c r="E2798" s="99" t="str">
        <f>_xlfn.XLOOKUP(B2798,ESTOQUE!B:B,ESTOQUE!G:G,"",0)</f>
        <v>UND</v>
      </c>
      <c r="F2798" s="99">
        <v>0</v>
      </c>
      <c r="G2798" s="146"/>
      <c r="H2798" s="146"/>
      <c r="I2798" s="147"/>
      <c r="J2798" s="147"/>
      <c r="K2798" s="63"/>
      <c r="L2798" s="63"/>
      <c r="M2798" s="63"/>
      <c r="N2798" s="63"/>
      <c r="O2798" s="63"/>
      <c r="P2798" s="63"/>
      <c r="Q2798" s="63"/>
      <c r="R2798" s="63"/>
      <c r="S2798" s="63"/>
      <c r="T2798" s="63"/>
      <c r="U2798" s="63"/>
      <c r="V2798" s="63"/>
      <c r="W2798" s="63"/>
      <c r="X2798" s="63"/>
      <c r="Y2798" s="63"/>
      <c r="Z2798" s="63"/>
      <c r="AA2798" s="63"/>
      <c r="AB2798" s="63"/>
      <c r="AC2798" s="63"/>
    </row>
    <row r="2799" spans="1:29" x14ac:dyDescent="0.25">
      <c r="A2799" s="108">
        <v>46100</v>
      </c>
      <c r="B2799" s="128">
        <v>228</v>
      </c>
      <c r="C2799" s="49" t="s">
        <v>19</v>
      </c>
      <c r="D2799" s="110" t="str">
        <f>IF(ISBLANK($B2799),"",IFERROR(VLOOKUP($B2799,ESTOQUE!$B$2:$D$97168,3,FALSE),"Produto não cadastrado"))</f>
        <v xml:space="preserve">BALACLAVA  </v>
      </c>
      <c r="E2799" s="99" t="str">
        <f>_xlfn.XLOOKUP(B2799,ESTOQUE!B:B,ESTOQUE!G:G,"",0)</f>
        <v>UND</v>
      </c>
      <c r="F2799" s="99">
        <v>0</v>
      </c>
      <c r="G2799" s="146"/>
      <c r="H2799" s="146"/>
      <c r="I2799" s="147"/>
      <c r="J2799" s="147"/>
      <c r="K2799" s="63"/>
      <c r="L2799" s="63"/>
      <c r="M2799" s="63"/>
      <c r="N2799" s="63"/>
      <c r="O2799" s="63"/>
      <c r="P2799" s="63"/>
      <c r="Q2799" s="63"/>
      <c r="R2799" s="63"/>
      <c r="S2799" s="63"/>
      <c r="T2799" s="63"/>
      <c r="U2799" s="63"/>
      <c r="V2799" s="63"/>
      <c r="W2799" s="63"/>
      <c r="X2799" s="63"/>
      <c r="Y2799" s="63"/>
      <c r="Z2799" s="63"/>
      <c r="AA2799" s="63"/>
      <c r="AB2799" s="63"/>
      <c r="AC2799" s="63"/>
    </row>
    <row r="2800" spans="1:29" x14ac:dyDescent="0.25">
      <c r="A2800" s="108">
        <v>46100</v>
      </c>
      <c r="B2800" s="128">
        <v>41</v>
      </c>
      <c r="C2800" s="49" t="s">
        <v>19</v>
      </c>
      <c r="D2800" s="110" t="str">
        <f>IF(ISBLANK($B2800),"",IFERROR(VLOOKUP($B2800,ESTOQUE!$B$2:$D$97168,3,FALSE),"Produto não cadastrado"))</f>
        <v>BOTINA OP. BICO PVC Nº 43</v>
      </c>
      <c r="E2800" s="99" t="str">
        <f>_xlfn.XLOOKUP(B2800,ESTOQUE!B:B,ESTOQUE!G:G,"",0)</f>
        <v>PAR</v>
      </c>
      <c r="F2800" s="99">
        <v>1</v>
      </c>
      <c r="G2800" s="146"/>
      <c r="H2800" s="146"/>
      <c r="I2800" s="147"/>
      <c r="J2800" s="147"/>
      <c r="K2800" s="63"/>
      <c r="L2800" s="63"/>
      <c r="M2800" s="63"/>
      <c r="N2800" s="63"/>
      <c r="O2800" s="63"/>
      <c r="P2800" s="63"/>
      <c r="Q2800" s="63"/>
      <c r="R2800" s="63"/>
      <c r="S2800" s="63"/>
      <c r="T2800" s="63"/>
      <c r="U2800" s="63"/>
      <c r="V2800" s="63"/>
      <c r="W2800" s="63"/>
      <c r="X2800" s="63"/>
      <c r="Y2800" s="63"/>
      <c r="Z2800" s="63"/>
      <c r="AA2800" s="63"/>
      <c r="AB2800" s="63"/>
      <c r="AC2800" s="63"/>
    </row>
    <row r="2801" spans="1:29" x14ac:dyDescent="0.25">
      <c r="A2801" s="108">
        <v>46100</v>
      </c>
      <c r="B2801" s="128">
        <v>220</v>
      </c>
      <c r="C2801" s="49" t="s">
        <v>19</v>
      </c>
      <c r="D2801" s="110" t="str">
        <f>IF(ISBLANK($B2801),"",IFERROR(VLOOKUP($B2801,ESTOQUE!$B$2:$D$97168,3,FALSE),"Produto não cadastrado"))</f>
        <v>BOTINA SEGURANÇA METATARSO  43</v>
      </c>
      <c r="E2801" s="99" t="str">
        <f>_xlfn.XLOOKUP(B2801,ESTOQUE!B:B,ESTOQUE!G:G,"",0)</f>
        <v>PAR</v>
      </c>
      <c r="F2801" s="99">
        <v>0</v>
      </c>
      <c r="G2801" s="146"/>
      <c r="H2801" s="146"/>
      <c r="I2801" s="147"/>
      <c r="J2801" s="147"/>
      <c r="K2801" s="63"/>
      <c r="L2801" s="63"/>
      <c r="M2801" s="63"/>
      <c r="N2801" s="63"/>
      <c r="O2801" s="63"/>
      <c r="P2801" s="63"/>
      <c r="Q2801" s="63"/>
      <c r="R2801" s="63"/>
      <c r="S2801" s="63"/>
      <c r="T2801" s="63"/>
      <c r="U2801" s="63"/>
      <c r="V2801" s="63"/>
      <c r="W2801" s="63"/>
      <c r="X2801" s="63"/>
      <c r="Y2801" s="63"/>
      <c r="Z2801" s="63"/>
      <c r="AA2801" s="63"/>
      <c r="AB2801" s="63"/>
      <c r="AC2801" s="63"/>
    </row>
    <row r="2802" spans="1:29" x14ac:dyDescent="0.25">
      <c r="A2802" s="108">
        <v>46100</v>
      </c>
      <c r="B2802" s="128">
        <v>221</v>
      </c>
      <c r="C2802" s="49" t="s">
        <v>19</v>
      </c>
      <c r="D2802" s="110" t="str">
        <f>IF(ISBLANK($B2802),"",IFERROR(VLOOKUP($B2802,ESTOQUE!$B$2:$D$97168,3,FALSE),"Produto não cadastrado"))</f>
        <v>BOTINA SEGURANÇA METATARSO  44</v>
      </c>
      <c r="E2802" s="99" t="str">
        <f>_xlfn.XLOOKUP(B2802,ESTOQUE!B:B,ESTOQUE!G:G,"",0)</f>
        <v>PAR</v>
      </c>
      <c r="F2802" s="99">
        <v>0</v>
      </c>
      <c r="G2802" s="146"/>
      <c r="H2802" s="146"/>
      <c r="I2802" s="147"/>
      <c r="J2802" s="147"/>
      <c r="K2802" s="63"/>
      <c r="L2802" s="63"/>
      <c r="M2802" s="63"/>
      <c r="N2802" s="63"/>
      <c r="O2802" s="63"/>
      <c r="P2802" s="63"/>
      <c r="Q2802" s="63"/>
      <c r="R2802" s="63"/>
      <c r="S2802" s="63"/>
      <c r="T2802" s="63"/>
      <c r="U2802" s="63"/>
      <c r="V2802" s="63"/>
      <c r="W2802" s="63"/>
      <c r="X2802" s="63"/>
      <c r="Y2802" s="63"/>
      <c r="Z2802" s="63"/>
      <c r="AA2802" s="63"/>
      <c r="AB2802" s="63"/>
      <c r="AC2802" s="63"/>
    </row>
    <row r="2803" spans="1:29" x14ac:dyDescent="0.25">
      <c r="A2803" s="108">
        <v>46100</v>
      </c>
      <c r="B2803" s="128">
        <v>46</v>
      </c>
      <c r="C2803" s="49" t="s">
        <v>19</v>
      </c>
      <c r="D2803" s="110" t="str">
        <f>IF(ISBLANK($B2803),"",IFERROR(VLOOKUP($B2803,ESTOQUE!$B$2:$D$97168,3,FALSE),"Produto não cadastrado"))</f>
        <v>CALÇA CINZA OP. C/ FAIXA REFLETIVA TAM: G</v>
      </c>
      <c r="E2803" s="99" t="str">
        <f>_xlfn.XLOOKUP(B2803,ESTOQUE!B:B,ESTOQUE!G:G,"",0)</f>
        <v>UND</v>
      </c>
      <c r="F2803" s="99">
        <v>1</v>
      </c>
      <c r="G2803" s="146"/>
      <c r="H2803" s="146"/>
      <c r="I2803" s="147"/>
      <c r="J2803" s="147"/>
      <c r="K2803" s="63"/>
      <c r="L2803" s="63"/>
      <c r="M2803" s="63"/>
      <c r="N2803" s="63"/>
      <c r="O2803" s="63"/>
      <c r="P2803" s="63"/>
      <c r="Q2803" s="63"/>
      <c r="R2803" s="63"/>
      <c r="S2803" s="63"/>
      <c r="T2803" s="63"/>
      <c r="U2803" s="63"/>
      <c r="V2803" s="63"/>
      <c r="W2803" s="63"/>
      <c r="X2803" s="63"/>
      <c r="Y2803" s="63"/>
      <c r="Z2803" s="63"/>
      <c r="AA2803" s="63"/>
      <c r="AB2803" s="63"/>
      <c r="AC2803" s="63"/>
    </row>
    <row r="2804" spans="1:29" x14ac:dyDescent="0.25">
      <c r="A2804" s="108">
        <v>46100</v>
      </c>
      <c r="B2804" s="128">
        <v>47</v>
      </c>
      <c r="C2804" s="49" t="s">
        <v>19</v>
      </c>
      <c r="D2804" s="110" t="str">
        <f>IF(ISBLANK($B2804),"",IFERROR(VLOOKUP($B2804,ESTOQUE!$B$2:$D$97168,3,FALSE),"Produto não cadastrado"))</f>
        <v>CALÇA CINZA OP. C/ FAIXA REFLETIVA TAM: GG</v>
      </c>
      <c r="E2804" s="99" t="str">
        <f>_xlfn.XLOOKUP(B2804,ESTOQUE!B:B,ESTOQUE!G:G,"",0)</f>
        <v>UND</v>
      </c>
      <c r="F2804" s="99">
        <v>2</v>
      </c>
      <c r="G2804" s="146"/>
      <c r="H2804" s="146"/>
      <c r="I2804" s="147"/>
      <c r="J2804" s="147"/>
      <c r="K2804" s="63"/>
      <c r="L2804" s="63"/>
      <c r="M2804" s="63"/>
      <c r="N2804" s="63"/>
      <c r="O2804" s="63"/>
      <c r="P2804" s="63"/>
      <c r="Q2804" s="63"/>
      <c r="R2804" s="63"/>
      <c r="S2804" s="63"/>
      <c r="T2804" s="63"/>
      <c r="U2804" s="63"/>
      <c r="V2804" s="63"/>
      <c r="W2804" s="63"/>
      <c r="X2804" s="63"/>
      <c r="Y2804" s="63"/>
      <c r="Z2804" s="63"/>
      <c r="AA2804" s="63"/>
      <c r="AB2804" s="63"/>
      <c r="AC2804" s="63"/>
    </row>
    <row r="2805" spans="1:29" x14ac:dyDescent="0.25">
      <c r="A2805" s="108">
        <v>46100</v>
      </c>
      <c r="B2805" s="128">
        <v>48</v>
      </c>
      <c r="C2805" s="49" t="s">
        <v>19</v>
      </c>
      <c r="D2805" s="110" t="str">
        <f>IF(ISBLANK($B2805),"",IFERROR(VLOOKUP($B2805,ESTOQUE!$B$2:$D$97168,3,FALSE),"Produto não cadastrado"))</f>
        <v>CALÇA CINZA OP. C/ FAIXA REFLETIVA TAM: M</v>
      </c>
      <c r="E2805" s="99" t="str">
        <f>_xlfn.XLOOKUP(B2805,ESTOQUE!B:B,ESTOQUE!G:G,"",0)</f>
        <v>UND</v>
      </c>
      <c r="F2805" s="99">
        <v>5</v>
      </c>
      <c r="G2805" s="146"/>
      <c r="H2805" s="146"/>
      <c r="I2805" s="147"/>
      <c r="J2805" s="147"/>
      <c r="K2805" s="63"/>
      <c r="L2805" s="63"/>
      <c r="M2805" s="63"/>
      <c r="N2805" s="63"/>
      <c r="O2805" s="63"/>
      <c r="P2805" s="63"/>
      <c r="Q2805" s="63"/>
      <c r="R2805" s="63"/>
      <c r="S2805" s="63"/>
      <c r="T2805" s="63"/>
      <c r="U2805" s="63"/>
      <c r="V2805" s="63"/>
      <c r="W2805" s="63"/>
      <c r="X2805" s="63"/>
      <c r="Y2805" s="63"/>
      <c r="Z2805" s="63"/>
      <c r="AA2805" s="63"/>
      <c r="AB2805" s="63"/>
      <c r="AC2805" s="63"/>
    </row>
    <row r="2806" spans="1:29" x14ac:dyDescent="0.25">
      <c r="A2806" s="108">
        <v>46100</v>
      </c>
      <c r="B2806" s="128">
        <v>49</v>
      </c>
      <c r="C2806" s="49" t="s">
        <v>19</v>
      </c>
      <c r="D2806" s="110" t="str">
        <f>IF(ISBLANK($B2806),"",IFERROR(VLOOKUP($B2806,ESTOQUE!$B$2:$D$97168,3,FALSE),"Produto não cadastrado"))</f>
        <v>CALÇA CINZA OP. C/ FAIXA REFLETIVA TAM: P</v>
      </c>
      <c r="E2806" s="99" t="str">
        <f>_xlfn.XLOOKUP(B2806,ESTOQUE!B:B,ESTOQUE!G:G,"",0)</f>
        <v>UND</v>
      </c>
      <c r="F2806" s="99">
        <v>0</v>
      </c>
      <c r="G2806" s="146"/>
      <c r="H2806" s="146"/>
      <c r="I2806" s="147"/>
      <c r="J2806" s="147"/>
      <c r="K2806" s="63"/>
      <c r="L2806" s="63"/>
      <c r="M2806" s="63"/>
      <c r="N2806" s="63"/>
      <c r="O2806" s="63"/>
      <c r="P2806" s="63"/>
      <c r="Q2806" s="63"/>
      <c r="R2806" s="63"/>
      <c r="S2806" s="63"/>
      <c r="T2806" s="63"/>
      <c r="U2806" s="63"/>
      <c r="V2806" s="63"/>
      <c r="W2806" s="63"/>
      <c r="X2806" s="63"/>
      <c r="Y2806" s="63"/>
      <c r="Z2806" s="63"/>
      <c r="AA2806" s="63"/>
      <c r="AB2806" s="63"/>
      <c r="AC2806" s="63"/>
    </row>
    <row r="2807" spans="1:29" x14ac:dyDescent="0.25">
      <c r="A2807" s="108">
        <v>46100</v>
      </c>
      <c r="B2807" s="128">
        <v>67</v>
      </c>
      <c r="C2807" s="49" t="s">
        <v>19</v>
      </c>
      <c r="D2807" s="110" t="str">
        <f>IF(ISBLANK($B2807),"",IFERROR(VLOOKUP($B2807,ESTOQUE!$B$2:$D$97168,3,FALSE),"Produto não cadastrado"))</f>
        <v>CAMISA LARANJA OP. C/ FAIXA REFLETIVA TAM: G</v>
      </c>
      <c r="E2807" s="99" t="str">
        <f>_xlfn.XLOOKUP(B2807,ESTOQUE!B:B,ESTOQUE!G:G,"",0)</f>
        <v>UND</v>
      </c>
      <c r="F2807" s="99">
        <v>2</v>
      </c>
      <c r="G2807" s="146"/>
      <c r="H2807" s="146"/>
      <c r="I2807" s="147"/>
      <c r="J2807" s="147"/>
      <c r="K2807" s="63"/>
      <c r="L2807" s="63"/>
      <c r="M2807" s="63"/>
      <c r="N2807" s="63"/>
      <c r="O2807" s="63"/>
      <c r="P2807" s="63"/>
      <c r="Q2807" s="63"/>
      <c r="R2807" s="63"/>
      <c r="S2807" s="63"/>
      <c r="T2807" s="63"/>
      <c r="U2807" s="63"/>
      <c r="V2807" s="63"/>
      <c r="W2807" s="63"/>
      <c r="X2807" s="63"/>
      <c r="Y2807" s="63"/>
      <c r="Z2807" s="63"/>
      <c r="AA2807" s="63"/>
      <c r="AB2807" s="63"/>
      <c r="AC2807" s="63"/>
    </row>
    <row r="2808" spans="1:29" x14ac:dyDescent="0.25">
      <c r="A2808" s="108">
        <v>46100</v>
      </c>
      <c r="B2808" s="128">
        <v>68</v>
      </c>
      <c r="C2808" s="49" t="s">
        <v>19</v>
      </c>
      <c r="D2808" s="110" t="str">
        <f>IF(ISBLANK($B2808),"",IFERROR(VLOOKUP($B2808,ESTOQUE!$B$2:$D$97168,3,FALSE),"Produto não cadastrado"))</f>
        <v>CAMISA LARANJA OP. C/ FAIXA REFLETIVA TAM: GG</v>
      </c>
      <c r="E2808" s="99" t="str">
        <f>_xlfn.XLOOKUP(B2808,ESTOQUE!B:B,ESTOQUE!G:G,"",0)</f>
        <v>UND</v>
      </c>
      <c r="F2808" s="99">
        <v>4</v>
      </c>
      <c r="G2808" s="146"/>
      <c r="H2808" s="146"/>
      <c r="I2808" s="147"/>
      <c r="J2808" s="147"/>
      <c r="K2808" s="63"/>
      <c r="L2808" s="63"/>
      <c r="M2808" s="63"/>
      <c r="N2808" s="63"/>
      <c r="O2808" s="63"/>
      <c r="P2808" s="63"/>
      <c r="Q2808" s="63"/>
      <c r="R2808" s="63"/>
      <c r="S2808" s="63"/>
      <c r="T2808" s="63"/>
      <c r="U2808" s="63"/>
      <c r="V2808" s="63"/>
      <c r="W2808" s="63"/>
      <c r="X2808" s="63"/>
      <c r="Y2808" s="63"/>
      <c r="Z2808" s="63"/>
      <c r="AA2808" s="63"/>
      <c r="AB2808" s="63"/>
      <c r="AC2808" s="63"/>
    </row>
    <row r="2809" spans="1:29" x14ac:dyDescent="0.25">
      <c r="A2809" s="108">
        <v>46100</v>
      </c>
      <c r="B2809" s="128">
        <v>69</v>
      </c>
      <c r="C2809" s="49" t="s">
        <v>19</v>
      </c>
      <c r="D2809" s="110" t="str">
        <f>IF(ISBLANK($B2809),"",IFERROR(VLOOKUP($B2809,ESTOQUE!$B$2:$D$97168,3,FALSE),"Produto não cadastrado"))</f>
        <v>CAMISA LARANJA OP. C/ FAIXA REFLETIVA TAM: M</v>
      </c>
      <c r="E2809" s="99" t="str">
        <f>_xlfn.XLOOKUP(B2809,ESTOQUE!B:B,ESTOQUE!G:G,"",0)</f>
        <v>UND</v>
      </c>
      <c r="F2809" s="99">
        <v>4</v>
      </c>
      <c r="G2809" s="146"/>
      <c r="H2809" s="146"/>
      <c r="I2809" s="147"/>
      <c r="J2809" s="147"/>
      <c r="K2809" s="63"/>
      <c r="L2809" s="63"/>
      <c r="M2809" s="63"/>
      <c r="N2809" s="63"/>
      <c r="O2809" s="63"/>
      <c r="P2809" s="63"/>
      <c r="Q2809" s="63"/>
      <c r="R2809" s="63"/>
      <c r="S2809" s="63"/>
      <c r="T2809" s="63"/>
      <c r="U2809" s="63"/>
      <c r="V2809" s="63"/>
      <c r="W2809" s="63"/>
      <c r="X2809" s="63"/>
      <c r="Y2809" s="63"/>
      <c r="Z2809" s="63"/>
      <c r="AA2809" s="63"/>
      <c r="AB2809" s="63"/>
      <c r="AC2809" s="63"/>
    </row>
    <row r="2810" spans="1:29" x14ac:dyDescent="0.25">
      <c r="A2810" s="108">
        <v>46100</v>
      </c>
      <c r="B2810" s="128">
        <v>70</v>
      </c>
      <c r="C2810" s="49" t="s">
        <v>19</v>
      </c>
      <c r="D2810" s="110" t="str">
        <f>IF(ISBLANK($B2810),"",IFERROR(VLOOKUP($B2810,ESTOQUE!$B$2:$D$97168,3,FALSE),"Produto não cadastrado"))</f>
        <v>CAMISA LARANJA OP. C/ FAIXA REFLETIVA TAM: P</v>
      </c>
      <c r="E2810" s="99" t="str">
        <f>_xlfn.XLOOKUP(B2810,ESTOQUE!B:B,ESTOQUE!G:G,"",0)</f>
        <v>UND</v>
      </c>
      <c r="F2810" s="99">
        <v>2</v>
      </c>
      <c r="G2810" s="146"/>
      <c r="H2810" s="146"/>
      <c r="I2810" s="147"/>
      <c r="J2810" s="147"/>
      <c r="K2810" s="63"/>
      <c r="L2810" s="63"/>
      <c r="M2810" s="63"/>
      <c r="N2810" s="63"/>
      <c r="O2810" s="63"/>
      <c r="P2810" s="63"/>
      <c r="Q2810" s="63"/>
      <c r="R2810" s="63"/>
      <c r="S2810" s="63"/>
      <c r="T2810" s="63"/>
      <c r="U2810" s="63"/>
      <c r="V2810" s="63"/>
      <c r="W2810" s="63"/>
      <c r="X2810" s="63"/>
      <c r="Y2810" s="63"/>
      <c r="Z2810" s="63"/>
      <c r="AA2810" s="63"/>
      <c r="AB2810" s="63"/>
      <c r="AC2810" s="63"/>
    </row>
    <row r="2811" spans="1:29" x14ac:dyDescent="0.25">
      <c r="A2811" s="108">
        <v>46100</v>
      </c>
      <c r="B2811" s="128">
        <v>183</v>
      </c>
      <c r="C2811" s="49" t="s">
        <v>19</v>
      </c>
      <c r="D2811" s="110" t="str">
        <f>IF(ISBLANK($B2811),"",IFERROR(VLOOKUP($B2811,ESTOQUE!$B$2:$D$97168,3,FALSE),"Produto não cadastrado"))</f>
        <v xml:space="preserve">CAPACETE GENISIS LARANJA </v>
      </c>
      <c r="E2811" s="99" t="str">
        <f>_xlfn.XLOOKUP(B2811,ESTOQUE!B:B,ESTOQUE!G:G,"",0)</f>
        <v>UND</v>
      </c>
      <c r="F2811" s="99">
        <v>0</v>
      </c>
      <c r="G2811" s="146"/>
      <c r="H2811" s="146"/>
      <c r="I2811" s="147"/>
      <c r="J2811" s="147"/>
      <c r="K2811" s="63"/>
      <c r="L2811" s="63"/>
      <c r="M2811" s="63"/>
      <c r="N2811" s="63"/>
      <c r="O2811" s="63"/>
      <c r="P2811" s="63"/>
      <c r="Q2811" s="63"/>
      <c r="R2811" s="63"/>
      <c r="S2811" s="63"/>
      <c r="T2811" s="63"/>
      <c r="U2811" s="63"/>
      <c r="V2811" s="63"/>
      <c r="W2811" s="63"/>
      <c r="X2811" s="63"/>
      <c r="Y2811" s="63"/>
      <c r="Z2811" s="63"/>
      <c r="AA2811" s="63"/>
      <c r="AB2811" s="63"/>
      <c r="AC2811" s="63"/>
    </row>
    <row r="2812" spans="1:29" x14ac:dyDescent="0.25">
      <c r="A2812" s="108">
        <v>46100</v>
      </c>
      <c r="B2812" s="128">
        <v>95</v>
      </c>
      <c r="C2812" s="49" t="s">
        <v>19</v>
      </c>
      <c r="D2812" s="110" t="str">
        <f>IF(ISBLANK($B2812),"",IFERROR(VLOOKUP($B2812,ESTOQUE!$B$2:$D$97168,3,FALSE),"Produto não cadastrado"))</f>
        <v>CARNEIRA P/ CAPACETE LIBUS</v>
      </c>
      <c r="E2812" s="99" t="str">
        <f>_xlfn.XLOOKUP(B2812,ESTOQUE!B:B,ESTOQUE!G:G,"",0)</f>
        <v>UND</v>
      </c>
      <c r="F2812" s="99">
        <v>1</v>
      </c>
      <c r="G2812" s="146"/>
      <c r="H2812" s="146"/>
      <c r="I2812" s="147"/>
      <c r="J2812" s="147"/>
      <c r="K2812" s="63"/>
      <c r="L2812" s="63"/>
      <c r="M2812" s="63"/>
      <c r="N2812" s="63"/>
      <c r="O2812" s="63"/>
      <c r="P2812" s="63"/>
      <c r="Q2812" s="63"/>
      <c r="R2812" s="63"/>
      <c r="S2812" s="63"/>
      <c r="T2812" s="63"/>
      <c r="U2812" s="63"/>
      <c r="V2812" s="63"/>
      <c r="W2812" s="63"/>
      <c r="X2812" s="63"/>
      <c r="Y2812" s="63"/>
      <c r="Z2812" s="63"/>
      <c r="AA2812" s="63"/>
      <c r="AB2812" s="63"/>
      <c r="AC2812" s="63"/>
    </row>
    <row r="2813" spans="1:29" x14ac:dyDescent="0.25">
      <c r="A2813" s="108">
        <v>46100</v>
      </c>
      <c r="B2813" s="128">
        <v>96</v>
      </c>
      <c r="C2813" s="49" t="s">
        <v>19</v>
      </c>
      <c r="D2813" s="110" t="str">
        <f>IF(ISBLANK($B2813),"",IFERROR(VLOOKUP($B2813,ESTOQUE!$B$2:$D$97168,3,FALSE),"Produto não cadastrado"))</f>
        <v xml:space="preserve">CINTO DE SEGURANÇA MODELO:C70 </v>
      </c>
      <c r="E2813" s="99" t="str">
        <f>_xlfn.XLOOKUP(B2813,ESTOQUE!B:B,ESTOQUE!G:G,"",0)</f>
        <v>UND</v>
      </c>
      <c r="F2813" s="99">
        <v>1</v>
      </c>
      <c r="G2813" s="146"/>
      <c r="H2813" s="146"/>
      <c r="I2813" s="147"/>
      <c r="J2813" s="147"/>
      <c r="K2813" s="63"/>
      <c r="L2813" s="63"/>
      <c r="M2813" s="63"/>
      <c r="N2813" s="63"/>
      <c r="O2813" s="63"/>
      <c r="P2813" s="63"/>
      <c r="Q2813" s="63"/>
      <c r="R2813" s="63"/>
      <c r="S2813" s="63"/>
      <c r="T2813" s="63"/>
      <c r="U2813" s="63"/>
      <c r="V2813" s="63"/>
      <c r="W2813" s="63"/>
      <c r="X2813" s="63"/>
      <c r="Y2813" s="63"/>
      <c r="Z2813" s="63"/>
      <c r="AA2813" s="63"/>
      <c r="AB2813" s="63"/>
      <c r="AC2813" s="63"/>
    </row>
    <row r="2814" spans="1:29" x14ac:dyDescent="0.25">
      <c r="A2814" s="108">
        <v>46100</v>
      </c>
      <c r="B2814" s="128">
        <v>223</v>
      </c>
      <c r="C2814" s="49" t="s">
        <v>19</v>
      </c>
      <c r="D2814" s="110" t="str">
        <f>IF(ISBLANK($B2814),"",IFERROR(VLOOKUP($B2814,ESTOQUE!$B$2:$D$97168,3,FALSE),"Produto não cadastrado"))</f>
        <v>BOTINA SEGURANÇA METATARSO  46</v>
      </c>
      <c r="E2814" s="99" t="str">
        <f>_xlfn.XLOOKUP(B2814,ESTOQUE!B:B,ESTOQUE!G:G,"",0)</f>
        <v>PAR</v>
      </c>
      <c r="F2814" s="99">
        <v>1</v>
      </c>
      <c r="G2814" s="146"/>
      <c r="H2814" s="146"/>
      <c r="I2814" s="147"/>
      <c r="J2814" s="147"/>
      <c r="K2814" s="63"/>
      <c r="L2814" s="63"/>
      <c r="M2814" s="63"/>
      <c r="N2814" s="63"/>
      <c r="O2814" s="63"/>
      <c r="P2814" s="63"/>
      <c r="Q2814" s="63"/>
      <c r="R2814" s="63"/>
      <c r="S2814" s="63"/>
      <c r="T2814" s="63"/>
      <c r="U2814" s="63"/>
      <c r="V2814" s="63"/>
      <c r="W2814" s="63"/>
      <c r="X2814" s="63"/>
      <c r="Y2814" s="63"/>
      <c r="Z2814" s="63"/>
      <c r="AA2814" s="63"/>
      <c r="AB2814" s="63"/>
      <c r="AC2814" s="63"/>
    </row>
    <row r="2815" spans="1:29" x14ac:dyDescent="0.25">
      <c r="A2815" s="108">
        <v>46100</v>
      </c>
      <c r="B2815" s="128">
        <v>161</v>
      </c>
      <c r="C2815" s="49" t="s">
        <v>19</v>
      </c>
      <c r="D2815" s="110" t="str">
        <f>IF(ISBLANK($B2815),"",IFERROR(VLOOKUP($B2815,ESTOQUE!$B$2:$D$97168,3,FALSE),"Produto não cadastrado"))</f>
        <v>JUGULAR</v>
      </c>
      <c r="E2815" s="99" t="str">
        <f>_xlfn.XLOOKUP(B2815,ESTOQUE!B:B,ESTOQUE!G:G,"",0)</f>
        <v>UND</v>
      </c>
      <c r="F2815" s="99">
        <v>1</v>
      </c>
      <c r="G2815" s="146"/>
      <c r="H2815" s="146"/>
      <c r="I2815" s="147"/>
      <c r="J2815" s="147"/>
      <c r="K2815" s="63"/>
      <c r="L2815" s="63"/>
      <c r="M2815" s="63"/>
      <c r="N2815" s="63"/>
      <c r="O2815" s="63"/>
      <c r="P2815" s="63"/>
      <c r="Q2815" s="63"/>
      <c r="R2815" s="63"/>
      <c r="S2815" s="63"/>
      <c r="T2815" s="63"/>
      <c r="U2815" s="63"/>
      <c r="V2815" s="63"/>
      <c r="W2815" s="63"/>
      <c r="X2815" s="63"/>
      <c r="Y2815" s="63"/>
      <c r="Z2815" s="63"/>
      <c r="AA2815" s="63"/>
      <c r="AB2815" s="63"/>
      <c r="AC2815" s="63"/>
    </row>
    <row r="2816" spans="1:29" x14ac:dyDescent="0.25">
      <c r="A2816" s="108">
        <v>46100</v>
      </c>
      <c r="B2816" s="128">
        <v>262</v>
      </c>
      <c r="C2816" s="49" t="s">
        <v>19</v>
      </c>
      <c r="D2816" s="110" t="str">
        <f>IF(ISBLANK($B2816),"",IFERROR(VLOOKUP($B2816,ESTOQUE!$B$2:$D$97168,3,FALSE),"Produto não cadastrado"))</f>
        <v xml:space="preserve">LUVA DE RASPA MISTA </v>
      </c>
      <c r="E2816" s="99" t="str">
        <f>_xlfn.XLOOKUP(B2816,ESTOQUE!B:B,ESTOQUE!G:G,"",0)</f>
        <v>PAR</v>
      </c>
      <c r="F2816" s="99">
        <v>1</v>
      </c>
      <c r="G2816" s="146"/>
      <c r="H2816" s="146"/>
      <c r="I2816" s="147"/>
      <c r="J2816" s="147"/>
      <c r="K2816" s="63"/>
      <c r="L2816" s="63"/>
      <c r="M2816" s="63"/>
      <c r="N2816" s="63"/>
      <c r="O2816" s="63"/>
      <c r="P2816" s="63"/>
      <c r="Q2816" s="63"/>
      <c r="R2816" s="63"/>
      <c r="S2816" s="63"/>
      <c r="T2816" s="63"/>
      <c r="U2816" s="63"/>
      <c r="V2816" s="63"/>
      <c r="W2816" s="63"/>
      <c r="X2816" s="63"/>
      <c r="Y2816" s="63"/>
      <c r="Z2816" s="63"/>
      <c r="AA2816" s="63"/>
      <c r="AB2816" s="63"/>
      <c r="AC2816" s="63"/>
    </row>
    <row r="2817" spans="1:29" x14ac:dyDescent="0.25">
      <c r="A2817" s="108">
        <v>46100</v>
      </c>
      <c r="B2817" s="128">
        <v>149</v>
      </c>
      <c r="C2817" s="49" t="s">
        <v>19</v>
      </c>
      <c r="D2817" s="110" t="str">
        <f>IF(ISBLANK($B2817),"",IFERROR(VLOOKUP($B2817,ESTOQUE!$B$2:$D$97168,3,FALSE),"Produto não cadastrado"))</f>
        <v>LUVA DE SEGURANÇA DE ALTA TEMPERATURA 5KV TIPO 2 TAM 9,5</v>
      </c>
      <c r="E2817" s="99" t="str">
        <f>_xlfn.XLOOKUP(B2817,ESTOQUE!B:B,ESTOQUE!G:G,"",0)</f>
        <v>PAR</v>
      </c>
      <c r="F2817" s="99">
        <v>0</v>
      </c>
      <c r="G2817" s="146"/>
      <c r="H2817" s="146"/>
      <c r="I2817" s="147"/>
      <c r="J2817" s="147"/>
      <c r="K2817" s="63"/>
      <c r="L2817" s="63"/>
      <c r="M2817" s="63"/>
      <c r="N2817" s="63"/>
      <c r="O2817" s="63"/>
      <c r="P2817" s="63"/>
      <c r="Q2817" s="63"/>
      <c r="R2817" s="63"/>
      <c r="S2817" s="63"/>
      <c r="T2817" s="63"/>
      <c r="U2817" s="63"/>
      <c r="V2817" s="63"/>
      <c r="W2817" s="63"/>
      <c r="X2817" s="63"/>
      <c r="Y2817" s="63"/>
      <c r="Z2817" s="63"/>
      <c r="AA2817" s="63"/>
      <c r="AB2817" s="63"/>
      <c r="AC2817" s="63"/>
    </row>
    <row r="2818" spans="1:29" x14ac:dyDescent="0.25">
      <c r="A2818" s="108">
        <v>46100</v>
      </c>
      <c r="B2818" s="128">
        <v>111</v>
      </c>
      <c r="C2818" s="49" t="s">
        <v>19</v>
      </c>
      <c r="D2818" s="110" t="str">
        <f>IF(ISBLANK($B2818),"",IFERROR(VLOOKUP($B2818,ESTOQUE!$B$2:$D$97168,3,FALSE),"Produto não cadastrado"))</f>
        <v>LUVA DE VAQUETA MARROM</v>
      </c>
      <c r="E2818" s="99" t="str">
        <f>_xlfn.XLOOKUP(B2818,ESTOQUE!B:B,ESTOQUE!G:G,"",0)</f>
        <v>PAR</v>
      </c>
      <c r="F2818" s="99">
        <v>0</v>
      </c>
      <c r="G2818" s="146"/>
      <c r="H2818" s="146"/>
      <c r="I2818" s="147"/>
      <c r="J2818" s="147"/>
      <c r="K2818" s="63"/>
      <c r="L2818" s="63"/>
      <c r="M2818" s="63"/>
      <c r="N2818" s="63"/>
      <c r="O2818" s="63"/>
      <c r="P2818" s="63"/>
      <c r="Q2818" s="63"/>
      <c r="R2818" s="63"/>
      <c r="S2818" s="63"/>
      <c r="T2818" s="63"/>
      <c r="U2818" s="63"/>
      <c r="V2818" s="63"/>
      <c r="W2818" s="63"/>
      <c r="X2818" s="63"/>
      <c r="Y2818" s="63"/>
      <c r="Z2818" s="63"/>
      <c r="AA2818" s="63"/>
      <c r="AB2818" s="63"/>
      <c r="AC2818" s="63"/>
    </row>
    <row r="2819" spans="1:29" x14ac:dyDescent="0.25">
      <c r="A2819" s="108">
        <v>46100</v>
      </c>
      <c r="B2819" s="128">
        <v>114</v>
      </c>
      <c r="C2819" s="49" t="s">
        <v>19</v>
      </c>
      <c r="D2819" s="110" t="str">
        <f>IF(ISBLANK($B2819),"",IFERROR(VLOOKUP($B2819,ESTOQUE!$B$2:$D$97168,3,FALSE),"Produto não cadastrado"))</f>
        <v xml:space="preserve">LUVA LATEX NITRILICA </v>
      </c>
      <c r="E2819" s="99" t="str">
        <f>_xlfn.XLOOKUP(B2819,ESTOQUE!B:B,ESTOQUE!G:G,"",0)</f>
        <v>PAR</v>
      </c>
      <c r="F2819" s="99">
        <v>61</v>
      </c>
      <c r="G2819" s="146"/>
      <c r="H2819" s="146"/>
      <c r="I2819" s="147"/>
      <c r="J2819" s="147"/>
      <c r="K2819" s="63"/>
      <c r="L2819" s="63"/>
      <c r="M2819" s="63"/>
      <c r="N2819" s="63"/>
      <c r="O2819" s="63"/>
      <c r="P2819" s="63"/>
      <c r="Q2819" s="63"/>
      <c r="R2819" s="63"/>
      <c r="S2819" s="63"/>
      <c r="T2819" s="63"/>
      <c r="U2819" s="63"/>
      <c r="V2819" s="63"/>
      <c r="W2819" s="63"/>
      <c r="X2819" s="63"/>
      <c r="Y2819" s="63"/>
      <c r="Z2819" s="63"/>
      <c r="AA2819" s="63"/>
      <c r="AB2819" s="63"/>
      <c r="AC2819" s="63"/>
    </row>
    <row r="2820" spans="1:29" x14ac:dyDescent="0.25">
      <c r="A2820" s="108">
        <v>46100</v>
      </c>
      <c r="B2820" s="128">
        <v>150</v>
      </c>
      <c r="C2820" s="49" t="s">
        <v>19</v>
      </c>
      <c r="D2820" s="110" t="str">
        <f>IF(ISBLANK($B2820),"",IFERROR(VLOOKUP($B2820,ESTOQUE!$B$2:$D$97168,3,FALSE),"Produto não cadastrado"))</f>
        <v>LUVA ORION ALTA TENSÃO 20KV CLASSE 2 TIPO 2 TAM 9</v>
      </c>
      <c r="E2820" s="99" t="str">
        <f>_xlfn.XLOOKUP(B2820,ESTOQUE!B:B,ESTOQUE!G:G,"",0)</f>
        <v>PAR</v>
      </c>
      <c r="F2820" s="99">
        <v>1</v>
      </c>
      <c r="G2820" s="146"/>
      <c r="H2820" s="146"/>
      <c r="I2820" s="147"/>
      <c r="J2820" s="147"/>
      <c r="K2820" s="63"/>
      <c r="L2820" s="63"/>
      <c r="M2820" s="63"/>
      <c r="N2820" s="63"/>
      <c r="O2820" s="63"/>
      <c r="P2820" s="63"/>
      <c r="Q2820" s="63"/>
      <c r="R2820" s="63"/>
      <c r="S2820" s="63"/>
      <c r="T2820" s="63"/>
      <c r="U2820" s="63"/>
      <c r="V2820" s="63"/>
      <c r="W2820" s="63"/>
      <c r="X2820" s="63"/>
      <c r="Y2820" s="63"/>
      <c r="Z2820" s="63"/>
      <c r="AA2820" s="63"/>
      <c r="AB2820" s="63"/>
      <c r="AC2820" s="63"/>
    </row>
    <row r="2821" spans="1:29" x14ac:dyDescent="0.25">
      <c r="A2821" s="108">
        <v>46100</v>
      </c>
      <c r="B2821" s="128">
        <v>171</v>
      </c>
      <c r="C2821" s="49" t="s">
        <v>19</v>
      </c>
      <c r="D2821" s="110" t="str">
        <f>IF(ISBLANK($B2821),"",IFERROR(VLOOKUP($B2821,ESTOQUE!$B$2:$D$97168,3,FALSE),"Produto não cadastrado"))</f>
        <v>BOTA PVC CANO CURTO Nº 40</v>
      </c>
      <c r="E2821" s="99" t="str">
        <f>_xlfn.XLOOKUP(B2821,ESTOQUE!B:B,ESTOQUE!G:G,"",0)</f>
        <v>PAR</v>
      </c>
      <c r="F2821" s="99">
        <v>1</v>
      </c>
      <c r="G2821" s="146"/>
      <c r="H2821" s="146"/>
      <c r="I2821" s="147"/>
      <c r="J2821" s="147"/>
      <c r="K2821" s="63"/>
      <c r="L2821" s="63"/>
      <c r="M2821" s="63"/>
      <c r="N2821" s="63"/>
      <c r="O2821" s="63"/>
      <c r="P2821" s="63"/>
      <c r="Q2821" s="63"/>
      <c r="R2821" s="63"/>
      <c r="S2821" s="63"/>
      <c r="T2821" s="63"/>
      <c r="U2821" s="63"/>
      <c r="V2821" s="63"/>
      <c r="W2821" s="63"/>
      <c r="X2821" s="63"/>
      <c r="Y2821" s="63"/>
      <c r="Z2821" s="63"/>
      <c r="AA2821" s="63"/>
      <c r="AB2821" s="63"/>
      <c r="AC2821" s="63"/>
    </row>
    <row r="2822" spans="1:29" x14ac:dyDescent="0.25">
      <c r="A2822" s="108">
        <v>46100</v>
      </c>
      <c r="B2822" s="128">
        <v>207</v>
      </c>
      <c r="C2822" s="49" t="s">
        <v>19</v>
      </c>
      <c r="D2822" s="110" t="str">
        <f>IF(ISBLANK($B2822),"",IFERROR(VLOOKUP($B2822,ESTOQUE!$B$2:$D$97168,3,FALSE),"Produto não cadastrado"))</f>
        <v>LUVA POLIESTER ANTICORTE BANHADA PU TAM 9</v>
      </c>
      <c r="E2822" s="99" t="str">
        <f>_xlfn.XLOOKUP(B2822,ESTOQUE!B:B,ESTOQUE!G:G,"",0)</f>
        <v>PAR</v>
      </c>
      <c r="F2822" s="99">
        <v>6</v>
      </c>
      <c r="G2822" s="146"/>
      <c r="H2822" s="146"/>
      <c r="I2822" s="147"/>
      <c r="J2822" s="147"/>
      <c r="K2822" s="63"/>
      <c r="L2822" s="63"/>
      <c r="M2822" s="63"/>
      <c r="N2822" s="63"/>
      <c r="O2822" s="63"/>
      <c r="P2822" s="63"/>
      <c r="Q2822" s="63"/>
      <c r="R2822" s="63"/>
      <c r="S2822" s="63"/>
      <c r="T2822" s="63"/>
      <c r="U2822" s="63"/>
      <c r="V2822" s="63"/>
      <c r="W2822" s="63"/>
      <c r="X2822" s="63"/>
      <c r="Y2822" s="63"/>
      <c r="Z2822" s="63"/>
      <c r="AA2822" s="63"/>
      <c r="AB2822" s="63"/>
      <c r="AC2822" s="63"/>
    </row>
    <row r="2823" spans="1:29" x14ac:dyDescent="0.25">
      <c r="A2823" s="108">
        <v>46100</v>
      </c>
      <c r="B2823" s="128">
        <v>267</v>
      </c>
      <c r="C2823" s="49" t="s">
        <v>19</v>
      </c>
      <c r="D2823" s="110" t="str">
        <f>IF(ISBLANK($B2823),"",IFERROR(VLOOKUP($B2823,ESTOQUE!$B$2:$D$97168,3,FALSE),"Produto não cadastrado"))</f>
        <v>LUVA POLIESTER ANTICORTE CANO LONGO</v>
      </c>
      <c r="E2823" s="99" t="str">
        <f>_xlfn.XLOOKUP(B2823,ESTOQUE!B:B,ESTOQUE!G:G,"",0)</f>
        <v>UND</v>
      </c>
      <c r="F2823" s="99">
        <v>14</v>
      </c>
      <c r="G2823" s="146"/>
      <c r="H2823" s="146"/>
      <c r="I2823" s="147"/>
      <c r="J2823" s="147"/>
      <c r="K2823" s="63"/>
      <c r="L2823" s="63"/>
      <c r="M2823" s="63"/>
      <c r="N2823" s="63"/>
      <c r="O2823" s="63"/>
      <c r="P2823" s="63"/>
      <c r="Q2823" s="63"/>
      <c r="R2823" s="63"/>
      <c r="S2823" s="63"/>
      <c r="T2823" s="63"/>
      <c r="U2823" s="63"/>
      <c r="V2823" s="63"/>
      <c r="W2823" s="63"/>
      <c r="X2823" s="63"/>
      <c r="Y2823" s="63"/>
      <c r="Z2823" s="63"/>
      <c r="AA2823" s="63"/>
      <c r="AB2823" s="63"/>
      <c r="AC2823" s="63"/>
    </row>
    <row r="2824" spans="1:29" x14ac:dyDescent="0.25">
      <c r="A2824" s="108">
        <v>46100</v>
      </c>
      <c r="B2824" s="128">
        <v>118</v>
      </c>
      <c r="C2824" s="49" t="s">
        <v>19</v>
      </c>
      <c r="D2824" s="110" t="str">
        <f>IF(ISBLANK($B2824),"",IFERROR(VLOOKUP($B2824,ESTOQUE!$B$2:$D$97168,3,FALSE),"Produto não cadastrado"))</f>
        <v>MACACÃO DE PROTEÇÃO TYVEK</v>
      </c>
      <c r="E2824" s="99" t="str">
        <f>_xlfn.XLOOKUP(B2824,ESTOQUE!B:B,ESTOQUE!G:G,"",0)</f>
        <v>UND</v>
      </c>
      <c r="F2824" s="99">
        <v>0</v>
      </c>
      <c r="G2824" s="146"/>
      <c r="H2824" s="146"/>
      <c r="I2824" s="147"/>
      <c r="J2824" s="147"/>
      <c r="K2824" s="63"/>
      <c r="L2824" s="63"/>
      <c r="M2824" s="63"/>
      <c r="N2824" s="63"/>
      <c r="O2824" s="63"/>
      <c r="P2824" s="63"/>
      <c r="Q2824" s="63"/>
      <c r="R2824" s="63"/>
      <c r="S2824" s="63"/>
      <c r="T2824" s="63"/>
      <c r="U2824" s="63"/>
      <c r="V2824" s="63"/>
      <c r="W2824" s="63"/>
      <c r="X2824" s="63"/>
      <c r="Y2824" s="63"/>
      <c r="Z2824" s="63"/>
      <c r="AA2824" s="63"/>
      <c r="AB2824" s="63"/>
      <c r="AC2824" s="63"/>
    </row>
    <row r="2825" spans="1:29" x14ac:dyDescent="0.25">
      <c r="A2825" s="108">
        <v>46100</v>
      </c>
      <c r="B2825" s="128">
        <v>114</v>
      </c>
      <c r="C2825" s="49" t="s">
        <v>19</v>
      </c>
      <c r="D2825" s="110" t="str">
        <f>IF(ISBLANK($B2825),"",IFERROR(VLOOKUP($B2825,ESTOQUE!$B$2:$D$97168,3,FALSE),"Produto não cadastrado"))</f>
        <v xml:space="preserve">LUVA LATEX NITRILICA </v>
      </c>
      <c r="E2825" s="99" t="str">
        <f>_xlfn.XLOOKUP(B2825,ESTOQUE!B:B,ESTOQUE!G:G,"",0)</f>
        <v>PAR</v>
      </c>
      <c r="F2825" s="99">
        <v>19</v>
      </c>
      <c r="G2825" s="146"/>
      <c r="H2825" s="146"/>
      <c r="I2825" s="147"/>
      <c r="J2825" s="147"/>
      <c r="K2825" s="63"/>
      <c r="L2825" s="63"/>
      <c r="M2825" s="63"/>
      <c r="N2825" s="63"/>
      <c r="O2825" s="63"/>
      <c r="P2825" s="63"/>
      <c r="Q2825" s="63"/>
      <c r="R2825" s="63"/>
      <c r="S2825" s="63"/>
      <c r="T2825" s="63"/>
      <c r="U2825" s="63"/>
      <c r="V2825" s="63"/>
      <c r="W2825" s="63"/>
      <c r="X2825" s="63"/>
      <c r="Y2825" s="63"/>
      <c r="Z2825" s="63"/>
      <c r="AA2825" s="63"/>
      <c r="AB2825" s="63"/>
      <c r="AC2825" s="63"/>
    </row>
    <row r="2826" spans="1:29" x14ac:dyDescent="0.25">
      <c r="A2826" s="108">
        <v>46100</v>
      </c>
      <c r="B2826" s="128">
        <v>126</v>
      </c>
      <c r="C2826" s="49" t="s">
        <v>19</v>
      </c>
      <c r="D2826" s="110" t="str">
        <f>IF(ISBLANK($B2826),"",IFERROR(VLOOKUP($B2826,ESTOQUE!$B$2:$D$97168,3,FALSE),"Produto não cadastrado"))</f>
        <v>OCULOS DE PROTEÇÃO ESCURO</v>
      </c>
      <c r="E2826" s="99" t="str">
        <f>_xlfn.XLOOKUP(B2826,ESTOQUE!B:B,ESTOQUE!G:G,"",0)</f>
        <v>UND</v>
      </c>
      <c r="F2826" s="99">
        <v>1</v>
      </c>
      <c r="G2826" s="146"/>
      <c r="H2826" s="146"/>
      <c r="I2826" s="147"/>
      <c r="J2826" s="147"/>
      <c r="K2826" s="63"/>
      <c r="L2826" s="63"/>
      <c r="M2826" s="63"/>
      <c r="N2826" s="63"/>
      <c r="O2826" s="63"/>
      <c r="P2826" s="63"/>
      <c r="Q2826" s="63"/>
      <c r="R2826" s="63"/>
      <c r="S2826" s="63"/>
      <c r="T2826" s="63"/>
      <c r="U2826" s="63"/>
      <c r="V2826" s="63"/>
      <c r="W2826" s="63"/>
      <c r="X2826" s="63"/>
      <c r="Y2826" s="63"/>
      <c r="Z2826" s="63"/>
      <c r="AA2826" s="63"/>
      <c r="AB2826" s="63"/>
      <c r="AC2826" s="63"/>
    </row>
    <row r="2827" spans="1:29" x14ac:dyDescent="0.25">
      <c r="A2827" s="108">
        <v>46100</v>
      </c>
      <c r="B2827" s="128">
        <v>129</v>
      </c>
      <c r="C2827" s="49" t="s">
        <v>19</v>
      </c>
      <c r="D2827" s="110" t="str">
        <f>IF(ISBLANK($B2827),"",IFERROR(VLOOKUP($B2827,ESTOQUE!$B$2:$D$97168,3,FALSE),"Produto não cadastrado"))</f>
        <v>PERNEIRA DE RASPA</v>
      </c>
      <c r="E2827" s="99" t="str">
        <f>_xlfn.XLOOKUP(B2827,ESTOQUE!B:B,ESTOQUE!G:G,"",0)</f>
        <v>PAR</v>
      </c>
      <c r="F2827" s="99">
        <v>7</v>
      </c>
      <c r="G2827" s="146"/>
      <c r="H2827" s="146"/>
      <c r="I2827" s="147"/>
      <c r="J2827" s="147"/>
      <c r="K2827" s="63"/>
      <c r="L2827" s="63"/>
      <c r="M2827" s="63"/>
      <c r="N2827" s="63"/>
      <c r="O2827" s="63"/>
      <c r="P2827" s="63"/>
      <c r="Q2827" s="63"/>
      <c r="R2827" s="63"/>
      <c r="S2827" s="63"/>
      <c r="T2827" s="63"/>
      <c r="U2827" s="63"/>
      <c r="V2827" s="63"/>
      <c r="W2827" s="63"/>
      <c r="X2827" s="63"/>
      <c r="Y2827" s="63"/>
      <c r="Z2827" s="63"/>
      <c r="AA2827" s="63"/>
      <c r="AB2827" s="63"/>
      <c r="AC2827" s="63"/>
    </row>
    <row r="2828" spans="1:29" x14ac:dyDescent="0.25">
      <c r="A2828" s="108">
        <v>46100</v>
      </c>
      <c r="B2828" s="128">
        <v>139</v>
      </c>
      <c r="C2828" s="49" t="s">
        <v>19</v>
      </c>
      <c r="D2828" s="110" t="str">
        <f>IF(ISBLANK($B2828),"",IFERROR(VLOOKUP($B2828,ESTOQUE!$B$2:$D$97168,3,FALSE),"Produto não cadastrado"))</f>
        <v>PROTETOR AURICULAR TIPO PLUG</v>
      </c>
      <c r="E2828" s="99" t="str">
        <f>_xlfn.XLOOKUP(B2828,ESTOQUE!B:B,ESTOQUE!G:G,"",0)</f>
        <v>UND</v>
      </c>
      <c r="F2828" s="99">
        <v>6</v>
      </c>
      <c r="G2828" s="146"/>
      <c r="H2828" s="146"/>
      <c r="I2828" s="147"/>
      <c r="J2828" s="147"/>
      <c r="K2828" s="63"/>
      <c r="L2828" s="63"/>
      <c r="M2828" s="63"/>
      <c r="N2828" s="63"/>
      <c r="O2828" s="63"/>
      <c r="P2828" s="63"/>
      <c r="Q2828" s="63"/>
      <c r="R2828" s="63"/>
      <c r="S2828" s="63"/>
      <c r="T2828" s="63"/>
      <c r="U2828" s="63"/>
      <c r="V2828" s="63"/>
      <c r="W2828" s="63"/>
      <c r="X2828" s="63"/>
      <c r="Y2828" s="63"/>
      <c r="Z2828" s="63"/>
      <c r="AA2828" s="63"/>
      <c r="AB2828" s="63"/>
      <c r="AC2828" s="63"/>
    </row>
    <row r="2829" spans="1:29" x14ac:dyDescent="0.25">
      <c r="A2829" s="108">
        <v>46100</v>
      </c>
      <c r="B2829" s="128">
        <v>236</v>
      </c>
      <c r="C2829" s="49" t="s">
        <v>19</v>
      </c>
      <c r="D2829" s="110" t="str">
        <f>IF(ISBLANK($B2829),"",IFERROR(VLOOKUP($B2829,ESTOQUE!$B$2:$D$97168,3,FALSE),"Produto não cadastrado"))</f>
        <v>TALABARTE DUPLO Y SOLDADOR</v>
      </c>
      <c r="E2829" s="99" t="str">
        <f>_xlfn.XLOOKUP(B2829,ESTOQUE!B:B,ESTOQUE!G:G,"",0)</f>
        <v>UND</v>
      </c>
      <c r="F2829" s="99">
        <v>1</v>
      </c>
      <c r="G2829" s="146"/>
      <c r="H2829" s="146"/>
      <c r="I2829" s="147"/>
      <c r="J2829" s="147"/>
      <c r="K2829" s="63"/>
      <c r="L2829" s="63"/>
      <c r="M2829" s="63"/>
      <c r="N2829" s="63"/>
      <c r="O2829" s="63"/>
      <c r="P2829" s="63"/>
      <c r="Q2829" s="63"/>
      <c r="R2829" s="63"/>
      <c r="S2829" s="63"/>
      <c r="T2829" s="63"/>
      <c r="U2829" s="63"/>
      <c r="V2829" s="63"/>
      <c r="W2829" s="63"/>
      <c r="X2829" s="63"/>
      <c r="Y2829" s="63"/>
      <c r="Z2829" s="63"/>
      <c r="AA2829" s="63"/>
      <c r="AB2829" s="63"/>
      <c r="AC2829" s="63"/>
    </row>
    <row r="2830" spans="1:29" x14ac:dyDescent="0.25">
      <c r="A2830" s="108">
        <v>46101</v>
      </c>
      <c r="B2830" s="128">
        <v>228</v>
      </c>
      <c r="C2830" s="49" t="s">
        <v>19</v>
      </c>
      <c r="D2830" s="110" t="str">
        <f>IF(ISBLANK($B2830),"",IFERROR(VLOOKUP($B2830,ESTOQUE!$B$2:$D$97168,3,FALSE),"Produto não cadastrado"))</f>
        <v xml:space="preserve">BALACLAVA  </v>
      </c>
      <c r="E2830" s="99" t="str">
        <f>_xlfn.XLOOKUP(B2830,ESTOQUE!B:B,ESTOQUE!G:G,"",0)</f>
        <v>UND</v>
      </c>
      <c r="F2830" s="99">
        <v>0</v>
      </c>
      <c r="G2830" s="146"/>
      <c r="H2830" s="146"/>
      <c r="I2830" s="147"/>
      <c r="J2830" s="147"/>
      <c r="K2830" s="63"/>
      <c r="L2830" s="63"/>
      <c r="M2830" s="63"/>
      <c r="N2830" s="63"/>
      <c r="O2830" s="63"/>
      <c r="P2830" s="63"/>
      <c r="Q2830" s="63"/>
      <c r="R2830" s="63"/>
      <c r="S2830" s="63"/>
      <c r="T2830" s="63"/>
      <c r="U2830" s="63"/>
      <c r="V2830" s="63"/>
      <c r="W2830" s="63"/>
      <c r="X2830" s="63"/>
      <c r="Y2830" s="63"/>
      <c r="Z2830" s="63"/>
      <c r="AA2830" s="63"/>
      <c r="AB2830" s="63"/>
      <c r="AC2830" s="63"/>
    </row>
    <row r="2831" spans="1:29" x14ac:dyDescent="0.25">
      <c r="A2831" s="108">
        <v>46101</v>
      </c>
      <c r="B2831" s="128">
        <v>18</v>
      </c>
      <c r="C2831" s="49" t="s">
        <v>19</v>
      </c>
      <c r="D2831" s="110" t="str">
        <f>IF(ISBLANK($B2831),"",IFERROR(VLOOKUP($B2831,ESTOQUE!$B$2:$D$97168,3,FALSE),"Produto não cadastrado"))</f>
        <v>BOTA PVC CANO MEDIO Nº 39</v>
      </c>
      <c r="E2831" s="99" t="str">
        <f>_xlfn.XLOOKUP(B2831,ESTOQUE!B:B,ESTOQUE!G:G,"",0)</f>
        <v>PAR</v>
      </c>
      <c r="F2831" s="99">
        <v>0</v>
      </c>
      <c r="G2831" s="146"/>
      <c r="H2831" s="146"/>
      <c r="I2831" s="147"/>
      <c r="J2831" s="147"/>
      <c r="K2831" s="63"/>
      <c r="L2831" s="63"/>
      <c r="M2831" s="63"/>
      <c r="N2831" s="63"/>
      <c r="O2831" s="63"/>
      <c r="P2831" s="63"/>
      <c r="Q2831" s="63"/>
      <c r="R2831" s="63"/>
      <c r="S2831" s="63"/>
      <c r="T2831" s="63"/>
      <c r="U2831" s="63"/>
      <c r="V2831" s="63"/>
      <c r="W2831" s="63"/>
      <c r="X2831" s="63"/>
      <c r="Y2831" s="63"/>
      <c r="Z2831" s="63"/>
      <c r="AA2831" s="63"/>
      <c r="AB2831" s="63"/>
      <c r="AC2831" s="63"/>
    </row>
    <row r="2832" spans="1:29" x14ac:dyDescent="0.25">
      <c r="A2832" s="108">
        <v>46101</v>
      </c>
      <c r="B2832" s="128">
        <v>19</v>
      </c>
      <c r="C2832" s="49" t="s">
        <v>19</v>
      </c>
      <c r="D2832" s="110" t="str">
        <f>IF(ISBLANK($B2832),"",IFERROR(VLOOKUP($B2832,ESTOQUE!$B$2:$D$97168,3,FALSE),"Produto não cadastrado"))</f>
        <v>BOTA PVC CANO MEDIO Nº 40</v>
      </c>
      <c r="E2832" s="99" t="str">
        <f>_xlfn.XLOOKUP(B2832,ESTOQUE!B:B,ESTOQUE!G:G,"",0)</f>
        <v>PAR</v>
      </c>
      <c r="F2832" s="99">
        <v>2</v>
      </c>
      <c r="G2832" s="146"/>
      <c r="H2832" s="146"/>
      <c r="I2832" s="147"/>
      <c r="J2832" s="147"/>
      <c r="K2832" s="63"/>
      <c r="L2832" s="63"/>
      <c r="M2832" s="63"/>
      <c r="N2832" s="63"/>
      <c r="O2832" s="63"/>
      <c r="P2832" s="63"/>
      <c r="Q2832" s="63"/>
      <c r="R2832" s="63"/>
      <c r="S2832" s="63"/>
      <c r="T2832" s="63"/>
      <c r="U2832" s="63"/>
      <c r="V2832" s="63"/>
      <c r="W2832" s="63"/>
      <c r="X2832" s="63"/>
      <c r="Y2832" s="63"/>
      <c r="Z2832" s="63"/>
      <c r="AA2832" s="63"/>
      <c r="AB2832" s="63"/>
      <c r="AC2832" s="63"/>
    </row>
    <row r="2833" spans="1:29" x14ac:dyDescent="0.25">
      <c r="A2833" s="108">
        <v>46101</v>
      </c>
      <c r="B2833" s="128">
        <v>20</v>
      </c>
      <c r="C2833" s="49" t="s">
        <v>19</v>
      </c>
      <c r="D2833" s="110" t="str">
        <f>IF(ISBLANK($B2833),"",IFERROR(VLOOKUP($B2833,ESTOQUE!$B$2:$D$97168,3,FALSE),"Produto não cadastrado"))</f>
        <v>BOTA PVC CANO MEDIO Nº 41</v>
      </c>
      <c r="E2833" s="99" t="str">
        <f>_xlfn.XLOOKUP(B2833,ESTOQUE!B:B,ESTOQUE!G:G,"",0)</f>
        <v>PAR</v>
      </c>
      <c r="F2833" s="99">
        <v>1</v>
      </c>
      <c r="G2833" s="146"/>
      <c r="H2833" s="146"/>
      <c r="I2833" s="147"/>
      <c r="J2833" s="147"/>
      <c r="K2833" s="63"/>
      <c r="L2833" s="63"/>
      <c r="M2833" s="63"/>
      <c r="N2833" s="63"/>
      <c r="O2833" s="63"/>
      <c r="P2833" s="63"/>
      <c r="Q2833" s="63"/>
      <c r="R2833" s="63"/>
      <c r="S2833" s="63"/>
      <c r="T2833" s="63"/>
      <c r="U2833" s="63"/>
      <c r="V2833" s="63"/>
      <c r="W2833" s="63"/>
      <c r="X2833" s="63"/>
      <c r="Y2833" s="63"/>
      <c r="Z2833" s="63"/>
      <c r="AA2833" s="63"/>
      <c r="AB2833" s="63"/>
      <c r="AC2833" s="63"/>
    </row>
    <row r="2834" spans="1:29" x14ac:dyDescent="0.25">
      <c r="A2834" s="108">
        <v>46101</v>
      </c>
      <c r="B2834" s="128">
        <v>36</v>
      </c>
      <c r="C2834" s="49" t="s">
        <v>19</v>
      </c>
      <c r="D2834" s="110" t="str">
        <f>IF(ISBLANK($B2834),"",IFERROR(VLOOKUP($B2834,ESTOQUE!$B$2:$D$97168,3,FALSE),"Produto não cadastrado"))</f>
        <v>BOTINA OP. BICO PVC Nº 38</v>
      </c>
      <c r="E2834" s="99" t="str">
        <f>_xlfn.XLOOKUP(B2834,ESTOQUE!B:B,ESTOQUE!G:G,"",0)</f>
        <v>PAR</v>
      </c>
      <c r="F2834" s="99">
        <v>1</v>
      </c>
      <c r="G2834" s="146"/>
      <c r="H2834" s="146"/>
      <c r="I2834" s="147"/>
      <c r="J2834" s="147"/>
      <c r="K2834" s="63"/>
      <c r="L2834" s="63"/>
      <c r="M2834" s="63"/>
      <c r="N2834" s="63"/>
      <c r="O2834" s="63"/>
      <c r="P2834" s="63"/>
      <c r="Q2834" s="63"/>
      <c r="R2834" s="63"/>
      <c r="S2834" s="63"/>
      <c r="T2834" s="63"/>
      <c r="U2834" s="63"/>
      <c r="V2834" s="63"/>
      <c r="W2834" s="63"/>
      <c r="X2834" s="63"/>
      <c r="Y2834" s="63"/>
      <c r="Z2834" s="63"/>
      <c r="AA2834" s="63"/>
      <c r="AB2834" s="63"/>
      <c r="AC2834" s="63"/>
    </row>
    <row r="2835" spans="1:29" x14ac:dyDescent="0.25">
      <c r="A2835" s="108">
        <v>46101</v>
      </c>
      <c r="B2835" s="128">
        <v>37</v>
      </c>
      <c r="C2835" s="49" t="s">
        <v>19</v>
      </c>
      <c r="D2835" s="110" t="str">
        <f>IF(ISBLANK($B2835),"",IFERROR(VLOOKUP($B2835,ESTOQUE!$B$2:$D$97168,3,FALSE),"Produto não cadastrado"))</f>
        <v>BOTINA OP. BICO PVC Nº 39</v>
      </c>
      <c r="E2835" s="99" t="str">
        <f>_xlfn.XLOOKUP(B2835,ESTOQUE!B:B,ESTOQUE!G:G,"",0)</f>
        <v>PAR</v>
      </c>
      <c r="F2835" s="99">
        <v>1</v>
      </c>
      <c r="G2835" s="146"/>
      <c r="H2835" s="146"/>
      <c r="I2835" s="147"/>
      <c r="J2835" s="147"/>
      <c r="K2835" s="63"/>
      <c r="L2835" s="63"/>
      <c r="M2835" s="63"/>
      <c r="N2835" s="63"/>
      <c r="O2835" s="63"/>
      <c r="P2835" s="63"/>
      <c r="Q2835" s="63"/>
      <c r="R2835" s="63"/>
      <c r="S2835" s="63"/>
      <c r="T2835" s="63"/>
      <c r="U2835" s="63"/>
      <c r="V2835" s="63"/>
      <c r="W2835" s="63"/>
      <c r="X2835" s="63"/>
      <c r="Y2835" s="63"/>
      <c r="Z2835" s="63"/>
      <c r="AA2835" s="63"/>
      <c r="AB2835" s="63"/>
      <c r="AC2835" s="63"/>
    </row>
    <row r="2836" spans="1:29" x14ac:dyDescent="0.25">
      <c r="A2836" s="108">
        <v>46101</v>
      </c>
      <c r="B2836" s="128">
        <v>41</v>
      </c>
      <c r="C2836" s="49" t="s">
        <v>19</v>
      </c>
      <c r="D2836" s="110" t="str">
        <f>IF(ISBLANK($B2836),"",IFERROR(VLOOKUP($B2836,ESTOQUE!$B$2:$D$97168,3,FALSE),"Produto não cadastrado"))</f>
        <v>BOTINA OP. BICO PVC Nº 43</v>
      </c>
      <c r="E2836" s="99" t="str">
        <f>_xlfn.XLOOKUP(B2836,ESTOQUE!B:B,ESTOQUE!G:G,"",0)</f>
        <v>PAR</v>
      </c>
      <c r="F2836" s="99">
        <v>2</v>
      </c>
      <c r="G2836" s="146"/>
      <c r="H2836" s="146"/>
      <c r="I2836" s="147"/>
      <c r="J2836" s="147"/>
      <c r="K2836" s="63"/>
      <c r="L2836" s="63"/>
      <c r="M2836" s="63"/>
      <c r="N2836" s="63"/>
      <c r="O2836" s="63"/>
      <c r="P2836" s="63"/>
      <c r="Q2836" s="63"/>
      <c r="R2836" s="63"/>
      <c r="S2836" s="63"/>
      <c r="T2836" s="63"/>
      <c r="U2836" s="63"/>
      <c r="V2836" s="63"/>
      <c r="W2836" s="63"/>
      <c r="X2836" s="63"/>
      <c r="Y2836" s="63"/>
      <c r="Z2836" s="63"/>
      <c r="AA2836" s="63"/>
      <c r="AB2836" s="63"/>
      <c r="AC2836" s="63"/>
    </row>
    <row r="2837" spans="1:29" x14ac:dyDescent="0.25">
      <c r="A2837" s="108">
        <v>46101</v>
      </c>
      <c r="B2837" s="128">
        <v>47</v>
      </c>
      <c r="C2837" s="49" t="s">
        <v>19</v>
      </c>
      <c r="D2837" s="110" t="str">
        <f>IF(ISBLANK($B2837),"",IFERROR(VLOOKUP($B2837,ESTOQUE!$B$2:$D$97168,3,FALSE),"Produto não cadastrado"))</f>
        <v>CALÇA CINZA OP. C/ FAIXA REFLETIVA TAM: GG</v>
      </c>
      <c r="E2837" s="99" t="str">
        <f>_xlfn.XLOOKUP(B2837,ESTOQUE!B:B,ESTOQUE!G:G,"",0)</f>
        <v>UND</v>
      </c>
      <c r="F2837" s="99">
        <v>1</v>
      </c>
      <c r="G2837" s="146"/>
      <c r="H2837" s="146"/>
      <c r="I2837" s="147"/>
      <c r="J2837" s="147"/>
      <c r="K2837" s="63"/>
      <c r="L2837" s="63"/>
      <c r="M2837" s="63"/>
      <c r="N2837" s="63"/>
      <c r="O2837" s="63"/>
      <c r="P2837" s="63"/>
      <c r="Q2837" s="63"/>
      <c r="R2837" s="63"/>
      <c r="S2837" s="63"/>
      <c r="T2837" s="63"/>
      <c r="U2837" s="63"/>
      <c r="V2837" s="63"/>
      <c r="W2837" s="63"/>
      <c r="X2837" s="63"/>
      <c r="Y2837" s="63"/>
      <c r="Z2837" s="63"/>
      <c r="AA2837" s="63"/>
      <c r="AB2837" s="63"/>
      <c r="AC2837" s="63"/>
    </row>
    <row r="2838" spans="1:29" x14ac:dyDescent="0.25">
      <c r="A2838" s="108">
        <v>46101</v>
      </c>
      <c r="B2838" s="128">
        <v>48</v>
      </c>
      <c r="C2838" s="49" t="s">
        <v>19</v>
      </c>
      <c r="D2838" s="110" t="str">
        <f>IF(ISBLANK($B2838),"",IFERROR(VLOOKUP($B2838,ESTOQUE!$B$2:$D$97168,3,FALSE),"Produto não cadastrado"))</f>
        <v>CALÇA CINZA OP. C/ FAIXA REFLETIVA TAM: M</v>
      </c>
      <c r="E2838" s="99" t="str">
        <f>_xlfn.XLOOKUP(B2838,ESTOQUE!B:B,ESTOQUE!G:G,"",0)</f>
        <v>UND</v>
      </c>
      <c r="F2838" s="99">
        <v>5</v>
      </c>
      <c r="G2838" s="146"/>
      <c r="H2838" s="146"/>
      <c r="I2838" s="147"/>
      <c r="J2838" s="147"/>
      <c r="K2838" s="63"/>
      <c r="L2838" s="63"/>
      <c r="M2838" s="63"/>
      <c r="N2838" s="63"/>
      <c r="O2838" s="63"/>
      <c r="P2838" s="63"/>
      <c r="Q2838" s="63"/>
      <c r="R2838" s="63"/>
      <c r="S2838" s="63"/>
      <c r="T2838" s="63"/>
      <c r="U2838" s="63"/>
      <c r="V2838" s="63"/>
      <c r="W2838" s="63"/>
      <c r="X2838" s="63"/>
      <c r="Y2838" s="63"/>
      <c r="Z2838" s="63"/>
      <c r="AA2838" s="63"/>
      <c r="AB2838" s="63"/>
      <c r="AC2838" s="63"/>
    </row>
    <row r="2839" spans="1:29" x14ac:dyDescent="0.25">
      <c r="A2839" s="108">
        <v>46101</v>
      </c>
      <c r="B2839" s="128">
        <v>49</v>
      </c>
      <c r="C2839" s="49" t="s">
        <v>19</v>
      </c>
      <c r="D2839" s="110" t="str">
        <f>IF(ISBLANK($B2839),"",IFERROR(VLOOKUP($B2839,ESTOQUE!$B$2:$D$97168,3,FALSE),"Produto não cadastrado"))</f>
        <v>CALÇA CINZA OP. C/ FAIXA REFLETIVA TAM: P</v>
      </c>
      <c r="E2839" s="99" t="str">
        <f>_xlfn.XLOOKUP(B2839,ESTOQUE!B:B,ESTOQUE!G:G,"",0)</f>
        <v>UND</v>
      </c>
      <c r="F2839" s="99">
        <v>0</v>
      </c>
      <c r="G2839" s="146"/>
      <c r="H2839" s="146"/>
      <c r="I2839" s="147"/>
      <c r="J2839" s="147"/>
      <c r="K2839" s="63"/>
      <c r="L2839" s="63"/>
      <c r="M2839" s="63"/>
      <c r="N2839" s="63"/>
      <c r="O2839" s="63"/>
      <c r="P2839" s="63"/>
      <c r="Q2839" s="63"/>
      <c r="R2839" s="63"/>
      <c r="S2839" s="63"/>
      <c r="T2839" s="63"/>
      <c r="U2839" s="63"/>
      <c r="V2839" s="63"/>
      <c r="W2839" s="63"/>
      <c r="X2839" s="63"/>
      <c r="Y2839" s="63"/>
      <c r="Z2839" s="63"/>
      <c r="AA2839" s="63"/>
      <c r="AB2839" s="63"/>
      <c r="AC2839" s="63"/>
    </row>
    <row r="2840" spans="1:29" x14ac:dyDescent="0.25">
      <c r="A2840" s="108">
        <v>46101</v>
      </c>
      <c r="B2840" s="128">
        <v>67</v>
      </c>
      <c r="C2840" s="49" t="s">
        <v>19</v>
      </c>
      <c r="D2840" s="110" t="str">
        <f>IF(ISBLANK($B2840),"",IFERROR(VLOOKUP($B2840,ESTOQUE!$B$2:$D$97168,3,FALSE),"Produto não cadastrado"))</f>
        <v>CAMISA LARANJA OP. C/ FAIXA REFLETIVA TAM: G</v>
      </c>
      <c r="E2840" s="99" t="str">
        <f>_xlfn.XLOOKUP(B2840,ESTOQUE!B:B,ESTOQUE!G:G,"",0)</f>
        <v>UND</v>
      </c>
      <c r="F2840" s="99">
        <v>1</v>
      </c>
      <c r="G2840" s="146"/>
      <c r="H2840" s="146"/>
      <c r="I2840" s="147"/>
      <c r="J2840" s="147"/>
      <c r="K2840" s="63"/>
      <c r="L2840" s="63"/>
      <c r="M2840" s="63"/>
      <c r="N2840" s="63"/>
      <c r="O2840" s="63"/>
      <c r="P2840" s="63"/>
      <c r="Q2840" s="63"/>
      <c r="R2840" s="63"/>
      <c r="S2840" s="63"/>
      <c r="T2840" s="63"/>
      <c r="U2840" s="63"/>
      <c r="V2840" s="63"/>
      <c r="W2840" s="63"/>
      <c r="X2840" s="63"/>
      <c r="Y2840" s="63"/>
      <c r="Z2840" s="63"/>
      <c r="AA2840" s="63"/>
      <c r="AB2840" s="63"/>
      <c r="AC2840" s="63"/>
    </row>
    <row r="2841" spans="1:29" x14ac:dyDescent="0.25">
      <c r="A2841" s="108">
        <v>46101</v>
      </c>
      <c r="B2841" s="128">
        <v>68</v>
      </c>
      <c r="C2841" s="49" t="s">
        <v>19</v>
      </c>
      <c r="D2841" s="110" t="str">
        <f>IF(ISBLANK($B2841),"",IFERROR(VLOOKUP($B2841,ESTOQUE!$B$2:$D$97168,3,FALSE),"Produto não cadastrado"))</f>
        <v>CAMISA LARANJA OP. C/ FAIXA REFLETIVA TAM: GG</v>
      </c>
      <c r="E2841" s="99" t="str">
        <f>_xlfn.XLOOKUP(B2841,ESTOQUE!B:B,ESTOQUE!G:G,"",0)</f>
        <v>UND</v>
      </c>
      <c r="F2841" s="99">
        <v>2</v>
      </c>
      <c r="G2841" s="146"/>
      <c r="H2841" s="146"/>
      <c r="I2841" s="147"/>
      <c r="J2841" s="147"/>
      <c r="K2841" s="63"/>
      <c r="L2841" s="63"/>
      <c r="M2841" s="63"/>
      <c r="N2841" s="63"/>
      <c r="O2841" s="63"/>
      <c r="P2841" s="63"/>
      <c r="Q2841" s="63"/>
      <c r="R2841" s="63"/>
      <c r="S2841" s="63"/>
      <c r="T2841" s="63"/>
      <c r="U2841" s="63"/>
      <c r="V2841" s="63"/>
      <c r="W2841" s="63"/>
      <c r="X2841" s="63"/>
      <c r="Y2841" s="63"/>
      <c r="Z2841" s="63"/>
      <c r="AA2841" s="63"/>
      <c r="AB2841" s="63"/>
      <c r="AC2841" s="63"/>
    </row>
    <row r="2842" spans="1:29" x14ac:dyDescent="0.25">
      <c r="A2842" s="108">
        <v>46101</v>
      </c>
      <c r="B2842" s="128">
        <v>69</v>
      </c>
      <c r="C2842" s="49" t="s">
        <v>19</v>
      </c>
      <c r="D2842" s="110" t="str">
        <f>IF(ISBLANK($B2842),"",IFERROR(VLOOKUP($B2842,ESTOQUE!$B$2:$D$97168,3,FALSE),"Produto não cadastrado"))</f>
        <v>CAMISA LARANJA OP. C/ FAIXA REFLETIVA TAM: M</v>
      </c>
      <c r="E2842" s="99" t="str">
        <f>_xlfn.XLOOKUP(B2842,ESTOQUE!B:B,ESTOQUE!G:G,"",0)</f>
        <v>UND</v>
      </c>
      <c r="F2842" s="99">
        <v>3</v>
      </c>
      <c r="G2842" s="146"/>
      <c r="H2842" s="146"/>
      <c r="I2842" s="147"/>
      <c r="J2842" s="147"/>
      <c r="K2842" s="63"/>
      <c r="L2842" s="63"/>
      <c r="M2842" s="63"/>
      <c r="N2842" s="63"/>
      <c r="O2842" s="63"/>
      <c r="P2842" s="63"/>
      <c r="Q2842" s="63"/>
      <c r="R2842" s="63"/>
      <c r="S2842" s="63"/>
      <c r="T2842" s="63"/>
      <c r="U2842" s="63"/>
      <c r="V2842" s="63"/>
      <c r="W2842" s="63"/>
      <c r="X2842" s="63"/>
      <c r="Y2842" s="63"/>
      <c r="Z2842" s="63"/>
      <c r="AA2842" s="63"/>
      <c r="AB2842" s="63"/>
      <c r="AC2842" s="63"/>
    </row>
    <row r="2843" spans="1:29" x14ac:dyDescent="0.25">
      <c r="A2843" s="108">
        <v>46101</v>
      </c>
      <c r="B2843" s="128">
        <v>98</v>
      </c>
      <c r="C2843" s="49" t="s">
        <v>19</v>
      </c>
      <c r="D2843" s="110" t="str">
        <f>IF(ISBLANK($B2843),"",IFERROR(VLOOKUP($B2843,ESTOQUE!$B$2:$D$97168,3,FALSE),"Produto não cadastrado"))</f>
        <v>COLETE REFLETIVO LARANJA XGG</v>
      </c>
      <c r="E2843" s="99" t="str">
        <f>_xlfn.XLOOKUP(B2843,ESTOQUE!B:B,ESTOQUE!G:G,"",0)</f>
        <v>UND</v>
      </c>
      <c r="F2843" s="99">
        <v>2</v>
      </c>
      <c r="G2843" s="146"/>
      <c r="H2843" s="146"/>
      <c r="I2843" s="147"/>
      <c r="J2843" s="147"/>
      <c r="K2843" s="63"/>
      <c r="L2843" s="63"/>
      <c r="M2843" s="63"/>
      <c r="N2843" s="63"/>
      <c r="O2843" s="63"/>
      <c r="P2843" s="63"/>
      <c r="Q2843" s="63"/>
      <c r="R2843" s="63"/>
      <c r="S2843" s="63"/>
      <c r="T2843" s="63"/>
      <c r="U2843" s="63"/>
      <c r="V2843" s="63"/>
      <c r="W2843" s="63"/>
      <c r="X2843" s="63"/>
      <c r="Y2843" s="63"/>
      <c r="Z2843" s="63"/>
      <c r="AA2843" s="63"/>
      <c r="AB2843" s="63"/>
      <c r="AC2843" s="63"/>
    </row>
    <row r="2844" spans="1:29" x14ac:dyDescent="0.25">
      <c r="A2844" s="108">
        <v>46101</v>
      </c>
      <c r="B2844" s="128">
        <v>111</v>
      </c>
      <c r="C2844" s="49" t="s">
        <v>19</v>
      </c>
      <c r="D2844" s="110" t="str">
        <f>IF(ISBLANK($B2844),"",IFERROR(VLOOKUP($B2844,ESTOQUE!$B$2:$D$97168,3,FALSE),"Produto não cadastrado"))</f>
        <v>LUVA DE VAQUETA MARROM</v>
      </c>
      <c r="E2844" s="99" t="str">
        <f>_xlfn.XLOOKUP(B2844,ESTOQUE!B:B,ESTOQUE!G:G,"",0)</f>
        <v>PAR</v>
      </c>
      <c r="F2844" s="99">
        <v>0</v>
      </c>
      <c r="G2844" s="146"/>
      <c r="H2844" s="146"/>
      <c r="I2844" s="147"/>
      <c r="J2844" s="147"/>
      <c r="K2844" s="63"/>
      <c r="L2844" s="63"/>
      <c r="M2844" s="63"/>
      <c r="N2844" s="63"/>
      <c r="O2844" s="63"/>
      <c r="P2844" s="63"/>
      <c r="Q2844" s="63"/>
      <c r="R2844" s="63"/>
      <c r="S2844" s="63"/>
      <c r="T2844" s="63"/>
      <c r="U2844" s="63"/>
      <c r="V2844" s="63"/>
      <c r="W2844" s="63"/>
      <c r="X2844" s="63"/>
      <c r="Y2844" s="63"/>
      <c r="Z2844" s="63"/>
      <c r="AA2844" s="63"/>
      <c r="AB2844" s="63"/>
      <c r="AC2844" s="63"/>
    </row>
    <row r="2845" spans="1:29" x14ac:dyDescent="0.25">
      <c r="A2845" s="108">
        <v>46101</v>
      </c>
      <c r="B2845" s="128">
        <v>207</v>
      </c>
      <c r="C2845" s="49" t="s">
        <v>19</v>
      </c>
      <c r="D2845" s="110" t="str">
        <f>IF(ISBLANK($B2845),"",IFERROR(VLOOKUP($B2845,ESTOQUE!$B$2:$D$97168,3,FALSE),"Produto não cadastrado"))</f>
        <v>LUVA POLIESTER ANTICORTE BANHADA PU TAM 9</v>
      </c>
      <c r="E2845" s="99" t="str">
        <f>_xlfn.XLOOKUP(B2845,ESTOQUE!B:B,ESTOQUE!G:G,"",0)</f>
        <v>PAR</v>
      </c>
      <c r="F2845" s="99">
        <v>0</v>
      </c>
      <c r="G2845" s="146"/>
      <c r="H2845" s="146"/>
      <c r="I2845" s="147"/>
      <c r="J2845" s="147"/>
      <c r="K2845" s="63"/>
      <c r="L2845" s="63"/>
      <c r="M2845" s="63"/>
      <c r="N2845" s="63"/>
      <c r="O2845" s="63"/>
      <c r="P2845" s="63"/>
      <c r="Q2845" s="63"/>
      <c r="R2845" s="63"/>
      <c r="S2845" s="63"/>
      <c r="T2845" s="63"/>
      <c r="U2845" s="63"/>
      <c r="V2845" s="63"/>
      <c r="W2845" s="63"/>
      <c r="X2845" s="63"/>
      <c r="Y2845" s="63"/>
      <c r="Z2845" s="63"/>
      <c r="AA2845" s="63"/>
      <c r="AB2845" s="63"/>
      <c r="AC2845" s="63"/>
    </row>
    <row r="2846" spans="1:29" x14ac:dyDescent="0.25">
      <c r="A2846" s="108">
        <v>46101</v>
      </c>
      <c r="B2846" s="128">
        <v>118</v>
      </c>
      <c r="C2846" s="49" t="s">
        <v>19</v>
      </c>
      <c r="D2846" s="110" t="str">
        <f>IF(ISBLANK($B2846),"",IFERROR(VLOOKUP($B2846,ESTOQUE!$B$2:$D$97168,3,FALSE),"Produto não cadastrado"))</f>
        <v>MACACÃO DE PROTEÇÃO TYVEK</v>
      </c>
      <c r="E2846" s="99" t="str">
        <f>_xlfn.XLOOKUP(B2846,ESTOQUE!B:B,ESTOQUE!G:G,"",0)</f>
        <v>UND</v>
      </c>
      <c r="F2846" s="99">
        <v>0</v>
      </c>
      <c r="G2846" s="146"/>
      <c r="H2846" s="146"/>
      <c r="I2846" s="147"/>
      <c r="J2846" s="147"/>
      <c r="K2846" s="63"/>
      <c r="L2846" s="63"/>
      <c r="M2846" s="63"/>
      <c r="N2846" s="63"/>
      <c r="O2846" s="63"/>
      <c r="P2846" s="63"/>
      <c r="Q2846" s="63"/>
      <c r="R2846" s="63"/>
      <c r="S2846" s="63"/>
      <c r="T2846" s="63"/>
      <c r="U2846" s="63"/>
      <c r="V2846" s="63"/>
      <c r="W2846" s="63"/>
      <c r="X2846" s="63"/>
      <c r="Y2846" s="63"/>
      <c r="Z2846" s="63"/>
      <c r="AA2846" s="63"/>
      <c r="AB2846" s="63"/>
      <c r="AC2846" s="63"/>
    </row>
    <row r="2847" spans="1:29" x14ac:dyDescent="0.25">
      <c r="A2847" s="108">
        <v>46101</v>
      </c>
      <c r="B2847" s="128">
        <v>144</v>
      </c>
      <c r="C2847" s="49" t="s">
        <v>19</v>
      </c>
      <c r="D2847" s="110" t="str">
        <f>IF(ISBLANK($B2847),"",IFERROR(VLOOKUP($B2847,ESTOQUE!$B$2:$D$97168,3,FALSE),"Produto não cadastrado"))</f>
        <v>MASCARA PFF2-S C/ FILTRO</v>
      </c>
      <c r="E2847" s="99" t="str">
        <f>_xlfn.XLOOKUP(B2847,ESTOQUE!B:B,ESTOQUE!G:G,"",0)</f>
        <v>UND</v>
      </c>
      <c r="F2847" s="99">
        <v>1</v>
      </c>
      <c r="G2847" s="146"/>
      <c r="H2847" s="146"/>
      <c r="I2847" s="147"/>
      <c r="J2847" s="147"/>
      <c r="K2847" s="63"/>
      <c r="L2847" s="63"/>
      <c r="M2847" s="63"/>
      <c r="N2847" s="63"/>
      <c r="O2847" s="63"/>
      <c r="P2847" s="63"/>
      <c r="Q2847" s="63"/>
      <c r="R2847" s="63"/>
      <c r="S2847" s="63"/>
      <c r="T2847" s="63"/>
      <c r="U2847" s="63"/>
      <c r="V2847" s="63"/>
      <c r="W2847" s="63"/>
      <c r="X2847" s="63"/>
      <c r="Y2847" s="63"/>
      <c r="Z2847" s="63"/>
      <c r="AA2847" s="63"/>
      <c r="AB2847" s="63"/>
      <c r="AC2847" s="63"/>
    </row>
    <row r="2848" spans="1:29" x14ac:dyDescent="0.25">
      <c r="A2848" s="108">
        <v>46101</v>
      </c>
      <c r="B2848" s="128">
        <v>126</v>
      </c>
      <c r="C2848" s="49" t="s">
        <v>19</v>
      </c>
      <c r="D2848" s="110" t="str">
        <f>IF(ISBLANK($B2848),"",IFERROR(VLOOKUP($B2848,ESTOQUE!$B$2:$D$97168,3,FALSE),"Produto não cadastrado"))</f>
        <v>OCULOS DE PROTEÇÃO ESCURO</v>
      </c>
      <c r="E2848" s="99" t="str">
        <f>_xlfn.XLOOKUP(B2848,ESTOQUE!B:B,ESTOQUE!G:G,"",0)</f>
        <v>UND</v>
      </c>
      <c r="F2848" s="99">
        <v>3</v>
      </c>
      <c r="G2848" s="146"/>
      <c r="H2848" s="146"/>
      <c r="I2848" s="147"/>
      <c r="J2848" s="147"/>
      <c r="K2848" s="63"/>
      <c r="L2848" s="63"/>
      <c r="M2848" s="63"/>
      <c r="N2848" s="63"/>
      <c r="O2848" s="63"/>
      <c r="P2848" s="63"/>
      <c r="Q2848" s="63"/>
      <c r="R2848" s="63"/>
      <c r="S2848" s="63"/>
      <c r="T2848" s="63"/>
      <c r="U2848" s="63"/>
      <c r="V2848" s="63"/>
      <c r="W2848" s="63"/>
      <c r="X2848" s="63"/>
      <c r="Y2848" s="63"/>
      <c r="Z2848" s="63"/>
      <c r="AA2848" s="63"/>
      <c r="AB2848" s="63"/>
      <c r="AC2848" s="63"/>
    </row>
    <row r="2849" spans="1:29" x14ac:dyDescent="0.25">
      <c r="A2849" s="108">
        <v>46101</v>
      </c>
      <c r="B2849" s="128">
        <v>139</v>
      </c>
      <c r="C2849" s="49" t="s">
        <v>19</v>
      </c>
      <c r="D2849" s="110" t="str">
        <f>IF(ISBLANK($B2849),"",IFERROR(VLOOKUP($B2849,ESTOQUE!$B$2:$D$97168,3,FALSE),"Produto não cadastrado"))</f>
        <v>PROTETOR AURICULAR TIPO PLUG</v>
      </c>
      <c r="E2849" s="99" t="str">
        <f>_xlfn.XLOOKUP(B2849,ESTOQUE!B:B,ESTOQUE!G:G,"",0)</f>
        <v>UND</v>
      </c>
      <c r="F2849" s="99">
        <v>0</v>
      </c>
      <c r="G2849" s="146"/>
      <c r="H2849" s="146"/>
      <c r="I2849" s="147"/>
      <c r="J2849" s="147"/>
      <c r="K2849" s="63"/>
      <c r="L2849" s="63"/>
      <c r="M2849" s="63"/>
      <c r="N2849" s="63"/>
      <c r="O2849" s="63"/>
      <c r="P2849" s="63"/>
      <c r="Q2849" s="63"/>
      <c r="R2849" s="63"/>
      <c r="S2849" s="63"/>
      <c r="T2849" s="63"/>
      <c r="U2849" s="63"/>
      <c r="V2849" s="63"/>
      <c r="W2849" s="63"/>
      <c r="X2849" s="63"/>
      <c r="Y2849" s="63"/>
      <c r="Z2849" s="63"/>
      <c r="AA2849" s="63"/>
      <c r="AB2849" s="63"/>
      <c r="AC2849" s="63"/>
    </row>
    <row r="2850" spans="1:29" x14ac:dyDescent="0.25">
      <c r="A2850" s="108">
        <v>46101</v>
      </c>
      <c r="B2850" s="128">
        <v>137</v>
      </c>
      <c r="C2850" s="49" t="s">
        <v>19</v>
      </c>
      <c r="D2850" s="110" t="str">
        <f>IF(ISBLANK($B2850),"",IFERROR(VLOOKUP($B2850,ESTOQUE!$B$2:$D$97168,3,FALSE),"Produto não cadastrado"))</f>
        <v xml:space="preserve">TOUCA ARABE </v>
      </c>
      <c r="E2850" s="99" t="str">
        <f>_xlfn.XLOOKUP(B2850,ESTOQUE!B:B,ESTOQUE!G:G,"",0)</f>
        <v>UND</v>
      </c>
      <c r="F2850" s="99">
        <v>1</v>
      </c>
      <c r="G2850" s="146"/>
      <c r="H2850" s="146"/>
      <c r="I2850" s="147"/>
      <c r="J2850" s="147"/>
      <c r="K2850" s="63"/>
      <c r="L2850" s="63"/>
      <c r="M2850" s="63"/>
      <c r="N2850" s="63"/>
      <c r="O2850" s="63"/>
      <c r="P2850" s="63"/>
      <c r="Q2850" s="63"/>
      <c r="R2850" s="63"/>
      <c r="S2850" s="63"/>
      <c r="T2850" s="63"/>
      <c r="U2850" s="63"/>
      <c r="V2850" s="63"/>
      <c r="W2850" s="63"/>
      <c r="X2850" s="63"/>
      <c r="Y2850" s="63"/>
      <c r="Z2850" s="63"/>
      <c r="AA2850" s="63"/>
      <c r="AB2850" s="63"/>
      <c r="AC2850" s="63"/>
    </row>
    <row r="2851" spans="1:29" x14ac:dyDescent="0.25">
      <c r="A2851" s="108">
        <v>46101</v>
      </c>
      <c r="B2851" s="128">
        <v>173</v>
      </c>
      <c r="C2851" s="49" t="s">
        <v>19</v>
      </c>
      <c r="D2851" s="110" t="str">
        <f>IF(ISBLANK($B2851),"",IFERROR(VLOOKUP($B2851,ESTOQUE!$B$2:$D$97168,3,FALSE),"Produto não cadastrado"))</f>
        <v>BOTA PVC CANO CURTO Nº 42</v>
      </c>
      <c r="E2851" s="99" t="str">
        <f>_xlfn.XLOOKUP(B2851,ESTOQUE!B:B,ESTOQUE!G:G,"",0)</f>
        <v>PAR</v>
      </c>
      <c r="F2851" s="99">
        <v>1</v>
      </c>
      <c r="G2851" s="146"/>
      <c r="H2851" s="146"/>
      <c r="I2851" s="147"/>
      <c r="J2851" s="147"/>
      <c r="K2851" s="63"/>
      <c r="L2851" s="63"/>
      <c r="M2851" s="63"/>
      <c r="N2851" s="63"/>
      <c r="O2851" s="63"/>
      <c r="P2851" s="63"/>
      <c r="Q2851" s="63"/>
      <c r="R2851" s="63"/>
      <c r="S2851" s="63"/>
      <c r="T2851" s="63"/>
      <c r="U2851" s="63"/>
      <c r="V2851" s="63"/>
      <c r="W2851" s="63"/>
      <c r="X2851" s="63"/>
      <c r="Y2851" s="63"/>
      <c r="Z2851" s="63"/>
      <c r="AA2851" s="63"/>
      <c r="AB2851" s="63"/>
      <c r="AC2851" s="63"/>
    </row>
    <row r="2852" spans="1:29" x14ac:dyDescent="0.25">
      <c r="A2852" s="108">
        <v>46102</v>
      </c>
      <c r="B2852" s="128">
        <v>28</v>
      </c>
      <c r="C2852" s="49" t="s">
        <v>19</v>
      </c>
      <c r="D2852" s="110" t="str">
        <f>IF(ISBLANK($B2852),"",IFERROR(VLOOKUP($B2852,ESTOQUE!$B$2:$D$97168,3,FALSE),"Produto não cadastrado"))</f>
        <v>BOTINA DE ELETRICISTA Nº 38</v>
      </c>
      <c r="E2852" s="99" t="str">
        <f>_xlfn.XLOOKUP(B2852,ESTOQUE!B:B,ESTOQUE!G:G,"",0)</f>
        <v>PAR</v>
      </c>
      <c r="F2852" s="99">
        <v>1</v>
      </c>
      <c r="G2852" s="146"/>
      <c r="H2852" s="146"/>
      <c r="I2852" s="147"/>
      <c r="J2852" s="147"/>
      <c r="K2852" s="63"/>
      <c r="L2852" s="63"/>
      <c r="M2852" s="63"/>
      <c r="N2852" s="63"/>
      <c r="O2852" s="63"/>
      <c r="P2852" s="63"/>
      <c r="Q2852" s="63"/>
      <c r="R2852" s="63"/>
      <c r="S2852" s="63"/>
      <c r="T2852" s="63"/>
      <c r="U2852" s="63"/>
      <c r="V2852" s="63"/>
      <c r="W2852" s="63"/>
      <c r="X2852" s="63"/>
      <c r="Y2852" s="63"/>
      <c r="Z2852" s="63"/>
      <c r="AA2852" s="63"/>
      <c r="AB2852" s="63"/>
      <c r="AC2852" s="63"/>
    </row>
    <row r="2853" spans="1:29" x14ac:dyDescent="0.25">
      <c r="A2853" s="108">
        <v>46102</v>
      </c>
      <c r="B2853" s="128">
        <v>36</v>
      </c>
      <c r="C2853" s="49" t="s">
        <v>19</v>
      </c>
      <c r="D2853" s="110" t="str">
        <f>IF(ISBLANK($B2853),"",IFERROR(VLOOKUP($B2853,ESTOQUE!$B$2:$D$97168,3,FALSE),"Produto não cadastrado"))</f>
        <v>BOTINA OP. BICO PVC Nº 38</v>
      </c>
      <c r="E2853" s="99" t="str">
        <f>_xlfn.XLOOKUP(B2853,ESTOQUE!B:B,ESTOQUE!G:G,"",0)</f>
        <v>PAR</v>
      </c>
      <c r="F2853" s="99">
        <v>1</v>
      </c>
      <c r="G2853" s="146"/>
      <c r="H2853" s="146"/>
      <c r="I2853" s="147"/>
      <c r="J2853" s="147"/>
      <c r="K2853" s="63"/>
      <c r="L2853" s="63"/>
      <c r="M2853" s="63"/>
      <c r="N2853" s="63"/>
      <c r="O2853" s="63"/>
      <c r="P2853" s="63"/>
      <c r="Q2853" s="63"/>
      <c r="R2853" s="63"/>
      <c r="S2853" s="63"/>
      <c r="T2853" s="63"/>
      <c r="U2853" s="63"/>
      <c r="V2853" s="63"/>
      <c r="W2853" s="63"/>
      <c r="X2853" s="63"/>
      <c r="Y2853" s="63"/>
      <c r="Z2853" s="63"/>
      <c r="AA2853" s="63"/>
      <c r="AB2853" s="63"/>
      <c r="AC2853" s="63"/>
    </row>
    <row r="2854" spans="1:29" x14ac:dyDescent="0.25">
      <c r="A2854" s="108">
        <v>46102</v>
      </c>
      <c r="B2854" s="128">
        <v>38</v>
      </c>
      <c r="C2854" s="49" t="s">
        <v>19</v>
      </c>
      <c r="D2854" s="110" t="str">
        <f>IF(ISBLANK($B2854),"",IFERROR(VLOOKUP($B2854,ESTOQUE!$B$2:$D$97168,3,FALSE),"Produto não cadastrado"))</f>
        <v>BOTINA OP. BICO PVC Nº 40</v>
      </c>
      <c r="E2854" s="99" t="str">
        <f>_xlfn.XLOOKUP(B2854,ESTOQUE!B:B,ESTOQUE!G:G,"",0)</f>
        <v>PAR</v>
      </c>
      <c r="F2854" s="99">
        <v>1</v>
      </c>
      <c r="G2854" s="146"/>
      <c r="H2854" s="146"/>
      <c r="I2854" s="147"/>
      <c r="J2854" s="147"/>
      <c r="K2854" s="63"/>
      <c r="L2854" s="63"/>
      <c r="M2854" s="63"/>
      <c r="N2854" s="63"/>
      <c r="O2854" s="63"/>
      <c r="P2854" s="63"/>
      <c r="Q2854" s="63"/>
      <c r="R2854" s="63"/>
      <c r="S2854" s="63"/>
      <c r="T2854" s="63"/>
      <c r="U2854" s="63"/>
      <c r="V2854" s="63"/>
      <c r="W2854" s="63"/>
      <c r="X2854" s="63"/>
      <c r="Y2854" s="63"/>
      <c r="Z2854" s="63"/>
      <c r="AA2854" s="63"/>
      <c r="AB2854" s="63"/>
      <c r="AC2854" s="63"/>
    </row>
    <row r="2855" spans="1:29" x14ac:dyDescent="0.25">
      <c r="A2855" s="108">
        <v>46102</v>
      </c>
      <c r="B2855" s="128">
        <v>46</v>
      </c>
      <c r="C2855" s="49" t="s">
        <v>19</v>
      </c>
      <c r="D2855" s="110" t="str">
        <f>IF(ISBLANK($B2855),"",IFERROR(VLOOKUP($B2855,ESTOQUE!$B$2:$D$97168,3,FALSE),"Produto não cadastrado"))</f>
        <v>CALÇA CINZA OP. C/ FAIXA REFLETIVA TAM: G</v>
      </c>
      <c r="E2855" s="99" t="str">
        <f>_xlfn.XLOOKUP(B2855,ESTOQUE!B:B,ESTOQUE!G:G,"",0)</f>
        <v>UND</v>
      </c>
      <c r="F2855" s="99">
        <v>1</v>
      </c>
      <c r="G2855" s="146"/>
      <c r="H2855" s="146"/>
      <c r="I2855" s="147"/>
      <c r="J2855" s="147"/>
      <c r="K2855" s="63"/>
      <c r="L2855" s="63"/>
      <c r="M2855" s="63"/>
      <c r="N2855" s="63"/>
      <c r="O2855" s="63"/>
      <c r="P2855" s="63"/>
      <c r="Q2855" s="63"/>
      <c r="R2855" s="63"/>
      <c r="S2855" s="63"/>
      <c r="T2855" s="63"/>
      <c r="U2855" s="63"/>
      <c r="V2855" s="63"/>
      <c r="W2855" s="63"/>
      <c r="X2855" s="63"/>
      <c r="Y2855" s="63"/>
      <c r="Z2855" s="63"/>
      <c r="AA2855" s="63"/>
      <c r="AB2855" s="63"/>
      <c r="AC2855" s="63"/>
    </row>
    <row r="2856" spans="1:29" x14ac:dyDescent="0.25">
      <c r="A2856" s="108">
        <v>46102</v>
      </c>
      <c r="B2856" s="128">
        <v>47</v>
      </c>
      <c r="C2856" s="49" t="s">
        <v>19</v>
      </c>
      <c r="D2856" s="110" t="str">
        <f>IF(ISBLANK($B2856),"",IFERROR(VLOOKUP($B2856,ESTOQUE!$B$2:$D$97168,3,FALSE),"Produto não cadastrado"))</f>
        <v>CALÇA CINZA OP. C/ FAIXA REFLETIVA TAM: GG</v>
      </c>
      <c r="E2856" s="99" t="str">
        <f>_xlfn.XLOOKUP(B2856,ESTOQUE!B:B,ESTOQUE!G:G,"",0)</f>
        <v>UND</v>
      </c>
      <c r="F2856" s="99">
        <v>1</v>
      </c>
      <c r="G2856" s="146"/>
      <c r="H2856" s="146"/>
      <c r="I2856" s="147"/>
      <c r="J2856" s="147"/>
      <c r="K2856" s="63"/>
      <c r="L2856" s="63"/>
      <c r="M2856" s="63"/>
      <c r="N2856" s="63"/>
      <c r="O2856" s="63"/>
      <c r="P2856" s="63"/>
      <c r="Q2856" s="63"/>
      <c r="R2856" s="63"/>
      <c r="S2856" s="63"/>
      <c r="T2856" s="63"/>
      <c r="U2856" s="63"/>
      <c r="V2856" s="63"/>
      <c r="W2856" s="63"/>
      <c r="X2856" s="63"/>
      <c r="Y2856" s="63"/>
      <c r="Z2856" s="63"/>
      <c r="AA2856" s="63"/>
      <c r="AB2856" s="63"/>
      <c r="AC2856" s="63"/>
    </row>
    <row r="2857" spans="1:29" x14ac:dyDescent="0.25">
      <c r="A2857" s="108">
        <v>46102</v>
      </c>
      <c r="B2857" s="128">
        <v>48</v>
      </c>
      <c r="C2857" s="49" t="s">
        <v>19</v>
      </c>
      <c r="D2857" s="110" t="str">
        <f>IF(ISBLANK($B2857),"",IFERROR(VLOOKUP($B2857,ESTOQUE!$B$2:$D$97168,3,FALSE),"Produto não cadastrado"))</f>
        <v>CALÇA CINZA OP. C/ FAIXA REFLETIVA TAM: M</v>
      </c>
      <c r="E2857" s="99" t="str">
        <f>_xlfn.XLOOKUP(B2857,ESTOQUE!B:B,ESTOQUE!G:G,"",0)</f>
        <v>UND</v>
      </c>
      <c r="F2857" s="99">
        <v>7</v>
      </c>
      <c r="G2857" s="146"/>
      <c r="H2857" s="146"/>
      <c r="I2857" s="147"/>
      <c r="J2857" s="147"/>
      <c r="K2857" s="63"/>
      <c r="L2857" s="63"/>
      <c r="M2857" s="63"/>
      <c r="N2857" s="63"/>
      <c r="O2857" s="63"/>
      <c r="P2857" s="63"/>
      <c r="Q2857" s="63"/>
      <c r="R2857" s="63"/>
      <c r="S2857" s="63"/>
      <c r="T2857" s="63"/>
      <c r="U2857" s="63"/>
      <c r="V2857" s="63"/>
      <c r="W2857" s="63"/>
      <c r="X2857" s="63"/>
      <c r="Y2857" s="63"/>
      <c r="Z2857" s="63"/>
      <c r="AA2857" s="63"/>
      <c r="AB2857" s="63"/>
      <c r="AC2857" s="63"/>
    </row>
    <row r="2858" spans="1:29" x14ac:dyDescent="0.25">
      <c r="A2858" s="108">
        <v>46102</v>
      </c>
      <c r="B2858" s="128">
        <v>67</v>
      </c>
      <c r="C2858" s="49" t="s">
        <v>19</v>
      </c>
      <c r="D2858" s="110" t="str">
        <f>IF(ISBLANK($B2858),"",IFERROR(VLOOKUP($B2858,ESTOQUE!$B$2:$D$97168,3,FALSE),"Produto não cadastrado"))</f>
        <v>CAMISA LARANJA OP. C/ FAIXA REFLETIVA TAM: G</v>
      </c>
      <c r="E2858" s="99" t="str">
        <f>_xlfn.XLOOKUP(B2858,ESTOQUE!B:B,ESTOQUE!G:G,"",0)</f>
        <v>UND</v>
      </c>
      <c r="F2858" s="99">
        <v>3</v>
      </c>
      <c r="G2858" s="146"/>
      <c r="H2858" s="146"/>
      <c r="I2858" s="147"/>
      <c r="J2858" s="147"/>
      <c r="K2858" s="63"/>
      <c r="L2858" s="63"/>
      <c r="M2858" s="63"/>
      <c r="N2858" s="63"/>
      <c r="O2858" s="63"/>
      <c r="P2858" s="63"/>
      <c r="Q2858" s="63"/>
      <c r="R2858" s="63"/>
      <c r="S2858" s="63"/>
      <c r="T2858" s="63"/>
      <c r="U2858" s="63"/>
      <c r="V2858" s="63"/>
      <c r="W2858" s="63"/>
      <c r="X2858" s="63"/>
      <c r="Y2858" s="63"/>
      <c r="Z2858" s="63"/>
      <c r="AA2858" s="63"/>
      <c r="AB2858" s="63"/>
      <c r="AC2858" s="63"/>
    </row>
    <row r="2859" spans="1:29" x14ac:dyDescent="0.25">
      <c r="A2859" s="108">
        <v>46102</v>
      </c>
      <c r="B2859" s="128">
        <v>68</v>
      </c>
      <c r="C2859" s="49" t="s">
        <v>19</v>
      </c>
      <c r="D2859" s="110" t="str">
        <f>IF(ISBLANK($B2859),"",IFERROR(VLOOKUP($B2859,ESTOQUE!$B$2:$D$97168,3,FALSE),"Produto não cadastrado"))</f>
        <v>CAMISA LARANJA OP. C/ FAIXA REFLETIVA TAM: GG</v>
      </c>
      <c r="E2859" s="99" t="str">
        <f>_xlfn.XLOOKUP(B2859,ESTOQUE!B:B,ESTOQUE!G:G,"",0)</f>
        <v>UND</v>
      </c>
      <c r="F2859" s="99">
        <v>1</v>
      </c>
      <c r="G2859" s="146"/>
      <c r="H2859" s="146"/>
      <c r="I2859" s="147"/>
      <c r="J2859" s="147"/>
      <c r="K2859" s="63"/>
      <c r="L2859" s="63"/>
      <c r="M2859" s="63"/>
      <c r="N2859" s="63"/>
      <c r="O2859" s="63"/>
      <c r="P2859" s="63"/>
      <c r="Q2859" s="63"/>
      <c r="R2859" s="63"/>
      <c r="S2859" s="63"/>
      <c r="T2859" s="63"/>
      <c r="U2859" s="63"/>
      <c r="V2859" s="63"/>
      <c r="W2859" s="63"/>
      <c r="X2859" s="63"/>
      <c r="Y2859" s="63"/>
      <c r="Z2859" s="63"/>
      <c r="AA2859" s="63"/>
      <c r="AB2859" s="63"/>
      <c r="AC2859" s="63"/>
    </row>
    <row r="2860" spans="1:29" x14ac:dyDescent="0.25">
      <c r="A2860" s="108">
        <v>46102</v>
      </c>
      <c r="B2860" s="128">
        <v>69</v>
      </c>
      <c r="C2860" s="49" t="s">
        <v>19</v>
      </c>
      <c r="D2860" s="110" t="str">
        <f>IF(ISBLANK($B2860),"",IFERROR(VLOOKUP($B2860,ESTOQUE!$B$2:$D$97168,3,FALSE),"Produto não cadastrado"))</f>
        <v>CAMISA LARANJA OP. C/ FAIXA REFLETIVA TAM: M</v>
      </c>
      <c r="E2860" s="99" t="str">
        <f>_xlfn.XLOOKUP(B2860,ESTOQUE!B:B,ESTOQUE!G:G,"",0)</f>
        <v>UND</v>
      </c>
      <c r="F2860" s="99">
        <v>3</v>
      </c>
      <c r="G2860" s="146"/>
      <c r="H2860" s="146"/>
      <c r="I2860" s="147"/>
      <c r="J2860" s="147"/>
      <c r="K2860" s="63"/>
      <c r="L2860" s="63"/>
      <c r="M2860" s="63"/>
      <c r="N2860" s="63"/>
      <c r="O2860" s="63"/>
      <c r="P2860" s="63"/>
      <c r="Q2860" s="63"/>
      <c r="R2860" s="63"/>
      <c r="S2860" s="63"/>
      <c r="T2860" s="63"/>
      <c r="U2860" s="63"/>
      <c r="V2860" s="63"/>
      <c r="W2860" s="63"/>
      <c r="X2860" s="63"/>
      <c r="Y2860" s="63"/>
      <c r="Z2860" s="63"/>
      <c r="AA2860" s="63"/>
      <c r="AB2860" s="63"/>
      <c r="AC2860" s="63"/>
    </row>
    <row r="2861" spans="1:29" x14ac:dyDescent="0.25">
      <c r="A2861" s="108">
        <v>46102</v>
      </c>
      <c r="B2861" s="128">
        <v>70</v>
      </c>
      <c r="C2861" s="49" t="s">
        <v>19</v>
      </c>
      <c r="D2861" s="110" t="str">
        <f>IF(ISBLANK($B2861),"",IFERROR(VLOOKUP($B2861,ESTOQUE!$B$2:$D$97168,3,FALSE),"Produto não cadastrado"))</f>
        <v>CAMISA LARANJA OP. C/ FAIXA REFLETIVA TAM: P</v>
      </c>
      <c r="E2861" s="99" t="str">
        <f>_xlfn.XLOOKUP(B2861,ESTOQUE!B:B,ESTOQUE!G:G,"",0)</f>
        <v>UND</v>
      </c>
      <c r="F2861" s="99">
        <v>1</v>
      </c>
      <c r="G2861" s="146"/>
      <c r="H2861" s="146"/>
      <c r="I2861" s="147"/>
      <c r="J2861" s="147"/>
      <c r="K2861" s="63"/>
      <c r="L2861" s="63"/>
      <c r="M2861" s="63"/>
      <c r="N2861" s="63"/>
      <c r="O2861" s="63"/>
      <c r="P2861" s="63"/>
      <c r="Q2861" s="63"/>
      <c r="R2861" s="63"/>
      <c r="S2861" s="63"/>
      <c r="T2861" s="63"/>
      <c r="U2861" s="63"/>
      <c r="V2861" s="63"/>
      <c r="W2861" s="63"/>
      <c r="X2861" s="63"/>
      <c r="Y2861" s="63"/>
      <c r="Z2861" s="63"/>
      <c r="AA2861" s="63"/>
      <c r="AB2861" s="63"/>
      <c r="AC2861" s="63"/>
    </row>
    <row r="2862" spans="1:29" x14ac:dyDescent="0.25">
      <c r="A2862" s="108">
        <v>46102</v>
      </c>
      <c r="B2862" s="128">
        <v>266</v>
      </c>
      <c r="C2862" s="49" t="s">
        <v>19</v>
      </c>
      <c r="D2862" s="110" t="str">
        <f>IF(ISBLANK($B2862),"",IFERROR(VLOOKUP($B2862,ESTOQUE!$B$2:$D$97168,3,FALSE),"Produto não cadastrado"))</f>
        <v>CINTO DE SEGURANÇA ATHENAS TAM:2</v>
      </c>
      <c r="E2862" s="99" t="str">
        <f>_xlfn.XLOOKUP(B2862,ESTOQUE!B:B,ESTOQUE!G:G,"",0)</f>
        <v>UND</v>
      </c>
      <c r="F2862" s="99">
        <v>1</v>
      </c>
      <c r="G2862" s="146"/>
      <c r="H2862" s="146"/>
      <c r="I2862" s="147"/>
      <c r="J2862" s="147"/>
      <c r="K2862" s="63"/>
      <c r="L2862" s="63"/>
      <c r="M2862" s="63"/>
      <c r="N2862" s="63"/>
      <c r="O2862" s="63"/>
      <c r="P2862" s="63"/>
      <c r="Q2862" s="63"/>
      <c r="R2862" s="63"/>
      <c r="S2862" s="63"/>
      <c r="T2862" s="63"/>
      <c r="U2862" s="63"/>
      <c r="V2862" s="63"/>
      <c r="W2862" s="63"/>
      <c r="X2862" s="63"/>
      <c r="Y2862" s="63"/>
      <c r="Z2862" s="63"/>
      <c r="AA2862" s="63"/>
      <c r="AB2862" s="63"/>
      <c r="AC2862" s="63"/>
    </row>
    <row r="2863" spans="1:29" x14ac:dyDescent="0.25">
      <c r="A2863" s="108">
        <v>46102</v>
      </c>
      <c r="B2863" s="128">
        <v>114</v>
      </c>
      <c r="C2863" s="49" t="s">
        <v>19</v>
      </c>
      <c r="D2863" s="110" t="str">
        <f>IF(ISBLANK($B2863),"",IFERROR(VLOOKUP($B2863,ESTOQUE!$B$2:$D$97168,3,FALSE),"Produto não cadastrado"))</f>
        <v xml:space="preserve">LUVA LATEX NITRILICA </v>
      </c>
      <c r="E2863" s="99" t="str">
        <f>_xlfn.XLOOKUP(B2863,ESTOQUE!B:B,ESTOQUE!G:G,"",0)</f>
        <v>PAR</v>
      </c>
      <c r="F2863" s="99">
        <v>1</v>
      </c>
      <c r="G2863" s="146"/>
      <c r="H2863" s="146"/>
      <c r="I2863" s="147"/>
      <c r="J2863" s="147"/>
      <c r="K2863" s="63"/>
      <c r="L2863" s="63"/>
      <c r="M2863" s="63"/>
      <c r="N2863" s="63"/>
      <c r="O2863" s="63"/>
      <c r="P2863" s="63"/>
      <c r="Q2863" s="63"/>
      <c r="R2863" s="63"/>
      <c r="S2863" s="63"/>
      <c r="T2863" s="63"/>
      <c r="U2863" s="63"/>
      <c r="V2863" s="63"/>
      <c r="W2863" s="63"/>
      <c r="X2863" s="63"/>
      <c r="Y2863" s="63"/>
      <c r="Z2863" s="63"/>
      <c r="AA2863" s="63"/>
      <c r="AB2863" s="63"/>
      <c r="AC2863" s="63"/>
    </row>
    <row r="2864" spans="1:29" x14ac:dyDescent="0.25">
      <c r="A2864" s="108">
        <v>46102</v>
      </c>
      <c r="B2864" s="128">
        <v>117</v>
      </c>
      <c r="C2864" s="49" t="s">
        <v>19</v>
      </c>
      <c r="D2864" s="110" t="str">
        <f>IF(ISBLANK($B2864),"",IFERROR(VLOOKUP($B2864,ESTOQUE!$B$2:$D$97168,3,FALSE),"Produto não cadastrado"))</f>
        <v>LUVA PIGMENTADA</v>
      </c>
      <c r="E2864" s="99" t="str">
        <f>_xlfn.XLOOKUP(B2864,ESTOQUE!B:B,ESTOQUE!G:G,"",0)</f>
        <v>PAR</v>
      </c>
      <c r="F2864" s="99">
        <v>4</v>
      </c>
      <c r="G2864" s="146"/>
      <c r="H2864" s="146"/>
      <c r="I2864" s="147"/>
      <c r="J2864" s="147"/>
      <c r="K2864" s="63"/>
      <c r="L2864" s="63"/>
      <c r="M2864" s="63"/>
      <c r="N2864" s="63"/>
      <c r="O2864" s="63"/>
      <c r="P2864" s="63"/>
      <c r="Q2864" s="63"/>
      <c r="R2864" s="63"/>
      <c r="S2864" s="63"/>
      <c r="T2864" s="63"/>
      <c r="U2864" s="63"/>
      <c r="V2864" s="63"/>
      <c r="W2864" s="63"/>
      <c r="X2864" s="63"/>
      <c r="Y2864" s="63"/>
      <c r="Z2864" s="63"/>
      <c r="AA2864" s="63"/>
      <c r="AB2864" s="63"/>
      <c r="AC2864" s="63"/>
    </row>
    <row r="2865" spans="1:29" x14ac:dyDescent="0.25">
      <c r="A2865" s="108">
        <v>46102</v>
      </c>
      <c r="B2865" s="128">
        <v>267</v>
      </c>
      <c r="C2865" s="49" t="s">
        <v>19</v>
      </c>
      <c r="D2865" s="110" t="str">
        <f>IF(ISBLANK($B2865),"",IFERROR(VLOOKUP($B2865,ESTOQUE!$B$2:$D$97168,3,FALSE),"Produto não cadastrado"))</f>
        <v>LUVA POLIESTER ANTICORTE CANO LONGO</v>
      </c>
      <c r="E2865" s="99" t="str">
        <f>_xlfn.XLOOKUP(B2865,ESTOQUE!B:B,ESTOQUE!G:G,"",0)</f>
        <v>UND</v>
      </c>
      <c r="F2865" s="99">
        <v>40</v>
      </c>
      <c r="G2865" s="146"/>
      <c r="H2865" s="146"/>
      <c r="I2865" s="147"/>
      <c r="J2865" s="147"/>
      <c r="K2865" s="63"/>
      <c r="L2865" s="63"/>
      <c r="M2865" s="63"/>
      <c r="N2865" s="63"/>
      <c r="O2865" s="63"/>
      <c r="P2865" s="63"/>
      <c r="Q2865" s="63"/>
      <c r="R2865" s="63"/>
      <c r="S2865" s="63"/>
      <c r="T2865" s="63"/>
      <c r="U2865" s="63"/>
      <c r="V2865" s="63"/>
      <c r="W2865" s="63"/>
      <c r="X2865" s="63"/>
      <c r="Y2865" s="63"/>
      <c r="Z2865" s="63"/>
      <c r="AA2865" s="63"/>
      <c r="AB2865" s="63"/>
      <c r="AC2865" s="63"/>
    </row>
    <row r="2866" spans="1:29" x14ac:dyDescent="0.25">
      <c r="A2866" s="108">
        <v>46102</v>
      </c>
      <c r="B2866" s="128">
        <v>144</v>
      </c>
      <c r="C2866" s="49" t="s">
        <v>19</v>
      </c>
      <c r="D2866" s="110" t="str">
        <f>IF(ISBLANK($B2866),"",IFERROR(VLOOKUP($B2866,ESTOQUE!$B$2:$D$97168,3,FALSE),"Produto não cadastrado"))</f>
        <v>MASCARA PFF2-S C/ FILTRO</v>
      </c>
      <c r="E2866" s="99" t="str">
        <f>_xlfn.XLOOKUP(B2866,ESTOQUE!B:B,ESTOQUE!G:G,"",0)</f>
        <v>UND</v>
      </c>
      <c r="F2866" s="99">
        <v>35</v>
      </c>
      <c r="G2866" s="146"/>
      <c r="H2866" s="146"/>
      <c r="I2866" s="147"/>
      <c r="J2866" s="147"/>
      <c r="K2866" s="63"/>
      <c r="L2866" s="63"/>
      <c r="M2866" s="63"/>
      <c r="N2866" s="63"/>
      <c r="O2866" s="63"/>
      <c r="P2866" s="63"/>
      <c r="Q2866" s="63"/>
      <c r="R2866" s="63"/>
      <c r="S2866" s="63"/>
      <c r="T2866" s="63"/>
      <c r="U2866" s="63"/>
      <c r="V2866" s="63"/>
      <c r="W2866" s="63"/>
      <c r="X2866" s="63"/>
      <c r="Y2866" s="63"/>
      <c r="Z2866" s="63"/>
      <c r="AA2866" s="63"/>
      <c r="AB2866" s="63"/>
      <c r="AC2866" s="63"/>
    </row>
    <row r="2867" spans="1:29" x14ac:dyDescent="0.25">
      <c r="A2867" s="108">
        <v>46102</v>
      </c>
      <c r="B2867" s="128">
        <v>126</v>
      </c>
      <c r="C2867" s="49" t="s">
        <v>19</v>
      </c>
      <c r="D2867" s="110" t="str">
        <f>IF(ISBLANK($B2867),"",IFERROR(VLOOKUP($B2867,ESTOQUE!$B$2:$D$97168,3,FALSE),"Produto não cadastrado"))</f>
        <v>OCULOS DE PROTEÇÃO ESCURO</v>
      </c>
      <c r="E2867" s="99" t="str">
        <f>_xlfn.XLOOKUP(B2867,ESTOQUE!B:B,ESTOQUE!G:G,"",0)</f>
        <v>UND</v>
      </c>
      <c r="F2867" s="99">
        <v>1</v>
      </c>
      <c r="G2867" s="146"/>
      <c r="H2867" s="146"/>
      <c r="I2867" s="147"/>
      <c r="J2867" s="147"/>
      <c r="K2867" s="63"/>
      <c r="L2867" s="63"/>
      <c r="M2867" s="63"/>
      <c r="N2867" s="63"/>
      <c r="O2867" s="63"/>
      <c r="P2867" s="63"/>
      <c r="Q2867" s="63"/>
      <c r="R2867" s="63"/>
      <c r="S2867" s="63"/>
      <c r="T2867" s="63"/>
      <c r="U2867" s="63"/>
      <c r="V2867" s="63"/>
      <c r="W2867" s="63"/>
      <c r="X2867" s="63"/>
      <c r="Y2867" s="63"/>
      <c r="Z2867" s="63"/>
      <c r="AA2867" s="63"/>
      <c r="AB2867" s="63"/>
      <c r="AC2867" s="63"/>
    </row>
    <row r="2868" spans="1:29" x14ac:dyDescent="0.25">
      <c r="A2868" s="108">
        <v>46104</v>
      </c>
      <c r="B2868" s="128">
        <v>10</v>
      </c>
      <c r="C2868" s="49" t="s">
        <v>19</v>
      </c>
      <c r="D2868" s="110" t="str">
        <f>IF(ISBLANK($B2868),"",IFERROR(VLOOKUP($B2868,ESTOQUE!$B$2:$D$97168,3,FALSE),"Produto não cadastrado"))</f>
        <v>BOTA PVC CANO LONGO Nº 42</v>
      </c>
      <c r="E2868" s="99" t="str">
        <f>_xlfn.XLOOKUP(B2868,ESTOQUE!B:B,ESTOQUE!G:G,"",0)</f>
        <v>PAR</v>
      </c>
      <c r="F2868" s="99">
        <v>1</v>
      </c>
      <c r="G2868" s="146"/>
      <c r="H2868" s="146"/>
      <c r="I2868" s="147"/>
      <c r="J2868" s="147"/>
      <c r="K2868" s="63"/>
      <c r="L2868" s="63"/>
      <c r="M2868" s="63"/>
      <c r="N2868" s="63"/>
      <c r="O2868" s="63"/>
      <c r="P2868" s="63"/>
      <c r="Q2868" s="63"/>
      <c r="R2868" s="63"/>
      <c r="S2868" s="63"/>
      <c r="T2868" s="63"/>
      <c r="U2868" s="63"/>
      <c r="V2868" s="63"/>
      <c r="W2868" s="63"/>
      <c r="X2868" s="63"/>
      <c r="Y2868" s="63"/>
      <c r="Z2868" s="63"/>
      <c r="AA2868" s="63"/>
      <c r="AB2868" s="63"/>
      <c r="AC2868" s="63"/>
    </row>
    <row r="2869" spans="1:29" x14ac:dyDescent="0.25">
      <c r="A2869" s="108">
        <v>46104</v>
      </c>
      <c r="B2869" s="128">
        <v>36</v>
      </c>
      <c r="C2869" s="49" t="s">
        <v>19</v>
      </c>
      <c r="D2869" s="110" t="str">
        <f>IF(ISBLANK($B2869),"",IFERROR(VLOOKUP($B2869,ESTOQUE!$B$2:$D$97168,3,FALSE),"Produto não cadastrado"))</f>
        <v>BOTINA OP. BICO PVC Nº 38</v>
      </c>
      <c r="E2869" s="99" t="str">
        <f>_xlfn.XLOOKUP(B2869,ESTOQUE!B:B,ESTOQUE!G:G,"",0)</f>
        <v>PAR</v>
      </c>
      <c r="F2869" s="99">
        <v>1</v>
      </c>
      <c r="G2869" s="146"/>
      <c r="H2869" s="146"/>
      <c r="I2869" s="147"/>
      <c r="J2869" s="147"/>
      <c r="K2869" s="63"/>
      <c r="L2869" s="63"/>
      <c r="M2869" s="63"/>
      <c r="N2869" s="63"/>
      <c r="O2869" s="63"/>
      <c r="P2869" s="63"/>
      <c r="Q2869" s="63"/>
      <c r="R2869" s="63"/>
      <c r="S2869" s="63"/>
      <c r="T2869" s="63"/>
      <c r="U2869" s="63"/>
      <c r="V2869" s="63"/>
      <c r="W2869" s="63"/>
      <c r="X2869" s="63"/>
      <c r="Y2869" s="63"/>
      <c r="Z2869" s="63"/>
      <c r="AA2869" s="63"/>
      <c r="AB2869" s="63"/>
      <c r="AC2869" s="63"/>
    </row>
    <row r="2870" spans="1:29" x14ac:dyDescent="0.25">
      <c r="A2870" s="108">
        <v>46104</v>
      </c>
      <c r="B2870" s="128">
        <v>39</v>
      </c>
      <c r="C2870" s="49" t="s">
        <v>19</v>
      </c>
      <c r="D2870" s="110" t="str">
        <f>IF(ISBLANK($B2870),"",IFERROR(VLOOKUP($B2870,ESTOQUE!$B$2:$D$97168,3,FALSE),"Produto não cadastrado"))</f>
        <v>BOTINA OP. BICO PVC Nº 41</v>
      </c>
      <c r="E2870" s="99" t="str">
        <f>_xlfn.XLOOKUP(B2870,ESTOQUE!B:B,ESTOQUE!G:G,"",0)</f>
        <v>PAR</v>
      </c>
      <c r="F2870" s="99">
        <v>3</v>
      </c>
      <c r="G2870" s="146"/>
      <c r="H2870" s="146"/>
      <c r="I2870" s="147"/>
      <c r="J2870" s="147"/>
      <c r="K2870" s="63"/>
      <c r="L2870" s="63"/>
      <c r="M2870" s="63"/>
      <c r="N2870" s="63"/>
      <c r="O2870" s="63"/>
      <c r="P2870" s="63"/>
      <c r="Q2870" s="63"/>
      <c r="R2870" s="63"/>
      <c r="S2870" s="63"/>
      <c r="T2870" s="63"/>
      <c r="U2870" s="63"/>
      <c r="V2870" s="63"/>
      <c r="W2870" s="63"/>
      <c r="X2870" s="63"/>
      <c r="Y2870" s="63"/>
      <c r="Z2870" s="63"/>
      <c r="AA2870" s="63"/>
      <c r="AB2870" s="63"/>
      <c r="AC2870" s="63"/>
    </row>
    <row r="2871" spans="1:29" x14ac:dyDescent="0.25">
      <c r="A2871" s="108">
        <v>46104</v>
      </c>
      <c r="B2871" s="128">
        <v>218</v>
      </c>
      <c r="C2871" s="49" t="s">
        <v>19</v>
      </c>
      <c r="D2871" s="110" t="str">
        <f>IF(ISBLANK($B2871),"",IFERROR(VLOOKUP($B2871,ESTOQUE!$B$2:$D$97168,3,FALSE),"Produto não cadastrado"))</f>
        <v>BOTINA SEGURANÇA METATARSO  41</v>
      </c>
      <c r="E2871" s="99" t="str">
        <f>_xlfn.XLOOKUP(B2871,ESTOQUE!B:B,ESTOQUE!G:G,"",0)</f>
        <v>PAR</v>
      </c>
      <c r="F2871" s="99">
        <v>1</v>
      </c>
      <c r="G2871" s="146"/>
      <c r="H2871" s="146"/>
      <c r="I2871" s="147"/>
      <c r="J2871" s="147"/>
      <c r="K2871" s="63"/>
      <c r="L2871" s="63"/>
      <c r="M2871" s="63"/>
      <c r="N2871" s="63"/>
      <c r="O2871" s="63"/>
      <c r="P2871" s="63"/>
      <c r="Q2871" s="63"/>
      <c r="R2871" s="63"/>
      <c r="S2871" s="63"/>
      <c r="T2871" s="63"/>
      <c r="U2871" s="63"/>
      <c r="V2871" s="63"/>
      <c r="W2871" s="63"/>
      <c r="X2871" s="63"/>
      <c r="Y2871" s="63"/>
      <c r="Z2871" s="63"/>
      <c r="AA2871" s="63"/>
      <c r="AB2871" s="63"/>
      <c r="AC2871" s="63"/>
    </row>
    <row r="2872" spans="1:29" x14ac:dyDescent="0.25">
      <c r="A2872" s="108">
        <v>46104</v>
      </c>
      <c r="B2872" s="128">
        <v>46</v>
      </c>
      <c r="C2872" s="49" t="s">
        <v>19</v>
      </c>
      <c r="D2872" s="110" t="str">
        <f>IF(ISBLANK($B2872),"",IFERROR(VLOOKUP($B2872,ESTOQUE!$B$2:$D$97168,3,FALSE),"Produto não cadastrado"))</f>
        <v>CALÇA CINZA OP. C/ FAIXA REFLETIVA TAM: G</v>
      </c>
      <c r="E2872" s="99" t="str">
        <f>_xlfn.XLOOKUP(B2872,ESTOQUE!B:B,ESTOQUE!G:G,"",0)</f>
        <v>UND</v>
      </c>
      <c r="F2872" s="99">
        <v>5</v>
      </c>
      <c r="G2872" s="146"/>
      <c r="H2872" s="146"/>
      <c r="I2872" s="147"/>
      <c r="J2872" s="147"/>
      <c r="K2872" s="63"/>
      <c r="L2872" s="63"/>
      <c r="M2872" s="63"/>
      <c r="N2872" s="63"/>
      <c r="O2872" s="63"/>
      <c r="P2872" s="63"/>
      <c r="Q2872" s="63"/>
      <c r="R2872" s="63"/>
      <c r="S2872" s="63"/>
      <c r="T2872" s="63"/>
      <c r="U2872" s="63"/>
      <c r="V2872" s="63"/>
      <c r="W2872" s="63"/>
      <c r="X2872" s="63"/>
      <c r="Y2872" s="63"/>
      <c r="Z2872" s="63"/>
      <c r="AA2872" s="63"/>
      <c r="AB2872" s="63"/>
      <c r="AC2872" s="63"/>
    </row>
    <row r="2873" spans="1:29" x14ac:dyDescent="0.25">
      <c r="A2873" s="108">
        <v>46104</v>
      </c>
      <c r="B2873" s="128">
        <v>48</v>
      </c>
      <c r="C2873" s="49" t="s">
        <v>19</v>
      </c>
      <c r="D2873" s="110" t="str">
        <f>IF(ISBLANK($B2873),"",IFERROR(VLOOKUP($B2873,ESTOQUE!$B$2:$D$97168,3,FALSE),"Produto não cadastrado"))</f>
        <v>CALÇA CINZA OP. C/ FAIXA REFLETIVA TAM: M</v>
      </c>
      <c r="E2873" s="99" t="str">
        <f>_xlfn.XLOOKUP(B2873,ESTOQUE!B:B,ESTOQUE!G:G,"",0)</f>
        <v>UND</v>
      </c>
      <c r="F2873" s="99">
        <v>2</v>
      </c>
      <c r="G2873" s="146"/>
      <c r="H2873" s="146"/>
      <c r="I2873" s="147"/>
      <c r="J2873" s="147"/>
      <c r="K2873" s="63"/>
      <c r="L2873" s="63"/>
      <c r="M2873" s="63"/>
      <c r="N2873" s="63"/>
      <c r="O2873" s="63"/>
      <c r="P2873" s="63"/>
      <c r="Q2873" s="63"/>
      <c r="R2873" s="63"/>
      <c r="S2873" s="63"/>
      <c r="T2873" s="63"/>
      <c r="U2873" s="63"/>
      <c r="V2873" s="63"/>
      <c r="W2873" s="63"/>
      <c r="X2873" s="63"/>
      <c r="Y2873" s="63"/>
      <c r="Z2873" s="63"/>
      <c r="AA2873" s="63"/>
      <c r="AB2873" s="63"/>
      <c r="AC2873" s="63"/>
    </row>
    <row r="2874" spans="1:29" x14ac:dyDescent="0.25">
      <c r="A2874" s="108">
        <v>46104</v>
      </c>
      <c r="B2874" s="128">
        <v>67</v>
      </c>
      <c r="C2874" s="49" t="s">
        <v>19</v>
      </c>
      <c r="D2874" s="110" t="str">
        <f>IF(ISBLANK($B2874),"",IFERROR(VLOOKUP($B2874,ESTOQUE!$B$2:$D$97168,3,FALSE),"Produto não cadastrado"))</f>
        <v>CAMISA LARANJA OP. C/ FAIXA REFLETIVA TAM: G</v>
      </c>
      <c r="E2874" s="99" t="str">
        <f>_xlfn.XLOOKUP(B2874,ESTOQUE!B:B,ESTOQUE!G:G,"",0)</f>
        <v>UND</v>
      </c>
      <c r="F2874" s="99">
        <v>2</v>
      </c>
      <c r="G2874" s="146"/>
      <c r="H2874" s="146"/>
      <c r="I2874" s="147"/>
      <c r="J2874" s="147"/>
      <c r="K2874" s="63"/>
      <c r="L2874" s="63"/>
      <c r="M2874" s="63"/>
      <c r="N2874" s="63"/>
      <c r="O2874" s="63"/>
      <c r="P2874" s="63"/>
      <c r="Q2874" s="63"/>
      <c r="R2874" s="63"/>
      <c r="S2874" s="63"/>
      <c r="T2874" s="63"/>
      <c r="U2874" s="63"/>
      <c r="V2874" s="63"/>
      <c r="W2874" s="63"/>
      <c r="X2874" s="63"/>
      <c r="Y2874" s="63"/>
      <c r="Z2874" s="63"/>
      <c r="AA2874" s="63"/>
      <c r="AB2874" s="63"/>
      <c r="AC2874" s="63"/>
    </row>
    <row r="2875" spans="1:29" x14ac:dyDescent="0.25">
      <c r="A2875" s="108">
        <v>46104</v>
      </c>
      <c r="B2875" s="128">
        <v>68</v>
      </c>
      <c r="C2875" s="49" t="s">
        <v>19</v>
      </c>
      <c r="D2875" s="110" t="str">
        <f>IF(ISBLANK($B2875),"",IFERROR(VLOOKUP($B2875,ESTOQUE!$B$2:$D$97168,3,FALSE),"Produto não cadastrado"))</f>
        <v>CAMISA LARANJA OP. C/ FAIXA REFLETIVA TAM: GG</v>
      </c>
      <c r="E2875" s="99" t="str">
        <f>_xlfn.XLOOKUP(B2875,ESTOQUE!B:B,ESTOQUE!G:G,"",0)</f>
        <v>UND</v>
      </c>
      <c r="F2875" s="99">
        <v>1</v>
      </c>
      <c r="G2875" s="146"/>
      <c r="H2875" s="146"/>
      <c r="I2875" s="147"/>
      <c r="J2875" s="147"/>
      <c r="K2875" s="63"/>
      <c r="L2875" s="63"/>
      <c r="M2875" s="63"/>
      <c r="N2875" s="63"/>
      <c r="O2875" s="63"/>
      <c r="P2875" s="63"/>
      <c r="Q2875" s="63"/>
      <c r="R2875" s="63"/>
      <c r="S2875" s="63"/>
      <c r="T2875" s="63"/>
      <c r="U2875" s="63"/>
      <c r="V2875" s="63"/>
      <c r="W2875" s="63"/>
      <c r="X2875" s="63"/>
      <c r="Y2875" s="63"/>
      <c r="Z2875" s="63"/>
      <c r="AA2875" s="63"/>
      <c r="AB2875" s="63"/>
      <c r="AC2875" s="63"/>
    </row>
    <row r="2876" spans="1:29" x14ac:dyDescent="0.25">
      <c r="A2876" s="108">
        <v>46104</v>
      </c>
      <c r="B2876" s="128">
        <v>69</v>
      </c>
      <c r="C2876" s="49" t="s">
        <v>19</v>
      </c>
      <c r="D2876" s="110" t="str">
        <f>IF(ISBLANK($B2876),"",IFERROR(VLOOKUP($B2876,ESTOQUE!$B$2:$D$97168,3,FALSE),"Produto não cadastrado"))</f>
        <v>CAMISA LARANJA OP. C/ FAIXA REFLETIVA TAM: M</v>
      </c>
      <c r="E2876" s="99" t="str">
        <f>_xlfn.XLOOKUP(B2876,ESTOQUE!B:B,ESTOQUE!G:G,"",0)</f>
        <v>UND</v>
      </c>
      <c r="F2876" s="99">
        <v>1</v>
      </c>
      <c r="G2876" s="146"/>
      <c r="H2876" s="146"/>
      <c r="I2876" s="147"/>
      <c r="J2876" s="147"/>
      <c r="K2876" s="63"/>
      <c r="L2876" s="63"/>
      <c r="M2876" s="63"/>
      <c r="N2876" s="63"/>
      <c r="O2876" s="63"/>
      <c r="P2876" s="63"/>
      <c r="Q2876" s="63"/>
      <c r="R2876" s="63"/>
      <c r="S2876" s="63"/>
      <c r="T2876" s="63"/>
      <c r="U2876" s="63"/>
      <c r="V2876" s="63"/>
      <c r="W2876" s="63"/>
      <c r="X2876" s="63"/>
      <c r="Y2876" s="63"/>
      <c r="Z2876" s="63"/>
      <c r="AA2876" s="63"/>
      <c r="AB2876" s="63"/>
      <c r="AC2876" s="63"/>
    </row>
    <row r="2877" spans="1:29" x14ac:dyDescent="0.25">
      <c r="A2877" s="108">
        <v>46104</v>
      </c>
      <c r="B2877" s="128">
        <v>70</v>
      </c>
      <c r="C2877" s="49" t="s">
        <v>19</v>
      </c>
      <c r="D2877" s="110" t="str">
        <f>IF(ISBLANK($B2877),"",IFERROR(VLOOKUP($B2877,ESTOQUE!$B$2:$D$97168,3,FALSE),"Produto não cadastrado"))</f>
        <v>CAMISA LARANJA OP. C/ FAIXA REFLETIVA TAM: P</v>
      </c>
      <c r="E2877" s="99" t="str">
        <f>_xlfn.XLOOKUP(B2877,ESTOQUE!B:B,ESTOQUE!G:G,"",0)</f>
        <v>UND</v>
      </c>
      <c r="F2877" s="99">
        <v>1</v>
      </c>
      <c r="G2877" s="146"/>
      <c r="H2877" s="146"/>
      <c r="I2877" s="147"/>
      <c r="J2877" s="147"/>
      <c r="K2877" s="63"/>
      <c r="L2877" s="63"/>
      <c r="M2877" s="63"/>
      <c r="N2877" s="63"/>
      <c r="O2877" s="63"/>
      <c r="P2877" s="63"/>
      <c r="Q2877" s="63"/>
      <c r="R2877" s="63"/>
      <c r="S2877" s="63"/>
      <c r="T2877" s="63"/>
      <c r="U2877" s="63"/>
      <c r="V2877" s="63"/>
      <c r="W2877" s="63"/>
      <c r="X2877" s="63"/>
      <c r="Y2877" s="63"/>
      <c r="Z2877" s="63"/>
      <c r="AA2877" s="63"/>
      <c r="AB2877" s="63"/>
      <c r="AC2877" s="63"/>
    </row>
    <row r="2878" spans="1:29" x14ac:dyDescent="0.25">
      <c r="A2878" s="108">
        <v>46104</v>
      </c>
      <c r="B2878" s="128">
        <v>210</v>
      </c>
      <c r="C2878" s="49" t="s">
        <v>19</v>
      </c>
      <c r="D2878" s="110" t="str">
        <f>IF(ISBLANK($B2878),"",IFERROR(VLOOKUP($B2878,ESTOQUE!$B$2:$D$97168,3,FALSE),"Produto não cadastrado"))</f>
        <v>COLETE REFLETIVO LARANJA G</v>
      </c>
      <c r="E2878" s="99" t="str">
        <f>_xlfn.XLOOKUP(B2878,ESTOQUE!B:B,ESTOQUE!G:G,"",0)</f>
        <v>UND</v>
      </c>
      <c r="F2878" s="99">
        <v>1</v>
      </c>
      <c r="G2878" s="146"/>
      <c r="H2878" s="146"/>
      <c r="I2878" s="147"/>
      <c r="J2878" s="147"/>
      <c r="K2878" s="63"/>
      <c r="L2878" s="63"/>
      <c r="M2878" s="63"/>
      <c r="N2878" s="63"/>
      <c r="O2878" s="63"/>
      <c r="P2878" s="63"/>
      <c r="Q2878" s="63"/>
      <c r="R2878" s="63"/>
      <c r="S2878" s="63"/>
      <c r="T2878" s="63"/>
      <c r="U2878" s="63"/>
      <c r="V2878" s="63"/>
      <c r="W2878" s="63"/>
      <c r="X2878" s="63"/>
      <c r="Y2878" s="63"/>
      <c r="Z2878" s="63"/>
      <c r="AA2878" s="63"/>
      <c r="AB2878" s="63"/>
      <c r="AC2878" s="63"/>
    </row>
    <row r="2879" spans="1:29" x14ac:dyDescent="0.25">
      <c r="A2879" s="108">
        <v>46104</v>
      </c>
      <c r="B2879" s="128">
        <v>97</v>
      </c>
      <c r="C2879" s="49" t="s">
        <v>19</v>
      </c>
      <c r="D2879" s="110" t="str">
        <f>IF(ISBLANK($B2879),"",IFERROR(VLOOKUP($B2879,ESTOQUE!$B$2:$D$97168,3,FALSE),"Produto não cadastrado"))</f>
        <v>COLETE REFLETIVO LARANJA M</v>
      </c>
      <c r="E2879" s="99" t="str">
        <f>_xlfn.XLOOKUP(B2879,ESTOQUE!B:B,ESTOQUE!G:G,"",0)</f>
        <v>UND</v>
      </c>
      <c r="F2879" s="99">
        <v>1</v>
      </c>
      <c r="G2879" s="146"/>
      <c r="H2879" s="146"/>
      <c r="I2879" s="147"/>
      <c r="J2879" s="147"/>
      <c r="K2879" s="63"/>
      <c r="L2879" s="63"/>
      <c r="M2879" s="63"/>
      <c r="N2879" s="63"/>
      <c r="O2879" s="63"/>
      <c r="P2879" s="63"/>
      <c r="Q2879" s="63"/>
      <c r="R2879" s="63"/>
      <c r="S2879" s="63"/>
      <c r="T2879" s="63"/>
      <c r="U2879" s="63"/>
      <c r="V2879" s="63"/>
      <c r="W2879" s="63"/>
      <c r="X2879" s="63"/>
      <c r="Y2879" s="63"/>
      <c r="Z2879" s="63"/>
      <c r="AA2879" s="63"/>
      <c r="AB2879" s="63"/>
      <c r="AC2879" s="63"/>
    </row>
    <row r="2880" spans="1:29" x14ac:dyDescent="0.25">
      <c r="A2880" s="108">
        <v>46104</v>
      </c>
      <c r="B2880" s="128">
        <v>110</v>
      </c>
      <c r="C2880" s="49" t="s">
        <v>19</v>
      </c>
      <c r="D2880" s="110" t="str">
        <f>IF(ISBLANK($B2880),"",IFERROR(VLOOKUP($B2880,ESTOQUE!$B$2:$D$97168,3,FALSE),"Produto não cadastrado"))</f>
        <v>LUVA DE RASPA CANO LONGO</v>
      </c>
      <c r="E2880" s="99" t="str">
        <f>_xlfn.XLOOKUP(B2880,ESTOQUE!B:B,ESTOQUE!G:G,"",0)</f>
        <v>PAR</v>
      </c>
      <c r="F2880" s="99">
        <v>2</v>
      </c>
      <c r="G2880" s="146"/>
      <c r="H2880" s="146"/>
      <c r="I2880" s="147"/>
      <c r="J2880" s="147"/>
      <c r="K2880" s="63"/>
      <c r="L2880" s="63"/>
      <c r="M2880" s="63"/>
      <c r="N2880" s="63"/>
      <c r="O2880" s="63"/>
      <c r="P2880" s="63"/>
      <c r="Q2880" s="63"/>
      <c r="R2880" s="63"/>
      <c r="S2880" s="63"/>
      <c r="T2880" s="63"/>
      <c r="U2880" s="63"/>
      <c r="V2880" s="63"/>
      <c r="W2880" s="63"/>
      <c r="X2880" s="63"/>
      <c r="Y2880" s="63"/>
      <c r="Z2880" s="63"/>
      <c r="AA2880" s="63"/>
      <c r="AB2880" s="63"/>
      <c r="AC2880" s="63"/>
    </row>
    <row r="2881" spans="1:29" x14ac:dyDescent="0.25">
      <c r="A2881" s="108">
        <v>46104</v>
      </c>
      <c r="B2881" s="128">
        <v>141</v>
      </c>
      <c r="C2881" s="49" t="s">
        <v>19</v>
      </c>
      <c r="D2881" s="110" t="str">
        <f>IF(ISBLANK($B2881),"",IFERROR(VLOOKUP($B2881,ESTOQUE!$B$2:$D$97168,3,FALSE),"Produto não cadastrado"))</f>
        <v xml:space="preserve">LUVA DE VAQUETA </v>
      </c>
      <c r="E2881" s="99" t="str">
        <f>_xlfn.XLOOKUP(B2881,ESTOQUE!B:B,ESTOQUE!G:G,"",0)</f>
        <v>PAR</v>
      </c>
      <c r="F2881" s="99">
        <v>20</v>
      </c>
      <c r="G2881" s="146"/>
      <c r="H2881" s="146"/>
      <c r="I2881" s="147"/>
      <c r="J2881" s="147"/>
      <c r="K2881" s="63"/>
      <c r="L2881" s="63"/>
      <c r="M2881" s="63"/>
      <c r="N2881" s="63"/>
      <c r="O2881" s="63"/>
      <c r="P2881" s="63"/>
      <c r="Q2881" s="63"/>
      <c r="R2881" s="63"/>
      <c r="S2881" s="63"/>
      <c r="T2881" s="63"/>
      <c r="U2881" s="63"/>
      <c r="V2881" s="63"/>
      <c r="W2881" s="63"/>
      <c r="X2881" s="63"/>
      <c r="Y2881" s="63"/>
      <c r="Z2881" s="63"/>
      <c r="AA2881" s="63"/>
      <c r="AB2881" s="63"/>
      <c r="AC2881" s="63"/>
    </row>
    <row r="2882" spans="1:29" x14ac:dyDescent="0.25">
      <c r="A2882" s="108">
        <v>46104</v>
      </c>
      <c r="B2882" s="128">
        <v>114</v>
      </c>
      <c r="C2882" s="49" t="s">
        <v>19</v>
      </c>
      <c r="D2882" s="110" t="str">
        <f>IF(ISBLANK($B2882),"",IFERROR(VLOOKUP($B2882,ESTOQUE!$B$2:$D$97168,3,FALSE),"Produto não cadastrado"))</f>
        <v xml:space="preserve">LUVA LATEX NITRILICA </v>
      </c>
      <c r="E2882" s="99" t="str">
        <f>_xlfn.XLOOKUP(B2882,ESTOQUE!B:B,ESTOQUE!G:G,"",0)</f>
        <v>PAR</v>
      </c>
      <c r="F2882" s="99">
        <v>24</v>
      </c>
      <c r="G2882" s="146"/>
      <c r="H2882" s="146"/>
      <c r="I2882" s="147"/>
      <c r="J2882" s="147"/>
      <c r="K2882" s="63"/>
      <c r="L2882" s="63"/>
      <c r="M2882" s="63"/>
      <c r="N2882" s="63"/>
      <c r="O2882" s="63"/>
      <c r="P2882" s="63"/>
      <c r="Q2882" s="63"/>
      <c r="R2882" s="63"/>
      <c r="S2882" s="63"/>
      <c r="T2882" s="63"/>
      <c r="U2882" s="63"/>
      <c r="V2882" s="63"/>
      <c r="W2882" s="63"/>
      <c r="X2882" s="63"/>
      <c r="Y2882" s="63"/>
      <c r="Z2882" s="63"/>
      <c r="AA2882" s="63"/>
      <c r="AB2882" s="63"/>
      <c r="AC2882" s="63"/>
    </row>
    <row r="2883" spans="1:29" x14ac:dyDescent="0.25">
      <c r="A2883" s="108">
        <v>46104</v>
      </c>
      <c r="B2883" s="128">
        <v>117</v>
      </c>
      <c r="C2883" s="49" t="s">
        <v>19</v>
      </c>
      <c r="D2883" s="110" t="str">
        <f>IF(ISBLANK($B2883),"",IFERROR(VLOOKUP($B2883,ESTOQUE!$B$2:$D$97168,3,FALSE),"Produto não cadastrado"))</f>
        <v>LUVA PIGMENTADA</v>
      </c>
      <c r="E2883" s="99" t="str">
        <f>_xlfn.XLOOKUP(B2883,ESTOQUE!B:B,ESTOQUE!G:G,"",0)</f>
        <v>PAR</v>
      </c>
      <c r="F2883" s="99">
        <v>49</v>
      </c>
      <c r="G2883" s="146"/>
      <c r="H2883" s="146"/>
      <c r="I2883" s="147"/>
      <c r="J2883" s="147"/>
      <c r="K2883" s="63"/>
      <c r="L2883" s="63"/>
      <c r="M2883" s="63"/>
      <c r="N2883" s="63"/>
      <c r="O2883" s="63"/>
      <c r="P2883" s="63"/>
      <c r="Q2883" s="63"/>
      <c r="R2883" s="63"/>
      <c r="S2883" s="63"/>
      <c r="T2883" s="63"/>
      <c r="U2883" s="63"/>
      <c r="V2883" s="63"/>
      <c r="W2883" s="63"/>
      <c r="X2883" s="63"/>
      <c r="Y2883" s="63"/>
      <c r="Z2883" s="63"/>
      <c r="AA2883" s="63"/>
      <c r="AB2883" s="63"/>
      <c r="AC2883" s="63"/>
    </row>
    <row r="2884" spans="1:29" x14ac:dyDescent="0.25">
      <c r="A2884" s="108">
        <v>46104</v>
      </c>
      <c r="B2884" s="128">
        <v>267</v>
      </c>
      <c r="C2884" s="49" t="s">
        <v>19</v>
      </c>
      <c r="D2884" s="110" t="str">
        <f>IF(ISBLANK($B2884),"",IFERROR(VLOOKUP($B2884,ESTOQUE!$B$2:$D$97168,3,FALSE),"Produto não cadastrado"))</f>
        <v>LUVA POLIESTER ANTICORTE CANO LONGO</v>
      </c>
      <c r="E2884" s="99" t="str">
        <f>_xlfn.XLOOKUP(B2884,ESTOQUE!B:B,ESTOQUE!G:G,"",0)</f>
        <v>UND</v>
      </c>
      <c r="F2884" s="99">
        <v>36</v>
      </c>
      <c r="G2884" s="146"/>
      <c r="H2884" s="146"/>
      <c r="I2884" s="147"/>
      <c r="J2884" s="147"/>
      <c r="K2884" s="63"/>
      <c r="L2884" s="63"/>
      <c r="M2884" s="63"/>
      <c r="N2884" s="63"/>
      <c r="O2884" s="63"/>
      <c r="P2884" s="63"/>
      <c r="Q2884" s="63"/>
      <c r="R2884" s="63"/>
      <c r="S2884" s="63"/>
      <c r="T2884" s="63"/>
      <c r="U2884" s="63"/>
      <c r="V2884" s="63"/>
      <c r="W2884" s="63"/>
      <c r="X2884" s="63"/>
      <c r="Y2884" s="63"/>
      <c r="Z2884" s="63"/>
      <c r="AA2884" s="63"/>
      <c r="AB2884" s="63"/>
      <c r="AC2884" s="63"/>
    </row>
    <row r="2885" spans="1:29" x14ac:dyDescent="0.25">
      <c r="A2885" s="108">
        <v>46104</v>
      </c>
      <c r="B2885" s="128">
        <v>118</v>
      </c>
      <c r="C2885" s="49" t="s">
        <v>19</v>
      </c>
      <c r="D2885" s="110" t="str">
        <f>IF(ISBLANK($B2885),"",IFERROR(VLOOKUP($B2885,ESTOQUE!$B$2:$D$97168,3,FALSE),"Produto não cadastrado"))</f>
        <v>MACACÃO DE PROTEÇÃO TYVEK</v>
      </c>
      <c r="E2885" s="99" t="str">
        <f>_xlfn.XLOOKUP(B2885,ESTOQUE!B:B,ESTOQUE!G:G,"",0)</f>
        <v>UND</v>
      </c>
      <c r="F2885" s="99">
        <v>2</v>
      </c>
      <c r="G2885" s="146"/>
      <c r="H2885" s="146"/>
      <c r="I2885" s="147"/>
      <c r="J2885" s="147"/>
      <c r="K2885" s="63"/>
      <c r="L2885" s="63"/>
      <c r="M2885" s="63"/>
      <c r="N2885" s="63"/>
      <c r="O2885" s="63"/>
      <c r="P2885" s="63"/>
      <c r="Q2885" s="63"/>
      <c r="R2885" s="63"/>
      <c r="S2885" s="63"/>
      <c r="T2885" s="63"/>
      <c r="U2885" s="63"/>
      <c r="V2885" s="63"/>
      <c r="W2885" s="63"/>
      <c r="X2885" s="63"/>
      <c r="Y2885" s="63"/>
      <c r="Z2885" s="63"/>
      <c r="AA2885" s="63"/>
      <c r="AB2885" s="63"/>
      <c r="AC2885" s="63"/>
    </row>
    <row r="2886" spans="1:29" x14ac:dyDescent="0.25">
      <c r="A2886" s="108">
        <v>46104</v>
      </c>
      <c r="B2886" s="128">
        <v>144</v>
      </c>
      <c r="C2886" s="49" t="s">
        <v>19</v>
      </c>
      <c r="D2886" s="110" t="str">
        <f>IF(ISBLANK($B2886),"",IFERROR(VLOOKUP($B2886,ESTOQUE!$B$2:$D$97168,3,FALSE),"Produto não cadastrado"))</f>
        <v>MASCARA PFF2-S C/ FILTRO</v>
      </c>
      <c r="E2886" s="99" t="str">
        <f>_xlfn.XLOOKUP(B2886,ESTOQUE!B:B,ESTOQUE!G:G,"",0)</f>
        <v>UND</v>
      </c>
      <c r="F2886" s="99">
        <v>30</v>
      </c>
      <c r="G2886" s="146"/>
      <c r="H2886" s="146"/>
      <c r="I2886" s="147"/>
      <c r="J2886" s="147"/>
      <c r="K2886" s="63"/>
      <c r="L2886" s="63"/>
      <c r="M2886" s="63"/>
      <c r="N2886" s="63"/>
      <c r="O2886" s="63"/>
      <c r="P2886" s="63"/>
      <c r="Q2886" s="63"/>
      <c r="R2886" s="63"/>
      <c r="S2886" s="63"/>
      <c r="T2886" s="63"/>
      <c r="U2886" s="63"/>
      <c r="V2886" s="63"/>
      <c r="W2886" s="63"/>
      <c r="X2886" s="63"/>
      <c r="Y2886" s="63"/>
      <c r="Z2886" s="63"/>
      <c r="AA2886" s="63"/>
      <c r="AB2886" s="63"/>
      <c r="AC2886" s="63"/>
    </row>
    <row r="2887" spans="1:29" x14ac:dyDescent="0.25">
      <c r="A2887" s="108">
        <v>46104</v>
      </c>
      <c r="B2887" s="128">
        <v>124</v>
      </c>
      <c r="C2887" s="49" t="s">
        <v>19</v>
      </c>
      <c r="D2887" s="110" t="str">
        <f>IF(ISBLANK($B2887),"",IFERROR(VLOOKUP($B2887,ESTOQUE!$B$2:$D$97168,3,FALSE),"Produto não cadastrado"))</f>
        <v xml:space="preserve">OCULOS DE PROTEÇÃO INCOLOR </v>
      </c>
      <c r="E2887" s="99" t="str">
        <f>_xlfn.XLOOKUP(B2887,ESTOQUE!B:B,ESTOQUE!G:G,"",0)</f>
        <v>UND</v>
      </c>
      <c r="F2887" s="99">
        <v>25</v>
      </c>
      <c r="G2887" s="146"/>
      <c r="H2887" s="146"/>
      <c r="I2887" s="147"/>
      <c r="J2887" s="147"/>
      <c r="K2887" s="63"/>
      <c r="L2887" s="63"/>
      <c r="M2887" s="63"/>
      <c r="N2887" s="63"/>
      <c r="O2887" s="63"/>
      <c r="P2887" s="63"/>
      <c r="Q2887" s="63"/>
      <c r="R2887" s="63"/>
      <c r="S2887" s="63"/>
      <c r="T2887" s="63"/>
      <c r="U2887" s="63"/>
      <c r="V2887" s="63"/>
      <c r="W2887" s="63"/>
      <c r="X2887" s="63"/>
      <c r="Y2887" s="63"/>
      <c r="Z2887" s="63"/>
      <c r="AA2887" s="63"/>
      <c r="AB2887" s="63"/>
      <c r="AC2887" s="63"/>
    </row>
    <row r="2888" spans="1:29" x14ac:dyDescent="0.25">
      <c r="A2888" s="108">
        <v>46104</v>
      </c>
      <c r="B2888" s="128">
        <v>126</v>
      </c>
      <c r="C2888" s="49" t="s">
        <v>19</v>
      </c>
      <c r="D2888" s="110" t="str">
        <f>IF(ISBLANK($B2888),"",IFERROR(VLOOKUP($B2888,ESTOQUE!$B$2:$D$97168,3,FALSE),"Produto não cadastrado"))</f>
        <v>OCULOS DE PROTEÇÃO ESCURO</v>
      </c>
      <c r="E2888" s="99" t="str">
        <f>_xlfn.XLOOKUP(B2888,ESTOQUE!B:B,ESTOQUE!G:G,"",0)</f>
        <v>UND</v>
      </c>
      <c r="F2888" s="99">
        <v>1</v>
      </c>
      <c r="G2888" s="146"/>
      <c r="H2888" s="146"/>
      <c r="I2888" s="147"/>
      <c r="J2888" s="147"/>
      <c r="K2888" s="63"/>
      <c r="L2888" s="63"/>
      <c r="M2888" s="63"/>
      <c r="N2888" s="63"/>
      <c r="O2888" s="63"/>
      <c r="P2888" s="63"/>
      <c r="Q2888" s="63"/>
      <c r="R2888" s="63"/>
      <c r="S2888" s="63"/>
      <c r="T2888" s="63"/>
      <c r="U2888" s="63"/>
      <c r="V2888" s="63"/>
      <c r="W2888" s="63"/>
      <c r="X2888" s="63"/>
      <c r="Y2888" s="63"/>
      <c r="Z2888" s="63"/>
      <c r="AA2888" s="63"/>
      <c r="AB2888" s="63"/>
      <c r="AC2888" s="63"/>
    </row>
    <row r="2889" spans="1:29" x14ac:dyDescent="0.25">
      <c r="A2889" s="108">
        <v>46104</v>
      </c>
      <c r="B2889" s="128">
        <v>130</v>
      </c>
      <c r="C2889" s="49" t="s">
        <v>19</v>
      </c>
      <c r="D2889" s="110" t="str">
        <f>IF(ISBLANK($B2889),"",IFERROR(VLOOKUP($B2889,ESTOQUE!$B$2:$D$97168,3,FALSE),"Produto não cadastrado"))</f>
        <v>PROTETOR AUDITIVO TIPO CONCHA L-300</v>
      </c>
      <c r="E2889" s="99" t="str">
        <f>_xlfn.XLOOKUP(B2889,ESTOQUE!B:B,ESTOQUE!G:G,"",0)</f>
        <v>UND</v>
      </c>
      <c r="F2889" s="99">
        <v>2</v>
      </c>
      <c r="G2889" s="146"/>
      <c r="H2889" s="146"/>
      <c r="I2889" s="147"/>
      <c r="J2889" s="147"/>
      <c r="K2889" s="63"/>
      <c r="L2889" s="63"/>
      <c r="M2889" s="63"/>
      <c r="N2889" s="63"/>
      <c r="O2889" s="63"/>
      <c r="P2889" s="63"/>
      <c r="Q2889" s="63"/>
      <c r="R2889" s="63"/>
      <c r="S2889" s="63"/>
      <c r="T2889" s="63"/>
      <c r="U2889" s="63"/>
      <c r="V2889" s="63"/>
      <c r="W2889" s="63"/>
      <c r="X2889" s="63"/>
      <c r="Y2889" s="63"/>
      <c r="Z2889" s="63"/>
      <c r="AA2889" s="63"/>
      <c r="AB2889" s="63"/>
      <c r="AC2889" s="63"/>
    </row>
    <row r="2890" spans="1:29" x14ac:dyDescent="0.25">
      <c r="A2890" s="108">
        <v>46105</v>
      </c>
      <c r="B2890" s="128">
        <v>216</v>
      </c>
      <c r="C2890" s="49" t="s">
        <v>19</v>
      </c>
      <c r="D2890" s="110" t="str">
        <f>IF(ISBLANK($B2890),"",IFERROR(VLOOKUP($B2890,ESTOQUE!$B$2:$D$97168,3,FALSE),"Produto não cadastrado"))</f>
        <v>BOTINA SEGURANÇA METATARSO  39</v>
      </c>
      <c r="E2890" s="99" t="str">
        <f>_xlfn.XLOOKUP(B2890,ESTOQUE!B:B,ESTOQUE!G:G,"",0)</f>
        <v>PAR</v>
      </c>
      <c r="F2890" s="99">
        <v>1</v>
      </c>
      <c r="G2890" s="146"/>
      <c r="H2890" s="146"/>
      <c r="I2890" s="147"/>
      <c r="J2890" s="147"/>
      <c r="K2890" s="63"/>
      <c r="L2890" s="63"/>
      <c r="M2890" s="63"/>
      <c r="N2890" s="63"/>
      <c r="O2890" s="63"/>
      <c r="P2890" s="63"/>
      <c r="Q2890" s="63"/>
      <c r="R2890" s="63"/>
      <c r="S2890" s="63"/>
      <c r="T2890" s="63"/>
      <c r="U2890" s="63"/>
      <c r="V2890" s="63"/>
      <c r="W2890" s="63"/>
      <c r="X2890" s="63"/>
      <c r="Y2890" s="63"/>
      <c r="Z2890" s="63"/>
      <c r="AA2890" s="63"/>
      <c r="AB2890" s="63"/>
      <c r="AC2890" s="63"/>
    </row>
    <row r="2891" spans="1:29" x14ac:dyDescent="0.25">
      <c r="A2891" s="108">
        <v>46105</v>
      </c>
      <c r="B2891" s="128">
        <v>46</v>
      </c>
      <c r="C2891" s="49" t="s">
        <v>19</v>
      </c>
      <c r="D2891" s="110" t="str">
        <f>IF(ISBLANK($B2891),"",IFERROR(VLOOKUP($B2891,ESTOQUE!$B$2:$D$97168,3,FALSE),"Produto não cadastrado"))</f>
        <v>CALÇA CINZA OP. C/ FAIXA REFLETIVA TAM: G</v>
      </c>
      <c r="E2891" s="99" t="str">
        <f>_xlfn.XLOOKUP(B2891,ESTOQUE!B:B,ESTOQUE!G:G,"",0)</f>
        <v>UND</v>
      </c>
      <c r="F2891" s="99">
        <v>4</v>
      </c>
      <c r="G2891" s="146"/>
      <c r="H2891" s="146"/>
      <c r="I2891" s="147"/>
      <c r="J2891" s="147"/>
      <c r="K2891" s="63"/>
      <c r="L2891" s="63"/>
      <c r="M2891" s="63"/>
      <c r="N2891" s="63"/>
      <c r="O2891" s="63"/>
      <c r="P2891" s="63"/>
      <c r="Q2891" s="63"/>
      <c r="R2891" s="63"/>
      <c r="S2891" s="63"/>
      <c r="T2891" s="63"/>
      <c r="U2891" s="63"/>
      <c r="V2891" s="63"/>
      <c r="W2891" s="63"/>
      <c r="X2891" s="63"/>
      <c r="Y2891" s="63"/>
      <c r="Z2891" s="63"/>
      <c r="AA2891" s="63"/>
      <c r="AB2891" s="63"/>
      <c r="AC2891" s="63"/>
    </row>
    <row r="2892" spans="1:29" x14ac:dyDescent="0.25">
      <c r="A2892" s="108">
        <v>46105</v>
      </c>
      <c r="B2892" s="128">
        <v>47</v>
      </c>
      <c r="C2892" s="49" t="s">
        <v>19</v>
      </c>
      <c r="D2892" s="110" t="str">
        <f>IF(ISBLANK($B2892),"",IFERROR(VLOOKUP($B2892,ESTOQUE!$B$2:$D$97168,3,FALSE),"Produto não cadastrado"))</f>
        <v>CALÇA CINZA OP. C/ FAIXA REFLETIVA TAM: GG</v>
      </c>
      <c r="E2892" s="99" t="str">
        <f>_xlfn.XLOOKUP(B2892,ESTOQUE!B:B,ESTOQUE!G:G,"",0)</f>
        <v>UND</v>
      </c>
      <c r="F2892" s="99">
        <v>4</v>
      </c>
      <c r="G2892" s="146"/>
      <c r="H2892" s="146"/>
      <c r="I2892" s="147"/>
      <c r="J2892" s="147"/>
      <c r="K2892" s="63"/>
      <c r="L2892" s="63"/>
      <c r="M2892" s="63"/>
      <c r="N2892" s="63"/>
      <c r="O2892" s="63"/>
      <c r="P2892" s="63"/>
      <c r="Q2892" s="63"/>
      <c r="R2892" s="63"/>
      <c r="S2892" s="63"/>
      <c r="T2892" s="63"/>
      <c r="U2892" s="63"/>
      <c r="V2892" s="63"/>
      <c r="W2892" s="63"/>
      <c r="X2892" s="63"/>
      <c r="Y2892" s="63"/>
      <c r="Z2892" s="63"/>
      <c r="AA2892" s="63"/>
      <c r="AB2892" s="63"/>
      <c r="AC2892" s="63"/>
    </row>
    <row r="2893" spans="1:29" x14ac:dyDescent="0.25">
      <c r="A2893" s="108">
        <v>46105</v>
      </c>
      <c r="B2893" s="128">
        <v>48</v>
      </c>
      <c r="C2893" s="49" t="s">
        <v>19</v>
      </c>
      <c r="D2893" s="110" t="str">
        <f>IF(ISBLANK($B2893),"",IFERROR(VLOOKUP($B2893,ESTOQUE!$B$2:$D$97168,3,FALSE),"Produto não cadastrado"))</f>
        <v>CALÇA CINZA OP. C/ FAIXA REFLETIVA TAM: M</v>
      </c>
      <c r="E2893" s="99" t="str">
        <f>_xlfn.XLOOKUP(B2893,ESTOQUE!B:B,ESTOQUE!G:G,"",0)</f>
        <v>UND</v>
      </c>
      <c r="F2893" s="99">
        <v>5</v>
      </c>
      <c r="G2893" s="146"/>
      <c r="H2893" s="146"/>
      <c r="I2893" s="147"/>
      <c r="J2893" s="147"/>
      <c r="K2893" s="63"/>
      <c r="L2893" s="63"/>
      <c r="M2893" s="63"/>
      <c r="N2893" s="63"/>
      <c r="O2893" s="63"/>
      <c r="P2893" s="63"/>
      <c r="Q2893" s="63"/>
      <c r="R2893" s="63"/>
      <c r="S2893" s="63"/>
      <c r="T2893" s="63"/>
      <c r="U2893" s="63"/>
      <c r="V2893" s="63"/>
      <c r="W2893" s="63"/>
      <c r="X2893" s="63"/>
      <c r="Y2893" s="63"/>
      <c r="Z2893" s="63"/>
      <c r="AA2893" s="63"/>
      <c r="AB2893" s="63"/>
      <c r="AC2893" s="63"/>
    </row>
    <row r="2894" spans="1:29" x14ac:dyDescent="0.25">
      <c r="A2894" s="108">
        <v>46105</v>
      </c>
      <c r="B2894" s="128">
        <v>67</v>
      </c>
      <c r="C2894" s="49" t="s">
        <v>19</v>
      </c>
      <c r="D2894" s="110" t="str">
        <f>IF(ISBLANK($B2894),"",IFERROR(VLOOKUP($B2894,ESTOQUE!$B$2:$D$97168,3,FALSE),"Produto não cadastrado"))</f>
        <v>CAMISA LARANJA OP. C/ FAIXA REFLETIVA TAM: G</v>
      </c>
      <c r="E2894" s="99" t="str">
        <f>_xlfn.XLOOKUP(B2894,ESTOQUE!B:B,ESTOQUE!G:G,"",0)</f>
        <v>UND</v>
      </c>
      <c r="F2894" s="99">
        <v>5</v>
      </c>
      <c r="G2894" s="146"/>
      <c r="H2894" s="146"/>
      <c r="I2894" s="147"/>
      <c r="J2894" s="147"/>
      <c r="K2894" s="63"/>
      <c r="L2894" s="63"/>
      <c r="M2894" s="63"/>
      <c r="N2894" s="63"/>
      <c r="O2894" s="63"/>
      <c r="P2894" s="63"/>
      <c r="Q2894" s="63"/>
      <c r="R2894" s="63"/>
      <c r="S2894" s="63"/>
      <c r="T2894" s="63"/>
      <c r="U2894" s="63"/>
      <c r="V2894" s="63"/>
      <c r="W2894" s="63"/>
      <c r="X2894" s="63"/>
      <c r="Y2894" s="63"/>
      <c r="Z2894" s="63"/>
      <c r="AA2894" s="63"/>
      <c r="AB2894" s="63"/>
      <c r="AC2894" s="63"/>
    </row>
    <row r="2895" spans="1:29" x14ac:dyDescent="0.25">
      <c r="A2895" s="108">
        <v>46105</v>
      </c>
      <c r="B2895" s="128">
        <v>68</v>
      </c>
      <c r="C2895" s="49" t="s">
        <v>19</v>
      </c>
      <c r="D2895" s="110" t="str">
        <f>IF(ISBLANK($B2895),"",IFERROR(VLOOKUP($B2895,ESTOQUE!$B$2:$D$97168,3,FALSE),"Produto não cadastrado"))</f>
        <v>CAMISA LARANJA OP. C/ FAIXA REFLETIVA TAM: GG</v>
      </c>
      <c r="E2895" s="99" t="str">
        <f>_xlfn.XLOOKUP(B2895,ESTOQUE!B:B,ESTOQUE!G:G,"",0)</f>
        <v>UND</v>
      </c>
      <c r="F2895" s="99">
        <v>1</v>
      </c>
      <c r="G2895" s="146"/>
      <c r="H2895" s="146"/>
      <c r="I2895" s="147"/>
      <c r="J2895" s="147"/>
      <c r="K2895" s="63"/>
      <c r="L2895" s="63"/>
      <c r="M2895" s="63"/>
      <c r="N2895" s="63"/>
      <c r="O2895" s="63"/>
      <c r="P2895" s="63"/>
      <c r="Q2895" s="63"/>
      <c r="R2895" s="63"/>
      <c r="S2895" s="63"/>
      <c r="T2895" s="63"/>
      <c r="U2895" s="63"/>
      <c r="V2895" s="63"/>
      <c r="W2895" s="63"/>
      <c r="X2895" s="63"/>
      <c r="Y2895" s="63"/>
      <c r="Z2895" s="63"/>
      <c r="AA2895" s="63"/>
      <c r="AB2895" s="63"/>
      <c r="AC2895" s="63"/>
    </row>
    <row r="2896" spans="1:29" x14ac:dyDescent="0.25">
      <c r="A2896" s="108">
        <v>46105</v>
      </c>
      <c r="B2896" s="128">
        <v>69</v>
      </c>
      <c r="C2896" s="49" t="s">
        <v>19</v>
      </c>
      <c r="D2896" s="110" t="str">
        <f>IF(ISBLANK($B2896),"",IFERROR(VLOOKUP($B2896,ESTOQUE!$B$2:$D$97168,3,FALSE),"Produto não cadastrado"))</f>
        <v>CAMISA LARANJA OP. C/ FAIXA REFLETIVA TAM: M</v>
      </c>
      <c r="E2896" s="99" t="str">
        <f>_xlfn.XLOOKUP(B2896,ESTOQUE!B:B,ESTOQUE!G:G,"",0)</f>
        <v>UND</v>
      </c>
      <c r="F2896" s="99">
        <v>2</v>
      </c>
      <c r="G2896" s="146"/>
      <c r="H2896" s="146"/>
      <c r="I2896" s="147"/>
      <c r="J2896" s="147"/>
      <c r="K2896" s="63"/>
      <c r="L2896" s="63"/>
      <c r="M2896" s="63"/>
      <c r="N2896" s="63"/>
      <c r="O2896" s="63"/>
      <c r="P2896" s="63"/>
      <c r="Q2896" s="63"/>
      <c r="R2896" s="63"/>
      <c r="S2896" s="63"/>
      <c r="T2896" s="63"/>
      <c r="U2896" s="63"/>
      <c r="V2896" s="63"/>
      <c r="W2896" s="63"/>
      <c r="X2896" s="63"/>
      <c r="Y2896" s="63"/>
      <c r="Z2896" s="63"/>
      <c r="AA2896" s="63"/>
      <c r="AB2896" s="63"/>
      <c r="AC2896" s="63"/>
    </row>
    <row r="2897" spans="1:29" x14ac:dyDescent="0.25">
      <c r="A2897" s="108">
        <v>46105</v>
      </c>
      <c r="B2897" s="128">
        <v>70</v>
      </c>
      <c r="C2897" s="49" t="s">
        <v>19</v>
      </c>
      <c r="D2897" s="110" t="str">
        <f>IF(ISBLANK($B2897),"",IFERROR(VLOOKUP($B2897,ESTOQUE!$B$2:$D$97168,3,FALSE),"Produto não cadastrado"))</f>
        <v>CAMISA LARANJA OP. C/ FAIXA REFLETIVA TAM: P</v>
      </c>
      <c r="E2897" s="99" t="str">
        <f>_xlfn.XLOOKUP(B2897,ESTOQUE!B:B,ESTOQUE!G:G,"",0)</f>
        <v>UND</v>
      </c>
      <c r="F2897" s="99">
        <v>1</v>
      </c>
      <c r="G2897" s="146"/>
      <c r="H2897" s="146"/>
      <c r="I2897" s="147"/>
      <c r="J2897" s="147"/>
      <c r="K2897" s="63"/>
      <c r="L2897" s="63"/>
      <c r="M2897" s="63"/>
      <c r="N2897" s="63"/>
      <c r="O2897" s="63"/>
      <c r="P2897" s="63"/>
      <c r="Q2897" s="63"/>
      <c r="R2897" s="63"/>
      <c r="S2897" s="63"/>
      <c r="T2897" s="63"/>
      <c r="U2897" s="63"/>
      <c r="V2897" s="63"/>
      <c r="W2897" s="63"/>
      <c r="X2897" s="63"/>
      <c r="Y2897" s="63"/>
      <c r="Z2897" s="63"/>
      <c r="AA2897" s="63"/>
      <c r="AB2897" s="63"/>
      <c r="AC2897" s="63"/>
    </row>
    <row r="2898" spans="1:29" x14ac:dyDescent="0.25">
      <c r="A2898" s="108">
        <v>46105</v>
      </c>
      <c r="B2898" s="128">
        <v>84</v>
      </c>
      <c r="C2898" s="49" t="s">
        <v>19</v>
      </c>
      <c r="D2898" s="110" t="str">
        <f>IF(ISBLANK($B2898),"",IFERROR(VLOOKUP($B2898,ESTOQUE!$B$2:$D$97168,3,FALSE),"Produto não cadastrado"))</f>
        <v>CAPACETE LIBUS MARROM</v>
      </c>
      <c r="E2898" s="99" t="str">
        <f>_xlfn.XLOOKUP(B2898,ESTOQUE!B:B,ESTOQUE!G:G,"",0)</f>
        <v>UND</v>
      </c>
      <c r="F2898" s="99">
        <v>1</v>
      </c>
      <c r="G2898" s="146"/>
      <c r="H2898" s="146"/>
      <c r="I2898" s="147"/>
      <c r="J2898" s="147"/>
      <c r="K2898" s="63"/>
      <c r="L2898" s="63"/>
      <c r="M2898" s="63"/>
      <c r="N2898" s="63"/>
      <c r="O2898" s="63"/>
      <c r="P2898" s="63"/>
      <c r="Q2898" s="63"/>
      <c r="R2898" s="63"/>
      <c r="S2898" s="63"/>
      <c r="T2898" s="63"/>
      <c r="U2898" s="63"/>
      <c r="V2898" s="63"/>
      <c r="W2898" s="63"/>
      <c r="X2898" s="63"/>
      <c r="Y2898" s="63"/>
      <c r="Z2898" s="63"/>
      <c r="AA2898" s="63"/>
      <c r="AB2898" s="63"/>
      <c r="AC2898" s="63"/>
    </row>
    <row r="2899" spans="1:29" x14ac:dyDescent="0.25">
      <c r="A2899" s="108">
        <v>46105</v>
      </c>
      <c r="B2899" s="128">
        <v>93</v>
      </c>
      <c r="C2899" s="49" t="s">
        <v>19</v>
      </c>
      <c r="D2899" s="110" t="str">
        <f>IF(ISBLANK($B2899),"",IFERROR(VLOOKUP($B2899,ESTOQUE!$B$2:$D$97168,3,FALSE),"Produto não cadastrado"))</f>
        <v>CARNEIRA P/ CAPACETE C/ CATRACA GENESIS</v>
      </c>
      <c r="E2899" s="99" t="str">
        <f>_xlfn.XLOOKUP(B2899,ESTOQUE!B:B,ESTOQUE!G:G,"",0)</f>
        <v>UND</v>
      </c>
      <c r="F2899" s="99">
        <v>2</v>
      </c>
      <c r="G2899" s="146"/>
      <c r="H2899" s="146"/>
      <c r="I2899" s="147"/>
      <c r="J2899" s="147"/>
      <c r="K2899" s="63"/>
      <c r="L2899" s="63"/>
      <c r="M2899" s="63"/>
      <c r="N2899" s="63"/>
      <c r="O2899" s="63"/>
      <c r="P2899" s="63"/>
      <c r="Q2899" s="63"/>
      <c r="R2899" s="63"/>
      <c r="S2899" s="63"/>
      <c r="T2899" s="63"/>
      <c r="U2899" s="63"/>
      <c r="V2899" s="63"/>
      <c r="W2899" s="63"/>
      <c r="X2899" s="63"/>
      <c r="Y2899" s="63"/>
      <c r="Z2899" s="63"/>
      <c r="AA2899" s="63"/>
      <c r="AB2899" s="63"/>
      <c r="AC2899" s="63"/>
    </row>
    <row r="2900" spans="1:29" x14ac:dyDescent="0.25">
      <c r="A2900" s="108">
        <v>46105</v>
      </c>
      <c r="B2900" s="128">
        <v>161</v>
      </c>
      <c r="C2900" s="49" t="s">
        <v>19</v>
      </c>
      <c r="D2900" s="110" t="str">
        <f>IF(ISBLANK($B2900),"",IFERROR(VLOOKUP($B2900,ESTOQUE!$B$2:$D$97168,3,FALSE),"Produto não cadastrado"))</f>
        <v>JUGULAR</v>
      </c>
      <c r="E2900" s="99" t="str">
        <f>_xlfn.XLOOKUP(B2900,ESTOQUE!B:B,ESTOQUE!G:G,"",0)</f>
        <v>UND</v>
      </c>
      <c r="F2900" s="99">
        <v>1</v>
      </c>
      <c r="G2900" s="146"/>
      <c r="H2900" s="146"/>
      <c r="I2900" s="147"/>
      <c r="J2900" s="147"/>
      <c r="K2900" s="63"/>
      <c r="L2900" s="63"/>
      <c r="M2900" s="63"/>
      <c r="N2900" s="63"/>
      <c r="O2900" s="63"/>
      <c r="P2900" s="63"/>
      <c r="Q2900" s="63"/>
      <c r="R2900" s="63"/>
      <c r="S2900" s="63"/>
      <c r="T2900" s="63"/>
      <c r="U2900" s="63"/>
      <c r="V2900" s="63"/>
      <c r="W2900" s="63"/>
      <c r="X2900" s="63"/>
      <c r="Y2900" s="63"/>
      <c r="Z2900" s="63"/>
      <c r="AA2900" s="63"/>
      <c r="AB2900" s="63"/>
      <c r="AC2900" s="63"/>
    </row>
    <row r="2901" spans="1:29" x14ac:dyDescent="0.25">
      <c r="A2901" s="108">
        <v>46105</v>
      </c>
      <c r="B2901" s="128">
        <v>110</v>
      </c>
      <c r="C2901" s="49" t="s">
        <v>19</v>
      </c>
      <c r="D2901" s="110" t="str">
        <f>IF(ISBLANK($B2901),"",IFERROR(VLOOKUP($B2901,ESTOQUE!$B$2:$D$97168,3,FALSE),"Produto não cadastrado"))</f>
        <v>LUVA DE RASPA CANO LONGO</v>
      </c>
      <c r="E2901" s="99" t="str">
        <f>_xlfn.XLOOKUP(B2901,ESTOQUE!B:B,ESTOQUE!G:G,"",0)</f>
        <v>PAR</v>
      </c>
      <c r="F2901" s="99">
        <v>1</v>
      </c>
      <c r="G2901" s="146"/>
      <c r="H2901" s="146"/>
      <c r="I2901" s="147"/>
      <c r="J2901" s="147"/>
      <c r="K2901" s="63"/>
      <c r="L2901" s="63"/>
      <c r="M2901" s="63"/>
      <c r="N2901" s="63"/>
      <c r="O2901" s="63"/>
      <c r="P2901" s="63"/>
      <c r="Q2901" s="63"/>
      <c r="R2901" s="63"/>
      <c r="S2901" s="63"/>
      <c r="T2901" s="63"/>
      <c r="U2901" s="63"/>
      <c r="V2901" s="63"/>
      <c r="W2901" s="63"/>
      <c r="X2901" s="63"/>
      <c r="Y2901" s="63"/>
      <c r="Z2901" s="63"/>
      <c r="AA2901" s="63"/>
      <c r="AB2901" s="63"/>
      <c r="AC2901" s="63"/>
    </row>
    <row r="2902" spans="1:29" x14ac:dyDescent="0.25">
      <c r="A2902" s="108">
        <v>46105</v>
      </c>
      <c r="B2902" s="128">
        <v>117</v>
      </c>
      <c r="C2902" s="49" t="s">
        <v>19</v>
      </c>
      <c r="D2902" s="110" t="str">
        <f>IF(ISBLANK($B2902),"",IFERROR(VLOOKUP($B2902,ESTOQUE!$B$2:$D$97168,3,FALSE),"Produto não cadastrado"))</f>
        <v>LUVA PIGMENTADA</v>
      </c>
      <c r="E2902" s="99" t="str">
        <f>_xlfn.XLOOKUP(B2902,ESTOQUE!B:B,ESTOQUE!G:G,"",0)</f>
        <v>PAR</v>
      </c>
      <c r="F2902" s="99">
        <v>2</v>
      </c>
      <c r="G2902" s="146"/>
      <c r="H2902" s="146"/>
      <c r="I2902" s="147"/>
      <c r="J2902" s="147"/>
      <c r="K2902" s="63"/>
      <c r="L2902" s="63"/>
      <c r="M2902" s="63"/>
      <c r="N2902" s="63"/>
      <c r="O2902" s="63"/>
      <c r="P2902" s="63"/>
      <c r="Q2902" s="63"/>
      <c r="R2902" s="63"/>
      <c r="S2902" s="63"/>
      <c r="T2902" s="63"/>
      <c r="U2902" s="63"/>
      <c r="V2902" s="63"/>
      <c r="W2902" s="63"/>
      <c r="X2902" s="63"/>
      <c r="Y2902" s="63"/>
      <c r="Z2902" s="63"/>
      <c r="AA2902" s="63"/>
      <c r="AB2902" s="63"/>
      <c r="AC2902" s="63"/>
    </row>
    <row r="2903" spans="1:29" x14ac:dyDescent="0.25">
      <c r="A2903" s="108">
        <v>46105</v>
      </c>
      <c r="B2903" s="128">
        <v>267</v>
      </c>
      <c r="C2903" s="49" t="s">
        <v>19</v>
      </c>
      <c r="D2903" s="110" t="str">
        <f>IF(ISBLANK($B2903),"",IFERROR(VLOOKUP($B2903,ESTOQUE!$B$2:$D$97168,3,FALSE),"Produto não cadastrado"))</f>
        <v>LUVA POLIESTER ANTICORTE CANO LONGO</v>
      </c>
      <c r="E2903" s="99" t="str">
        <f>_xlfn.XLOOKUP(B2903,ESTOQUE!B:B,ESTOQUE!G:G,"",0)</f>
        <v>UND</v>
      </c>
      <c r="F2903" s="99">
        <v>1</v>
      </c>
      <c r="G2903" s="146"/>
      <c r="H2903" s="146"/>
      <c r="I2903" s="147"/>
      <c r="J2903" s="147"/>
      <c r="K2903" s="63"/>
      <c r="L2903" s="63"/>
      <c r="M2903" s="63"/>
      <c r="N2903" s="63"/>
      <c r="O2903" s="63"/>
      <c r="P2903" s="63"/>
      <c r="Q2903" s="63"/>
      <c r="R2903" s="63"/>
      <c r="S2903" s="63"/>
      <c r="T2903" s="63"/>
      <c r="U2903" s="63"/>
      <c r="V2903" s="63"/>
      <c r="W2903" s="63"/>
      <c r="X2903" s="63"/>
      <c r="Y2903" s="63"/>
      <c r="Z2903" s="63"/>
      <c r="AA2903" s="63"/>
      <c r="AB2903" s="63"/>
      <c r="AC2903" s="63"/>
    </row>
    <row r="2904" spans="1:29" x14ac:dyDescent="0.25">
      <c r="A2904" s="108">
        <v>46105</v>
      </c>
      <c r="B2904" s="128">
        <v>118</v>
      </c>
      <c r="C2904" s="49" t="s">
        <v>19</v>
      </c>
      <c r="D2904" s="110" t="str">
        <f>IF(ISBLANK($B2904),"",IFERROR(VLOOKUP($B2904,ESTOQUE!$B$2:$D$97168,3,FALSE),"Produto não cadastrado"))</f>
        <v>MACACÃO DE PROTEÇÃO TYVEK</v>
      </c>
      <c r="E2904" s="99" t="str">
        <f>_xlfn.XLOOKUP(B2904,ESTOQUE!B:B,ESTOQUE!G:G,"",0)</f>
        <v>UND</v>
      </c>
      <c r="F2904" s="99">
        <v>32</v>
      </c>
      <c r="G2904" s="146"/>
      <c r="H2904" s="146"/>
      <c r="I2904" s="147"/>
      <c r="J2904" s="147"/>
      <c r="K2904" s="63"/>
      <c r="L2904" s="63"/>
      <c r="M2904" s="63"/>
      <c r="N2904" s="63"/>
      <c r="O2904" s="63"/>
      <c r="P2904" s="63"/>
      <c r="Q2904" s="63"/>
      <c r="R2904" s="63"/>
      <c r="S2904" s="63"/>
      <c r="T2904" s="63"/>
      <c r="U2904" s="63"/>
      <c r="V2904" s="63"/>
      <c r="W2904" s="63"/>
      <c r="X2904" s="63"/>
      <c r="Y2904" s="63"/>
      <c r="Z2904" s="63"/>
      <c r="AA2904" s="63"/>
      <c r="AB2904" s="63"/>
      <c r="AC2904" s="63"/>
    </row>
    <row r="2905" spans="1:29" x14ac:dyDescent="0.25">
      <c r="A2905" s="108">
        <v>46105</v>
      </c>
      <c r="B2905" s="128">
        <v>144</v>
      </c>
      <c r="C2905" s="49" t="s">
        <v>19</v>
      </c>
      <c r="D2905" s="110" t="str">
        <f>IF(ISBLANK($B2905),"",IFERROR(VLOOKUP($B2905,ESTOQUE!$B$2:$D$97168,3,FALSE),"Produto não cadastrado"))</f>
        <v>MASCARA PFF2-S C/ FILTRO</v>
      </c>
      <c r="E2905" s="99" t="str">
        <f>_xlfn.XLOOKUP(B2905,ESTOQUE!B:B,ESTOQUE!G:G,"",0)</f>
        <v>UND</v>
      </c>
      <c r="F2905" s="99">
        <v>10</v>
      </c>
      <c r="G2905" s="146"/>
      <c r="H2905" s="146"/>
      <c r="I2905" s="147"/>
      <c r="J2905" s="147"/>
      <c r="K2905" s="63"/>
      <c r="L2905" s="63"/>
      <c r="M2905" s="63"/>
      <c r="N2905" s="63"/>
      <c r="O2905" s="63"/>
      <c r="P2905" s="63"/>
      <c r="Q2905" s="63"/>
      <c r="R2905" s="63"/>
      <c r="S2905" s="63"/>
      <c r="T2905" s="63"/>
      <c r="U2905" s="63"/>
      <c r="V2905" s="63"/>
      <c r="W2905" s="63"/>
      <c r="X2905" s="63"/>
      <c r="Y2905" s="63"/>
      <c r="Z2905" s="63"/>
      <c r="AA2905" s="63"/>
      <c r="AB2905" s="63"/>
      <c r="AC2905" s="63"/>
    </row>
    <row r="2906" spans="1:29" x14ac:dyDescent="0.25">
      <c r="A2906" s="108">
        <v>46105</v>
      </c>
      <c r="B2906" s="128">
        <v>126</v>
      </c>
      <c r="C2906" s="49" t="s">
        <v>19</v>
      </c>
      <c r="D2906" s="110" t="str">
        <f>IF(ISBLANK($B2906),"",IFERROR(VLOOKUP($B2906,ESTOQUE!$B$2:$D$97168,3,FALSE),"Produto não cadastrado"))</f>
        <v>OCULOS DE PROTEÇÃO ESCURO</v>
      </c>
      <c r="E2906" s="99" t="str">
        <f>_xlfn.XLOOKUP(B2906,ESTOQUE!B:B,ESTOQUE!G:G,"",0)</f>
        <v>UND</v>
      </c>
      <c r="F2906" s="99">
        <v>3</v>
      </c>
      <c r="G2906" s="146"/>
      <c r="H2906" s="146"/>
      <c r="I2906" s="147"/>
      <c r="J2906" s="147"/>
      <c r="K2906" s="63"/>
      <c r="L2906" s="63"/>
      <c r="M2906" s="63"/>
      <c r="N2906" s="63"/>
      <c r="O2906" s="63"/>
      <c r="P2906" s="63"/>
      <c r="Q2906" s="63"/>
      <c r="R2906" s="63"/>
      <c r="S2906" s="63"/>
      <c r="T2906" s="63"/>
      <c r="U2906" s="63"/>
      <c r="V2906" s="63"/>
      <c r="W2906" s="63"/>
      <c r="X2906" s="63"/>
      <c r="Y2906" s="63"/>
      <c r="Z2906" s="63"/>
      <c r="AA2906" s="63"/>
      <c r="AB2906" s="63"/>
      <c r="AC2906" s="63"/>
    </row>
    <row r="2907" spans="1:29" x14ac:dyDescent="0.25">
      <c r="A2907" s="108">
        <v>46105</v>
      </c>
      <c r="B2907" s="128">
        <v>73</v>
      </c>
      <c r="C2907" s="49" t="s">
        <v>19</v>
      </c>
      <c r="D2907" s="110" t="str">
        <f>IF(ISBLANK($B2907),"",IFERROR(VLOOKUP($B2907,ESTOQUE!$B$2:$D$97168,3,FALSE),"Produto não cadastrado"))</f>
        <v>CAPA DE CHUVA GG</v>
      </c>
      <c r="E2907" s="99" t="str">
        <f>_xlfn.XLOOKUP(B2907,ESTOQUE!B:B,ESTOQUE!G:G,"",0)</f>
        <v>UND</v>
      </c>
      <c r="F2907" s="99">
        <v>1</v>
      </c>
      <c r="G2907" s="146"/>
      <c r="H2907" s="146"/>
      <c r="I2907" s="147"/>
      <c r="J2907" s="147"/>
      <c r="K2907" s="63"/>
      <c r="L2907" s="63"/>
      <c r="M2907" s="63"/>
      <c r="N2907" s="63"/>
      <c r="O2907" s="63"/>
      <c r="P2907" s="63"/>
      <c r="Q2907" s="63"/>
      <c r="R2907" s="63"/>
      <c r="S2907" s="63"/>
      <c r="T2907" s="63"/>
      <c r="U2907" s="63"/>
      <c r="V2907" s="63"/>
      <c r="W2907" s="63"/>
      <c r="X2907" s="63"/>
      <c r="Y2907" s="63"/>
      <c r="Z2907" s="63"/>
      <c r="AA2907" s="63"/>
      <c r="AB2907" s="63"/>
      <c r="AC2907" s="63"/>
    </row>
    <row r="2908" spans="1:29" x14ac:dyDescent="0.25">
      <c r="A2908" s="108">
        <v>46105</v>
      </c>
      <c r="B2908" s="128">
        <v>124</v>
      </c>
      <c r="C2908" s="49" t="s">
        <v>19</v>
      </c>
      <c r="D2908" s="110" t="str">
        <f>IF(ISBLANK($B2908),"",IFERROR(VLOOKUP($B2908,ESTOQUE!$B$2:$D$97168,3,FALSE),"Produto não cadastrado"))</f>
        <v xml:space="preserve">OCULOS DE PROTEÇÃO INCOLOR </v>
      </c>
      <c r="E2908" s="99" t="str">
        <f>_xlfn.XLOOKUP(B2908,ESTOQUE!B:B,ESTOQUE!G:G,"",0)</f>
        <v>UND</v>
      </c>
      <c r="F2908" s="99">
        <v>5</v>
      </c>
      <c r="G2908" s="146"/>
      <c r="H2908" s="146"/>
      <c r="I2908" s="147"/>
      <c r="J2908" s="147"/>
      <c r="K2908" s="63"/>
      <c r="L2908" s="63"/>
      <c r="M2908" s="63"/>
      <c r="N2908" s="63"/>
      <c r="O2908" s="63"/>
      <c r="P2908" s="63"/>
      <c r="Q2908" s="63"/>
      <c r="R2908" s="63"/>
      <c r="S2908" s="63"/>
      <c r="T2908" s="63"/>
      <c r="U2908" s="63"/>
      <c r="V2908" s="63"/>
      <c r="W2908" s="63"/>
      <c r="X2908" s="63"/>
      <c r="Y2908" s="63"/>
      <c r="Z2908" s="63"/>
      <c r="AA2908" s="63"/>
      <c r="AB2908" s="63"/>
      <c r="AC2908" s="63"/>
    </row>
    <row r="2909" spans="1:29" x14ac:dyDescent="0.25">
      <c r="A2909" s="108">
        <v>46105</v>
      </c>
      <c r="B2909" s="128">
        <v>224</v>
      </c>
      <c r="C2909" s="49" t="s">
        <v>19</v>
      </c>
      <c r="D2909" s="110" t="str">
        <f>IF(ISBLANK($B2909),"",IFERROR(VLOOKUP($B2909,ESTOQUE!$B$2:$D$97168,3,FALSE),"Produto não cadastrado"))</f>
        <v>OCULOS OPERACIONAL SOBRE POR ESCURO</v>
      </c>
      <c r="E2909" s="99" t="str">
        <f>_xlfn.XLOOKUP(B2909,ESTOQUE!B:B,ESTOQUE!G:G,"",0)</f>
        <v>UND</v>
      </c>
      <c r="F2909" s="99">
        <v>2</v>
      </c>
      <c r="G2909" s="146"/>
      <c r="H2909" s="146"/>
      <c r="I2909" s="147"/>
      <c r="J2909" s="147"/>
      <c r="K2909" s="63"/>
      <c r="L2909" s="63"/>
      <c r="M2909" s="63"/>
      <c r="N2909" s="63"/>
      <c r="O2909" s="63"/>
      <c r="P2909" s="63"/>
      <c r="Q2909" s="63"/>
      <c r="R2909" s="63"/>
      <c r="S2909" s="63"/>
      <c r="T2909" s="63"/>
      <c r="U2909" s="63"/>
      <c r="V2909" s="63"/>
      <c r="W2909" s="63"/>
      <c r="X2909" s="63"/>
      <c r="Y2909" s="63"/>
      <c r="Z2909" s="63"/>
      <c r="AA2909" s="63"/>
      <c r="AB2909" s="63"/>
      <c r="AC2909" s="63"/>
    </row>
    <row r="2910" spans="1:29" x14ac:dyDescent="0.25">
      <c r="A2910" s="108">
        <v>46105</v>
      </c>
      <c r="B2910" s="128">
        <v>225</v>
      </c>
      <c r="C2910" s="49" t="s">
        <v>19</v>
      </c>
      <c r="D2910" s="110" t="str">
        <f>IF(ISBLANK($B2910),"",IFERROR(VLOOKUP($B2910,ESTOQUE!$B$2:$D$97168,3,FALSE),"Produto não cadastrado"))</f>
        <v>OCULOS OPERACIONAL SOBRE POR INCOLOR</v>
      </c>
      <c r="E2910" s="99" t="str">
        <f>_xlfn.XLOOKUP(B2910,ESTOQUE!B:B,ESTOQUE!G:G,"",0)</f>
        <v>UND</v>
      </c>
      <c r="F2910" s="99">
        <v>2</v>
      </c>
      <c r="G2910" s="146"/>
      <c r="H2910" s="146"/>
      <c r="I2910" s="147"/>
      <c r="J2910" s="147"/>
      <c r="K2910" s="63"/>
      <c r="L2910" s="63"/>
      <c r="M2910" s="63"/>
      <c r="N2910" s="63"/>
      <c r="O2910" s="63"/>
      <c r="P2910" s="63"/>
      <c r="Q2910" s="63"/>
      <c r="R2910" s="63"/>
      <c r="S2910" s="63"/>
      <c r="T2910" s="63"/>
      <c r="U2910" s="63"/>
      <c r="V2910" s="63"/>
      <c r="W2910" s="63"/>
      <c r="X2910" s="63"/>
      <c r="Y2910" s="63"/>
      <c r="Z2910" s="63"/>
      <c r="AA2910" s="63"/>
      <c r="AB2910" s="63"/>
      <c r="AC2910" s="63"/>
    </row>
    <row r="2911" spans="1:29" x14ac:dyDescent="0.25">
      <c r="A2911" s="108">
        <v>46105</v>
      </c>
      <c r="B2911" s="128">
        <v>191</v>
      </c>
      <c r="C2911" s="49" t="s">
        <v>19</v>
      </c>
      <c r="D2911" s="110" t="str">
        <f>IF(ISBLANK($B2911),"",IFERROR(VLOOKUP($B2911,ESTOQUE!$B$2:$D$97168,3,FALSE),"Produto não cadastrado"))</f>
        <v>PROTETOR AUDITIVO TIPO CONCHA</v>
      </c>
      <c r="E2911" s="99" t="str">
        <f>_xlfn.XLOOKUP(B2911,ESTOQUE!B:B,ESTOQUE!G:G,"",0)</f>
        <v>UND</v>
      </c>
      <c r="F2911" s="99">
        <v>2</v>
      </c>
      <c r="G2911" s="146"/>
      <c r="H2911" s="146"/>
      <c r="I2911" s="147"/>
      <c r="J2911" s="147"/>
      <c r="K2911" s="63"/>
      <c r="L2911" s="63"/>
      <c r="M2911" s="63"/>
      <c r="N2911" s="63"/>
      <c r="O2911" s="63"/>
      <c r="P2911" s="63"/>
      <c r="Q2911" s="63"/>
      <c r="R2911" s="63"/>
      <c r="S2911" s="63"/>
      <c r="T2911" s="63"/>
      <c r="U2911" s="63"/>
      <c r="V2911" s="63"/>
      <c r="W2911" s="63"/>
      <c r="X2911" s="63"/>
      <c r="Y2911" s="63"/>
      <c r="Z2911" s="63"/>
      <c r="AA2911" s="63"/>
      <c r="AB2911" s="63"/>
      <c r="AC2911" s="63"/>
    </row>
    <row r="2912" spans="1:29" x14ac:dyDescent="0.25">
      <c r="A2912" s="108">
        <v>46106</v>
      </c>
      <c r="B2912" s="128">
        <v>171</v>
      </c>
      <c r="C2912" s="49" t="s">
        <v>19</v>
      </c>
      <c r="D2912" s="110" t="str">
        <f>IF(ISBLANK($B2912),"",IFERROR(VLOOKUP($B2912,ESTOQUE!$B$2:$D$97168,3,FALSE),"Produto não cadastrado"))</f>
        <v>BOTA PVC CANO CURTO Nº 40</v>
      </c>
      <c r="E2912" s="99" t="str">
        <f>_xlfn.XLOOKUP(B2912,ESTOQUE!B:B,ESTOQUE!G:G,"",0)</f>
        <v>PAR</v>
      </c>
      <c r="F2912" s="99">
        <v>2</v>
      </c>
      <c r="G2912" s="146"/>
      <c r="H2912" s="146"/>
      <c r="I2912" s="147"/>
      <c r="J2912" s="147"/>
      <c r="K2912" s="63"/>
      <c r="L2912" s="63"/>
      <c r="M2912" s="63"/>
      <c r="N2912" s="63"/>
      <c r="O2912" s="63"/>
      <c r="P2912" s="63"/>
      <c r="Q2912" s="63"/>
      <c r="R2912" s="63"/>
      <c r="S2912" s="63"/>
      <c r="T2912" s="63"/>
      <c r="U2912" s="63"/>
      <c r="V2912" s="63"/>
      <c r="W2912" s="63"/>
      <c r="X2912" s="63"/>
      <c r="Y2912" s="63"/>
      <c r="Z2912" s="63"/>
      <c r="AA2912" s="63"/>
      <c r="AB2912" s="63"/>
      <c r="AC2912" s="63"/>
    </row>
    <row r="2913" spans="1:29" x14ac:dyDescent="0.25">
      <c r="A2913" s="108">
        <v>46106</v>
      </c>
      <c r="B2913" s="128">
        <v>173</v>
      </c>
      <c r="C2913" s="49" t="s">
        <v>19</v>
      </c>
      <c r="D2913" s="110" t="str">
        <f>IF(ISBLANK($B2913),"",IFERROR(VLOOKUP($B2913,ESTOQUE!$B$2:$D$97168,3,FALSE),"Produto não cadastrado"))</f>
        <v>BOTA PVC CANO CURTO Nº 42</v>
      </c>
      <c r="E2913" s="99" t="str">
        <f>_xlfn.XLOOKUP(B2913,ESTOQUE!B:B,ESTOQUE!G:G,"",0)</f>
        <v>PAR</v>
      </c>
      <c r="F2913" s="99">
        <v>1</v>
      </c>
      <c r="G2913" s="146"/>
      <c r="H2913" s="146"/>
      <c r="I2913" s="147"/>
      <c r="J2913" s="147"/>
      <c r="K2913" s="63"/>
      <c r="L2913" s="63"/>
      <c r="M2913" s="63"/>
      <c r="N2913" s="63"/>
      <c r="O2913" s="63"/>
      <c r="P2913" s="63"/>
      <c r="Q2913" s="63"/>
      <c r="R2913" s="63"/>
      <c r="S2913" s="63"/>
      <c r="T2913" s="63"/>
      <c r="U2913" s="63"/>
      <c r="V2913" s="63"/>
      <c r="W2913" s="63"/>
      <c r="X2913" s="63"/>
      <c r="Y2913" s="63"/>
      <c r="Z2913" s="63"/>
      <c r="AA2913" s="63"/>
      <c r="AB2913" s="63"/>
      <c r="AC2913" s="63"/>
    </row>
    <row r="2914" spans="1:29" x14ac:dyDescent="0.25">
      <c r="A2914" s="108">
        <v>46106</v>
      </c>
      <c r="B2914" s="128">
        <v>19</v>
      </c>
      <c r="C2914" s="49" t="s">
        <v>19</v>
      </c>
      <c r="D2914" s="110" t="str">
        <f>IF(ISBLANK($B2914),"",IFERROR(VLOOKUP($B2914,ESTOQUE!$B$2:$D$97168,3,FALSE),"Produto não cadastrado"))</f>
        <v>BOTA PVC CANO MEDIO Nº 40</v>
      </c>
      <c r="E2914" s="99" t="str">
        <f>_xlfn.XLOOKUP(B2914,ESTOQUE!B:B,ESTOQUE!G:G,"",0)</f>
        <v>PAR</v>
      </c>
      <c r="F2914" s="99">
        <v>1</v>
      </c>
      <c r="G2914" s="146"/>
      <c r="H2914" s="146"/>
      <c r="I2914" s="147"/>
      <c r="J2914" s="147"/>
      <c r="K2914" s="63"/>
      <c r="L2914" s="63"/>
      <c r="M2914" s="63"/>
      <c r="N2914" s="63"/>
      <c r="O2914" s="63"/>
      <c r="P2914" s="63"/>
      <c r="Q2914" s="63"/>
      <c r="R2914" s="63"/>
      <c r="S2914" s="63"/>
      <c r="T2914" s="63"/>
      <c r="U2914" s="63"/>
      <c r="V2914" s="63"/>
      <c r="W2914" s="63"/>
      <c r="X2914" s="63"/>
      <c r="Y2914" s="63"/>
      <c r="Z2914" s="63"/>
      <c r="AA2914" s="63"/>
      <c r="AB2914" s="63"/>
      <c r="AC2914" s="63"/>
    </row>
    <row r="2915" spans="1:29" x14ac:dyDescent="0.25">
      <c r="A2915" s="108">
        <v>46106</v>
      </c>
      <c r="B2915" s="128">
        <v>40</v>
      </c>
      <c r="C2915" s="49" t="s">
        <v>19</v>
      </c>
      <c r="D2915" s="110" t="str">
        <f>IF(ISBLANK($B2915),"",IFERROR(VLOOKUP($B2915,ESTOQUE!$B$2:$D$97168,3,FALSE),"Produto não cadastrado"))</f>
        <v>BOTINA OP. BICO PVC Nº 42</v>
      </c>
      <c r="E2915" s="99" t="str">
        <f>_xlfn.XLOOKUP(B2915,ESTOQUE!B:B,ESTOQUE!G:G,"",0)</f>
        <v>PAR</v>
      </c>
      <c r="F2915" s="99">
        <v>1</v>
      </c>
      <c r="G2915" s="146"/>
      <c r="H2915" s="146"/>
      <c r="I2915" s="147"/>
      <c r="J2915" s="147"/>
      <c r="K2915" s="63"/>
      <c r="L2915" s="63"/>
      <c r="M2915" s="63"/>
      <c r="N2915" s="63"/>
      <c r="O2915" s="63"/>
      <c r="P2915" s="63"/>
      <c r="Q2915" s="63"/>
      <c r="R2915" s="63"/>
      <c r="S2915" s="63"/>
      <c r="T2915" s="63"/>
      <c r="U2915" s="63"/>
      <c r="V2915" s="63"/>
      <c r="W2915" s="63"/>
      <c r="X2915" s="63"/>
      <c r="Y2915" s="63"/>
      <c r="Z2915" s="63"/>
      <c r="AA2915" s="63"/>
      <c r="AB2915" s="63"/>
      <c r="AC2915" s="63"/>
    </row>
    <row r="2916" spans="1:29" x14ac:dyDescent="0.25">
      <c r="A2916" s="108">
        <v>46106</v>
      </c>
      <c r="B2916" s="128">
        <v>46</v>
      </c>
      <c r="C2916" s="49" t="s">
        <v>19</v>
      </c>
      <c r="D2916" s="110" t="str">
        <f>IF(ISBLANK($B2916),"",IFERROR(VLOOKUP($B2916,ESTOQUE!$B$2:$D$97168,3,FALSE),"Produto não cadastrado"))</f>
        <v>CALÇA CINZA OP. C/ FAIXA REFLETIVA TAM: G</v>
      </c>
      <c r="E2916" s="99" t="str">
        <f>_xlfn.XLOOKUP(B2916,ESTOQUE!B:B,ESTOQUE!G:G,"",0)</f>
        <v>UND</v>
      </c>
      <c r="F2916" s="99">
        <v>3</v>
      </c>
      <c r="G2916" s="146"/>
      <c r="H2916" s="146"/>
      <c r="I2916" s="147"/>
      <c r="J2916" s="147"/>
      <c r="K2916" s="63"/>
      <c r="L2916" s="63"/>
      <c r="M2916" s="63"/>
      <c r="N2916" s="63"/>
      <c r="O2916" s="63"/>
      <c r="P2916" s="63"/>
      <c r="Q2916" s="63"/>
      <c r="R2916" s="63"/>
      <c r="S2916" s="63"/>
      <c r="T2916" s="63"/>
      <c r="U2916" s="63"/>
      <c r="V2916" s="63"/>
      <c r="W2916" s="63"/>
      <c r="X2916" s="63"/>
      <c r="Y2916" s="63"/>
      <c r="Z2916" s="63"/>
      <c r="AA2916" s="63"/>
      <c r="AB2916" s="63"/>
      <c r="AC2916" s="63"/>
    </row>
    <row r="2917" spans="1:29" x14ac:dyDescent="0.25">
      <c r="A2917" s="108">
        <v>46106</v>
      </c>
      <c r="B2917" s="128">
        <v>48</v>
      </c>
      <c r="C2917" s="49" t="s">
        <v>19</v>
      </c>
      <c r="D2917" s="110" t="str">
        <f>IF(ISBLANK($B2917),"",IFERROR(VLOOKUP($B2917,ESTOQUE!$B$2:$D$97168,3,FALSE),"Produto não cadastrado"))</f>
        <v>CALÇA CINZA OP. C/ FAIXA REFLETIVA TAM: M</v>
      </c>
      <c r="E2917" s="99" t="str">
        <f>_xlfn.XLOOKUP(B2917,ESTOQUE!B:B,ESTOQUE!G:G,"",0)</f>
        <v>UND</v>
      </c>
      <c r="F2917" s="99">
        <v>5</v>
      </c>
      <c r="G2917" s="146"/>
      <c r="H2917" s="146"/>
      <c r="I2917" s="147"/>
      <c r="J2917" s="147"/>
      <c r="K2917" s="63"/>
      <c r="L2917" s="63"/>
      <c r="M2917" s="63"/>
      <c r="N2917" s="63"/>
      <c r="O2917" s="63"/>
      <c r="P2917" s="63"/>
      <c r="Q2917" s="63"/>
      <c r="R2917" s="63"/>
      <c r="S2917" s="63"/>
      <c r="T2917" s="63"/>
      <c r="U2917" s="63"/>
      <c r="V2917" s="63"/>
      <c r="W2917" s="63"/>
      <c r="X2917" s="63"/>
      <c r="Y2917" s="63"/>
      <c r="Z2917" s="63"/>
      <c r="AA2917" s="63"/>
      <c r="AB2917" s="63"/>
      <c r="AC2917" s="63"/>
    </row>
    <row r="2918" spans="1:29" x14ac:dyDescent="0.25">
      <c r="A2918" s="108">
        <v>46106</v>
      </c>
      <c r="B2918" s="128">
        <v>67</v>
      </c>
      <c r="C2918" s="49" t="s">
        <v>19</v>
      </c>
      <c r="D2918" s="110" t="str">
        <f>IF(ISBLANK($B2918),"",IFERROR(VLOOKUP($B2918,ESTOQUE!$B$2:$D$97168,3,FALSE),"Produto não cadastrado"))</f>
        <v>CAMISA LARANJA OP. C/ FAIXA REFLETIVA TAM: G</v>
      </c>
      <c r="E2918" s="99" t="str">
        <f>_xlfn.XLOOKUP(B2918,ESTOQUE!B:B,ESTOQUE!G:G,"",0)</f>
        <v>UND</v>
      </c>
      <c r="F2918" s="99">
        <v>3</v>
      </c>
      <c r="G2918" s="146"/>
      <c r="H2918" s="146"/>
      <c r="I2918" s="147"/>
      <c r="J2918" s="147"/>
      <c r="K2918" s="63"/>
      <c r="L2918" s="63"/>
      <c r="M2918" s="63"/>
      <c r="N2918" s="63"/>
      <c r="O2918" s="63"/>
      <c r="P2918" s="63"/>
      <c r="Q2918" s="63"/>
      <c r="R2918" s="63"/>
      <c r="S2918" s="63"/>
      <c r="T2918" s="63"/>
      <c r="U2918" s="63"/>
      <c r="V2918" s="63"/>
      <c r="W2918" s="63"/>
      <c r="X2918" s="63"/>
      <c r="Y2918" s="63"/>
      <c r="Z2918" s="63"/>
      <c r="AA2918" s="63"/>
      <c r="AB2918" s="63"/>
      <c r="AC2918" s="63"/>
    </row>
    <row r="2919" spans="1:29" x14ac:dyDescent="0.25">
      <c r="A2919" s="108">
        <v>46106</v>
      </c>
      <c r="B2919" s="128">
        <v>68</v>
      </c>
      <c r="C2919" s="49" t="s">
        <v>19</v>
      </c>
      <c r="D2919" s="110" t="str">
        <f>IF(ISBLANK($B2919),"",IFERROR(VLOOKUP($B2919,ESTOQUE!$B$2:$D$97168,3,FALSE),"Produto não cadastrado"))</f>
        <v>CAMISA LARANJA OP. C/ FAIXA REFLETIVA TAM: GG</v>
      </c>
      <c r="E2919" s="99" t="str">
        <f>_xlfn.XLOOKUP(B2919,ESTOQUE!B:B,ESTOQUE!G:G,"",0)</f>
        <v>UND</v>
      </c>
      <c r="F2919" s="99">
        <v>2</v>
      </c>
      <c r="G2919" s="146"/>
      <c r="H2919" s="146"/>
      <c r="I2919" s="147"/>
      <c r="J2919" s="147"/>
      <c r="K2919" s="63"/>
      <c r="L2919" s="63"/>
      <c r="M2919" s="63"/>
      <c r="N2919" s="63"/>
      <c r="O2919" s="63"/>
      <c r="P2919" s="63"/>
      <c r="Q2919" s="63"/>
      <c r="R2919" s="63"/>
      <c r="S2919" s="63"/>
      <c r="T2919" s="63"/>
      <c r="U2919" s="63"/>
      <c r="V2919" s="63"/>
      <c r="W2919" s="63"/>
      <c r="X2919" s="63"/>
      <c r="Y2919" s="63"/>
      <c r="Z2919" s="63"/>
      <c r="AA2919" s="63"/>
      <c r="AB2919" s="63"/>
      <c r="AC2919" s="63"/>
    </row>
    <row r="2920" spans="1:29" x14ac:dyDescent="0.25">
      <c r="A2920" s="108">
        <v>46106</v>
      </c>
      <c r="B2920" s="128">
        <v>69</v>
      </c>
      <c r="C2920" s="49" t="s">
        <v>19</v>
      </c>
      <c r="D2920" s="110" t="str">
        <f>IF(ISBLANK($B2920),"",IFERROR(VLOOKUP($B2920,ESTOQUE!$B$2:$D$97168,3,FALSE),"Produto não cadastrado"))</f>
        <v>CAMISA LARANJA OP. C/ FAIXA REFLETIVA TAM: M</v>
      </c>
      <c r="E2920" s="99" t="str">
        <f>_xlfn.XLOOKUP(B2920,ESTOQUE!B:B,ESTOQUE!G:G,"",0)</f>
        <v>UND</v>
      </c>
      <c r="F2920" s="99">
        <v>6</v>
      </c>
      <c r="G2920" s="146"/>
      <c r="H2920" s="146"/>
      <c r="I2920" s="147"/>
      <c r="J2920" s="147"/>
      <c r="K2920" s="63"/>
      <c r="L2920" s="63"/>
      <c r="M2920" s="63"/>
      <c r="N2920" s="63"/>
      <c r="O2920" s="63"/>
      <c r="P2920" s="63"/>
      <c r="Q2920" s="63"/>
      <c r="R2920" s="63"/>
      <c r="S2920" s="63"/>
      <c r="T2920" s="63"/>
      <c r="U2920" s="63"/>
      <c r="V2920" s="63"/>
      <c r="W2920" s="63"/>
      <c r="X2920" s="63"/>
      <c r="Y2920" s="63"/>
      <c r="Z2920" s="63"/>
      <c r="AA2920" s="63"/>
      <c r="AB2920" s="63"/>
      <c r="AC2920" s="63"/>
    </row>
    <row r="2921" spans="1:29" x14ac:dyDescent="0.25">
      <c r="A2921" s="108">
        <v>46106</v>
      </c>
      <c r="B2921" s="128">
        <v>70</v>
      </c>
      <c r="C2921" s="49" t="s">
        <v>19</v>
      </c>
      <c r="D2921" s="110" t="str">
        <f>IF(ISBLANK($B2921),"",IFERROR(VLOOKUP($B2921,ESTOQUE!$B$2:$D$97168,3,FALSE),"Produto não cadastrado"))</f>
        <v>CAMISA LARANJA OP. C/ FAIXA REFLETIVA TAM: P</v>
      </c>
      <c r="E2921" s="99" t="str">
        <f>_xlfn.XLOOKUP(B2921,ESTOQUE!B:B,ESTOQUE!G:G,"",0)</f>
        <v>UND</v>
      </c>
      <c r="F2921" s="99">
        <v>2</v>
      </c>
      <c r="G2921" s="146"/>
      <c r="H2921" s="146"/>
      <c r="I2921" s="147"/>
      <c r="J2921" s="147"/>
      <c r="K2921" s="63"/>
      <c r="L2921" s="63"/>
      <c r="M2921" s="63"/>
      <c r="N2921" s="63"/>
      <c r="O2921" s="63"/>
      <c r="P2921" s="63"/>
      <c r="Q2921" s="63"/>
      <c r="R2921" s="63"/>
      <c r="S2921" s="63"/>
      <c r="T2921" s="63"/>
      <c r="U2921" s="63"/>
      <c r="V2921" s="63"/>
      <c r="W2921" s="63"/>
      <c r="X2921" s="63"/>
      <c r="Y2921" s="63"/>
      <c r="Z2921" s="63"/>
      <c r="AA2921" s="63"/>
      <c r="AB2921" s="63"/>
      <c r="AC2921" s="63"/>
    </row>
    <row r="2922" spans="1:29" x14ac:dyDescent="0.25">
      <c r="A2922" s="108">
        <v>46106</v>
      </c>
      <c r="B2922" s="128">
        <v>95</v>
      </c>
      <c r="C2922" s="49" t="s">
        <v>19</v>
      </c>
      <c r="D2922" s="110" t="str">
        <f>IF(ISBLANK($B2922),"",IFERROR(VLOOKUP($B2922,ESTOQUE!$B$2:$D$97168,3,FALSE),"Produto não cadastrado"))</f>
        <v>CARNEIRA P/ CAPACETE LIBUS</v>
      </c>
      <c r="E2922" s="99" t="str">
        <f>_xlfn.XLOOKUP(B2922,ESTOQUE!B:B,ESTOQUE!G:G,"",0)</f>
        <v>UND</v>
      </c>
      <c r="F2922" s="99">
        <v>2</v>
      </c>
      <c r="G2922" s="146"/>
      <c r="H2922" s="146"/>
      <c r="I2922" s="147"/>
      <c r="J2922" s="147"/>
      <c r="K2922" s="63"/>
      <c r="L2922" s="63"/>
      <c r="M2922" s="63"/>
      <c r="N2922" s="63"/>
      <c r="O2922" s="63"/>
      <c r="P2922" s="63"/>
      <c r="Q2922" s="63"/>
      <c r="R2922" s="63"/>
      <c r="S2922" s="63"/>
      <c r="T2922" s="63"/>
      <c r="U2922" s="63"/>
      <c r="V2922" s="63"/>
      <c r="W2922" s="63"/>
      <c r="X2922" s="63"/>
      <c r="Y2922" s="63"/>
      <c r="Z2922" s="63"/>
      <c r="AA2922" s="63"/>
      <c r="AB2922" s="63"/>
      <c r="AC2922" s="63"/>
    </row>
    <row r="2923" spans="1:29" x14ac:dyDescent="0.25">
      <c r="A2923" s="108">
        <v>46106</v>
      </c>
      <c r="B2923" s="128">
        <v>110</v>
      </c>
      <c r="C2923" s="49" t="s">
        <v>19</v>
      </c>
      <c r="D2923" s="110" t="str">
        <f>IF(ISBLANK($B2923),"",IFERROR(VLOOKUP($B2923,ESTOQUE!$B$2:$D$97168,3,FALSE),"Produto não cadastrado"))</f>
        <v>LUVA DE RASPA CANO LONGO</v>
      </c>
      <c r="E2923" s="99" t="str">
        <f>_xlfn.XLOOKUP(B2923,ESTOQUE!B:B,ESTOQUE!G:G,"",0)</f>
        <v>PAR</v>
      </c>
      <c r="F2923" s="99">
        <v>5</v>
      </c>
      <c r="G2923" s="146"/>
      <c r="H2923" s="146"/>
      <c r="I2923" s="147"/>
      <c r="J2923" s="147"/>
      <c r="K2923" s="63"/>
      <c r="L2923" s="63"/>
      <c r="M2923" s="63"/>
      <c r="N2923" s="63"/>
      <c r="O2923" s="63"/>
      <c r="P2923" s="63"/>
      <c r="Q2923" s="63"/>
      <c r="R2923" s="63"/>
      <c r="S2923" s="63"/>
      <c r="T2923" s="63"/>
      <c r="U2923" s="63"/>
      <c r="V2923" s="63"/>
      <c r="W2923" s="63"/>
      <c r="X2923" s="63"/>
      <c r="Y2923" s="63"/>
      <c r="Z2923" s="63"/>
      <c r="AA2923" s="63"/>
      <c r="AB2923" s="63"/>
      <c r="AC2923" s="63"/>
    </row>
    <row r="2924" spans="1:29" x14ac:dyDescent="0.25">
      <c r="A2924" s="108">
        <v>46106</v>
      </c>
      <c r="B2924" s="128">
        <v>189</v>
      </c>
      <c r="C2924" s="49" t="s">
        <v>19</v>
      </c>
      <c r="D2924" s="110" t="str">
        <f>IF(ISBLANK($B2924),"",IFERROR(VLOOKUP($B2924,ESTOQUE!$B$2:$D$97168,3,FALSE),"Produto não cadastrado"))</f>
        <v xml:space="preserve">LUVA DE VAQUETA MISTA </v>
      </c>
      <c r="E2924" s="99" t="str">
        <f>_xlfn.XLOOKUP(B2924,ESTOQUE!B:B,ESTOQUE!G:G,"",0)</f>
        <v>UND</v>
      </c>
      <c r="F2924" s="99">
        <v>21</v>
      </c>
      <c r="G2924" s="146"/>
      <c r="H2924" s="146"/>
      <c r="I2924" s="147"/>
      <c r="J2924" s="147"/>
      <c r="K2924" s="63"/>
      <c r="L2924" s="63"/>
      <c r="M2924" s="63"/>
      <c r="N2924" s="63"/>
      <c r="O2924" s="63"/>
      <c r="P2924" s="63"/>
      <c r="Q2924" s="63"/>
      <c r="R2924" s="63"/>
      <c r="S2924" s="63"/>
      <c r="T2924" s="63"/>
      <c r="U2924" s="63"/>
      <c r="V2924" s="63"/>
      <c r="W2924" s="63"/>
      <c r="X2924" s="63"/>
      <c r="Y2924" s="63"/>
      <c r="Z2924" s="63"/>
      <c r="AA2924" s="63"/>
      <c r="AB2924" s="63"/>
      <c r="AC2924" s="63"/>
    </row>
    <row r="2925" spans="1:29" x14ac:dyDescent="0.25">
      <c r="A2925" s="108">
        <v>46106</v>
      </c>
      <c r="B2925" s="128">
        <v>263</v>
      </c>
      <c r="C2925" s="49" t="s">
        <v>19</v>
      </c>
      <c r="D2925" s="110" t="str">
        <f>IF(ISBLANK($B2925),"",IFERROR(VLOOKUP($B2925,ESTOQUE!$B$2:$D$97168,3,FALSE),"Produto não cadastrado"))</f>
        <v>LUVA DE VAUQETA CINZA</v>
      </c>
      <c r="E2925" s="99" t="str">
        <f>_xlfn.XLOOKUP(B2925,ESTOQUE!B:B,ESTOQUE!G:G,"",0)</f>
        <v>UND</v>
      </c>
      <c r="F2925" s="99">
        <v>15</v>
      </c>
      <c r="G2925" s="146"/>
      <c r="H2925" s="146"/>
      <c r="I2925" s="147"/>
      <c r="J2925" s="147"/>
      <c r="K2925" s="63"/>
      <c r="L2925" s="63"/>
      <c r="M2925" s="63"/>
      <c r="N2925" s="63"/>
      <c r="O2925" s="63"/>
      <c r="P2925" s="63"/>
      <c r="Q2925" s="63"/>
      <c r="R2925" s="63"/>
      <c r="S2925" s="63"/>
      <c r="T2925" s="63"/>
      <c r="U2925" s="63"/>
      <c r="V2925" s="63"/>
      <c r="W2925" s="63"/>
      <c r="X2925" s="63"/>
      <c r="Y2925" s="63"/>
      <c r="Z2925" s="63"/>
      <c r="AA2925" s="63"/>
      <c r="AB2925" s="63"/>
      <c r="AC2925" s="63"/>
    </row>
    <row r="2926" spans="1:29" x14ac:dyDescent="0.25">
      <c r="A2926" s="108">
        <v>46106</v>
      </c>
      <c r="B2926" s="128">
        <v>114</v>
      </c>
      <c r="C2926" s="49" t="s">
        <v>19</v>
      </c>
      <c r="D2926" s="110" t="str">
        <f>IF(ISBLANK($B2926),"",IFERROR(VLOOKUP($B2926,ESTOQUE!$B$2:$D$97168,3,FALSE),"Produto não cadastrado"))</f>
        <v xml:space="preserve">LUVA LATEX NITRILICA </v>
      </c>
      <c r="E2926" s="99" t="str">
        <f>_xlfn.XLOOKUP(B2926,ESTOQUE!B:B,ESTOQUE!G:G,"",0)</f>
        <v>PAR</v>
      </c>
      <c r="F2926" s="99">
        <v>5</v>
      </c>
      <c r="G2926" s="146"/>
      <c r="H2926" s="146"/>
      <c r="I2926" s="147"/>
      <c r="J2926" s="147"/>
      <c r="K2926" s="63"/>
      <c r="L2926" s="63"/>
      <c r="M2926" s="63"/>
      <c r="N2926" s="63"/>
      <c r="O2926" s="63"/>
      <c r="P2926" s="63"/>
      <c r="Q2926" s="63"/>
      <c r="R2926" s="63"/>
      <c r="S2926" s="63"/>
      <c r="T2926" s="63"/>
      <c r="U2926" s="63"/>
      <c r="V2926" s="63"/>
      <c r="W2926" s="63"/>
      <c r="X2926" s="63"/>
      <c r="Y2926" s="63"/>
      <c r="Z2926" s="63"/>
      <c r="AA2926" s="63"/>
      <c r="AB2926" s="63"/>
      <c r="AC2926" s="63"/>
    </row>
    <row r="2927" spans="1:29" x14ac:dyDescent="0.25">
      <c r="A2927" s="108">
        <v>46106</v>
      </c>
      <c r="B2927" s="128">
        <v>117</v>
      </c>
      <c r="C2927" s="49" t="s">
        <v>19</v>
      </c>
      <c r="D2927" s="110" t="str">
        <f>IF(ISBLANK($B2927),"",IFERROR(VLOOKUP($B2927,ESTOQUE!$B$2:$D$97168,3,FALSE),"Produto não cadastrado"))</f>
        <v>LUVA PIGMENTADA</v>
      </c>
      <c r="E2927" s="99" t="str">
        <f>_xlfn.XLOOKUP(B2927,ESTOQUE!B:B,ESTOQUE!G:G,"",0)</f>
        <v>PAR</v>
      </c>
      <c r="F2927" s="99">
        <v>15</v>
      </c>
      <c r="G2927" s="146"/>
      <c r="H2927" s="146"/>
      <c r="I2927" s="147"/>
      <c r="J2927" s="147"/>
      <c r="K2927" s="63"/>
      <c r="L2927" s="63"/>
      <c r="M2927" s="63"/>
      <c r="N2927" s="63"/>
      <c r="O2927" s="63"/>
      <c r="P2927" s="63"/>
      <c r="Q2927" s="63"/>
      <c r="R2927" s="63"/>
      <c r="S2927" s="63"/>
      <c r="T2927" s="63"/>
      <c r="U2927" s="63"/>
      <c r="V2927" s="63"/>
      <c r="W2927" s="63"/>
      <c r="X2927" s="63"/>
      <c r="Y2927" s="63"/>
      <c r="Z2927" s="63"/>
      <c r="AA2927" s="63"/>
      <c r="AB2927" s="63"/>
      <c r="AC2927" s="63"/>
    </row>
    <row r="2928" spans="1:29" x14ac:dyDescent="0.25">
      <c r="A2928" s="108">
        <v>46106</v>
      </c>
      <c r="B2928" s="128">
        <v>267</v>
      </c>
      <c r="C2928" s="49" t="s">
        <v>19</v>
      </c>
      <c r="D2928" s="110" t="str">
        <f>IF(ISBLANK($B2928),"",IFERROR(VLOOKUP($B2928,ESTOQUE!$B$2:$D$97168,3,FALSE),"Produto não cadastrado"))</f>
        <v>LUVA POLIESTER ANTICORTE CANO LONGO</v>
      </c>
      <c r="E2928" s="99" t="str">
        <f>_xlfn.XLOOKUP(B2928,ESTOQUE!B:B,ESTOQUE!G:G,"",0)</f>
        <v>UND</v>
      </c>
      <c r="F2928" s="99">
        <v>7</v>
      </c>
      <c r="G2928" s="146"/>
      <c r="H2928" s="146"/>
      <c r="I2928" s="147"/>
      <c r="J2928" s="147"/>
      <c r="K2928" s="63"/>
      <c r="L2928" s="63"/>
      <c r="M2928" s="63"/>
      <c r="N2928" s="63"/>
      <c r="O2928" s="63"/>
      <c r="P2928" s="63"/>
      <c r="Q2928" s="63"/>
      <c r="R2928" s="63"/>
      <c r="S2928" s="63"/>
      <c r="T2928" s="63"/>
      <c r="U2928" s="63"/>
      <c r="V2928" s="63"/>
      <c r="W2928" s="63"/>
      <c r="X2928" s="63"/>
      <c r="Y2928" s="63"/>
      <c r="Z2928" s="63"/>
      <c r="AA2928" s="63"/>
      <c r="AB2928" s="63"/>
      <c r="AC2928" s="63"/>
    </row>
    <row r="2929" spans="1:29" x14ac:dyDescent="0.25">
      <c r="A2929" s="108">
        <v>46106</v>
      </c>
      <c r="B2929" s="128">
        <v>118</v>
      </c>
      <c r="C2929" s="49" t="s">
        <v>19</v>
      </c>
      <c r="D2929" s="110" t="str">
        <f>IF(ISBLANK($B2929),"",IFERROR(VLOOKUP($B2929,ESTOQUE!$B$2:$D$97168,3,FALSE),"Produto não cadastrado"))</f>
        <v>MACACÃO DE PROTEÇÃO TYVEK</v>
      </c>
      <c r="E2929" s="99" t="str">
        <f>_xlfn.XLOOKUP(B2929,ESTOQUE!B:B,ESTOQUE!G:G,"",0)</f>
        <v>UND</v>
      </c>
      <c r="F2929" s="99">
        <v>1</v>
      </c>
      <c r="G2929" s="146"/>
      <c r="H2929" s="146"/>
      <c r="I2929" s="147"/>
      <c r="J2929" s="147"/>
      <c r="K2929" s="63"/>
      <c r="L2929" s="63"/>
      <c r="M2929" s="63"/>
      <c r="N2929" s="63"/>
      <c r="O2929" s="63"/>
      <c r="P2929" s="63"/>
      <c r="Q2929" s="63"/>
      <c r="R2929" s="63"/>
      <c r="S2929" s="63"/>
      <c r="T2929" s="63"/>
      <c r="U2929" s="63"/>
      <c r="V2929" s="63"/>
      <c r="W2929" s="63"/>
      <c r="X2929" s="63"/>
      <c r="Y2929" s="63"/>
      <c r="Z2929" s="63"/>
      <c r="AA2929" s="63"/>
      <c r="AB2929" s="63"/>
      <c r="AC2929" s="63"/>
    </row>
    <row r="2930" spans="1:29" x14ac:dyDescent="0.25">
      <c r="A2930" s="108">
        <v>46106</v>
      </c>
      <c r="B2930" s="128">
        <v>144</v>
      </c>
      <c r="C2930" s="49" t="s">
        <v>19</v>
      </c>
      <c r="D2930" s="110" t="str">
        <f>IF(ISBLANK($B2930),"",IFERROR(VLOOKUP($B2930,ESTOQUE!$B$2:$D$97168,3,FALSE),"Produto não cadastrado"))</f>
        <v>MASCARA PFF2-S C/ FILTRO</v>
      </c>
      <c r="E2930" s="99" t="str">
        <f>_xlfn.XLOOKUP(B2930,ESTOQUE!B:B,ESTOQUE!G:G,"",0)</f>
        <v>UND</v>
      </c>
      <c r="F2930" s="99">
        <v>19</v>
      </c>
      <c r="G2930" s="146"/>
      <c r="H2930" s="146"/>
      <c r="I2930" s="147"/>
      <c r="J2930" s="147"/>
      <c r="K2930" s="63"/>
      <c r="L2930" s="63"/>
      <c r="M2930" s="63"/>
      <c r="N2930" s="63"/>
      <c r="O2930" s="63"/>
      <c r="P2930" s="63"/>
      <c r="Q2930" s="63"/>
      <c r="R2930" s="63"/>
      <c r="S2930" s="63"/>
      <c r="T2930" s="63"/>
      <c r="U2930" s="63"/>
      <c r="V2930" s="63"/>
      <c r="W2930" s="63"/>
      <c r="X2930" s="63"/>
      <c r="Y2930" s="63"/>
      <c r="Z2930" s="63"/>
      <c r="AA2930" s="63"/>
      <c r="AB2930" s="63"/>
      <c r="AC2930" s="63"/>
    </row>
    <row r="2931" spans="1:29" x14ac:dyDescent="0.25">
      <c r="A2931" s="108">
        <v>46106</v>
      </c>
      <c r="B2931" s="128">
        <v>126</v>
      </c>
      <c r="C2931" s="49" t="s">
        <v>19</v>
      </c>
      <c r="D2931" s="110" t="str">
        <f>IF(ISBLANK($B2931),"",IFERROR(VLOOKUP($B2931,ESTOQUE!$B$2:$D$97168,3,FALSE),"Produto não cadastrado"))</f>
        <v>OCULOS DE PROTEÇÃO ESCURO</v>
      </c>
      <c r="E2931" s="99" t="str">
        <f>_xlfn.XLOOKUP(B2931,ESTOQUE!B:B,ESTOQUE!G:G,"",0)</f>
        <v>UND</v>
      </c>
      <c r="F2931" s="99">
        <v>3</v>
      </c>
      <c r="G2931" s="146"/>
      <c r="H2931" s="146"/>
      <c r="I2931" s="147"/>
      <c r="J2931" s="147"/>
      <c r="K2931" s="63"/>
      <c r="L2931" s="63"/>
      <c r="M2931" s="63"/>
      <c r="N2931" s="63"/>
      <c r="O2931" s="63"/>
      <c r="P2931" s="63"/>
      <c r="Q2931" s="63"/>
      <c r="R2931" s="63"/>
      <c r="S2931" s="63"/>
      <c r="T2931" s="63"/>
      <c r="U2931" s="63"/>
      <c r="V2931" s="63"/>
      <c r="W2931" s="63"/>
      <c r="X2931" s="63"/>
      <c r="Y2931" s="63"/>
      <c r="Z2931" s="63"/>
      <c r="AA2931" s="63"/>
      <c r="AB2931" s="63"/>
      <c r="AC2931" s="63"/>
    </row>
    <row r="2932" spans="1:29" x14ac:dyDescent="0.25">
      <c r="A2932" s="108">
        <v>46106</v>
      </c>
      <c r="B2932" s="128">
        <v>130</v>
      </c>
      <c r="C2932" s="49" t="s">
        <v>19</v>
      </c>
      <c r="D2932" s="110" t="str">
        <f>IF(ISBLANK($B2932),"",IFERROR(VLOOKUP($B2932,ESTOQUE!$B$2:$D$97168,3,FALSE),"Produto não cadastrado"))</f>
        <v>PROTETOR AUDITIVO TIPO CONCHA L-300</v>
      </c>
      <c r="E2932" s="99" t="str">
        <f>_xlfn.XLOOKUP(B2932,ESTOQUE!B:B,ESTOQUE!G:G,"",0)</f>
        <v>UND</v>
      </c>
      <c r="F2932" s="99">
        <v>1</v>
      </c>
      <c r="G2932" s="146"/>
      <c r="H2932" s="146"/>
      <c r="I2932" s="147"/>
      <c r="J2932" s="147"/>
      <c r="K2932" s="63"/>
      <c r="L2932" s="63"/>
      <c r="M2932" s="63"/>
      <c r="N2932" s="63"/>
      <c r="O2932" s="63"/>
      <c r="P2932" s="63"/>
      <c r="Q2932" s="63"/>
      <c r="R2932" s="63"/>
      <c r="S2932" s="63"/>
      <c r="T2932" s="63"/>
      <c r="U2932" s="63"/>
      <c r="V2932" s="63"/>
      <c r="W2932" s="63"/>
      <c r="X2932" s="63"/>
      <c r="Y2932" s="63"/>
      <c r="Z2932" s="63"/>
      <c r="AA2932" s="63"/>
      <c r="AB2932" s="63"/>
      <c r="AC2932" s="63"/>
    </row>
    <row r="2933" spans="1:29" x14ac:dyDescent="0.25">
      <c r="A2933" s="108">
        <v>46108</v>
      </c>
      <c r="B2933" s="128">
        <v>97</v>
      </c>
      <c r="C2933" s="49" t="s">
        <v>19</v>
      </c>
      <c r="D2933" s="110" t="str">
        <f>IF(ISBLANK($B2933),"",IFERROR(VLOOKUP($B2933,ESTOQUE!$B$2:$D$97168,3,FALSE),"Produto não cadastrado"))</f>
        <v>COLETE REFLETIVO LARANJA M</v>
      </c>
      <c r="E2933" s="99" t="str">
        <f>_xlfn.XLOOKUP(B2933,ESTOQUE!B:B,ESTOQUE!G:G,"",0)</f>
        <v>UND</v>
      </c>
      <c r="F2933" s="99">
        <v>17</v>
      </c>
      <c r="G2933" s="146"/>
      <c r="H2933" s="146"/>
      <c r="I2933" s="147"/>
      <c r="J2933" s="147"/>
      <c r="K2933" s="63"/>
      <c r="L2933" s="63"/>
      <c r="M2933" s="63"/>
      <c r="N2933" s="63"/>
      <c r="O2933" s="63"/>
      <c r="P2933" s="63"/>
      <c r="Q2933" s="63"/>
      <c r="R2933" s="63"/>
      <c r="S2933" s="63"/>
      <c r="T2933" s="63"/>
      <c r="U2933" s="63"/>
      <c r="V2933" s="63"/>
      <c r="W2933" s="63"/>
      <c r="X2933" s="63"/>
      <c r="Y2933" s="63"/>
      <c r="Z2933" s="63"/>
      <c r="AA2933" s="63"/>
      <c r="AB2933" s="63"/>
      <c r="AC2933" s="63"/>
    </row>
    <row r="2934" spans="1:29" x14ac:dyDescent="0.25">
      <c r="A2934" s="108">
        <v>46108</v>
      </c>
      <c r="B2934" s="128">
        <v>210</v>
      </c>
      <c r="C2934" s="49" t="s">
        <v>19</v>
      </c>
      <c r="D2934" s="110" t="str">
        <f>IF(ISBLANK($B2934),"",IFERROR(VLOOKUP($B2934,ESTOQUE!$B$2:$D$97168,3,FALSE),"Produto não cadastrado"))</f>
        <v>COLETE REFLETIVO LARANJA G</v>
      </c>
      <c r="E2934" s="99" t="str">
        <f>_xlfn.XLOOKUP(B2934,ESTOQUE!B:B,ESTOQUE!G:G,"",0)</f>
        <v>UND</v>
      </c>
      <c r="F2934" s="99">
        <v>7</v>
      </c>
      <c r="G2934" s="146"/>
      <c r="H2934" s="146"/>
      <c r="I2934" s="147"/>
      <c r="J2934" s="147"/>
      <c r="K2934" s="63"/>
      <c r="L2934" s="63"/>
      <c r="M2934" s="63"/>
      <c r="N2934" s="63"/>
      <c r="O2934" s="63"/>
      <c r="P2934" s="63"/>
      <c r="Q2934" s="63"/>
      <c r="R2934" s="63"/>
      <c r="S2934" s="63"/>
      <c r="T2934" s="63"/>
      <c r="U2934" s="63"/>
      <c r="V2934" s="63"/>
      <c r="W2934" s="63"/>
      <c r="X2934" s="63"/>
      <c r="Y2934" s="63"/>
      <c r="Z2934" s="63"/>
      <c r="AA2934" s="63"/>
      <c r="AB2934" s="63"/>
      <c r="AC2934" s="63"/>
    </row>
    <row r="2935" spans="1:29" x14ac:dyDescent="0.25">
      <c r="A2935" s="108">
        <v>46108</v>
      </c>
      <c r="B2935" s="128">
        <v>228</v>
      </c>
      <c r="C2935" s="49" t="s">
        <v>19</v>
      </c>
      <c r="D2935" s="110" t="str">
        <f>IF(ISBLANK($B2935),"",IFERROR(VLOOKUP($B2935,ESTOQUE!$B$2:$D$97168,3,FALSE),"Produto não cadastrado"))</f>
        <v xml:space="preserve">BALACLAVA  </v>
      </c>
      <c r="E2935" s="99" t="str">
        <f>_xlfn.XLOOKUP(B2935,ESTOQUE!B:B,ESTOQUE!G:G,"",0)</f>
        <v>UND</v>
      </c>
      <c r="F2935" s="99">
        <v>2</v>
      </c>
      <c r="G2935" s="146"/>
      <c r="H2935" s="146"/>
      <c r="I2935" s="147"/>
      <c r="J2935" s="147"/>
      <c r="K2935" s="63"/>
      <c r="L2935" s="63"/>
      <c r="M2935" s="63"/>
      <c r="N2935" s="63"/>
      <c r="O2935" s="63"/>
      <c r="P2935" s="63"/>
      <c r="Q2935" s="63"/>
      <c r="R2935" s="63"/>
      <c r="S2935" s="63"/>
      <c r="T2935" s="63"/>
      <c r="U2935" s="63"/>
      <c r="V2935" s="63"/>
      <c r="W2935" s="63"/>
      <c r="X2935" s="63"/>
      <c r="Y2935" s="63"/>
      <c r="Z2935" s="63"/>
      <c r="AA2935" s="63"/>
      <c r="AB2935" s="63"/>
      <c r="AC2935" s="63"/>
    </row>
    <row r="2936" spans="1:29" x14ac:dyDescent="0.25">
      <c r="A2936" s="108">
        <v>46108</v>
      </c>
      <c r="B2936" s="128">
        <v>20</v>
      </c>
      <c r="C2936" s="49" t="s">
        <v>19</v>
      </c>
      <c r="D2936" s="110" t="str">
        <f>IF(ISBLANK($B2936),"",IFERROR(VLOOKUP($B2936,ESTOQUE!$B$2:$D$97168,3,FALSE),"Produto não cadastrado"))</f>
        <v>BOTA PVC CANO MEDIO Nº 41</v>
      </c>
      <c r="E2936" s="99" t="str">
        <f>_xlfn.XLOOKUP(B2936,ESTOQUE!B:B,ESTOQUE!G:G,"",0)</f>
        <v>PAR</v>
      </c>
      <c r="F2936" s="99">
        <v>1</v>
      </c>
      <c r="G2936" s="146"/>
      <c r="H2936" s="146"/>
      <c r="I2936" s="147"/>
      <c r="J2936" s="147"/>
      <c r="K2936" s="63"/>
      <c r="L2936" s="63"/>
      <c r="M2936" s="63"/>
      <c r="N2936" s="63"/>
      <c r="O2936" s="63"/>
      <c r="P2936" s="63"/>
      <c r="Q2936" s="63"/>
      <c r="R2936" s="63"/>
      <c r="S2936" s="63"/>
      <c r="T2936" s="63"/>
      <c r="U2936" s="63"/>
      <c r="V2936" s="63"/>
      <c r="W2936" s="63"/>
      <c r="X2936" s="63"/>
      <c r="Y2936" s="63"/>
      <c r="Z2936" s="63"/>
      <c r="AA2936" s="63"/>
      <c r="AB2936" s="63"/>
      <c r="AC2936" s="63"/>
    </row>
    <row r="2937" spans="1:29" x14ac:dyDescent="0.25">
      <c r="A2937" s="108">
        <v>46108</v>
      </c>
      <c r="B2937" s="128">
        <v>171</v>
      </c>
      <c r="C2937" s="49" t="s">
        <v>19</v>
      </c>
      <c r="D2937" s="110" t="str">
        <f>IF(ISBLANK($B2937),"",IFERROR(VLOOKUP($B2937,ESTOQUE!$B$2:$D$97168,3,FALSE),"Produto não cadastrado"))</f>
        <v>BOTA PVC CANO CURTO Nº 40</v>
      </c>
      <c r="E2937" s="99" t="str">
        <f>_xlfn.XLOOKUP(B2937,ESTOQUE!B:B,ESTOQUE!G:G,"",0)</f>
        <v>PAR</v>
      </c>
      <c r="F2937" s="99">
        <v>1</v>
      </c>
      <c r="G2937" s="146"/>
      <c r="H2937" s="146"/>
      <c r="I2937" s="147"/>
      <c r="J2937" s="147"/>
      <c r="K2937" s="63"/>
      <c r="L2937" s="63"/>
      <c r="M2937" s="63"/>
      <c r="N2937" s="63"/>
      <c r="O2937" s="63"/>
      <c r="P2937" s="63"/>
      <c r="Q2937" s="63"/>
      <c r="R2937" s="63"/>
      <c r="S2937" s="63"/>
      <c r="T2937" s="63"/>
      <c r="U2937" s="63"/>
      <c r="V2937" s="63"/>
      <c r="W2937" s="63"/>
      <c r="X2937" s="63"/>
      <c r="Y2937" s="63"/>
      <c r="Z2937" s="63"/>
      <c r="AA2937" s="63"/>
      <c r="AB2937" s="63"/>
      <c r="AC2937" s="63"/>
    </row>
    <row r="2938" spans="1:29" x14ac:dyDescent="0.25">
      <c r="A2938" s="108">
        <v>46108</v>
      </c>
      <c r="B2938" s="128">
        <v>173</v>
      </c>
      <c r="C2938" s="49" t="s">
        <v>19</v>
      </c>
      <c r="D2938" s="110" t="str">
        <f>IF(ISBLANK($B2938),"",IFERROR(VLOOKUP($B2938,ESTOQUE!$B$2:$D$97168,3,FALSE),"Produto não cadastrado"))</f>
        <v>BOTA PVC CANO CURTO Nº 42</v>
      </c>
      <c r="E2938" s="99" t="str">
        <f>_xlfn.XLOOKUP(B2938,ESTOQUE!B:B,ESTOQUE!G:G,"",0)</f>
        <v>PAR</v>
      </c>
      <c r="F2938" s="99">
        <v>1</v>
      </c>
      <c r="G2938" s="146"/>
      <c r="H2938" s="146"/>
      <c r="I2938" s="147"/>
      <c r="J2938" s="147"/>
      <c r="K2938" s="63"/>
      <c r="L2938" s="63"/>
      <c r="M2938" s="63"/>
      <c r="N2938" s="63"/>
      <c r="O2938" s="63"/>
      <c r="P2938" s="63"/>
      <c r="Q2938" s="63"/>
      <c r="R2938" s="63"/>
      <c r="S2938" s="63"/>
      <c r="T2938" s="63"/>
      <c r="U2938" s="63"/>
      <c r="V2938" s="63"/>
      <c r="W2938" s="63"/>
      <c r="X2938" s="63"/>
      <c r="Y2938" s="63"/>
      <c r="Z2938" s="63"/>
      <c r="AA2938" s="63"/>
      <c r="AB2938" s="63"/>
      <c r="AC2938" s="63"/>
    </row>
    <row r="2939" spans="1:29" x14ac:dyDescent="0.25">
      <c r="A2939" s="108">
        <v>46108</v>
      </c>
      <c r="B2939" s="128">
        <v>41</v>
      </c>
      <c r="C2939" s="49" t="s">
        <v>19</v>
      </c>
      <c r="D2939" s="110" t="str">
        <f>IF(ISBLANK($B2939),"",IFERROR(VLOOKUP($B2939,ESTOQUE!$B$2:$D$97168,3,FALSE),"Produto não cadastrado"))</f>
        <v>BOTINA OP. BICO PVC Nº 43</v>
      </c>
      <c r="E2939" s="99" t="str">
        <f>_xlfn.XLOOKUP(B2939,ESTOQUE!B:B,ESTOQUE!G:G,"",0)</f>
        <v>PAR</v>
      </c>
      <c r="F2939" s="99">
        <v>1</v>
      </c>
      <c r="G2939" s="146"/>
      <c r="H2939" s="146"/>
      <c r="I2939" s="147"/>
      <c r="J2939" s="147"/>
      <c r="K2939" s="63"/>
      <c r="L2939" s="63"/>
      <c r="M2939" s="63"/>
      <c r="N2939" s="63"/>
      <c r="O2939" s="63"/>
      <c r="P2939" s="63"/>
      <c r="Q2939" s="63"/>
      <c r="R2939" s="63"/>
      <c r="S2939" s="63"/>
      <c r="T2939" s="63"/>
      <c r="U2939" s="63"/>
      <c r="V2939" s="63"/>
      <c r="W2939" s="63"/>
      <c r="X2939" s="63"/>
      <c r="Y2939" s="63"/>
      <c r="Z2939" s="63"/>
      <c r="AA2939" s="63"/>
      <c r="AB2939" s="63"/>
      <c r="AC2939" s="63"/>
    </row>
    <row r="2940" spans="1:29" x14ac:dyDescent="0.25">
      <c r="A2940" s="108">
        <v>46108</v>
      </c>
      <c r="B2940" s="128">
        <v>46</v>
      </c>
      <c r="C2940" s="49" t="s">
        <v>19</v>
      </c>
      <c r="D2940" s="110" t="str">
        <f>IF(ISBLANK($B2940),"",IFERROR(VLOOKUP($B2940,ESTOQUE!$B$2:$D$97168,3,FALSE),"Produto não cadastrado"))</f>
        <v>CALÇA CINZA OP. C/ FAIXA REFLETIVA TAM: G</v>
      </c>
      <c r="E2940" s="99" t="str">
        <f>_xlfn.XLOOKUP(B2940,ESTOQUE!B:B,ESTOQUE!G:G,"",0)</f>
        <v>UND</v>
      </c>
      <c r="F2940" s="99">
        <v>2</v>
      </c>
      <c r="G2940" s="146"/>
      <c r="H2940" s="146"/>
      <c r="I2940" s="147"/>
      <c r="J2940" s="147"/>
      <c r="K2940" s="63"/>
      <c r="L2940" s="63"/>
      <c r="M2940" s="63"/>
      <c r="N2940" s="63"/>
      <c r="O2940" s="63"/>
      <c r="P2940" s="63"/>
      <c r="Q2940" s="63"/>
      <c r="R2940" s="63"/>
      <c r="S2940" s="63"/>
      <c r="T2940" s="63"/>
      <c r="U2940" s="63"/>
      <c r="V2940" s="63"/>
      <c r="W2940" s="63"/>
      <c r="X2940" s="63"/>
      <c r="Y2940" s="63"/>
      <c r="Z2940" s="63"/>
      <c r="AA2940" s="63"/>
      <c r="AB2940" s="63"/>
      <c r="AC2940" s="63"/>
    </row>
    <row r="2941" spans="1:29" x14ac:dyDescent="0.25">
      <c r="A2941" s="108">
        <v>46108</v>
      </c>
      <c r="B2941" s="128">
        <v>47</v>
      </c>
      <c r="C2941" s="49" t="s">
        <v>19</v>
      </c>
      <c r="D2941" s="110" t="str">
        <f>IF(ISBLANK($B2941),"",IFERROR(VLOOKUP($B2941,ESTOQUE!$B$2:$D$97168,3,FALSE),"Produto não cadastrado"))</f>
        <v>CALÇA CINZA OP. C/ FAIXA REFLETIVA TAM: GG</v>
      </c>
      <c r="E2941" s="99" t="str">
        <f>_xlfn.XLOOKUP(B2941,ESTOQUE!B:B,ESTOQUE!G:G,"",0)</f>
        <v>UND</v>
      </c>
      <c r="F2941" s="99">
        <v>3</v>
      </c>
      <c r="G2941" s="146"/>
      <c r="H2941" s="146"/>
      <c r="I2941" s="147"/>
      <c r="J2941" s="147"/>
      <c r="K2941" s="63"/>
      <c r="L2941" s="63"/>
      <c r="M2941" s="63"/>
      <c r="N2941" s="63"/>
      <c r="O2941" s="63"/>
      <c r="P2941" s="63"/>
      <c r="Q2941" s="63"/>
      <c r="R2941" s="63"/>
      <c r="S2941" s="63"/>
      <c r="T2941" s="63"/>
      <c r="U2941" s="63"/>
      <c r="V2941" s="63"/>
      <c r="W2941" s="63"/>
      <c r="X2941" s="63"/>
      <c r="Y2941" s="63"/>
      <c r="Z2941" s="63"/>
      <c r="AA2941" s="63"/>
      <c r="AB2941" s="63"/>
      <c r="AC2941" s="63"/>
    </row>
    <row r="2942" spans="1:29" x14ac:dyDescent="0.25">
      <c r="A2942" s="108">
        <v>46108</v>
      </c>
      <c r="B2942" s="128">
        <v>48</v>
      </c>
      <c r="C2942" s="49" t="s">
        <v>19</v>
      </c>
      <c r="D2942" s="110" t="str">
        <f>IF(ISBLANK($B2942),"",IFERROR(VLOOKUP($B2942,ESTOQUE!$B$2:$D$97168,3,FALSE),"Produto não cadastrado"))</f>
        <v>CALÇA CINZA OP. C/ FAIXA REFLETIVA TAM: M</v>
      </c>
      <c r="E2942" s="99" t="str">
        <f>_xlfn.XLOOKUP(B2942,ESTOQUE!B:B,ESTOQUE!G:G,"",0)</f>
        <v>UND</v>
      </c>
      <c r="F2942" s="99">
        <v>8</v>
      </c>
      <c r="G2942" s="146"/>
      <c r="H2942" s="146"/>
      <c r="I2942" s="147"/>
      <c r="J2942" s="147"/>
      <c r="K2942" s="63"/>
      <c r="L2942" s="63"/>
      <c r="M2942" s="63"/>
      <c r="N2942" s="63"/>
      <c r="O2942" s="63"/>
      <c r="P2942" s="63"/>
      <c r="Q2942" s="63"/>
      <c r="R2942" s="63"/>
      <c r="S2942" s="63"/>
      <c r="T2942" s="63"/>
      <c r="U2942" s="63"/>
      <c r="V2942" s="63"/>
      <c r="W2942" s="63"/>
      <c r="X2942" s="63"/>
      <c r="Y2942" s="63"/>
      <c r="Z2942" s="63"/>
      <c r="AA2942" s="63"/>
      <c r="AB2942" s="63"/>
      <c r="AC2942" s="63"/>
    </row>
    <row r="2943" spans="1:29" x14ac:dyDescent="0.25">
      <c r="A2943" s="108">
        <v>46108</v>
      </c>
      <c r="B2943" s="128">
        <v>49</v>
      </c>
      <c r="C2943" s="49" t="s">
        <v>19</v>
      </c>
      <c r="D2943" s="110" t="str">
        <f>IF(ISBLANK($B2943),"",IFERROR(VLOOKUP($B2943,ESTOQUE!$B$2:$D$97168,3,FALSE),"Produto não cadastrado"))</f>
        <v>CALÇA CINZA OP. C/ FAIXA REFLETIVA TAM: P</v>
      </c>
      <c r="E2943" s="99" t="str">
        <f>_xlfn.XLOOKUP(B2943,ESTOQUE!B:B,ESTOQUE!G:G,"",0)</f>
        <v>UND</v>
      </c>
      <c r="F2943" s="99">
        <v>7</v>
      </c>
      <c r="G2943" s="146"/>
      <c r="H2943" s="146"/>
      <c r="I2943" s="147"/>
      <c r="J2943" s="147"/>
      <c r="K2943" s="63"/>
      <c r="L2943" s="63"/>
      <c r="M2943" s="63"/>
      <c r="N2943" s="63"/>
      <c r="O2943" s="63"/>
      <c r="P2943" s="63"/>
      <c r="Q2943" s="63"/>
      <c r="R2943" s="63"/>
      <c r="S2943" s="63"/>
      <c r="T2943" s="63"/>
      <c r="U2943" s="63"/>
      <c r="V2943" s="63"/>
      <c r="W2943" s="63"/>
      <c r="X2943" s="63"/>
      <c r="Y2943" s="63"/>
      <c r="Z2943" s="63"/>
      <c r="AA2943" s="63"/>
      <c r="AB2943" s="63"/>
      <c r="AC2943" s="63"/>
    </row>
    <row r="2944" spans="1:29" x14ac:dyDescent="0.25">
      <c r="A2944" s="108">
        <v>46108</v>
      </c>
      <c r="B2944" s="128">
        <v>67</v>
      </c>
      <c r="C2944" s="49" t="s">
        <v>19</v>
      </c>
      <c r="D2944" s="110" t="str">
        <f>IF(ISBLANK($B2944),"",IFERROR(VLOOKUP($B2944,ESTOQUE!$B$2:$D$97168,3,FALSE),"Produto não cadastrado"))</f>
        <v>CAMISA LARANJA OP. C/ FAIXA REFLETIVA TAM: G</v>
      </c>
      <c r="E2944" s="99" t="str">
        <f>_xlfn.XLOOKUP(B2944,ESTOQUE!B:B,ESTOQUE!G:G,"",0)</f>
        <v>UND</v>
      </c>
      <c r="F2944" s="99">
        <v>4</v>
      </c>
      <c r="G2944" s="146"/>
      <c r="H2944" s="146"/>
      <c r="I2944" s="147"/>
      <c r="J2944" s="147"/>
      <c r="K2944" s="63"/>
      <c r="L2944" s="63"/>
      <c r="M2944" s="63"/>
      <c r="N2944" s="63"/>
      <c r="O2944" s="63"/>
      <c r="P2944" s="63"/>
      <c r="Q2944" s="63"/>
      <c r="R2944" s="63"/>
      <c r="S2944" s="63"/>
      <c r="T2944" s="63"/>
      <c r="U2944" s="63"/>
      <c r="V2944" s="63"/>
      <c r="W2944" s="63"/>
      <c r="X2944" s="63"/>
      <c r="Y2944" s="63"/>
      <c r="Z2944" s="63"/>
      <c r="AA2944" s="63"/>
      <c r="AB2944" s="63"/>
      <c r="AC2944" s="63"/>
    </row>
    <row r="2945" spans="1:29" x14ac:dyDescent="0.25">
      <c r="A2945" s="108">
        <v>46108</v>
      </c>
      <c r="B2945" s="128">
        <v>68</v>
      </c>
      <c r="C2945" s="49" t="s">
        <v>19</v>
      </c>
      <c r="D2945" s="110" t="str">
        <f>IF(ISBLANK($B2945),"",IFERROR(VLOOKUP($B2945,ESTOQUE!$B$2:$D$97168,3,FALSE),"Produto não cadastrado"))</f>
        <v>CAMISA LARANJA OP. C/ FAIXA REFLETIVA TAM: GG</v>
      </c>
      <c r="E2945" s="99" t="str">
        <f>_xlfn.XLOOKUP(B2945,ESTOQUE!B:B,ESTOQUE!G:G,"",0)</f>
        <v>UND</v>
      </c>
      <c r="F2945" s="99">
        <v>4</v>
      </c>
      <c r="G2945" s="146"/>
      <c r="H2945" s="146"/>
      <c r="I2945" s="147"/>
      <c r="J2945" s="147"/>
      <c r="K2945" s="63"/>
      <c r="L2945" s="63"/>
      <c r="M2945" s="63"/>
      <c r="N2945" s="63"/>
      <c r="O2945" s="63"/>
      <c r="P2945" s="63"/>
      <c r="Q2945" s="63"/>
      <c r="R2945" s="63"/>
      <c r="S2945" s="63"/>
      <c r="T2945" s="63"/>
      <c r="U2945" s="63"/>
      <c r="V2945" s="63"/>
      <c r="W2945" s="63"/>
      <c r="X2945" s="63"/>
      <c r="Y2945" s="63"/>
      <c r="Z2945" s="63"/>
      <c r="AA2945" s="63"/>
      <c r="AB2945" s="63"/>
      <c r="AC2945" s="63"/>
    </row>
    <row r="2946" spans="1:29" x14ac:dyDescent="0.25">
      <c r="A2946" s="108">
        <v>46108</v>
      </c>
      <c r="B2946" s="128">
        <v>69</v>
      </c>
      <c r="C2946" s="49" t="s">
        <v>19</v>
      </c>
      <c r="D2946" s="110" t="str">
        <f>IF(ISBLANK($B2946),"",IFERROR(VLOOKUP($B2946,ESTOQUE!$B$2:$D$97168,3,FALSE),"Produto não cadastrado"))</f>
        <v>CAMISA LARANJA OP. C/ FAIXA REFLETIVA TAM: M</v>
      </c>
      <c r="E2946" s="99" t="str">
        <f>_xlfn.XLOOKUP(B2946,ESTOQUE!B:B,ESTOQUE!G:G,"",0)</f>
        <v>UND</v>
      </c>
      <c r="F2946" s="99">
        <v>8</v>
      </c>
      <c r="G2946" s="146"/>
      <c r="H2946" s="146"/>
      <c r="I2946" s="147"/>
      <c r="J2946" s="147"/>
      <c r="K2946" s="63"/>
      <c r="L2946" s="63"/>
      <c r="M2946" s="63"/>
      <c r="N2946" s="63"/>
      <c r="O2946" s="63"/>
      <c r="P2946" s="63"/>
      <c r="Q2946" s="63"/>
      <c r="R2946" s="63"/>
      <c r="S2946" s="63"/>
      <c r="T2946" s="63"/>
      <c r="U2946" s="63"/>
      <c r="V2946" s="63"/>
      <c r="W2946" s="63"/>
      <c r="X2946" s="63"/>
      <c r="Y2946" s="63"/>
      <c r="Z2946" s="63"/>
      <c r="AA2946" s="63"/>
      <c r="AB2946" s="63"/>
      <c r="AC2946" s="63"/>
    </row>
    <row r="2947" spans="1:29" x14ac:dyDescent="0.25">
      <c r="A2947" s="108">
        <v>46108</v>
      </c>
      <c r="B2947" s="128">
        <v>70</v>
      </c>
      <c r="C2947" s="49" t="s">
        <v>19</v>
      </c>
      <c r="D2947" s="110" t="str">
        <f>IF(ISBLANK($B2947),"",IFERROR(VLOOKUP($B2947,ESTOQUE!$B$2:$D$97168,3,FALSE),"Produto não cadastrado"))</f>
        <v>CAMISA LARANJA OP. C/ FAIXA REFLETIVA TAM: P</v>
      </c>
      <c r="E2947" s="99" t="str">
        <f>_xlfn.XLOOKUP(B2947,ESTOQUE!B:B,ESTOQUE!G:G,"",0)</f>
        <v>UND</v>
      </c>
      <c r="F2947" s="99">
        <v>4</v>
      </c>
      <c r="G2947" s="146"/>
      <c r="H2947" s="146"/>
      <c r="I2947" s="147"/>
      <c r="J2947" s="147"/>
      <c r="K2947" s="63"/>
      <c r="L2947" s="63"/>
      <c r="M2947" s="63"/>
      <c r="N2947" s="63"/>
      <c r="O2947" s="63"/>
      <c r="P2947" s="63"/>
      <c r="Q2947" s="63"/>
      <c r="R2947" s="63"/>
      <c r="S2947" s="63"/>
      <c r="T2947" s="63"/>
      <c r="U2947" s="63"/>
      <c r="V2947" s="63"/>
      <c r="W2947" s="63"/>
      <c r="X2947" s="63"/>
      <c r="Y2947" s="63"/>
      <c r="Z2947" s="63"/>
      <c r="AA2947" s="63"/>
      <c r="AB2947" s="63"/>
      <c r="AC2947" s="63"/>
    </row>
    <row r="2948" spans="1:29" x14ac:dyDescent="0.25">
      <c r="A2948" s="108">
        <v>46108</v>
      </c>
      <c r="B2948" s="128">
        <v>73</v>
      </c>
      <c r="C2948" s="49" t="s">
        <v>19</v>
      </c>
      <c r="D2948" s="110" t="str">
        <f>IF(ISBLANK($B2948),"",IFERROR(VLOOKUP($B2948,ESTOQUE!$B$2:$D$97168,3,FALSE),"Produto não cadastrado"))</f>
        <v>CAPA DE CHUVA GG</v>
      </c>
      <c r="E2948" s="99" t="str">
        <f>_xlfn.XLOOKUP(B2948,ESTOQUE!B:B,ESTOQUE!G:G,"",0)</f>
        <v>UND</v>
      </c>
      <c r="F2948" s="99">
        <v>82</v>
      </c>
      <c r="G2948" s="146"/>
      <c r="H2948" s="146"/>
      <c r="I2948" s="147"/>
      <c r="J2948" s="147"/>
      <c r="K2948" s="63"/>
      <c r="L2948" s="63"/>
      <c r="M2948" s="63"/>
      <c r="N2948" s="63"/>
      <c r="O2948" s="63"/>
      <c r="P2948" s="63"/>
      <c r="Q2948" s="63"/>
      <c r="R2948" s="63"/>
      <c r="S2948" s="63"/>
      <c r="T2948" s="63"/>
      <c r="U2948" s="63"/>
      <c r="V2948" s="63"/>
      <c r="W2948" s="63"/>
      <c r="X2948" s="63"/>
      <c r="Y2948" s="63"/>
      <c r="Z2948" s="63"/>
      <c r="AA2948" s="63"/>
      <c r="AB2948" s="63"/>
      <c r="AC2948" s="63"/>
    </row>
    <row r="2949" spans="1:29" x14ac:dyDescent="0.25">
      <c r="A2949" s="108">
        <v>46108</v>
      </c>
      <c r="B2949" s="128">
        <v>97</v>
      </c>
      <c r="C2949" s="49" t="s">
        <v>19</v>
      </c>
      <c r="D2949" s="110" t="str">
        <f>IF(ISBLANK($B2949),"",IFERROR(VLOOKUP($B2949,ESTOQUE!$B$2:$D$97168,3,FALSE),"Produto não cadastrado"))</f>
        <v>COLETE REFLETIVO LARANJA M</v>
      </c>
      <c r="E2949" s="99" t="str">
        <f>_xlfn.XLOOKUP(B2949,ESTOQUE!B:B,ESTOQUE!G:G,"",0)</f>
        <v>UND</v>
      </c>
      <c r="F2949" s="99">
        <v>2</v>
      </c>
      <c r="G2949" s="146"/>
      <c r="H2949" s="146"/>
      <c r="I2949" s="147"/>
      <c r="J2949" s="147"/>
      <c r="K2949" s="63"/>
      <c r="L2949" s="63"/>
      <c r="M2949" s="63"/>
      <c r="N2949" s="63"/>
      <c r="O2949" s="63"/>
      <c r="P2949" s="63"/>
      <c r="Q2949" s="63"/>
      <c r="R2949" s="63"/>
      <c r="S2949" s="63"/>
      <c r="T2949" s="63"/>
      <c r="U2949" s="63"/>
      <c r="V2949" s="63"/>
      <c r="W2949" s="63"/>
      <c r="X2949" s="63"/>
      <c r="Y2949" s="63"/>
      <c r="Z2949" s="63"/>
      <c r="AA2949" s="63"/>
      <c r="AB2949" s="63"/>
      <c r="AC2949" s="63"/>
    </row>
    <row r="2950" spans="1:29" x14ac:dyDescent="0.25">
      <c r="A2950" s="108">
        <v>46108</v>
      </c>
      <c r="B2950" s="128">
        <v>110</v>
      </c>
      <c r="C2950" s="49" t="s">
        <v>19</v>
      </c>
      <c r="D2950" s="110" t="str">
        <f>IF(ISBLANK($B2950),"",IFERROR(VLOOKUP($B2950,ESTOQUE!$B$2:$D$97168,3,FALSE),"Produto não cadastrado"))</f>
        <v>LUVA DE RASPA CANO LONGO</v>
      </c>
      <c r="E2950" s="99" t="str">
        <f>_xlfn.XLOOKUP(B2950,ESTOQUE!B:B,ESTOQUE!G:G,"",0)</f>
        <v>PAR</v>
      </c>
      <c r="F2950" s="99">
        <v>14</v>
      </c>
      <c r="G2950" s="146"/>
      <c r="H2950" s="146"/>
      <c r="I2950" s="147"/>
      <c r="J2950" s="147"/>
      <c r="K2950" s="63"/>
      <c r="L2950" s="63"/>
      <c r="M2950" s="63"/>
      <c r="N2950" s="63"/>
      <c r="O2950" s="63"/>
      <c r="P2950" s="63"/>
      <c r="Q2950" s="63"/>
      <c r="R2950" s="63"/>
      <c r="S2950" s="63"/>
      <c r="T2950" s="63"/>
      <c r="U2950" s="63"/>
      <c r="V2950" s="63"/>
      <c r="W2950" s="63"/>
      <c r="X2950" s="63"/>
      <c r="Y2950" s="63"/>
      <c r="Z2950" s="63"/>
      <c r="AA2950" s="63"/>
      <c r="AB2950" s="63"/>
      <c r="AC2950" s="63"/>
    </row>
    <row r="2951" spans="1:29" x14ac:dyDescent="0.25">
      <c r="A2951" s="108">
        <v>46108</v>
      </c>
      <c r="B2951" s="128">
        <v>263</v>
      </c>
      <c r="C2951" s="49" t="s">
        <v>19</v>
      </c>
      <c r="D2951" s="110" t="str">
        <f>IF(ISBLANK($B2951),"",IFERROR(VLOOKUP($B2951,ESTOQUE!$B$2:$D$97168,3,FALSE),"Produto não cadastrado"))</f>
        <v>LUVA DE VAUQETA CINZA</v>
      </c>
      <c r="E2951" s="99" t="str">
        <f>_xlfn.XLOOKUP(B2951,ESTOQUE!B:B,ESTOQUE!G:G,"",0)</f>
        <v>UND</v>
      </c>
      <c r="F2951" s="99">
        <v>2</v>
      </c>
      <c r="G2951" s="146"/>
      <c r="H2951" s="146"/>
      <c r="I2951" s="147"/>
      <c r="J2951" s="147"/>
      <c r="K2951" s="63"/>
      <c r="L2951" s="63"/>
      <c r="M2951" s="63"/>
      <c r="N2951" s="63"/>
      <c r="O2951" s="63"/>
      <c r="P2951" s="63"/>
      <c r="Q2951" s="63"/>
      <c r="R2951" s="63"/>
      <c r="S2951" s="63"/>
      <c r="T2951" s="63"/>
      <c r="U2951" s="63"/>
      <c r="V2951" s="63"/>
      <c r="W2951" s="63"/>
      <c r="X2951" s="63"/>
      <c r="Y2951" s="63"/>
      <c r="Z2951" s="63"/>
      <c r="AA2951" s="63"/>
      <c r="AB2951" s="63"/>
      <c r="AC2951" s="63"/>
    </row>
    <row r="2952" spans="1:29" x14ac:dyDescent="0.25">
      <c r="A2952" s="108">
        <v>46108</v>
      </c>
      <c r="B2952" s="128">
        <v>114</v>
      </c>
      <c r="C2952" s="49" t="s">
        <v>19</v>
      </c>
      <c r="D2952" s="110" t="str">
        <f>IF(ISBLANK($B2952),"",IFERROR(VLOOKUP($B2952,ESTOQUE!$B$2:$D$97168,3,FALSE),"Produto não cadastrado"))</f>
        <v xml:space="preserve">LUVA LATEX NITRILICA </v>
      </c>
      <c r="E2952" s="99" t="str">
        <f>_xlfn.XLOOKUP(B2952,ESTOQUE!B:B,ESTOQUE!G:G,"",0)</f>
        <v>PAR</v>
      </c>
      <c r="F2952" s="99">
        <v>15</v>
      </c>
      <c r="G2952" s="146"/>
      <c r="H2952" s="146"/>
      <c r="I2952" s="147"/>
      <c r="J2952" s="147"/>
      <c r="K2952" s="63"/>
      <c r="L2952" s="63"/>
      <c r="M2952" s="63"/>
      <c r="N2952" s="63"/>
      <c r="O2952" s="63"/>
      <c r="P2952" s="63"/>
      <c r="Q2952" s="63"/>
      <c r="R2952" s="63"/>
      <c r="S2952" s="63"/>
      <c r="T2952" s="63"/>
      <c r="U2952" s="63"/>
      <c r="V2952" s="63"/>
      <c r="W2952" s="63"/>
      <c r="X2952" s="63"/>
      <c r="Y2952" s="63"/>
      <c r="Z2952" s="63"/>
      <c r="AA2952" s="63"/>
      <c r="AB2952" s="63"/>
      <c r="AC2952" s="63"/>
    </row>
    <row r="2953" spans="1:29" x14ac:dyDescent="0.25">
      <c r="A2953" s="108">
        <v>46108</v>
      </c>
      <c r="B2953" s="128">
        <v>117</v>
      </c>
      <c r="C2953" s="49" t="s">
        <v>19</v>
      </c>
      <c r="D2953" s="110" t="str">
        <f>IF(ISBLANK($B2953),"",IFERROR(VLOOKUP($B2953,ESTOQUE!$B$2:$D$97168,3,FALSE),"Produto não cadastrado"))</f>
        <v>LUVA PIGMENTADA</v>
      </c>
      <c r="E2953" s="99" t="str">
        <f>_xlfn.XLOOKUP(B2953,ESTOQUE!B:B,ESTOQUE!G:G,"",0)</f>
        <v>PAR</v>
      </c>
      <c r="F2953" s="99">
        <v>47</v>
      </c>
      <c r="G2953" s="146"/>
      <c r="H2953" s="146"/>
      <c r="I2953" s="147"/>
      <c r="J2953" s="147"/>
      <c r="K2953" s="63"/>
      <c r="L2953" s="63"/>
      <c r="M2953" s="63"/>
      <c r="N2953" s="63"/>
      <c r="O2953" s="63"/>
      <c r="P2953" s="63"/>
      <c r="Q2953" s="63"/>
      <c r="R2953" s="63"/>
      <c r="S2953" s="63"/>
      <c r="T2953" s="63"/>
      <c r="U2953" s="63"/>
      <c r="V2953" s="63"/>
      <c r="W2953" s="63"/>
      <c r="X2953" s="63"/>
      <c r="Y2953" s="63"/>
      <c r="Z2953" s="63"/>
      <c r="AA2953" s="63"/>
      <c r="AB2953" s="63"/>
      <c r="AC2953" s="63"/>
    </row>
    <row r="2954" spans="1:29" x14ac:dyDescent="0.25">
      <c r="A2954" s="108">
        <v>46108</v>
      </c>
      <c r="B2954" s="128">
        <v>267</v>
      </c>
      <c r="C2954" s="49" t="s">
        <v>19</v>
      </c>
      <c r="D2954" s="110" t="str">
        <f>IF(ISBLANK($B2954),"",IFERROR(VLOOKUP($B2954,ESTOQUE!$B$2:$D$97168,3,FALSE),"Produto não cadastrado"))</f>
        <v>LUVA POLIESTER ANTICORTE CANO LONGO</v>
      </c>
      <c r="E2954" s="99" t="str">
        <f>_xlfn.XLOOKUP(B2954,ESTOQUE!B:B,ESTOQUE!G:G,"",0)</f>
        <v>UND</v>
      </c>
      <c r="F2954" s="99">
        <v>16</v>
      </c>
      <c r="G2954" s="146"/>
      <c r="H2954" s="146"/>
      <c r="I2954" s="147"/>
      <c r="J2954" s="147"/>
      <c r="K2954" s="63"/>
      <c r="L2954" s="63"/>
      <c r="M2954" s="63"/>
      <c r="N2954" s="63"/>
      <c r="O2954" s="63"/>
      <c r="P2954" s="63"/>
      <c r="Q2954" s="63"/>
      <c r="R2954" s="63"/>
      <c r="S2954" s="63"/>
      <c r="T2954" s="63"/>
      <c r="U2954" s="63"/>
      <c r="V2954" s="63"/>
      <c r="W2954" s="63"/>
      <c r="X2954" s="63"/>
      <c r="Y2954" s="63"/>
      <c r="Z2954" s="63"/>
      <c r="AA2954" s="63"/>
      <c r="AB2954" s="63"/>
      <c r="AC2954" s="63"/>
    </row>
    <row r="2955" spans="1:29" x14ac:dyDescent="0.25">
      <c r="A2955" s="108">
        <v>46108</v>
      </c>
      <c r="B2955" s="128">
        <v>118</v>
      </c>
      <c r="C2955" s="49" t="s">
        <v>19</v>
      </c>
      <c r="D2955" s="110" t="str">
        <f>IF(ISBLANK($B2955),"",IFERROR(VLOOKUP($B2955,ESTOQUE!$B$2:$D$97168,3,FALSE),"Produto não cadastrado"))</f>
        <v>MACACÃO DE PROTEÇÃO TYVEK</v>
      </c>
      <c r="E2955" s="99" t="str">
        <f>_xlfn.XLOOKUP(B2955,ESTOQUE!B:B,ESTOQUE!G:G,"",0)</f>
        <v>UND</v>
      </c>
      <c r="F2955" s="99">
        <v>17</v>
      </c>
      <c r="G2955" s="146"/>
      <c r="H2955" s="146"/>
      <c r="I2955" s="147"/>
      <c r="J2955" s="147"/>
      <c r="K2955" s="63"/>
      <c r="L2955" s="63"/>
      <c r="M2955" s="63"/>
      <c r="N2955" s="63"/>
      <c r="O2955" s="63"/>
      <c r="P2955" s="63"/>
      <c r="Q2955" s="63"/>
      <c r="R2955" s="63"/>
      <c r="S2955" s="63"/>
      <c r="T2955" s="63"/>
      <c r="U2955" s="63"/>
      <c r="V2955" s="63"/>
      <c r="W2955" s="63"/>
      <c r="X2955" s="63"/>
      <c r="Y2955" s="63"/>
      <c r="Z2955" s="63"/>
      <c r="AA2955" s="63"/>
      <c r="AB2955" s="63"/>
      <c r="AC2955" s="63"/>
    </row>
    <row r="2956" spans="1:29" x14ac:dyDescent="0.25">
      <c r="A2956" s="108">
        <v>46108</v>
      </c>
      <c r="B2956" s="128">
        <v>144</v>
      </c>
      <c r="C2956" s="49" t="s">
        <v>19</v>
      </c>
      <c r="D2956" s="110" t="str">
        <f>IF(ISBLANK($B2956),"",IFERROR(VLOOKUP($B2956,ESTOQUE!$B$2:$D$97168,3,FALSE),"Produto não cadastrado"))</f>
        <v>MASCARA PFF2-S C/ FILTRO</v>
      </c>
      <c r="E2956" s="99" t="str">
        <f>_xlfn.XLOOKUP(B2956,ESTOQUE!B:B,ESTOQUE!G:G,"",0)</f>
        <v>UND</v>
      </c>
      <c r="F2956" s="99">
        <v>56</v>
      </c>
      <c r="G2956" s="146"/>
      <c r="H2956" s="146"/>
      <c r="I2956" s="147"/>
      <c r="J2956" s="147"/>
      <c r="K2956" s="63"/>
      <c r="L2956" s="63"/>
      <c r="M2956" s="63"/>
      <c r="N2956" s="63"/>
      <c r="O2956" s="63"/>
      <c r="P2956" s="63"/>
      <c r="Q2956" s="63"/>
      <c r="R2956" s="63"/>
      <c r="S2956" s="63"/>
      <c r="T2956" s="63"/>
      <c r="U2956" s="63"/>
      <c r="V2956" s="63"/>
      <c r="W2956" s="63"/>
      <c r="X2956" s="63"/>
      <c r="Y2956" s="63"/>
      <c r="Z2956" s="63"/>
      <c r="AA2956" s="63"/>
      <c r="AB2956" s="63"/>
      <c r="AC2956" s="63"/>
    </row>
    <row r="2957" spans="1:29" x14ac:dyDescent="0.25">
      <c r="A2957" s="108">
        <v>46108</v>
      </c>
      <c r="B2957" s="128">
        <v>126</v>
      </c>
      <c r="C2957" s="49" t="s">
        <v>19</v>
      </c>
      <c r="D2957" s="110" t="str">
        <f>IF(ISBLANK($B2957),"",IFERROR(VLOOKUP($B2957,ESTOQUE!$B$2:$D$97168,3,FALSE),"Produto não cadastrado"))</f>
        <v>OCULOS DE PROTEÇÃO ESCURO</v>
      </c>
      <c r="E2957" s="99" t="str">
        <f>_xlfn.XLOOKUP(B2957,ESTOQUE!B:B,ESTOQUE!G:G,"",0)</f>
        <v>UND</v>
      </c>
      <c r="F2957" s="99">
        <v>3</v>
      </c>
      <c r="G2957" s="146"/>
      <c r="H2957" s="146"/>
      <c r="I2957" s="147"/>
      <c r="J2957" s="147"/>
      <c r="K2957" s="63"/>
      <c r="L2957" s="63"/>
      <c r="M2957" s="63"/>
      <c r="N2957" s="63"/>
      <c r="O2957" s="63"/>
      <c r="P2957" s="63"/>
      <c r="Q2957" s="63"/>
      <c r="R2957" s="63"/>
      <c r="S2957" s="63"/>
      <c r="T2957" s="63"/>
      <c r="U2957" s="63"/>
      <c r="V2957" s="63"/>
      <c r="W2957" s="63"/>
      <c r="X2957" s="63"/>
      <c r="Y2957" s="63"/>
      <c r="Z2957" s="63"/>
      <c r="AA2957" s="63"/>
      <c r="AB2957" s="63"/>
      <c r="AC2957" s="63"/>
    </row>
    <row r="2958" spans="1:29" x14ac:dyDescent="0.25">
      <c r="A2958" s="108">
        <v>46108</v>
      </c>
      <c r="B2958" s="128">
        <v>130</v>
      </c>
      <c r="C2958" s="49" t="s">
        <v>19</v>
      </c>
      <c r="D2958" s="110" t="str">
        <f>IF(ISBLANK($B2958),"",IFERROR(VLOOKUP($B2958,ESTOQUE!$B$2:$D$97168,3,FALSE),"Produto não cadastrado"))</f>
        <v>PROTETOR AUDITIVO TIPO CONCHA L-300</v>
      </c>
      <c r="E2958" s="99" t="str">
        <f>_xlfn.XLOOKUP(B2958,ESTOQUE!B:B,ESTOQUE!G:G,"",0)</f>
        <v>UND</v>
      </c>
      <c r="F2958" s="99">
        <v>1</v>
      </c>
      <c r="G2958" s="146"/>
      <c r="H2958" s="146"/>
      <c r="I2958" s="147"/>
      <c r="J2958" s="147"/>
      <c r="K2958" s="63"/>
      <c r="L2958" s="63"/>
      <c r="M2958" s="63"/>
      <c r="N2958" s="63"/>
      <c r="O2958" s="63"/>
      <c r="P2958" s="63"/>
      <c r="Q2958" s="63"/>
      <c r="R2958" s="63"/>
      <c r="S2958" s="63"/>
      <c r="T2958" s="63"/>
      <c r="U2958" s="63"/>
      <c r="V2958" s="63"/>
      <c r="W2958" s="63"/>
      <c r="X2958" s="63"/>
      <c r="Y2958" s="63"/>
      <c r="Z2958" s="63"/>
      <c r="AA2958" s="63"/>
      <c r="AB2958" s="63"/>
      <c r="AC2958" s="63"/>
    </row>
    <row r="2959" spans="1:29" x14ac:dyDescent="0.25">
      <c r="A2959" s="108">
        <v>46108</v>
      </c>
      <c r="B2959" s="128">
        <v>194</v>
      </c>
      <c r="C2959" s="49" t="s">
        <v>19</v>
      </c>
      <c r="D2959" s="110" t="str">
        <f>IF(ISBLANK($B2959),"",IFERROR(VLOOKUP($B2959,ESTOQUE!$B$2:$D$97168,3,FALSE),"Produto não cadastrado"))</f>
        <v>VISEIRA ACOPLADA</v>
      </c>
      <c r="E2959" s="99" t="str">
        <f>_xlfn.XLOOKUP(B2959,ESTOQUE!B:B,ESTOQUE!G:G,"",0)</f>
        <v>UND</v>
      </c>
      <c r="F2959" s="99">
        <v>1</v>
      </c>
      <c r="G2959" s="146"/>
      <c r="H2959" s="146"/>
      <c r="I2959" s="147"/>
      <c r="J2959" s="147"/>
      <c r="K2959" s="63"/>
      <c r="L2959" s="63"/>
      <c r="M2959" s="63"/>
      <c r="N2959" s="63"/>
      <c r="O2959" s="63"/>
      <c r="P2959" s="63"/>
      <c r="Q2959" s="63"/>
      <c r="R2959" s="63"/>
      <c r="S2959" s="63"/>
      <c r="T2959" s="63"/>
      <c r="U2959" s="63"/>
      <c r="V2959" s="63"/>
      <c r="W2959" s="63"/>
      <c r="X2959" s="63"/>
      <c r="Y2959" s="63"/>
      <c r="Z2959" s="63"/>
      <c r="AA2959" s="63"/>
      <c r="AB2959" s="63"/>
      <c r="AC2959" s="63"/>
    </row>
    <row r="2960" spans="1:29" x14ac:dyDescent="0.25">
      <c r="A2960" s="108">
        <v>46111</v>
      </c>
      <c r="B2960" s="128">
        <v>228</v>
      </c>
      <c r="C2960" s="49" t="s">
        <v>19</v>
      </c>
      <c r="D2960" s="110" t="str">
        <f>IF(ISBLANK($B2960),"",IFERROR(VLOOKUP($B2960,ESTOQUE!$B$2:$D$97168,3,FALSE),"Produto não cadastrado"))</f>
        <v xml:space="preserve">BALACLAVA  </v>
      </c>
      <c r="E2960" s="99" t="str">
        <f>_xlfn.XLOOKUP(B2960,ESTOQUE!B:B,ESTOQUE!G:G,"",0)</f>
        <v>UND</v>
      </c>
      <c r="F2960" s="99">
        <v>15</v>
      </c>
      <c r="G2960" s="146"/>
      <c r="H2960" s="146"/>
      <c r="I2960" s="147"/>
      <c r="J2960" s="147"/>
      <c r="K2960" s="63"/>
      <c r="L2960" s="63"/>
      <c r="M2960" s="63"/>
      <c r="N2960" s="63"/>
      <c r="O2960" s="63"/>
      <c r="P2960" s="63"/>
      <c r="Q2960" s="63"/>
      <c r="R2960" s="63"/>
      <c r="S2960" s="63"/>
      <c r="T2960" s="63"/>
      <c r="U2960" s="63"/>
      <c r="V2960" s="63"/>
      <c r="W2960" s="63"/>
      <c r="X2960" s="63"/>
      <c r="Y2960" s="63"/>
      <c r="Z2960" s="63"/>
      <c r="AA2960" s="63"/>
      <c r="AB2960" s="63"/>
      <c r="AC2960" s="63"/>
    </row>
    <row r="2961" spans="1:29" x14ac:dyDescent="0.25">
      <c r="A2961" s="108">
        <v>46111</v>
      </c>
      <c r="B2961" s="128">
        <v>17</v>
      </c>
      <c r="C2961" s="49" t="s">
        <v>19</v>
      </c>
      <c r="D2961" s="110" t="str">
        <f>IF(ISBLANK($B2961),"",IFERROR(VLOOKUP($B2961,ESTOQUE!$B$2:$D$97168,3,FALSE),"Produto não cadastrado"))</f>
        <v>BOTA PVC CANO MEDIO Nº 38</v>
      </c>
      <c r="E2961" s="99" t="str">
        <f>_xlfn.XLOOKUP(B2961,ESTOQUE!B:B,ESTOQUE!G:G,"",0)</f>
        <v>PAR</v>
      </c>
      <c r="F2961" s="99">
        <v>1</v>
      </c>
      <c r="G2961" s="146"/>
      <c r="H2961" s="146"/>
      <c r="I2961" s="147"/>
      <c r="J2961" s="147"/>
      <c r="K2961" s="63"/>
      <c r="L2961" s="63"/>
      <c r="M2961" s="63"/>
      <c r="N2961" s="63"/>
      <c r="O2961" s="63"/>
      <c r="P2961" s="63"/>
      <c r="Q2961" s="63"/>
      <c r="R2961" s="63"/>
      <c r="S2961" s="63"/>
      <c r="T2961" s="63"/>
      <c r="U2961" s="63"/>
      <c r="V2961" s="63"/>
      <c r="W2961" s="63"/>
      <c r="X2961" s="63"/>
      <c r="Y2961" s="63"/>
      <c r="Z2961" s="63"/>
      <c r="AA2961" s="63"/>
      <c r="AB2961" s="63"/>
      <c r="AC2961" s="63"/>
    </row>
    <row r="2962" spans="1:29" x14ac:dyDescent="0.25">
      <c r="A2962" s="108">
        <v>46111</v>
      </c>
      <c r="B2962" s="128">
        <v>31</v>
      </c>
      <c r="C2962" s="49" t="s">
        <v>19</v>
      </c>
      <c r="D2962" s="110" t="str">
        <f>IF(ISBLANK($B2962),"",IFERROR(VLOOKUP($B2962,ESTOQUE!$B$2:$D$97168,3,FALSE),"Produto não cadastrado"))</f>
        <v>BOTINA DE ELETRICISTA Nº 41</v>
      </c>
      <c r="E2962" s="99" t="str">
        <f>_xlfn.XLOOKUP(B2962,ESTOQUE!B:B,ESTOQUE!G:G,"",0)</f>
        <v>PAR</v>
      </c>
      <c r="F2962" s="99">
        <v>1</v>
      </c>
      <c r="G2962" s="146"/>
      <c r="H2962" s="146"/>
      <c r="I2962" s="147"/>
      <c r="J2962" s="147"/>
      <c r="K2962" s="63"/>
      <c r="L2962" s="63"/>
      <c r="M2962" s="63"/>
      <c r="N2962" s="63"/>
      <c r="O2962" s="63"/>
      <c r="P2962" s="63"/>
      <c r="Q2962" s="63"/>
      <c r="R2962" s="63"/>
      <c r="S2962" s="63"/>
      <c r="T2962" s="63"/>
      <c r="U2962" s="63"/>
      <c r="V2962" s="63"/>
      <c r="W2962" s="63"/>
      <c r="X2962" s="63"/>
      <c r="Y2962" s="63"/>
      <c r="Z2962" s="63"/>
      <c r="AA2962" s="63"/>
      <c r="AB2962" s="63"/>
      <c r="AC2962" s="63"/>
    </row>
    <row r="2963" spans="1:29" x14ac:dyDescent="0.25">
      <c r="A2963" s="108">
        <v>46111</v>
      </c>
      <c r="B2963" s="128">
        <v>35</v>
      </c>
      <c r="C2963" s="49" t="s">
        <v>19</v>
      </c>
      <c r="D2963" s="110" t="str">
        <f>IF(ISBLANK($B2963),"",IFERROR(VLOOKUP($B2963,ESTOQUE!$B$2:$D$97168,3,FALSE),"Produto não cadastrado"))</f>
        <v>BOTINA OP. BICO PVC Nº 37</v>
      </c>
      <c r="E2963" s="99" t="str">
        <f>_xlfn.XLOOKUP(B2963,ESTOQUE!B:B,ESTOQUE!G:G,"",0)</f>
        <v>PAR</v>
      </c>
      <c r="F2963" s="99">
        <v>2</v>
      </c>
      <c r="G2963" s="146"/>
      <c r="H2963" s="146"/>
      <c r="I2963" s="147"/>
      <c r="J2963" s="147"/>
      <c r="K2963" s="63"/>
      <c r="L2963" s="63"/>
      <c r="M2963" s="63"/>
      <c r="N2963" s="63"/>
      <c r="O2963" s="63"/>
      <c r="P2963" s="63"/>
      <c r="Q2963" s="63"/>
      <c r="R2963" s="63"/>
      <c r="S2963" s="63"/>
      <c r="T2963" s="63"/>
      <c r="U2963" s="63"/>
      <c r="V2963" s="63"/>
      <c r="W2963" s="63"/>
      <c r="X2963" s="63"/>
      <c r="Y2963" s="63"/>
      <c r="Z2963" s="63"/>
      <c r="AA2963" s="63"/>
      <c r="AB2963" s="63"/>
      <c r="AC2963" s="63"/>
    </row>
    <row r="2964" spans="1:29" x14ac:dyDescent="0.25">
      <c r="A2964" s="108">
        <v>46111</v>
      </c>
      <c r="B2964" s="128">
        <v>40</v>
      </c>
      <c r="C2964" s="49" t="s">
        <v>19</v>
      </c>
      <c r="D2964" s="110" t="str">
        <f>IF(ISBLANK($B2964),"",IFERROR(VLOOKUP($B2964,ESTOQUE!$B$2:$D$97168,3,FALSE),"Produto não cadastrado"))</f>
        <v>BOTINA OP. BICO PVC Nº 42</v>
      </c>
      <c r="E2964" s="99" t="str">
        <f>_xlfn.XLOOKUP(B2964,ESTOQUE!B:B,ESTOQUE!G:G,"",0)</f>
        <v>PAR</v>
      </c>
      <c r="F2964" s="99">
        <v>2</v>
      </c>
      <c r="G2964" s="146"/>
      <c r="H2964" s="146"/>
      <c r="I2964" s="147"/>
      <c r="J2964" s="147"/>
      <c r="K2964" s="63"/>
      <c r="L2964" s="63"/>
      <c r="M2964" s="63"/>
      <c r="N2964" s="63"/>
      <c r="O2964" s="63"/>
      <c r="P2964" s="63"/>
      <c r="Q2964" s="63"/>
      <c r="R2964" s="63"/>
      <c r="S2964" s="63"/>
      <c r="T2964" s="63"/>
      <c r="U2964" s="63"/>
      <c r="V2964" s="63"/>
      <c r="W2964" s="63"/>
      <c r="X2964" s="63"/>
      <c r="Y2964" s="63"/>
      <c r="Z2964" s="63"/>
      <c r="AA2964" s="63"/>
      <c r="AB2964" s="63"/>
      <c r="AC2964" s="63"/>
    </row>
    <row r="2965" spans="1:29" x14ac:dyDescent="0.25">
      <c r="A2965" s="108">
        <v>46111</v>
      </c>
      <c r="B2965" s="128">
        <v>41</v>
      </c>
      <c r="C2965" s="49" t="s">
        <v>19</v>
      </c>
      <c r="D2965" s="110" t="str">
        <f>IF(ISBLANK($B2965),"",IFERROR(VLOOKUP($B2965,ESTOQUE!$B$2:$D$97168,3,FALSE),"Produto não cadastrado"))</f>
        <v>BOTINA OP. BICO PVC Nº 43</v>
      </c>
      <c r="E2965" s="99" t="str">
        <f>_xlfn.XLOOKUP(B2965,ESTOQUE!B:B,ESTOQUE!G:G,"",0)</f>
        <v>PAR</v>
      </c>
      <c r="F2965" s="99">
        <v>1</v>
      </c>
      <c r="G2965" s="146"/>
      <c r="H2965" s="146"/>
      <c r="I2965" s="147"/>
      <c r="J2965" s="147"/>
      <c r="K2965" s="63"/>
      <c r="L2965" s="63"/>
      <c r="M2965" s="63"/>
      <c r="N2965" s="63"/>
      <c r="O2965" s="63"/>
      <c r="P2965" s="63"/>
      <c r="Q2965" s="63"/>
      <c r="R2965" s="63"/>
      <c r="S2965" s="63"/>
      <c r="T2965" s="63"/>
      <c r="U2965" s="63"/>
      <c r="V2965" s="63"/>
      <c r="W2965" s="63"/>
      <c r="X2965" s="63"/>
      <c r="Y2965" s="63"/>
      <c r="Z2965" s="63"/>
      <c r="AA2965" s="63"/>
      <c r="AB2965" s="63"/>
      <c r="AC2965" s="63"/>
    </row>
    <row r="2966" spans="1:29" x14ac:dyDescent="0.25">
      <c r="A2966" s="108">
        <v>46111</v>
      </c>
      <c r="B2966" s="128">
        <v>46</v>
      </c>
      <c r="C2966" s="49" t="s">
        <v>19</v>
      </c>
      <c r="D2966" s="110" t="str">
        <f>IF(ISBLANK($B2966),"",IFERROR(VLOOKUP($B2966,ESTOQUE!$B$2:$D$97168,3,FALSE),"Produto não cadastrado"))</f>
        <v>CALÇA CINZA OP. C/ FAIXA REFLETIVA TAM: G</v>
      </c>
      <c r="E2966" s="99" t="str">
        <f>_xlfn.XLOOKUP(B2966,ESTOQUE!B:B,ESTOQUE!G:G,"",0)</f>
        <v>UND</v>
      </c>
      <c r="F2966" s="99">
        <v>2</v>
      </c>
      <c r="G2966" s="146"/>
      <c r="H2966" s="146"/>
      <c r="I2966" s="147"/>
      <c r="J2966" s="147"/>
      <c r="K2966" s="63"/>
      <c r="L2966" s="63"/>
      <c r="M2966" s="63"/>
      <c r="N2966" s="63"/>
      <c r="O2966" s="63"/>
      <c r="P2966" s="63"/>
      <c r="Q2966" s="63"/>
      <c r="R2966" s="63"/>
      <c r="S2966" s="63"/>
      <c r="T2966" s="63"/>
      <c r="U2966" s="63"/>
      <c r="V2966" s="63"/>
      <c r="W2966" s="63"/>
      <c r="X2966" s="63"/>
      <c r="Y2966" s="63"/>
      <c r="Z2966" s="63"/>
      <c r="AA2966" s="63"/>
      <c r="AB2966" s="63"/>
      <c r="AC2966" s="63"/>
    </row>
    <row r="2967" spans="1:29" x14ac:dyDescent="0.25">
      <c r="A2967" s="108">
        <v>46111</v>
      </c>
      <c r="B2967" s="128">
        <v>47</v>
      </c>
      <c r="C2967" s="49" t="s">
        <v>19</v>
      </c>
      <c r="D2967" s="110" t="str">
        <f>IF(ISBLANK($B2967),"",IFERROR(VLOOKUP($B2967,ESTOQUE!$B$2:$D$97168,3,FALSE),"Produto não cadastrado"))</f>
        <v>CALÇA CINZA OP. C/ FAIXA REFLETIVA TAM: GG</v>
      </c>
      <c r="E2967" s="99" t="str">
        <f>_xlfn.XLOOKUP(B2967,ESTOQUE!B:B,ESTOQUE!G:G,"",0)</f>
        <v>UND</v>
      </c>
      <c r="F2967" s="99">
        <v>1</v>
      </c>
      <c r="G2967" s="146"/>
      <c r="H2967" s="146"/>
      <c r="I2967" s="147"/>
      <c r="J2967" s="147"/>
      <c r="K2967" s="63"/>
      <c r="L2967" s="63"/>
      <c r="M2967" s="63"/>
      <c r="N2967" s="63"/>
      <c r="O2967" s="63"/>
      <c r="P2967" s="63"/>
      <c r="Q2967" s="63"/>
      <c r="R2967" s="63"/>
      <c r="S2967" s="63"/>
      <c r="T2967" s="63"/>
      <c r="U2967" s="63"/>
      <c r="V2967" s="63"/>
      <c r="W2967" s="63"/>
      <c r="X2967" s="63"/>
      <c r="Y2967" s="63"/>
      <c r="Z2967" s="63"/>
      <c r="AA2967" s="63"/>
      <c r="AB2967" s="63"/>
      <c r="AC2967" s="63"/>
    </row>
    <row r="2968" spans="1:29" x14ac:dyDescent="0.25">
      <c r="A2968" s="108">
        <v>46111</v>
      </c>
      <c r="B2968" s="128">
        <v>48</v>
      </c>
      <c r="C2968" s="49" t="s">
        <v>19</v>
      </c>
      <c r="D2968" s="110" t="str">
        <f>IF(ISBLANK($B2968),"",IFERROR(VLOOKUP($B2968,ESTOQUE!$B$2:$D$97168,3,FALSE),"Produto não cadastrado"))</f>
        <v>CALÇA CINZA OP. C/ FAIXA REFLETIVA TAM: M</v>
      </c>
      <c r="E2968" s="99" t="str">
        <f>_xlfn.XLOOKUP(B2968,ESTOQUE!B:B,ESTOQUE!G:G,"",0)</f>
        <v>UND</v>
      </c>
      <c r="F2968" s="99">
        <v>6</v>
      </c>
      <c r="G2968" s="146"/>
      <c r="H2968" s="146"/>
      <c r="I2968" s="147"/>
      <c r="J2968" s="147"/>
      <c r="K2968" s="63"/>
      <c r="L2968" s="63"/>
      <c r="M2968" s="63"/>
      <c r="N2968" s="63"/>
      <c r="O2968" s="63"/>
      <c r="P2968" s="63"/>
      <c r="Q2968" s="63"/>
      <c r="R2968" s="63"/>
      <c r="S2968" s="63"/>
      <c r="T2968" s="63"/>
      <c r="U2968" s="63"/>
      <c r="V2968" s="63"/>
      <c r="W2968" s="63"/>
      <c r="X2968" s="63"/>
      <c r="Y2968" s="63"/>
      <c r="Z2968" s="63"/>
      <c r="AA2968" s="63"/>
      <c r="AB2968" s="63"/>
      <c r="AC2968" s="63"/>
    </row>
    <row r="2969" spans="1:29" x14ac:dyDescent="0.25">
      <c r="A2969" s="108">
        <v>46111</v>
      </c>
      <c r="B2969" s="128">
        <v>49</v>
      </c>
      <c r="C2969" s="49" t="s">
        <v>19</v>
      </c>
      <c r="D2969" s="110" t="str">
        <f>IF(ISBLANK($B2969),"",IFERROR(VLOOKUP($B2969,ESTOQUE!$B$2:$D$97168,3,FALSE),"Produto não cadastrado"))</f>
        <v>CALÇA CINZA OP. C/ FAIXA REFLETIVA TAM: P</v>
      </c>
      <c r="E2969" s="99" t="str">
        <f>_xlfn.XLOOKUP(B2969,ESTOQUE!B:B,ESTOQUE!G:G,"",0)</f>
        <v>UND</v>
      </c>
      <c r="F2969" s="99">
        <v>7</v>
      </c>
      <c r="G2969" s="146"/>
      <c r="H2969" s="146"/>
      <c r="I2969" s="147"/>
      <c r="J2969" s="147"/>
      <c r="K2969" s="63"/>
      <c r="L2969" s="63"/>
      <c r="M2969" s="63"/>
      <c r="N2969" s="63"/>
      <c r="O2969" s="63"/>
      <c r="P2969" s="63"/>
      <c r="Q2969" s="63"/>
      <c r="R2969" s="63"/>
      <c r="S2969" s="63"/>
      <c r="T2969" s="63"/>
      <c r="U2969" s="63"/>
      <c r="V2969" s="63"/>
      <c r="W2969" s="63"/>
      <c r="X2969" s="63"/>
      <c r="Y2969" s="63"/>
      <c r="Z2969" s="63"/>
      <c r="AA2969" s="63"/>
      <c r="AB2969" s="63"/>
      <c r="AC2969" s="63"/>
    </row>
    <row r="2970" spans="1:29" x14ac:dyDescent="0.25">
      <c r="A2970" s="108">
        <v>46111</v>
      </c>
      <c r="B2970" s="128">
        <v>67</v>
      </c>
      <c r="C2970" s="49" t="s">
        <v>19</v>
      </c>
      <c r="D2970" s="110" t="str">
        <f>IF(ISBLANK($B2970),"",IFERROR(VLOOKUP($B2970,ESTOQUE!$B$2:$D$97168,3,FALSE),"Produto não cadastrado"))</f>
        <v>CAMISA LARANJA OP. C/ FAIXA REFLETIVA TAM: G</v>
      </c>
      <c r="E2970" s="99" t="str">
        <f>_xlfn.XLOOKUP(B2970,ESTOQUE!B:B,ESTOQUE!G:G,"",0)</f>
        <v>UND</v>
      </c>
      <c r="F2970" s="99">
        <v>1</v>
      </c>
      <c r="G2970" s="146"/>
      <c r="H2970" s="146"/>
      <c r="I2970" s="147"/>
      <c r="J2970" s="147"/>
      <c r="K2970" s="63"/>
      <c r="L2970" s="63"/>
      <c r="M2970" s="63"/>
      <c r="N2970" s="63"/>
      <c r="O2970" s="63"/>
      <c r="P2970" s="63"/>
      <c r="Q2970" s="63"/>
      <c r="R2970" s="63"/>
      <c r="S2970" s="63"/>
      <c r="T2970" s="63"/>
      <c r="U2970" s="63"/>
      <c r="V2970" s="63"/>
      <c r="W2970" s="63"/>
      <c r="X2970" s="63"/>
      <c r="Y2970" s="63"/>
      <c r="Z2970" s="63"/>
      <c r="AA2970" s="63"/>
      <c r="AB2970" s="63"/>
      <c r="AC2970" s="63"/>
    </row>
    <row r="2971" spans="1:29" x14ac:dyDescent="0.25">
      <c r="A2971" s="108">
        <v>46111</v>
      </c>
      <c r="B2971" s="128">
        <v>68</v>
      </c>
      <c r="C2971" s="49" t="s">
        <v>19</v>
      </c>
      <c r="D2971" s="110" t="str">
        <f>IF(ISBLANK($B2971),"",IFERROR(VLOOKUP($B2971,ESTOQUE!$B$2:$D$97168,3,FALSE),"Produto não cadastrado"))</f>
        <v>CAMISA LARANJA OP. C/ FAIXA REFLETIVA TAM: GG</v>
      </c>
      <c r="E2971" s="99" t="str">
        <f>_xlfn.XLOOKUP(B2971,ESTOQUE!B:B,ESTOQUE!G:G,"",0)</f>
        <v>UND</v>
      </c>
      <c r="F2971" s="99">
        <v>1</v>
      </c>
      <c r="G2971" s="146"/>
      <c r="H2971" s="146"/>
      <c r="I2971" s="147"/>
      <c r="J2971" s="147"/>
      <c r="K2971" s="63"/>
      <c r="L2971" s="63"/>
      <c r="M2971" s="63"/>
      <c r="N2971" s="63"/>
      <c r="O2971" s="63"/>
      <c r="P2971" s="63"/>
      <c r="Q2971" s="63"/>
      <c r="R2971" s="63"/>
      <c r="S2971" s="63"/>
      <c r="T2971" s="63"/>
      <c r="U2971" s="63"/>
      <c r="V2971" s="63"/>
      <c r="W2971" s="63"/>
      <c r="X2971" s="63"/>
      <c r="Y2971" s="63"/>
      <c r="Z2971" s="63"/>
      <c r="AA2971" s="63"/>
      <c r="AB2971" s="63"/>
      <c r="AC2971" s="63"/>
    </row>
    <row r="2972" spans="1:29" x14ac:dyDescent="0.25">
      <c r="A2972" s="108">
        <v>46111</v>
      </c>
      <c r="B2972" s="128">
        <v>69</v>
      </c>
      <c r="C2972" s="49" t="s">
        <v>19</v>
      </c>
      <c r="D2972" s="110" t="str">
        <f>IF(ISBLANK($B2972),"",IFERROR(VLOOKUP($B2972,ESTOQUE!$B$2:$D$97168,3,FALSE),"Produto não cadastrado"))</f>
        <v>CAMISA LARANJA OP. C/ FAIXA REFLETIVA TAM: M</v>
      </c>
      <c r="E2972" s="99" t="str">
        <f>_xlfn.XLOOKUP(B2972,ESTOQUE!B:B,ESTOQUE!G:G,"",0)</f>
        <v>UND</v>
      </c>
      <c r="F2972" s="99">
        <v>7</v>
      </c>
      <c r="G2972" s="146"/>
      <c r="H2972" s="146"/>
      <c r="I2972" s="147"/>
      <c r="J2972" s="147"/>
      <c r="K2972" s="63"/>
      <c r="L2972" s="63"/>
      <c r="M2972" s="63"/>
      <c r="N2972" s="63"/>
      <c r="O2972" s="63"/>
      <c r="P2972" s="63"/>
      <c r="Q2972" s="63"/>
      <c r="R2972" s="63"/>
      <c r="S2972" s="63"/>
      <c r="T2972" s="63"/>
      <c r="U2972" s="63"/>
      <c r="V2972" s="63"/>
      <c r="W2972" s="63"/>
      <c r="X2972" s="63"/>
      <c r="Y2972" s="63"/>
      <c r="Z2972" s="63"/>
      <c r="AA2972" s="63"/>
      <c r="AB2972" s="63"/>
      <c r="AC2972" s="63"/>
    </row>
    <row r="2973" spans="1:29" x14ac:dyDescent="0.25">
      <c r="A2973" s="108">
        <v>46111</v>
      </c>
      <c r="B2973" s="128">
        <v>70</v>
      </c>
      <c r="C2973" s="49" t="s">
        <v>19</v>
      </c>
      <c r="D2973" s="110" t="str">
        <f>IF(ISBLANK($B2973),"",IFERROR(VLOOKUP($B2973,ESTOQUE!$B$2:$D$97168,3,FALSE),"Produto não cadastrado"))</f>
        <v>CAMISA LARANJA OP. C/ FAIXA REFLETIVA TAM: P</v>
      </c>
      <c r="E2973" s="99" t="str">
        <f>_xlfn.XLOOKUP(B2973,ESTOQUE!B:B,ESTOQUE!G:G,"",0)</f>
        <v>UND</v>
      </c>
      <c r="F2973" s="99">
        <v>1</v>
      </c>
      <c r="G2973" s="146"/>
      <c r="H2973" s="146"/>
      <c r="I2973" s="147"/>
      <c r="J2973" s="147"/>
      <c r="K2973" s="63"/>
      <c r="L2973" s="63"/>
      <c r="M2973" s="63"/>
      <c r="N2973" s="63"/>
      <c r="O2973" s="63"/>
      <c r="P2973" s="63"/>
      <c r="Q2973" s="63"/>
      <c r="R2973" s="63"/>
      <c r="S2973" s="63"/>
      <c r="T2973" s="63"/>
      <c r="U2973" s="63"/>
      <c r="V2973" s="63"/>
      <c r="W2973" s="63"/>
      <c r="X2973" s="63"/>
      <c r="Y2973" s="63"/>
      <c r="Z2973" s="63"/>
      <c r="AA2973" s="63"/>
      <c r="AB2973" s="63"/>
      <c r="AC2973" s="63"/>
    </row>
    <row r="2974" spans="1:29" x14ac:dyDescent="0.25">
      <c r="A2974" s="108">
        <v>46111</v>
      </c>
      <c r="B2974" s="128">
        <v>186</v>
      </c>
      <c r="C2974" s="49" t="s">
        <v>19</v>
      </c>
      <c r="D2974" s="110" t="str">
        <f>IF(ISBLANK($B2974),"",IFERROR(VLOOKUP($B2974,ESTOQUE!$B$2:$D$97168,3,FALSE),"Produto não cadastrado"))</f>
        <v>COLETE REFLETIVO LARANJA GG</v>
      </c>
      <c r="E2974" s="99" t="str">
        <f>_xlfn.XLOOKUP(B2974,ESTOQUE!B:B,ESTOQUE!G:G,"",0)</f>
        <v>UND</v>
      </c>
      <c r="F2974" s="99">
        <v>1</v>
      </c>
      <c r="G2974" s="146"/>
      <c r="H2974" s="146"/>
      <c r="I2974" s="147"/>
      <c r="J2974" s="147"/>
      <c r="K2974" s="63"/>
      <c r="L2974" s="63"/>
      <c r="M2974" s="63"/>
      <c r="N2974" s="63"/>
      <c r="O2974" s="63"/>
      <c r="P2974" s="63"/>
      <c r="Q2974" s="63"/>
      <c r="R2974" s="63"/>
      <c r="S2974" s="63"/>
      <c r="T2974" s="63"/>
      <c r="U2974" s="63"/>
      <c r="V2974" s="63"/>
      <c r="W2974" s="63"/>
      <c r="X2974" s="63"/>
      <c r="Y2974" s="63"/>
      <c r="Z2974" s="63"/>
      <c r="AA2974" s="63"/>
      <c r="AB2974" s="63"/>
      <c r="AC2974" s="63"/>
    </row>
    <row r="2975" spans="1:29" x14ac:dyDescent="0.25">
      <c r="A2975" s="108">
        <v>46111</v>
      </c>
      <c r="B2975" s="128">
        <v>110</v>
      </c>
      <c r="C2975" s="49" t="s">
        <v>19</v>
      </c>
      <c r="D2975" s="110" t="str">
        <f>IF(ISBLANK($B2975),"",IFERROR(VLOOKUP($B2975,ESTOQUE!$B$2:$D$97168,3,FALSE),"Produto não cadastrado"))</f>
        <v>LUVA DE RASPA CANO LONGO</v>
      </c>
      <c r="E2975" s="99" t="str">
        <f>_xlfn.XLOOKUP(B2975,ESTOQUE!B:B,ESTOQUE!G:G,"",0)</f>
        <v>PAR</v>
      </c>
      <c r="F2975" s="99">
        <v>10</v>
      </c>
      <c r="G2975" s="146"/>
      <c r="H2975" s="146"/>
      <c r="I2975" s="147"/>
      <c r="J2975" s="147"/>
      <c r="K2975" s="63"/>
      <c r="L2975" s="63"/>
      <c r="M2975" s="63"/>
      <c r="N2975" s="63"/>
      <c r="O2975" s="63"/>
      <c r="P2975" s="63"/>
      <c r="Q2975" s="63"/>
      <c r="R2975" s="63"/>
      <c r="S2975" s="63"/>
      <c r="T2975" s="63"/>
      <c r="U2975" s="63"/>
      <c r="V2975" s="63"/>
      <c r="W2975" s="63"/>
      <c r="X2975" s="63"/>
      <c r="Y2975" s="63"/>
      <c r="Z2975" s="63"/>
      <c r="AA2975" s="63"/>
      <c r="AB2975" s="63"/>
      <c r="AC2975" s="63"/>
    </row>
    <row r="2976" spans="1:29" x14ac:dyDescent="0.25">
      <c r="A2976" s="108">
        <v>46111</v>
      </c>
      <c r="B2976" s="128">
        <v>263</v>
      </c>
      <c r="C2976" s="49" t="s">
        <v>19</v>
      </c>
      <c r="D2976" s="110" t="str">
        <f>IF(ISBLANK($B2976),"",IFERROR(VLOOKUP($B2976,ESTOQUE!$B$2:$D$97168,3,FALSE),"Produto não cadastrado"))</f>
        <v>LUVA DE VAUQETA CINZA</v>
      </c>
      <c r="E2976" s="99" t="str">
        <f>_xlfn.XLOOKUP(B2976,ESTOQUE!B:B,ESTOQUE!G:G,"",0)</f>
        <v>UND</v>
      </c>
      <c r="F2976" s="99">
        <v>20</v>
      </c>
      <c r="G2976" s="146"/>
      <c r="H2976" s="146"/>
      <c r="I2976" s="147"/>
      <c r="J2976" s="147"/>
      <c r="K2976" s="63"/>
      <c r="L2976" s="63"/>
      <c r="M2976" s="63"/>
      <c r="N2976" s="63"/>
      <c r="O2976" s="63"/>
      <c r="P2976" s="63"/>
      <c r="Q2976" s="63"/>
      <c r="R2976" s="63"/>
      <c r="S2976" s="63"/>
      <c r="T2976" s="63"/>
      <c r="U2976" s="63"/>
      <c r="V2976" s="63"/>
      <c r="W2976" s="63"/>
      <c r="X2976" s="63"/>
      <c r="Y2976" s="63"/>
      <c r="Z2976" s="63"/>
      <c r="AA2976" s="63"/>
      <c r="AB2976" s="63"/>
      <c r="AC2976" s="63"/>
    </row>
    <row r="2977" spans="1:29" x14ac:dyDescent="0.25">
      <c r="A2977" s="108">
        <v>46111</v>
      </c>
      <c r="B2977" s="128">
        <v>114</v>
      </c>
      <c r="C2977" s="49" t="s">
        <v>19</v>
      </c>
      <c r="D2977" s="110" t="str">
        <f>IF(ISBLANK($B2977),"",IFERROR(VLOOKUP($B2977,ESTOQUE!$B$2:$D$97168,3,FALSE),"Produto não cadastrado"))</f>
        <v xml:space="preserve">LUVA LATEX NITRILICA </v>
      </c>
      <c r="E2977" s="99" t="str">
        <f>_xlfn.XLOOKUP(B2977,ESTOQUE!B:B,ESTOQUE!G:G,"",0)</f>
        <v>PAR</v>
      </c>
      <c r="F2977" s="99">
        <v>48</v>
      </c>
      <c r="G2977" s="146"/>
      <c r="H2977" s="146"/>
      <c r="I2977" s="147"/>
      <c r="J2977" s="147"/>
      <c r="K2977" s="63"/>
      <c r="L2977" s="63"/>
      <c r="M2977" s="63"/>
      <c r="N2977" s="63"/>
      <c r="O2977" s="63"/>
      <c r="P2977" s="63"/>
      <c r="Q2977" s="63"/>
      <c r="R2977" s="63"/>
      <c r="S2977" s="63"/>
      <c r="T2977" s="63"/>
      <c r="U2977" s="63"/>
      <c r="V2977" s="63"/>
      <c r="W2977" s="63"/>
      <c r="X2977" s="63"/>
      <c r="Y2977" s="63"/>
      <c r="Z2977" s="63"/>
      <c r="AA2977" s="63"/>
      <c r="AB2977" s="63"/>
      <c r="AC2977" s="63"/>
    </row>
    <row r="2978" spans="1:29" x14ac:dyDescent="0.25">
      <c r="A2978" s="108">
        <v>46111</v>
      </c>
      <c r="B2978" s="128">
        <v>117</v>
      </c>
      <c r="C2978" s="49" t="s">
        <v>19</v>
      </c>
      <c r="D2978" s="110" t="str">
        <f>IF(ISBLANK($B2978),"",IFERROR(VLOOKUP($B2978,ESTOQUE!$B$2:$D$97168,3,FALSE),"Produto não cadastrado"))</f>
        <v>LUVA PIGMENTADA</v>
      </c>
      <c r="E2978" s="99" t="str">
        <f>_xlfn.XLOOKUP(B2978,ESTOQUE!B:B,ESTOQUE!G:G,"",0)</f>
        <v>PAR</v>
      </c>
      <c r="F2978" s="99">
        <v>38</v>
      </c>
      <c r="G2978" s="146"/>
      <c r="H2978" s="146"/>
      <c r="I2978" s="147"/>
      <c r="J2978" s="147"/>
      <c r="K2978" s="63"/>
      <c r="L2978" s="63"/>
      <c r="M2978" s="63"/>
      <c r="N2978" s="63"/>
      <c r="O2978" s="63"/>
      <c r="P2978" s="63"/>
      <c r="Q2978" s="63"/>
      <c r="R2978" s="63"/>
      <c r="S2978" s="63"/>
      <c r="T2978" s="63"/>
      <c r="U2978" s="63"/>
      <c r="V2978" s="63"/>
      <c r="W2978" s="63"/>
      <c r="X2978" s="63"/>
      <c r="Y2978" s="63"/>
      <c r="Z2978" s="63"/>
      <c r="AA2978" s="63"/>
      <c r="AB2978" s="63"/>
      <c r="AC2978" s="63"/>
    </row>
    <row r="2979" spans="1:29" x14ac:dyDescent="0.25">
      <c r="A2979" s="108">
        <v>46111</v>
      </c>
      <c r="B2979" s="128">
        <v>267</v>
      </c>
      <c r="C2979" s="49" t="s">
        <v>19</v>
      </c>
      <c r="D2979" s="110" t="str">
        <f>IF(ISBLANK($B2979),"",IFERROR(VLOOKUP($B2979,ESTOQUE!$B$2:$D$97168,3,FALSE),"Produto não cadastrado"))</f>
        <v>LUVA POLIESTER ANTICORTE CANO LONGO</v>
      </c>
      <c r="E2979" s="99" t="str">
        <f>_xlfn.XLOOKUP(B2979,ESTOQUE!B:B,ESTOQUE!G:G,"",0)</f>
        <v>UND</v>
      </c>
      <c r="F2979" s="99">
        <v>52</v>
      </c>
      <c r="G2979" s="146"/>
      <c r="H2979" s="146"/>
      <c r="I2979" s="147"/>
      <c r="J2979" s="147"/>
      <c r="K2979" s="63"/>
      <c r="L2979" s="63"/>
      <c r="M2979" s="63"/>
      <c r="N2979" s="63"/>
      <c r="O2979" s="63"/>
      <c r="P2979" s="63"/>
      <c r="Q2979" s="63"/>
      <c r="R2979" s="63"/>
      <c r="S2979" s="63"/>
      <c r="T2979" s="63"/>
      <c r="U2979" s="63"/>
      <c r="V2979" s="63"/>
      <c r="W2979" s="63"/>
      <c r="X2979" s="63"/>
      <c r="Y2979" s="63"/>
      <c r="Z2979" s="63"/>
      <c r="AA2979" s="63"/>
      <c r="AB2979" s="63"/>
      <c r="AC2979" s="63"/>
    </row>
    <row r="2980" spans="1:29" x14ac:dyDescent="0.25">
      <c r="A2980" s="108">
        <v>46111</v>
      </c>
      <c r="B2980" s="128">
        <v>118</v>
      </c>
      <c r="C2980" s="49" t="s">
        <v>19</v>
      </c>
      <c r="D2980" s="110" t="str">
        <f>IF(ISBLANK($B2980),"",IFERROR(VLOOKUP($B2980,ESTOQUE!$B$2:$D$97168,3,FALSE),"Produto não cadastrado"))</f>
        <v>MACACÃO DE PROTEÇÃO TYVEK</v>
      </c>
      <c r="E2980" s="99" t="str">
        <f>_xlfn.XLOOKUP(B2980,ESTOQUE!B:B,ESTOQUE!G:G,"",0)</f>
        <v>UND</v>
      </c>
      <c r="F2980" s="99">
        <v>1</v>
      </c>
      <c r="G2980" s="146"/>
      <c r="H2980" s="146"/>
      <c r="I2980" s="147"/>
      <c r="J2980" s="147"/>
      <c r="K2980" s="63"/>
      <c r="L2980" s="63"/>
      <c r="M2980" s="63"/>
      <c r="N2980" s="63"/>
      <c r="O2980" s="63"/>
      <c r="P2980" s="63"/>
      <c r="Q2980" s="63"/>
      <c r="R2980" s="63"/>
      <c r="S2980" s="63"/>
      <c r="T2980" s="63"/>
      <c r="U2980" s="63"/>
      <c r="V2980" s="63"/>
      <c r="W2980" s="63"/>
      <c r="X2980" s="63"/>
      <c r="Y2980" s="63"/>
      <c r="Z2980" s="63"/>
      <c r="AA2980" s="63"/>
      <c r="AB2980" s="63"/>
      <c r="AC2980" s="63"/>
    </row>
    <row r="2981" spans="1:29" x14ac:dyDescent="0.25">
      <c r="A2981" s="108">
        <v>46111</v>
      </c>
      <c r="B2981" s="128">
        <v>144</v>
      </c>
      <c r="C2981" s="49" t="s">
        <v>19</v>
      </c>
      <c r="D2981" s="110" t="str">
        <f>IF(ISBLANK($B2981),"",IFERROR(VLOOKUP($B2981,ESTOQUE!$B$2:$D$97168,3,FALSE),"Produto não cadastrado"))</f>
        <v>MASCARA PFF2-S C/ FILTRO</v>
      </c>
      <c r="E2981" s="99" t="str">
        <f>_xlfn.XLOOKUP(B2981,ESTOQUE!B:B,ESTOQUE!G:G,"",0)</f>
        <v>UND</v>
      </c>
      <c r="F2981" s="99">
        <v>115</v>
      </c>
      <c r="G2981" s="146"/>
      <c r="H2981" s="146"/>
      <c r="I2981" s="147"/>
      <c r="J2981" s="147"/>
      <c r="K2981" s="63"/>
      <c r="L2981" s="63"/>
      <c r="M2981" s="63"/>
      <c r="N2981" s="63"/>
      <c r="O2981" s="63"/>
      <c r="P2981" s="63"/>
      <c r="Q2981" s="63"/>
      <c r="R2981" s="63"/>
      <c r="S2981" s="63"/>
      <c r="T2981" s="63"/>
      <c r="U2981" s="63"/>
      <c r="V2981" s="63"/>
      <c r="W2981" s="63"/>
      <c r="X2981" s="63"/>
      <c r="Y2981" s="63"/>
      <c r="Z2981" s="63"/>
      <c r="AA2981" s="63"/>
      <c r="AB2981" s="63"/>
      <c r="AC2981" s="63"/>
    </row>
    <row r="2982" spans="1:29" x14ac:dyDescent="0.25">
      <c r="A2982" s="108">
        <v>46111</v>
      </c>
      <c r="B2982" s="128">
        <v>126</v>
      </c>
      <c r="C2982" s="49" t="s">
        <v>19</v>
      </c>
      <c r="D2982" s="110" t="str">
        <f>IF(ISBLANK($B2982),"",IFERROR(VLOOKUP($B2982,ESTOQUE!$B$2:$D$97168,3,FALSE),"Produto não cadastrado"))</f>
        <v>OCULOS DE PROTEÇÃO ESCURO</v>
      </c>
      <c r="E2982" s="99" t="str">
        <f>_xlfn.XLOOKUP(B2982,ESTOQUE!B:B,ESTOQUE!G:G,"",0)</f>
        <v>UND</v>
      </c>
      <c r="F2982" s="99">
        <v>4</v>
      </c>
      <c r="G2982" s="146"/>
      <c r="H2982" s="146"/>
      <c r="I2982" s="147"/>
      <c r="J2982" s="147"/>
      <c r="K2982" s="63"/>
      <c r="L2982" s="63"/>
      <c r="M2982" s="63"/>
      <c r="N2982" s="63"/>
      <c r="O2982" s="63"/>
      <c r="P2982" s="63"/>
      <c r="Q2982" s="63"/>
      <c r="R2982" s="63"/>
      <c r="S2982" s="63"/>
      <c r="T2982" s="63"/>
      <c r="U2982" s="63"/>
      <c r="V2982" s="63"/>
      <c r="W2982" s="63"/>
      <c r="X2982" s="63"/>
      <c r="Y2982" s="63"/>
      <c r="Z2982" s="63"/>
      <c r="AA2982" s="63"/>
      <c r="AB2982" s="63"/>
      <c r="AC2982" s="63"/>
    </row>
    <row r="2983" spans="1:29" x14ac:dyDescent="0.25">
      <c r="A2983" s="108">
        <v>46111</v>
      </c>
      <c r="B2983" s="128">
        <v>124</v>
      </c>
      <c r="C2983" s="49" t="s">
        <v>19</v>
      </c>
      <c r="D2983" s="110" t="str">
        <f>IF(ISBLANK($B2983),"",IFERROR(VLOOKUP($B2983,ESTOQUE!$B$2:$D$97168,3,FALSE),"Produto não cadastrado"))</f>
        <v xml:space="preserve">OCULOS DE PROTEÇÃO INCOLOR </v>
      </c>
      <c r="E2983" s="99" t="str">
        <f>_xlfn.XLOOKUP(B2983,ESTOQUE!B:B,ESTOQUE!G:G,"",0)</f>
        <v>UND</v>
      </c>
      <c r="F2983" s="99">
        <v>2</v>
      </c>
      <c r="G2983" s="146"/>
      <c r="H2983" s="146"/>
      <c r="I2983" s="147"/>
      <c r="J2983" s="147"/>
      <c r="K2983" s="63"/>
      <c r="L2983" s="63"/>
      <c r="M2983" s="63"/>
      <c r="N2983" s="63"/>
      <c r="O2983" s="63"/>
      <c r="P2983" s="63"/>
      <c r="Q2983" s="63"/>
      <c r="R2983" s="63"/>
      <c r="S2983" s="63"/>
      <c r="T2983" s="63"/>
      <c r="U2983" s="63"/>
      <c r="V2983" s="63"/>
      <c r="W2983" s="63"/>
      <c r="X2983" s="63"/>
      <c r="Y2983" s="63"/>
      <c r="Z2983" s="63"/>
      <c r="AA2983" s="63"/>
      <c r="AB2983" s="63"/>
      <c r="AC2983" s="63"/>
    </row>
    <row r="2984" spans="1:29" x14ac:dyDescent="0.25">
      <c r="A2984" s="108">
        <v>46111</v>
      </c>
      <c r="B2984" s="128">
        <v>130</v>
      </c>
      <c r="C2984" s="49" t="s">
        <v>19</v>
      </c>
      <c r="D2984" s="110" t="str">
        <f>IF(ISBLANK($B2984),"",IFERROR(VLOOKUP($B2984,ESTOQUE!$B$2:$D$97168,3,FALSE),"Produto não cadastrado"))</f>
        <v>PROTETOR AUDITIVO TIPO CONCHA L-300</v>
      </c>
      <c r="E2984" s="99" t="str">
        <f>_xlfn.XLOOKUP(B2984,ESTOQUE!B:B,ESTOQUE!G:G,"",0)</f>
        <v>UND</v>
      </c>
      <c r="F2984" s="99">
        <v>2</v>
      </c>
      <c r="G2984" s="146"/>
      <c r="H2984" s="146"/>
      <c r="I2984" s="147"/>
      <c r="J2984" s="147"/>
      <c r="K2984" s="63"/>
      <c r="L2984" s="63"/>
      <c r="M2984" s="63"/>
      <c r="N2984" s="63"/>
      <c r="O2984" s="63"/>
      <c r="P2984" s="63"/>
      <c r="Q2984" s="63"/>
      <c r="R2984" s="63"/>
      <c r="S2984" s="63"/>
      <c r="T2984" s="63"/>
      <c r="U2984" s="63"/>
      <c r="V2984" s="63"/>
      <c r="W2984" s="63"/>
      <c r="X2984" s="63"/>
      <c r="Y2984" s="63"/>
      <c r="Z2984" s="63"/>
      <c r="AA2984" s="63"/>
      <c r="AB2984" s="63"/>
      <c r="AC2984" s="63"/>
    </row>
    <row r="2985" spans="1:29" x14ac:dyDescent="0.25">
      <c r="A2985" s="108">
        <v>46112</v>
      </c>
      <c r="B2985" s="128">
        <v>228</v>
      </c>
      <c r="C2985" s="49" t="s">
        <v>19</v>
      </c>
      <c r="D2985" s="110" t="str">
        <f>IF(ISBLANK($B2985),"",IFERROR(VLOOKUP($B2985,ESTOQUE!$B$2:$D$97168,3,FALSE),"Produto não cadastrado"))</f>
        <v xml:space="preserve">BALACLAVA  </v>
      </c>
      <c r="E2985" s="99" t="str">
        <f>_xlfn.XLOOKUP(B2985,ESTOQUE!B:B,ESTOQUE!G:G,"",0)</f>
        <v>UND</v>
      </c>
      <c r="F2985" s="99">
        <v>4</v>
      </c>
      <c r="G2985" s="146"/>
      <c r="H2985" s="146"/>
      <c r="I2985" s="147"/>
      <c r="J2985" s="147"/>
      <c r="K2985" s="63"/>
      <c r="L2985" s="63"/>
      <c r="M2985" s="63"/>
      <c r="N2985" s="63"/>
      <c r="O2985" s="63"/>
      <c r="P2985" s="63"/>
      <c r="Q2985" s="63"/>
      <c r="R2985" s="63"/>
      <c r="S2985" s="63"/>
      <c r="T2985" s="63"/>
      <c r="U2985" s="63"/>
      <c r="V2985" s="63"/>
      <c r="W2985" s="63"/>
      <c r="X2985" s="63"/>
      <c r="Y2985" s="63"/>
      <c r="Z2985" s="63"/>
      <c r="AA2985" s="63"/>
      <c r="AB2985" s="63"/>
      <c r="AC2985" s="63"/>
    </row>
    <row r="2986" spans="1:29" x14ac:dyDescent="0.25">
      <c r="A2986" s="108">
        <v>46112</v>
      </c>
      <c r="B2986" s="128">
        <v>6</v>
      </c>
      <c r="C2986" s="49" t="s">
        <v>19</v>
      </c>
      <c r="D2986" s="110" t="str">
        <f>IF(ISBLANK($B2986),"",IFERROR(VLOOKUP($B2986,ESTOQUE!$B$2:$D$97168,3,FALSE),"Produto não cadastrado"))</f>
        <v>BOTA PVC CANO LONGO Nº 38</v>
      </c>
      <c r="E2986" s="99" t="str">
        <f>_xlfn.XLOOKUP(B2986,ESTOQUE!B:B,ESTOQUE!G:G,"",0)</f>
        <v>PAR</v>
      </c>
      <c r="F2986" s="99">
        <v>1</v>
      </c>
      <c r="G2986" s="146"/>
      <c r="H2986" s="146"/>
      <c r="I2986" s="147"/>
      <c r="J2986" s="147"/>
      <c r="K2986" s="63"/>
      <c r="L2986" s="63"/>
      <c r="M2986" s="63"/>
      <c r="N2986" s="63"/>
      <c r="O2986" s="63"/>
      <c r="P2986" s="63"/>
      <c r="Q2986" s="63"/>
      <c r="R2986" s="63"/>
      <c r="S2986" s="63"/>
      <c r="T2986" s="63"/>
      <c r="U2986" s="63"/>
      <c r="V2986" s="63"/>
      <c r="W2986" s="63"/>
      <c r="X2986" s="63"/>
      <c r="Y2986" s="63"/>
      <c r="Z2986" s="63"/>
      <c r="AA2986" s="63"/>
      <c r="AB2986" s="63"/>
      <c r="AC2986" s="63"/>
    </row>
    <row r="2987" spans="1:29" x14ac:dyDescent="0.25">
      <c r="A2987" s="108">
        <v>46112</v>
      </c>
      <c r="B2987" s="128">
        <v>11</v>
      </c>
      <c r="C2987" s="49" t="s">
        <v>19</v>
      </c>
      <c r="D2987" s="110" t="str">
        <f>IF(ISBLANK($B2987),"",IFERROR(VLOOKUP($B2987,ESTOQUE!$B$2:$D$97168,3,FALSE),"Produto não cadastrado"))</f>
        <v>BOTA PVC CANO LONGO Nº 43</v>
      </c>
      <c r="E2987" s="99" t="str">
        <f>_xlfn.XLOOKUP(B2987,ESTOQUE!B:B,ESTOQUE!G:G,"",0)</f>
        <v>PAR</v>
      </c>
      <c r="F2987" s="99">
        <v>2</v>
      </c>
      <c r="G2987" s="146"/>
      <c r="H2987" s="146"/>
      <c r="I2987" s="147"/>
      <c r="J2987" s="147"/>
      <c r="K2987" s="63"/>
      <c r="L2987" s="63"/>
      <c r="M2987" s="63"/>
      <c r="N2987" s="63"/>
      <c r="O2987" s="63"/>
      <c r="P2987" s="63"/>
      <c r="Q2987" s="63"/>
      <c r="R2987" s="63"/>
      <c r="S2987" s="63"/>
      <c r="T2987" s="63"/>
      <c r="U2987" s="63"/>
      <c r="V2987" s="63"/>
      <c r="W2987" s="63"/>
      <c r="X2987" s="63"/>
      <c r="Y2987" s="63"/>
      <c r="Z2987" s="63"/>
      <c r="AA2987" s="63"/>
      <c r="AB2987" s="63"/>
      <c r="AC2987" s="63"/>
    </row>
    <row r="2988" spans="1:29" x14ac:dyDescent="0.25">
      <c r="A2988" s="108">
        <v>46112</v>
      </c>
      <c r="B2988" s="128">
        <v>13</v>
      </c>
      <c r="C2988" s="49" t="s">
        <v>19</v>
      </c>
      <c r="D2988" s="110" t="str">
        <f>IF(ISBLANK($B2988),"",IFERROR(VLOOKUP($B2988,ESTOQUE!$B$2:$D$97168,3,FALSE),"Produto não cadastrado"))</f>
        <v>BOTA PVC CANO LONGO Nº 45</v>
      </c>
      <c r="E2988" s="99" t="str">
        <f>_xlfn.XLOOKUP(B2988,ESTOQUE!B:B,ESTOQUE!G:G,"",0)</f>
        <v>PAR</v>
      </c>
      <c r="F2988" s="99">
        <v>1</v>
      </c>
      <c r="G2988" s="146"/>
      <c r="H2988" s="146"/>
      <c r="I2988" s="147"/>
      <c r="J2988" s="147"/>
      <c r="K2988" s="63"/>
      <c r="L2988" s="63"/>
      <c r="M2988" s="63"/>
      <c r="N2988" s="63"/>
      <c r="O2988" s="63"/>
      <c r="P2988" s="63"/>
      <c r="Q2988" s="63"/>
      <c r="R2988" s="63"/>
      <c r="S2988" s="63"/>
      <c r="T2988" s="63"/>
      <c r="U2988" s="63"/>
      <c r="V2988" s="63"/>
      <c r="W2988" s="63"/>
      <c r="X2988" s="63"/>
      <c r="Y2988" s="63"/>
      <c r="Z2988" s="63"/>
      <c r="AA2988" s="63"/>
      <c r="AB2988" s="63"/>
      <c r="AC2988" s="63"/>
    </row>
    <row r="2989" spans="1:29" x14ac:dyDescent="0.25">
      <c r="A2989" s="108">
        <v>46112</v>
      </c>
      <c r="B2989" s="128">
        <v>36</v>
      </c>
      <c r="C2989" s="49" t="s">
        <v>19</v>
      </c>
      <c r="D2989" s="110" t="str">
        <f>IF(ISBLANK($B2989),"",IFERROR(VLOOKUP($B2989,ESTOQUE!$B$2:$D$97168,3,FALSE),"Produto não cadastrado"))</f>
        <v>BOTINA OP. BICO PVC Nº 38</v>
      </c>
      <c r="E2989" s="99" t="str">
        <f>_xlfn.XLOOKUP(B2989,ESTOQUE!B:B,ESTOQUE!G:G,"",0)</f>
        <v>PAR</v>
      </c>
      <c r="F2989" s="99">
        <v>2</v>
      </c>
      <c r="G2989" s="146"/>
      <c r="H2989" s="146"/>
      <c r="I2989" s="147"/>
      <c r="J2989" s="147"/>
      <c r="K2989" s="63"/>
      <c r="L2989" s="63"/>
      <c r="M2989" s="63"/>
      <c r="N2989" s="63"/>
      <c r="O2989" s="63"/>
      <c r="P2989" s="63"/>
      <c r="Q2989" s="63"/>
      <c r="R2989" s="63"/>
      <c r="S2989" s="63"/>
      <c r="T2989" s="63"/>
      <c r="U2989" s="63"/>
      <c r="V2989" s="63"/>
      <c r="W2989" s="63"/>
      <c r="X2989" s="63"/>
      <c r="Y2989" s="63"/>
      <c r="Z2989" s="63"/>
      <c r="AA2989" s="63"/>
      <c r="AB2989" s="63"/>
      <c r="AC2989" s="63"/>
    </row>
    <row r="2990" spans="1:29" x14ac:dyDescent="0.25">
      <c r="A2990" s="108">
        <v>46112</v>
      </c>
      <c r="B2990" s="128">
        <v>37</v>
      </c>
      <c r="C2990" s="49" t="s">
        <v>19</v>
      </c>
      <c r="D2990" s="110" t="str">
        <f>IF(ISBLANK($B2990),"",IFERROR(VLOOKUP($B2990,ESTOQUE!$B$2:$D$97168,3,FALSE),"Produto não cadastrado"))</f>
        <v>BOTINA OP. BICO PVC Nº 39</v>
      </c>
      <c r="E2990" s="99" t="str">
        <f>_xlfn.XLOOKUP(B2990,ESTOQUE!B:B,ESTOQUE!G:G,"",0)</f>
        <v>PAR</v>
      </c>
      <c r="F2990" s="99">
        <v>1</v>
      </c>
      <c r="G2990" s="146"/>
      <c r="H2990" s="146"/>
      <c r="I2990" s="147"/>
      <c r="J2990" s="147"/>
      <c r="K2990" s="63"/>
      <c r="L2990" s="63"/>
      <c r="M2990" s="63"/>
      <c r="N2990" s="63"/>
      <c r="O2990" s="63"/>
      <c r="P2990" s="63"/>
      <c r="Q2990" s="63"/>
      <c r="R2990" s="63"/>
      <c r="S2990" s="63"/>
      <c r="T2990" s="63"/>
      <c r="U2990" s="63"/>
      <c r="V2990" s="63"/>
      <c r="W2990" s="63"/>
      <c r="X2990" s="63"/>
      <c r="Y2990" s="63"/>
      <c r="Z2990" s="63"/>
      <c r="AA2990" s="63"/>
      <c r="AB2990" s="63"/>
      <c r="AC2990" s="63"/>
    </row>
    <row r="2991" spans="1:29" x14ac:dyDescent="0.25">
      <c r="A2991" s="108">
        <v>46112</v>
      </c>
      <c r="B2991" s="128">
        <v>38</v>
      </c>
      <c r="C2991" s="49" t="s">
        <v>19</v>
      </c>
      <c r="D2991" s="110" t="str">
        <f>IF(ISBLANK($B2991),"",IFERROR(VLOOKUP($B2991,ESTOQUE!$B$2:$D$97168,3,FALSE),"Produto não cadastrado"))</f>
        <v>BOTINA OP. BICO PVC Nº 40</v>
      </c>
      <c r="E2991" s="99" t="str">
        <f>_xlfn.XLOOKUP(B2991,ESTOQUE!B:B,ESTOQUE!G:G,"",0)</f>
        <v>PAR</v>
      </c>
      <c r="F2991" s="99">
        <v>1</v>
      </c>
      <c r="G2991" s="146"/>
      <c r="H2991" s="146"/>
      <c r="I2991" s="147"/>
      <c r="J2991" s="147"/>
      <c r="K2991" s="63"/>
      <c r="L2991" s="63"/>
      <c r="M2991" s="63"/>
      <c r="N2991" s="63"/>
      <c r="O2991" s="63"/>
      <c r="P2991" s="63"/>
      <c r="Q2991" s="63"/>
      <c r="R2991" s="63"/>
      <c r="S2991" s="63"/>
      <c r="T2991" s="63"/>
      <c r="U2991" s="63"/>
      <c r="V2991" s="63"/>
      <c r="W2991" s="63"/>
      <c r="X2991" s="63"/>
      <c r="Y2991" s="63"/>
      <c r="Z2991" s="63"/>
      <c r="AA2991" s="63"/>
      <c r="AB2991" s="63"/>
      <c r="AC2991" s="63"/>
    </row>
    <row r="2992" spans="1:29" x14ac:dyDescent="0.25">
      <c r="A2992" s="108">
        <v>46112</v>
      </c>
      <c r="B2992" s="128">
        <v>40</v>
      </c>
      <c r="C2992" s="49" t="s">
        <v>19</v>
      </c>
      <c r="D2992" s="110" t="str">
        <f>IF(ISBLANK($B2992),"",IFERROR(VLOOKUP($B2992,ESTOQUE!$B$2:$D$97168,3,FALSE),"Produto não cadastrado"))</f>
        <v>BOTINA OP. BICO PVC Nº 42</v>
      </c>
      <c r="E2992" s="99" t="str">
        <f>_xlfn.XLOOKUP(B2992,ESTOQUE!B:B,ESTOQUE!G:G,"",0)</f>
        <v>PAR</v>
      </c>
      <c r="F2992" s="99">
        <v>1</v>
      </c>
      <c r="G2992" s="146"/>
      <c r="H2992" s="146"/>
      <c r="I2992" s="147"/>
      <c r="J2992" s="147"/>
      <c r="K2992" s="63"/>
      <c r="L2992" s="63"/>
      <c r="M2992" s="63"/>
      <c r="N2992" s="63"/>
      <c r="O2992" s="63"/>
      <c r="P2992" s="63"/>
      <c r="Q2992" s="63"/>
      <c r="R2992" s="63"/>
      <c r="S2992" s="63"/>
      <c r="T2992" s="63"/>
      <c r="U2992" s="63"/>
      <c r="V2992" s="63"/>
      <c r="W2992" s="63"/>
      <c r="X2992" s="63"/>
      <c r="Y2992" s="63"/>
      <c r="Z2992" s="63"/>
      <c r="AA2992" s="63"/>
      <c r="AB2992" s="63"/>
      <c r="AC2992" s="63"/>
    </row>
    <row r="2993" spans="1:29" x14ac:dyDescent="0.25">
      <c r="A2993" s="108">
        <v>46112</v>
      </c>
      <c r="B2993" s="128">
        <v>217</v>
      </c>
      <c r="C2993" s="49" t="s">
        <v>19</v>
      </c>
      <c r="D2993" s="110" t="str">
        <f>IF(ISBLANK($B2993),"",IFERROR(VLOOKUP($B2993,ESTOQUE!$B$2:$D$97168,3,FALSE),"Produto não cadastrado"))</f>
        <v>BOTINA SEGURANÇA METATARSO  40</v>
      </c>
      <c r="E2993" s="99" t="str">
        <f>_xlfn.XLOOKUP(B2993,ESTOQUE!B:B,ESTOQUE!G:G,"",0)</f>
        <v>PAR</v>
      </c>
      <c r="F2993" s="99">
        <v>2</v>
      </c>
      <c r="G2993" s="146"/>
      <c r="H2993" s="146"/>
      <c r="I2993" s="147"/>
      <c r="J2993" s="147"/>
      <c r="K2993" s="63"/>
      <c r="L2993" s="63"/>
      <c r="M2993" s="63"/>
      <c r="N2993" s="63"/>
      <c r="O2993" s="63"/>
      <c r="P2993" s="63"/>
      <c r="Q2993" s="63"/>
      <c r="R2993" s="63"/>
      <c r="S2993" s="63"/>
      <c r="T2993" s="63"/>
      <c r="U2993" s="63"/>
      <c r="V2993" s="63"/>
      <c r="W2993" s="63"/>
      <c r="X2993" s="63"/>
      <c r="Y2993" s="63"/>
      <c r="Z2993" s="63"/>
      <c r="AA2993" s="63"/>
      <c r="AB2993" s="63"/>
      <c r="AC2993" s="63"/>
    </row>
    <row r="2994" spans="1:29" x14ac:dyDescent="0.25">
      <c r="A2994" s="108">
        <v>46112</v>
      </c>
      <c r="B2994" s="128">
        <v>46</v>
      </c>
      <c r="C2994" s="49" t="s">
        <v>19</v>
      </c>
      <c r="D2994" s="110" t="str">
        <f>IF(ISBLANK($B2994),"",IFERROR(VLOOKUP($B2994,ESTOQUE!$B$2:$D$97168,3,FALSE),"Produto não cadastrado"))</f>
        <v>CALÇA CINZA OP. C/ FAIXA REFLETIVA TAM: G</v>
      </c>
      <c r="E2994" s="99" t="str">
        <f>_xlfn.XLOOKUP(B2994,ESTOQUE!B:B,ESTOQUE!G:G,"",0)</f>
        <v>UND</v>
      </c>
      <c r="F2994" s="99">
        <v>2</v>
      </c>
      <c r="G2994" s="146"/>
      <c r="H2994" s="146"/>
      <c r="I2994" s="147"/>
      <c r="J2994" s="147"/>
      <c r="K2994" s="63"/>
      <c r="L2994" s="63"/>
      <c r="M2994" s="63"/>
      <c r="N2994" s="63"/>
      <c r="O2994" s="63"/>
      <c r="P2994" s="63"/>
      <c r="Q2994" s="63"/>
      <c r="R2994" s="63"/>
      <c r="S2994" s="63"/>
      <c r="T2994" s="63"/>
      <c r="U2994" s="63"/>
      <c r="V2994" s="63"/>
      <c r="W2994" s="63"/>
      <c r="X2994" s="63"/>
      <c r="Y2994" s="63"/>
      <c r="Z2994" s="63"/>
      <c r="AA2994" s="63"/>
      <c r="AB2994" s="63"/>
      <c r="AC2994" s="63"/>
    </row>
    <row r="2995" spans="1:29" x14ac:dyDescent="0.25">
      <c r="A2995" s="108">
        <v>46112</v>
      </c>
      <c r="B2995" s="128">
        <v>47</v>
      </c>
      <c r="C2995" s="49" t="s">
        <v>19</v>
      </c>
      <c r="D2995" s="110" t="str">
        <f>IF(ISBLANK($B2995),"",IFERROR(VLOOKUP($B2995,ESTOQUE!$B$2:$D$97168,3,FALSE),"Produto não cadastrado"))</f>
        <v>CALÇA CINZA OP. C/ FAIXA REFLETIVA TAM: GG</v>
      </c>
      <c r="E2995" s="99" t="str">
        <f>_xlfn.XLOOKUP(B2995,ESTOQUE!B:B,ESTOQUE!G:G,"",0)</f>
        <v>UND</v>
      </c>
      <c r="F2995" s="99">
        <v>1</v>
      </c>
      <c r="G2995" s="146"/>
      <c r="H2995" s="146"/>
      <c r="I2995" s="147"/>
      <c r="J2995" s="147"/>
      <c r="K2995" s="63"/>
      <c r="L2995" s="63"/>
      <c r="M2995" s="63"/>
      <c r="N2995" s="63"/>
      <c r="O2995" s="63"/>
      <c r="P2995" s="63"/>
      <c r="Q2995" s="63"/>
      <c r="R2995" s="63"/>
      <c r="S2995" s="63"/>
      <c r="T2995" s="63"/>
      <c r="U2995" s="63"/>
      <c r="V2995" s="63"/>
      <c r="W2995" s="63"/>
      <c r="X2995" s="63"/>
      <c r="Y2995" s="63"/>
      <c r="Z2995" s="63"/>
      <c r="AA2995" s="63"/>
      <c r="AB2995" s="63"/>
      <c r="AC2995" s="63"/>
    </row>
    <row r="2996" spans="1:29" x14ac:dyDescent="0.25">
      <c r="A2996" s="108">
        <v>46112</v>
      </c>
      <c r="B2996" s="128">
        <v>48</v>
      </c>
      <c r="C2996" s="49" t="s">
        <v>19</v>
      </c>
      <c r="D2996" s="110" t="str">
        <f>IF(ISBLANK($B2996),"",IFERROR(VLOOKUP($B2996,ESTOQUE!$B$2:$D$97168,3,FALSE),"Produto não cadastrado"))</f>
        <v>CALÇA CINZA OP. C/ FAIXA REFLETIVA TAM: M</v>
      </c>
      <c r="E2996" s="99" t="str">
        <f>_xlfn.XLOOKUP(B2996,ESTOQUE!B:B,ESTOQUE!G:G,"",0)</f>
        <v>UND</v>
      </c>
      <c r="F2996" s="99">
        <v>8</v>
      </c>
      <c r="G2996" s="146"/>
      <c r="H2996" s="146"/>
      <c r="I2996" s="147"/>
      <c r="J2996" s="147"/>
      <c r="K2996" s="63"/>
      <c r="L2996" s="63"/>
      <c r="M2996" s="63"/>
      <c r="N2996" s="63"/>
      <c r="O2996" s="63"/>
      <c r="P2996" s="63"/>
      <c r="Q2996" s="63"/>
      <c r="R2996" s="63"/>
      <c r="S2996" s="63"/>
      <c r="T2996" s="63"/>
      <c r="U2996" s="63"/>
      <c r="V2996" s="63"/>
      <c r="W2996" s="63"/>
      <c r="X2996" s="63"/>
      <c r="Y2996" s="63"/>
      <c r="Z2996" s="63"/>
      <c r="AA2996" s="63"/>
      <c r="AB2996" s="63"/>
      <c r="AC2996" s="63"/>
    </row>
    <row r="2997" spans="1:29" x14ac:dyDescent="0.25">
      <c r="A2997" s="108">
        <v>46112</v>
      </c>
      <c r="B2997" s="128">
        <v>49</v>
      </c>
      <c r="C2997" s="49" t="s">
        <v>19</v>
      </c>
      <c r="D2997" s="110" t="str">
        <f>IF(ISBLANK($B2997),"",IFERROR(VLOOKUP($B2997,ESTOQUE!$B$2:$D$97168,3,FALSE),"Produto não cadastrado"))</f>
        <v>CALÇA CINZA OP. C/ FAIXA REFLETIVA TAM: P</v>
      </c>
      <c r="E2997" s="99" t="str">
        <f>_xlfn.XLOOKUP(B2997,ESTOQUE!B:B,ESTOQUE!G:G,"",0)</f>
        <v>UND</v>
      </c>
      <c r="F2997" s="99">
        <v>6</v>
      </c>
      <c r="G2997" s="146"/>
      <c r="H2997" s="146"/>
      <c r="I2997" s="147"/>
      <c r="J2997" s="147"/>
      <c r="K2997" s="63"/>
      <c r="L2997" s="63"/>
      <c r="M2997" s="63"/>
      <c r="N2997" s="63"/>
      <c r="O2997" s="63"/>
      <c r="P2997" s="63"/>
      <c r="Q2997" s="63"/>
      <c r="R2997" s="63"/>
      <c r="S2997" s="63"/>
      <c r="T2997" s="63"/>
      <c r="U2997" s="63"/>
      <c r="V2997" s="63"/>
      <c r="W2997" s="63"/>
      <c r="X2997" s="63"/>
      <c r="Y2997" s="63"/>
      <c r="Z2997" s="63"/>
      <c r="AA2997" s="63"/>
      <c r="AB2997" s="63"/>
      <c r="AC2997" s="63"/>
    </row>
    <row r="2998" spans="1:29" x14ac:dyDescent="0.25">
      <c r="A2998" s="108">
        <v>46112</v>
      </c>
      <c r="B2998" s="128">
        <v>53</v>
      </c>
      <c r="C2998" s="49" t="s">
        <v>19</v>
      </c>
      <c r="D2998" s="110" t="str">
        <f>IF(ISBLANK($B2998),"",IFERROR(VLOOKUP($B2998,ESTOQUE!$B$2:$D$97168,3,FALSE),"Produto não cadastrado"))</f>
        <v>CALÇA DE ELETRICISTA NR.10 TAM: P</v>
      </c>
      <c r="E2998" s="99" t="str">
        <f>_xlfn.XLOOKUP(B2998,ESTOQUE!B:B,ESTOQUE!G:G,"",0)</f>
        <v>UND</v>
      </c>
      <c r="F2998" s="99">
        <v>1</v>
      </c>
      <c r="G2998" s="146"/>
      <c r="H2998" s="146"/>
      <c r="I2998" s="147"/>
      <c r="J2998" s="147"/>
      <c r="K2998" s="63"/>
      <c r="L2998" s="63"/>
      <c r="M2998" s="63"/>
      <c r="N2998" s="63"/>
      <c r="O2998" s="63"/>
      <c r="P2998" s="63"/>
      <c r="Q2998" s="63"/>
      <c r="R2998" s="63"/>
      <c r="S2998" s="63"/>
      <c r="T2998" s="63"/>
      <c r="U2998" s="63"/>
      <c r="V2998" s="63"/>
      <c r="W2998" s="63"/>
      <c r="X2998" s="63"/>
      <c r="Y2998" s="63"/>
      <c r="Z2998" s="63"/>
      <c r="AA2998" s="63"/>
      <c r="AB2998" s="63"/>
      <c r="AC2998" s="63"/>
    </row>
    <row r="2999" spans="1:29" x14ac:dyDescent="0.25">
      <c r="A2999" s="108">
        <v>46112</v>
      </c>
      <c r="B2999" s="128">
        <v>185</v>
      </c>
      <c r="C2999" s="49" t="s">
        <v>19</v>
      </c>
      <c r="D2999" s="110" t="str">
        <f>IF(ISBLANK($B2999),"",IFERROR(VLOOKUP($B2999,ESTOQUE!$B$2:$D$97168,3,FALSE),"Produto não cadastrado"))</f>
        <v>CAMISA DE ELETRICISTA NR.10 TAM: G</v>
      </c>
      <c r="E2999" s="99" t="str">
        <f>_xlfn.XLOOKUP(B2999,ESTOQUE!B:B,ESTOQUE!G:G,"",0)</f>
        <v>UND</v>
      </c>
      <c r="F2999" s="99">
        <v>1</v>
      </c>
      <c r="G2999" s="146"/>
      <c r="H2999" s="146"/>
      <c r="I2999" s="147"/>
      <c r="J2999" s="147"/>
      <c r="K2999" s="63"/>
      <c r="L2999" s="63"/>
      <c r="M2999" s="63"/>
      <c r="N2999" s="63"/>
      <c r="O2999" s="63"/>
      <c r="P2999" s="63"/>
      <c r="Q2999" s="63"/>
      <c r="R2999" s="63"/>
      <c r="S2999" s="63"/>
      <c r="T2999" s="63"/>
      <c r="U2999" s="63"/>
      <c r="V2999" s="63"/>
      <c r="W2999" s="63"/>
      <c r="X2999" s="63"/>
      <c r="Y2999" s="63"/>
      <c r="Z2999" s="63"/>
      <c r="AA2999" s="63"/>
      <c r="AB2999" s="63"/>
      <c r="AC2999" s="63"/>
    </row>
    <row r="3000" spans="1:29" x14ac:dyDescent="0.25">
      <c r="A3000" s="108">
        <v>46112</v>
      </c>
      <c r="B3000" s="128">
        <v>67</v>
      </c>
      <c r="C3000" s="49" t="s">
        <v>19</v>
      </c>
      <c r="D3000" s="110" t="str">
        <f>IF(ISBLANK($B3000),"",IFERROR(VLOOKUP($B3000,ESTOQUE!$B$2:$D$97168,3,FALSE),"Produto não cadastrado"))</f>
        <v>CAMISA LARANJA OP. C/ FAIXA REFLETIVA TAM: G</v>
      </c>
      <c r="E3000" s="99" t="str">
        <f>_xlfn.XLOOKUP(B3000,ESTOQUE!B:B,ESTOQUE!G:G,"",0)</f>
        <v>UND</v>
      </c>
      <c r="F3000" s="99">
        <v>2</v>
      </c>
      <c r="G3000" s="146"/>
      <c r="H3000" s="146"/>
      <c r="I3000" s="147"/>
      <c r="J3000" s="147"/>
      <c r="K3000" s="63"/>
      <c r="L3000" s="63"/>
      <c r="M3000" s="63"/>
      <c r="N3000" s="63"/>
      <c r="O3000" s="63"/>
      <c r="P3000" s="63"/>
      <c r="Q3000" s="63"/>
      <c r="R3000" s="63"/>
      <c r="S3000" s="63"/>
      <c r="T3000" s="63"/>
      <c r="U3000" s="63"/>
      <c r="V3000" s="63"/>
      <c r="W3000" s="63"/>
      <c r="X3000" s="63"/>
      <c r="Y3000" s="63"/>
      <c r="Z3000" s="63"/>
      <c r="AA3000" s="63"/>
      <c r="AB3000" s="63"/>
      <c r="AC3000" s="63"/>
    </row>
    <row r="3001" spans="1:29" x14ac:dyDescent="0.25">
      <c r="A3001" s="108">
        <v>46112</v>
      </c>
      <c r="B3001" s="128">
        <v>69</v>
      </c>
      <c r="C3001" s="49" t="s">
        <v>19</v>
      </c>
      <c r="D3001" s="110" t="str">
        <f>IF(ISBLANK($B3001),"",IFERROR(VLOOKUP($B3001,ESTOQUE!$B$2:$D$97168,3,FALSE),"Produto não cadastrado"))</f>
        <v>CAMISA LARANJA OP. C/ FAIXA REFLETIVA TAM: M</v>
      </c>
      <c r="E3001" s="99" t="str">
        <f>_xlfn.XLOOKUP(B3001,ESTOQUE!B:B,ESTOQUE!G:G,"",0)</f>
        <v>UND</v>
      </c>
      <c r="F3001" s="99">
        <v>7</v>
      </c>
      <c r="G3001" s="146"/>
      <c r="H3001" s="146"/>
      <c r="I3001" s="147"/>
      <c r="J3001" s="147"/>
      <c r="K3001" s="63"/>
      <c r="L3001" s="63"/>
      <c r="M3001" s="63"/>
      <c r="N3001" s="63"/>
      <c r="O3001" s="63"/>
      <c r="P3001" s="63"/>
      <c r="Q3001" s="63"/>
      <c r="R3001" s="63"/>
      <c r="S3001" s="63"/>
      <c r="T3001" s="63"/>
      <c r="U3001" s="63"/>
      <c r="V3001" s="63"/>
      <c r="W3001" s="63"/>
      <c r="X3001" s="63"/>
      <c r="Y3001" s="63"/>
      <c r="Z3001" s="63"/>
      <c r="AA3001" s="63"/>
      <c r="AB3001" s="63"/>
      <c r="AC3001" s="63"/>
    </row>
    <row r="3002" spans="1:29" x14ac:dyDescent="0.25">
      <c r="A3002" s="108">
        <v>46112</v>
      </c>
      <c r="B3002" s="128">
        <v>70</v>
      </c>
      <c r="C3002" s="49" t="s">
        <v>19</v>
      </c>
      <c r="D3002" s="110" t="str">
        <f>IF(ISBLANK($B3002),"",IFERROR(VLOOKUP($B3002,ESTOQUE!$B$2:$D$97168,3,FALSE),"Produto não cadastrado"))</f>
        <v>CAMISA LARANJA OP. C/ FAIXA REFLETIVA TAM: P</v>
      </c>
      <c r="E3002" s="99" t="str">
        <f>_xlfn.XLOOKUP(B3002,ESTOQUE!B:B,ESTOQUE!G:G,"",0)</f>
        <v>UND</v>
      </c>
      <c r="F3002" s="99">
        <v>4</v>
      </c>
      <c r="G3002" s="146"/>
      <c r="H3002" s="146"/>
      <c r="I3002" s="147"/>
      <c r="J3002" s="147"/>
      <c r="K3002" s="63"/>
      <c r="L3002" s="63"/>
      <c r="M3002" s="63"/>
      <c r="N3002" s="63"/>
      <c r="O3002" s="63"/>
      <c r="P3002" s="63"/>
      <c r="Q3002" s="63"/>
      <c r="R3002" s="63"/>
      <c r="S3002" s="63"/>
      <c r="T3002" s="63"/>
      <c r="U3002" s="63"/>
      <c r="V3002" s="63"/>
      <c r="W3002" s="63"/>
      <c r="X3002" s="63"/>
      <c r="Y3002" s="63"/>
      <c r="Z3002" s="63"/>
      <c r="AA3002" s="63"/>
      <c r="AB3002" s="63"/>
      <c r="AC3002" s="63"/>
    </row>
    <row r="3003" spans="1:29" x14ac:dyDescent="0.25">
      <c r="A3003" s="108">
        <v>46112</v>
      </c>
      <c r="B3003" s="128">
        <v>71</v>
      </c>
      <c r="C3003" s="49" t="s">
        <v>19</v>
      </c>
      <c r="D3003" s="110" t="str">
        <f>IF(ISBLANK($B3003),"",IFERROR(VLOOKUP($B3003,ESTOQUE!$B$2:$D$97168,3,FALSE),"Produto não cadastrado"))</f>
        <v>CAMISA LARANJA OP. C/ FAIXA REFLETIVA TAM: XG</v>
      </c>
      <c r="E3003" s="99" t="str">
        <f>_xlfn.XLOOKUP(B3003,ESTOQUE!B:B,ESTOQUE!G:G,"",0)</f>
        <v>UND</v>
      </c>
      <c r="F3003" s="99">
        <v>1</v>
      </c>
      <c r="G3003" s="146"/>
      <c r="H3003" s="146"/>
      <c r="I3003" s="147"/>
      <c r="J3003" s="147"/>
      <c r="K3003" s="63"/>
      <c r="L3003" s="63"/>
      <c r="M3003" s="63"/>
      <c r="N3003" s="63"/>
      <c r="O3003" s="63"/>
      <c r="P3003" s="63"/>
      <c r="Q3003" s="63"/>
      <c r="R3003" s="63"/>
      <c r="S3003" s="63"/>
      <c r="T3003" s="63"/>
      <c r="U3003" s="63"/>
      <c r="V3003" s="63"/>
      <c r="W3003" s="63"/>
      <c r="X3003" s="63"/>
      <c r="Y3003" s="63"/>
      <c r="Z3003" s="63"/>
      <c r="AA3003" s="63"/>
      <c r="AB3003" s="63"/>
      <c r="AC3003" s="63"/>
    </row>
    <row r="3004" spans="1:29" x14ac:dyDescent="0.25">
      <c r="A3004" s="108">
        <v>46112</v>
      </c>
      <c r="B3004" s="128">
        <v>95</v>
      </c>
      <c r="C3004" s="49" t="s">
        <v>19</v>
      </c>
      <c r="D3004" s="110" t="str">
        <f>IF(ISBLANK($B3004),"",IFERROR(VLOOKUP($B3004,ESTOQUE!$B$2:$D$97168,3,FALSE),"Produto não cadastrado"))</f>
        <v>CARNEIRA P/ CAPACETE LIBUS</v>
      </c>
      <c r="E3004" s="99" t="str">
        <f>_xlfn.XLOOKUP(B3004,ESTOQUE!B:B,ESTOQUE!G:G,"",0)</f>
        <v>UND</v>
      </c>
      <c r="F3004" s="99">
        <v>1</v>
      </c>
      <c r="G3004" s="146"/>
      <c r="H3004" s="146"/>
      <c r="I3004" s="147"/>
      <c r="J3004" s="147"/>
      <c r="K3004" s="63"/>
      <c r="L3004" s="63"/>
      <c r="M3004" s="63"/>
      <c r="N3004" s="63"/>
      <c r="O3004" s="63"/>
      <c r="P3004" s="63"/>
      <c r="Q3004" s="63"/>
      <c r="R3004" s="63"/>
      <c r="S3004" s="63"/>
      <c r="T3004" s="63"/>
      <c r="U3004" s="63"/>
      <c r="V3004" s="63"/>
      <c r="W3004" s="63"/>
      <c r="X3004" s="63"/>
      <c r="Y3004" s="63"/>
      <c r="Z3004" s="63"/>
      <c r="AA3004" s="63"/>
      <c r="AB3004" s="63"/>
      <c r="AC3004" s="63"/>
    </row>
    <row r="3005" spans="1:29" x14ac:dyDescent="0.25">
      <c r="A3005" s="108">
        <v>46112</v>
      </c>
      <c r="B3005" s="128">
        <v>114</v>
      </c>
      <c r="C3005" s="49" t="s">
        <v>19</v>
      </c>
      <c r="D3005" s="110" t="str">
        <f>IF(ISBLANK($B3005),"",IFERROR(VLOOKUP($B3005,ESTOQUE!$B$2:$D$97168,3,FALSE),"Produto não cadastrado"))</f>
        <v xml:space="preserve">LUVA LATEX NITRILICA </v>
      </c>
      <c r="E3005" s="99" t="str">
        <f>_xlfn.XLOOKUP(B3005,ESTOQUE!B:B,ESTOQUE!G:G,"",0)</f>
        <v>PAR</v>
      </c>
      <c r="F3005" s="99">
        <v>1</v>
      </c>
      <c r="G3005" s="146"/>
      <c r="H3005" s="146"/>
      <c r="I3005" s="147"/>
      <c r="J3005" s="147"/>
      <c r="K3005" s="63"/>
      <c r="L3005" s="63"/>
      <c r="M3005" s="63"/>
      <c r="N3005" s="63"/>
      <c r="O3005" s="63"/>
      <c r="P3005" s="63"/>
      <c r="Q3005" s="63"/>
      <c r="R3005" s="63"/>
      <c r="S3005" s="63"/>
      <c r="T3005" s="63"/>
      <c r="U3005" s="63"/>
      <c r="V3005" s="63"/>
      <c r="W3005" s="63"/>
      <c r="X3005" s="63"/>
      <c r="Y3005" s="63"/>
      <c r="Z3005" s="63"/>
      <c r="AA3005" s="63"/>
      <c r="AB3005" s="63"/>
      <c r="AC3005" s="63"/>
    </row>
    <row r="3006" spans="1:29" x14ac:dyDescent="0.25">
      <c r="A3006" s="108">
        <v>46112</v>
      </c>
      <c r="B3006" s="128">
        <v>117</v>
      </c>
      <c r="C3006" s="49" t="s">
        <v>19</v>
      </c>
      <c r="D3006" s="110" t="str">
        <f>IF(ISBLANK($B3006),"",IFERROR(VLOOKUP($B3006,ESTOQUE!$B$2:$D$97168,3,FALSE),"Produto não cadastrado"))</f>
        <v>LUVA PIGMENTADA</v>
      </c>
      <c r="E3006" s="99" t="str">
        <f>_xlfn.XLOOKUP(B3006,ESTOQUE!B:B,ESTOQUE!G:G,"",0)</f>
        <v>PAR</v>
      </c>
      <c r="F3006" s="99">
        <v>2</v>
      </c>
      <c r="G3006" s="146"/>
      <c r="H3006" s="146"/>
      <c r="I3006" s="147"/>
      <c r="J3006" s="147"/>
      <c r="K3006" s="63"/>
      <c r="L3006" s="63"/>
      <c r="M3006" s="63"/>
      <c r="N3006" s="63"/>
      <c r="O3006" s="63"/>
      <c r="P3006" s="63"/>
      <c r="Q3006" s="63"/>
      <c r="R3006" s="63"/>
      <c r="S3006" s="63"/>
      <c r="T3006" s="63"/>
      <c r="U3006" s="63"/>
      <c r="V3006" s="63"/>
      <c r="W3006" s="63"/>
      <c r="X3006" s="63"/>
      <c r="Y3006" s="63"/>
      <c r="Z3006" s="63"/>
      <c r="AA3006" s="63"/>
      <c r="AB3006" s="63"/>
      <c r="AC3006" s="63"/>
    </row>
    <row r="3007" spans="1:29" ht="15.75" customHeight="1" x14ac:dyDescent="0.25">
      <c r="A3007" s="108">
        <v>46112</v>
      </c>
      <c r="B3007" s="128">
        <v>118</v>
      </c>
      <c r="C3007" s="49" t="s">
        <v>19</v>
      </c>
      <c r="D3007" s="110" t="str">
        <f>IF(ISBLANK($B3007),"",IFERROR(VLOOKUP($B3007,ESTOQUE!$B$2:$D$97168,3,FALSE),"Produto não cadastrado"))</f>
        <v>MACACÃO DE PROTEÇÃO TYVEK</v>
      </c>
      <c r="E3007" s="99" t="str">
        <f>_xlfn.XLOOKUP(B3007,ESTOQUE!B:B,ESTOQUE!G:G,"",0)</f>
        <v>UND</v>
      </c>
      <c r="F3007" s="99">
        <v>5</v>
      </c>
      <c r="G3007" s="146"/>
      <c r="H3007" s="146"/>
      <c r="I3007" s="147"/>
      <c r="J3007" s="147"/>
      <c r="K3007" s="63"/>
      <c r="L3007" s="63"/>
      <c r="M3007" s="63"/>
      <c r="N3007" s="63"/>
      <c r="O3007" s="63"/>
      <c r="P3007" s="63"/>
      <c r="Q3007" s="63"/>
      <c r="R3007" s="63"/>
      <c r="S3007" s="63"/>
      <c r="T3007" s="63"/>
      <c r="U3007" s="63"/>
      <c r="V3007" s="63"/>
      <c r="W3007" s="63"/>
      <c r="X3007" s="63"/>
      <c r="Y3007" s="63"/>
      <c r="Z3007" s="63"/>
      <c r="AA3007" s="63"/>
      <c r="AB3007" s="63"/>
      <c r="AC3007" s="63"/>
    </row>
    <row r="3008" spans="1:29" ht="15.75" customHeight="1" x14ac:dyDescent="0.25">
      <c r="A3008" s="108">
        <v>46114</v>
      </c>
      <c r="B3008" s="153">
        <v>2</v>
      </c>
      <c r="C3008" s="136" t="s">
        <v>19</v>
      </c>
      <c r="D3008" s="110" t="str">
        <f>IF(ISBLANK($B3008),"",IFERROR(VLOOKUP($B3008,ESTOQUE!$B$2:$D$97168,3,FALSE),"Produto não cadastrado"))</f>
        <v>AVENTAL DE RASPA TAM 1X60MT</v>
      </c>
      <c r="E3008" s="99" t="str">
        <f>_xlfn.XLOOKUP(B3008,ESTOQUE!B:B,ESTOQUE!G:G,"",0)</f>
        <v>UND</v>
      </c>
      <c r="F3008" s="158">
        <v>1</v>
      </c>
      <c r="L3008" s="63"/>
      <c r="M3008" s="63"/>
      <c r="N3008" s="63"/>
      <c r="O3008" s="63"/>
      <c r="P3008" s="63"/>
      <c r="Q3008" s="63"/>
      <c r="R3008" s="63"/>
      <c r="S3008" s="63"/>
      <c r="T3008" s="63"/>
      <c r="U3008" s="63"/>
      <c r="V3008" s="63"/>
      <c r="W3008" s="63"/>
      <c r="X3008" s="63"/>
      <c r="Y3008" s="63"/>
      <c r="Z3008" s="63"/>
      <c r="AA3008" s="63"/>
      <c r="AB3008" s="63"/>
      <c r="AC3008" s="63"/>
    </row>
    <row r="3009" spans="1:29" ht="15.75" customHeight="1" x14ac:dyDescent="0.25">
      <c r="A3009" s="108">
        <v>46114</v>
      </c>
      <c r="B3009" s="153">
        <v>228</v>
      </c>
      <c r="C3009" s="136" t="s">
        <v>19</v>
      </c>
      <c r="D3009" s="110" t="str">
        <f>IF(ISBLANK($B3009),"",IFERROR(VLOOKUP($B3009,ESTOQUE!$B$2:$D$97168,3,FALSE),"Produto não cadastrado"))</f>
        <v xml:space="preserve">BALACLAVA  </v>
      </c>
      <c r="E3009" s="99" t="str">
        <f>_xlfn.XLOOKUP(B3009,ESTOQUE!B:B,ESTOQUE!G:G,"",0)</f>
        <v>UND</v>
      </c>
      <c r="F3009" s="158">
        <v>7</v>
      </c>
      <c r="L3009" s="63"/>
      <c r="M3009" s="63"/>
      <c r="N3009" s="63"/>
      <c r="O3009" s="63"/>
      <c r="P3009" s="63"/>
      <c r="Q3009" s="63"/>
      <c r="R3009" s="63"/>
      <c r="S3009" s="63"/>
      <c r="T3009" s="63"/>
      <c r="U3009" s="63"/>
      <c r="V3009" s="63"/>
      <c r="W3009" s="63"/>
      <c r="X3009" s="63"/>
      <c r="Y3009" s="63"/>
      <c r="Z3009" s="63"/>
      <c r="AA3009" s="63"/>
      <c r="AB3009" s="63"/>
      <c r="AC3009" s="63"/>
    </row>
    <row r="3010" spans="1:29" ht="15.75" customHeight="1" x14ac:dyDescent="0.25">
      <c r="A3010" s="108">
        <v>46114</v>
      </c>
      <c r="B3010" s="153">
        <v>171</v>
      </c>
      <c r="C3010" s="136" t="s">
        <v>19</v>
      </c>
      <c r="D3010" s="110" t="str">
        <f>IF(ISBLANK($B3010),"",IFERROR(VLOOKUP($B3010,ESTOQUE!$B$2:$D$97168,3,FALSE),"Produto não cadastrado"))</f>
        <v>BOTA PVC CANO CURTO Nº 40</v>
      </c>
      <c r="E3010" s="99" t="str">
        <f>_xlfn.XLOOKUP(B3010,ESTOQUE!B:B,ESTOQUE!G:G,"",0)</f>
        <v>PAR</v>
      </c>
      <c r="F3010" s="158">
        <v>1</v>
      </c>
      <c r="L3010" s="63"/>
      <c r="M3010" s="63"/>
      <c r="N3010" s="63"/>
      <c r="O3010" s="63"/>
      <c r="P3010" s="63"/>
      <c r="Q3010" s="63"/>
      <c r="R3010" s="63"/>
      <c r="S3010" s="63"/>
      <c r="T3010" s="63"/>
      <c r="U3010" s="63"/>
      <c r="V3010" s="63"/>
      <c r="W3010" s="63"/>
      <c r="X3010" s="63"/>
      <c r="Y3010" s="63"/>
      <c r="Z3010" s="63"/>
      <c r="AA3010" s="63"/>
      <c r="AB3010" s="63"/>
      <c r="AC3010" s="63"/>
    </row>
    <row r="3011" spans="1:29" ht="15.75" customHeight="1" x14ac:dyDescent="0.25">
      <c r="A3011" s="108">
        <v>46114</v>
      </c>
      <c r="B3011" s="153">
        <v>36</v>
      </c>
      <c r="C3011" s="136" t="s">
        <v>19</v>
      </c>
      <c r="D3011" s="110" t="str">
        <f>IF(ISBLANK($B3011),"",IFERROR(VLOOKUP($B3011,ESTOQUE!$B$2:$D$97168,3,FALSE),"Produto não cadastrado"))</f>
        <v>BOTINA OP. BICO PVC Nº 38</v>
      </c>
      <c r="E3011" s="99" t="str">
        <f>_xlfn.XLOOKUP(B3011,ESTOQUE!B:B,ESTOQUE!G:G,"",0)</f>
        <v>PAR</v>
      </c>
      <c r="F3011" s="158">
        <v>1</v>
      </c>
      <c r="L3011" s="63"/>
      <c r="M3011" s="63"/>
      <c r="N3011" s="63"/>
      <c r="O3011" s="63"/>
      <c r="P3011" s="63"/>
      <c r="Q3011" s="63"/>
      <c r="R3011" s="63"/>
      <c r="S3011" s="63"/>
      <c r="T3011" s="63"/>
      <c r="U3011" s="63"/>
      <c r="V3011" s="63"/>
      <c r="W3011" s="63"/>
      <c r="X3011" s="63"/>
      <c r="Y3011" s="63"/>
      <c r="Z3011" s="63"/>
      <c r="AA3011" s="63"/>
      <c r="AB3011" s="63"/>
      <c r="AC3011" s="63"/>
    </row>
    <row r="3012" spans="1:29" ht="15.75" customHeight="1" x14ac:dyDescent="0.25">
      <c r="A3012" s="108">
        <v>46114</v>
      </c>
      <c r="B3012" s="153">
        <v>217</v>
      </c>
      <c r="C3012" s="136" t="s">
        <v>19</v>
      </c>
      <c r="D3012" s="110" t="str">
        <f>IF(ISBLANK($B3012),"",IFERROR(VLOOKUP($B3012,ESTOQUE!$B$2:$D$97168,3,FALSE),"Produto não cadastrado"))</f>
        <v>BOTINA SEGURANÇA METATARSO  40</v>
      </c>
      <c r="E3012" s="99" t="str">
        <f>_xlfn.XLOOKUP(B3012,ESTOQUE!B:B,ESTOQUE!G:G,"",0)</f>
        <v>PAR</v>
      </c>
      <c r="F3012" s="158">
        <v>1</v>
      </c>
      <c r="L3012" s="63"/>
      <c r="M3012" s="63"/>
      <c r="N3012" s="63"/>
      <c r="O3012" s="63"/>
      <c r="P3012" s="63"/>
      <c r="Q3012" s="63"/>
      <c r="R3012" s="63"/>
      <c r="S3012" s="63"/>
      <c r="T3012" s="63"/>
      <c r="U3012" s="63"/>
      <c r="V3012" s="63"/>
      <c r="W3012" s="63"/>
      <c r="X3012" s="63"/>
      <c r="Y3012" s="63"/>
      <c r="Z3012" s="63"/>
      <c r="AA3012" s="63"/>
      <c r="AB3012" s="63"/>
      <c r="AC3012" s="63"/>
    </row>
    <row r="3013" spans="1:29" ht="15.75" customHeight="1" x14ac:dyDescent="0.25">
      <c r="A3013" s="108">
        <v>46114</v>
      </c>
      <c r="B3013" s="153">
        <v>218</v>
      </c>
      <c r="C3013" s="136" t="s">
        <v>19</v>
      </c>
      <c r="D3013" s="110" t="str">
        <f>IF(ISBLANK($B3013),"",IFERROR(VLOOKUP($B3013,ESTOQUE!$B$2:$D$97168,3,FALSE),"Produto não cadastrado"))</f>
        <v>BOTINA SEGURANÇA METATARSO  41</v>
      </c>
      <c r="E3013" s="99" t="str">
        <f>_xlfn.XLOOKUP(B3013,ESTOQUE!B:B,ESTOQUE!G:G,"",0)</f>
        <v>PAR</v>
      </c>
      <c r="F3013" s="158">
        <v>2</v>
      </c>
      <c r="L3013" s="63"/>
      <c r="M3013" s="63"/>
      <c r="N3013" s="63"/>
      <c r="O3013" s="63"/>
      <c r="P3013" s="63"/>
      <c r="Q3013" s="63"/>
      <c r="R3013" s="63"/>
      <c r="S3013" s="63"/>
      <c r="T3013" s="63"/>
      <c r="U3013" s="63"/>
      <c r="V3013" s="63"/>
      <c r="W3013" s="63"/>
      <c r="X3013" s="63"/>
      <c r="Y3013" s="63"/>
      <c r="Z3013" s="63"/>
      <c r="AA3013" s="63"/>
      <c r="AB3013" s="63"/>
      <c r="AC3013" s="63"/>
    </row>
    <row r="3014" spans="1:29" ht="15.75" customHeight="1" x14ac:dyDescent="0.25">
      <c r="A3014" s="108">
        <v>46114</v>
      </c>
      <c r="B3014" s="153">
        <v>219</v>
      </c>
      <c r="C3014" s="136" t="s">
        <v>19</v>
      </c>
      <c r="D3014" s="110" t="str">
        <f>IF(ISBLANK($B3014),"",IFERROR(VLOOKUP($B3014,ESTOQUE!$B$2:$D$97168,3,FALSE),"Produto não cadastrado"))</f>
        <v>BOTINA SEGURANÇA METATARSO  42</v>
      </c>
      <c r="E3014" s="99" t="str">
        <f>_xlfn.XLOOKUP(B3014,ESTOQUE!B:B,ESTOQUE!G:G,"",0)</f>
        <v>PAR</v>
      </c>
      <c r="F3014" s="158">
        <v>2</v>
      </c>
      <c r="L3014" s="63"/>
      <c r="M3014" s="63"/>
      <c r="N3014" s="63"/>
      <c r="O3014" s="63"/>
      <c r="P3014" s="63"/>
      <c r="Q3014" s="63"/>
      <c r="R3014" s="63"/>
      <c r="S3014" s="63"/>
      <c r="T3014" s="63"/>
      <c r="U3014" s="63"/>
      <c r="V3014" s="63"/>
      <c r="W3014" s="63"/>
      <c r="X3014" s="63"/>
      <c r="Y3014" s="63"/>
      <c r="Z3014" s="63"/>
      <c r="AA3014" s="63"/>
      <c r="AB3014" s="63"/>
      <c r="AC3014" s="63"/>
    </row>
    <row r="3015" spans="1:29" ht="15.75" customHeight="1" x14ac:dyDescent="0.25">
      <c r="A3015" s="108">
        <v>46114</v>
      </c>
      <c r="B3015" s="153">
        <v>221</v>
      </c>
      <c r="C3015" s="136" t="s">
        <v>19</v>
      </c>
      <c r="D3015" s="110" t="str">
        <f>IF(ISBLANK($B3015),"",IFERROR(VLOOKUP($B3015,ESTOQUE!$B$2:$D$97168,3,FALSE),"Produto não cadastrado"))</f>
        <v>BOTINA SEGURANÇA METATARSO  44</v>
      </c>
      <c r="E3015" s="99" t="str">
        <f>_xlfn.XLOOKUP(B3015,ESTOQUE!B:B,ESTOQUE!G:G,"",0)</f>
        <v>PAR</v>
      </c>
      <c r="F3015" s="158">
        <v>0</v>
      </c>
      <c r="L3015" s="63"/>
      <c r="M3015" s="63"/>
      <c r="N3015" s="63"/>
      <c r="O3015" s="63"/>
      <c r="P3015" s="63"/>
      <c r="Q3015" s="63"/>
      <c r="R3015" s="63"/>
      <c r="S3015" s="63"/>
      <c r="T3015" s="63"/>
      <c r="U3015" s="63"/>
      <c r="V3015" s="63"/>
      <c r="W3015" s="63"/>
      <c r="X3015" s="63"/>
      <c r="Y3015" s="63"/>
      <c r="Z3015" s="63"/>
      <c r="AA3015" s="63"/>
      <c r="AB3015" s="63"/>
      <c r="AC3015" s="63"/>
    </row>
    <row r="3016" spans="1:29" ht="15.75" customHeight="1" x14ac:dyDescent="0.25">
      <c r="A3016" s="108">
        <v>46114</v>
      </c>
      <c r="B3016" s="153">
        <v>46</v>
      </c>
      <c r="C3016" s="136" t="s">
        <v>19</v>
      </c>
      <c r="D3016" s="110" t="str">
        <f>IF(ISBLANK($B3016),"",IFERROR(VLOOKUP($B3016,ESTOQUE!$B$2:$D$97168,3,FALSE),"Produto não cadastrado"))</f>
        <v>CALÇA CINZA OP. C/ FAIXA REFLETIVA TAM: G</v>
      </c>
      <c r="E3016" s="99" t="str">
        <f>_xlfn.XLOOKUP(B3016,ESTOQUE!B:B,ESTOQUE!G:G,"",0)</f>
        <v>UND</v>
      </c>
      <c r="F3016" s="158">
        <v>2</v>
      </c>
      <c r="L3016" s="63"/>
      <c r="M3016" s="63"/>
      <c r="N3016" s="63"/>
      <c r="O3016" s="63"/>
      <c r="P3016" s="63"/>
      <c r="Q3016" s="63"/>
      <c r="R3016" s="63"/>
      <c r="S3016" s="63"/>
      <c r="T3016" s="63"/>
      <c r="U3016" s="63"/>
      <c r="V3016" s="63"/>
      <c r="W3016" s="63"/>
      <c r="X3016" s="63"/>
      <c r="Y3016" s="63"/>
      <c r="Z3016" s="63"/>
      <c r="AA3016" s="63"/>
      <c r="AB3016" s="63"/>
      <c r="AC3016" s="63"/>
    </row>
    <row r="3017" spans="1:29" ht="15.75" customHeight="1" x14ac:dyDescent="0.25">
      <c r="A3017" s="108">
        <v>46114</v>
      </c>
      <c r="B3017" s="153">
        <v>47</v>
      </c>
      <c r="C3017" s="136" t="s">
        <v>19</v>
      </c>
      <c r="D3017" s="110" t="str">
        <f>IF(ISBLANK($B3017),"",IFERROR(VLOOKUP($B3017,ESTOQUE!$B$2:$D$97168,3,FALSE),"Produto não cadastrado"))</f>
        <v>CALÇA CINZA OP. C/ FAIXA REFLETIVA TAM: GG</v>
      </c>
      <c r="E3017" s="99" t="str">
        <f>_xlfn.XLOOKUP(B3017,ESTOQUE!B:B,ESTOQUE!G:G,"",0)</f>
        <v>UND</v>
      </c>
      <c r="F3017" s="158">
        <v>1</v>
      </c>
      <c r="L3017" s="63"/>
      <c r="M3017" s="63"/>
      <c r="N3017" s="63"/>
      <c r="O3017" s="63"/>
      <c r="P3017" s="63"/>
      <c r="Q3017" s="63"/>
      <c r="R3017" s="63"/>
      <c r="S3017" s="63"/>
      <c r="T3017" s="63"/>
      <c r="U3017" s="63"/>
      <c r="V3017" s="63"/>
      <c r="W3017" s="63"/>
      <c r="X3017" s="63"/>
      <c r="Y3017" s="63"/>
      <c r="Z3017" s="63"/>
      <c r="AA3017" s="63"/>
      <c r="AB3017" s="63"/>
      <c r="AC3017" s="63"/>
    </row>
    <row r="3018" spans="1:29" ht="15.75" customHeight="1" x14ac:dyDescent="0.25">
      <c r="A3018" s="108">
        <v>46114</v>
      </c>
      <c r="B3018" s="153">
        <v>48</v>
      </c>
      <c r="C3018" s="136" t="s">
        <v>19</v>
      </c>
      <c r="D3018" s="110" t="str">
        <f>IF(ISBLANK($B3018),"",IFERROR(VLOOKUP($B3018,ESTOQUE!$B$2:$D$97168,3,FALSE),"Produto não cadastrado"))</f>
        <v>CALÇA CINZA OP. C/ FAIXA REFLETIVA TAM: M</v>
      </c>
      <c r="E3018" s="99" t="str">
        <f>_xlfn.XLOOKUP(B3018,ESTOQUE!B:B,ESTOQUE!G:G,"",0)</f>
        <v>UND</v>
      </c>
      <c r="F3018" s="158">
        <v>9</v>
      </c>
      <c r="L3018" s="63"/>
      <c r="M3018" s="63"/>
      <c r="N3018" s="63"/>
      <c r="O3018" s="63"/>
      <c r="P3018" s="63"/>
      <c r="Q3018" s="63"/>
      <c r="R3018" s="63"/>
      <c r="S3018" s="63"/>
      <c r="T3018" s="63"/>
      <c r="U3018" s="63"/>
      <c r="V3018" s="63"/>
      <c r="W3018" s="63"/>
      <c r="X3018" s="63"/>
      <c r="Y3018" s="63"/>
      <c r="Z3018" s="63"/>
      <c r="AA3018" s="63"/>
      <c r="AB3018" s="63"/>
      <c r="AC3018" s="63"/>
    </row>
    <row r="3019" spans="1:29" ht="15.75" customHeight="1" x14ac:dyDescent="0.25">
      <c r="A3019" s="108">
        <v>46114</v>
      </c>
      <c r="B3019" s="153">
        <v>49</v>
      </c>
      <c r="C3019" s="136" t="s">
        <v>19</v>
      </c>
      <c r="D3019" s="110" t="str">
        <f>IF(ISBLANK($B3019),"",IFERROR(VLOOKUP($B3019,ESTOQUE!$B$2:$D$97168,3,FALSE),"Produto não cadastrado"))</f>
        <v>CALÇA CINZA OP. C/ FAIXA REFLETIVA TAM: P</v>
      </c>
      <c r="E3019" s="99" t="str">
        <f>_xlfn.XLOOKUP(B3019,ESTOQUE!B:B,ESTOQUE!G:G,"",0)</f>
        <v>UND</v>
      </c>
      <c r="F3019" s="158">
        <v>8</v>
      </c>
      <c r="L3019" s="63"/>
      <c r="M3019" s="63"/>
      <c r="N3019" s="63"/>
      <c r="O3019" s="63"/>
      <c r="P3019" s="63"/>
      <c r="Q3019" s="63"/>
      <c r="R3019" s="63"/>
      <c r="S3019" s="63"/>
      <c r="T3019" s="63"/>
      <c r="U3019" s="63"/>
      <c r="V3019" s="63"/>
      <c r="W3019" s="63"/>
      <c r="X3019" s="63"/>
      <c r="Y3019" s="63"/>
      <c r="Z3019" s="63"/>
      <c r="AA3019" s="63"/>
      <c r="AB3019" s="63"/>
      <c r="AC3019" s="63"/>
    </row>
    <row r="3020" spans="1:29" ht="15.75" customHeight="1" x14ac:dyDescent="0.25">
      <c r="A3020" s="108">
        <v>46114</v>
      </c>
      <c r="B3020" s="153">
        <v>67</v>
      </c>
      <c r="C3020" s="136" t="s">
        <v>19</v>
      </c>
      <c r="D3020" s="110" t="str">
        <f>IF(ISBLANK($B3020),"",IFERROR(VLOOKUP($B3020,ESTOQUE!$B$2:$D$97168,3,FALSE),"Produto não cadastrado"))</f>
        <v>CAMISA LARANJA OP. C/ FAIXA REFLETIVA TAM: G</v>
      </c>
      <c r="E3020" s="99" t="str">
        <f>_xlfn.XLOOKUP(B3020,ESTOQUE!B:B,ESTOQUE!G:G,"",0)</f>
        <v>UND</v>
      </c>
      <c r="F3020" s="158">
        <v>3</v>
      </c>
      <c r="L3020" s="63"/>
      <c r="M3020" s="63"/>
      <c r="N3020" s="63"/>
      <c r="O3020" s="63"/>
      <c r="P3020" s="63"/>
      <c r="Q3020" s="63"/>
      <c r="R3020" s="63"/>
      <c r="S3020" s="63"/>
      <c r="T3020" s="63"/>
      <c r="U3020" s="63"/>
      <c r="V3020" s="63"/>
      <c r="W3020" s="63"/>
      <c r="X3020" s="63"/>
      <c r="Y3020" s="63"/>
      <c r="Z3020" s="63"/>
      <c r="AA3020" s="63"/>
      <c r="AB3020" s="63"/>
      <c r="AC3020" s="63"/>
    </row>
    <row r="3021" spans="1:29" ht="15.75" customHeight="1" x14ac:dyDescent="0.25">
      <c r="A3021" s="108">
        <v>46114</v>
      </c>
      <c r="B3021" s="153">
        <v>68</v>
      </c>
      <c r="C3021" s="136" t="s">
        <v>19</v>
      </c>
      <c r="D3021" s="110" t="str">
        <f>IF(ISBLANK($B3021),"",IFERROR(VLOOKUP($B3021,ESTOQUE!$B$2:$D$97168,3,FALSE),"Produto não cadastrado"))</f>
        <v>CAMISA LARANJA OP. C/ FAIXA REFLETIVA TAM: GG</v>
      </c>
      <c r="E3021" s="99" t="str">
        <f>_xlfn.XLOOKUP(B3021,ESTOQUE!B:B,ESTOQUE!G:G,"",0)</f>
        <v>UND</v>
      </c>
      <c r="F3021" s="158">
        <v>4</v>
      </c>
      <c r="L3021" s="63"/>
      <c r="M3021" s="63"/>
      <c r="N3021" s="63"/>
      <c r="O3021" s="63"/>
      <c r="P3021" s="63"/>
      <c r="Q3021" s="63"/>
      <c r="R3021" s="63"/>
      <c r="S3021" s="63"/>
      <c r="T3021" s="63"/>
      <c r="U3021" s="63"/>
      <c r="V3021" s="63"/>
      <c r="W3021" s="63"/>
      <c r="X3021" s="63"/>
      <c r="Y3021" s="63"/>
      <c r="Z3021" s="63"/>
      <c r="AA3021" s="63"/>
      <c r="AB3021" s="63"/>
      <c r="AC3021" s="63"/>
    </row>
    <row r="3022" spans="1:29" ht="15.75" customHeight="1" x14ac:dyDescent="0.25">
      <c r="A3022" s="108">
        <v>46114</v>
      </c>
      <c r="B3022" s="153">
        <v>69</v>
      </c>
      <c r="C3022" s="136" t="s">
        <v>19</v>
      </c>
      <c r="D3022" s="110" t="str">
        <f>IF(ISBLANK($B3022),"",IFERROR(VLOOKUP($B3022,ESTOQUE!$B$2:$D$97168,3,FALSE),"Produto não cadastrado"))</f>
        <v>CAMISA LARANJA OP. C/ FAIXA REFLETIVA TAM: M</v>
      </c>
      <c r="E3022" s="99" t="str">
        <f>_xlfn.XLOOKUP(B3022,ESTOQUE!B:B,ESTOQUE!G:G,"",0)</f>
        <v>UND</v>
      </c>
      <c r="F3022" s="158">
        <v>9</v>
      </c>
      <c r="L3022" s="63"/>
      <c r="M3022" s="63"/>
      <c r="N3022" s="63"/>
      <c r="O3022" s="63"/>
      <c r="P3022" s="63"/>
      <c r="Q3022" s="63"/>
      <c r="R3022" s="63"/>
      <c r="S3022" s="63"/>
      <c r="T3022" s="63"/>
      <c r="U3022" s="63"/>
      <c r="V3022" s="63"/>
      <c r="W3022" s="63"/>
      <c r="X3022" s="63"/>
      <c r="Y3022" s="63"/>
      <c r="Z3022" s="63"/>
      <c r="AA3022" s="63"/>
      <c r="AB3022" s="63"/>
      <c r="AC3022" s="63"/>
    </row>
    <row r="3023" spans="1:29" ht="15.75" customHeight="1" x14ac:dyDescent="0.25">
      <c r="A3023" s="108">
        <v>46114</v>
      </c>
      <c r="B3023" s="153">
        <v>70</v>
      </c>
      <c r="C3023" s="136" t="s">
        <v>19</v>
      </c>
      <c r="D3023" s="110" t="str">
        <f>IF(ISBLANK($B3023),"",IFERROR(VLOOKUP($B3023,ESTOQUE!$B$2:$D$97168,3,FALSE),"Produto não cadastrado"))</f>
        <v>CAMISA LARANJA OP. C/ FAIXA REFLETIVA TAM: P</v>
      </c>
      <c r="E3023" s="99" t="str">
        <f>_xlfn.XLOOKUP(B3023,ESTOQUE!B:B,ESTOQUE!G:G,"",0)</f>
        <v>UND</v>
      </c>
      <c r="F3023" s="158">
        <v>7</v>
      </c>
      <c r="L3023" s="63"/>
      <c r="M3023" s="63"/>
      <c r="N3023" s="63"/>
      <c r="O3023" s="63"/>
      <c r="P3023" s="63"/>
      <c r="Q3023" s="63"/>
      <c r="R3023" s="63"/>
      <c r="S3023" s="63"/>
      <c r="T3023" s="63"/>
      <c r="U3023" s="63"/>
      <c r="V3023" s="63"/>
      <c r="W3023" s="63"/>
      <c r="X3023" s="63"/>
      <c r="Y3023" s="63"/>
      <c r="Z3023" s="63"/>
      <c r="AA3023" s="63"/>
      <c r="AB3023" s="63"/>
      <c r="AC3023" s="63"/>
    </row>
    <row r="3024" spans="1:29" ht="15.75" customHeight="1" x14ac:dyDescent="0.25">
      <c r="A3024" s="108">
        <v>46114</v>
      </c>
      <c r="B3024" s="153">
        <v>84</v>
      </c>
      <c r="C3024" s="136" t="s">
        <v>19</v>
      </c>
      <c r="D3024" s="110" t="str">
        <f>IF(ISBLANK($B3024),"",IFERROR(VLOOKUP($B3024,ESTOQUE!$B$2:$D$97168,3,FALSE),"Produto não cadastrado"))</f>
        <v>CAPACETE LIBUS MARROM</v>
      </c>
      <c r="E3024" s="99" t="str">
        <f>_xlfn.XLOOKUP(B3024,ESTOQUE!B:B,ESTOQUE!G:G,"",0)</f>
        <v>UND</v>
      </c>
      <c r="F3024" s="158">
        <v>1</v>
      </c>
      <c r="L3024" s="63"/>
      <c r="M3024" s="63"/>
      <c r="N3024" s="63"/>
      <c r="O3024" s="63"/>
      <c r="P3024" s="63"/>
      <c r="Q3024" s="63"/>
      <c r="R3024" s="63"/>
      <c r="S3024" s="63"/>
      <c r="T3024" s="63"/>
      <c r="U3024" s="63"/>
      <c r="V3024" s="63"/>
      <c r="W3024" s="63"/>
      <c r="X3024" s="63"/>
      <c r="Y3024" s="63"/>
      <c r="Z3024" s="63"/>
      <c r="AA3024" s="63"/>
      <c r="AB3024" s="63"/>
      <c r="AC3024" s="63"/>
    </row>
    <row r="3025" spans="1:29" ht="15.75" customHeight="1" x14ac:dyDescent="0.25">
      <c r="A3025" s="108">
        <v>46114</v>
      </c>
      <c r="B3025" s="153">
        <v>161</v>
      </c>
      <c r="C3025" s="136" t="s">
        <v>19</v>
      </c>
      <c r="D3025" s="110" t="str">
        <f>IF(ISBLANK($B3025),"",IFERROR(VLOOKUP($B3025,ESTOQUE!$B$2:$D$97168,3,FALSE),"Produto não cadastrado"))</f>
        <v>JUGULAR</v>
      </c>
      <c r="E3025" s="99" t="str">
        <f>_xlfn.XLOOKUP(B3025,ESTOQUE!B:B,ESTOQUE!G:G,"",0)</f>
        <v>UND</v>
      </c>
      <c r="F3025" s="158">
        <v>1</v>
      </c>
      <c r="L3025" s="63"/>
      <c r="M3025" s="63"/>
      <c r="N3025" s="63"/>
      <c r="O3025" s="63"/>
      <c r="P3025" s="63"/>
      <c r="Q3025" s="63"/>
      <c r="R3025" s="63"/>
      <c r="S3025" s="63"/>
      <c r="T3025" s="63"/>
      <c r="U3025" s="63"/>
      <c r="V3025" s="63"/>
      <c r="W3025" s="63"/>
      <c r="X3025" s="63"/>
      <c r="Y3025" s="63"/>
      <c r="Z3025" s="63"/>
      <c r="AA3025" s="63"/>
      <c r="AB3025" s="63"/>
      <c r="AC3025" s="63"/>
    </row>
    <row r="3026" spans="1:29" ht="15.75" customHeight="1" x14ac:dyDescent="0.25">
      <c r="A3026" s="108">
        <v>46114</v>
      </c>
      <c r="B3026" s="153">
        <v>110</v>
      </c>
      <c r="C3026" s="136" t="s">
        <v>19</v>
      </c>
      <c r="D3026" s="110" t="str">
        <f>IF(ISBLANK($B3026),"",IFERROR(VLOOKUP($B3026,ESTOQUE!$B$2:$D$97168,3,FALSE),"Produto não cadastrado"))</f>
        <v>LUVA DE RASPA CANO LONGO</v>
      </c>
      <c r="E3026" s="99" t="str">
        <f>_xlfn.XLOOKUP(B3026,ESTOQUE!B:B,ESTOQUE!G:G,"",0)</f>
        <v>PAR</v>
      </c>
      <c r="F3026" s="158">
        <v>2</v>
      </c>
      <c r="L3026" s="63"/>
      <c r="M3026" s="63"/>
      <c r="N3026" s="63"/>
      <c r="O3026" s="63"/>
      <c r="P3026" s="63"/>
      <c r="Q3026" s="63"/>
      <c r="R3026" s="63"/>
      <c r="S3026" s="63"/>
      <c r="T3026" s="63"/>
      <c r="U3026" s="63"/>
      <c r="V3026" s="63"/>
      <c r="W3026" s="63"/>
      <c r="X3026" s="63"/>
      <c r="Y3026" s="63"/>
      <c r="Z3026" s="63"/>
      <c r="AA3026" s="63"/>
      <c r="AB3026" s="63"/>
      <c r="AC3026" s="63"/>
    </row>
    <row r="3027" spans="1:29" ht="15.75" customHeight="1" x14ac:dyDescent="0.25">
      <c r="A3027" s="108">
        <v>46114</v>
      </c>
      <c r="B3027" s="153">
        <v>189</v>
      </c>
      <c r="C3027" s="136" t="s">
        <v>19</v>
      </c>
      <c r="D3027" s="110" t="str">
        <f>IF(ISBLANK($B3027),"",IFERROR(VLOOKUP($B3027,ESTOQUE!$B$2:$D$97168,3,FALSE),"Produto não cadastrado"))</f>
        <v xml:space="preserve">LUVA DE VAQUETA MISTA </v>
      </c>
      <c r="E3027" s="99" t="str">
        <f>_xlfn.XLOOKUP(B3027,ESTOQUE!B:B,ESTOQUE!G:G,"",0)</f>
        <v>UND</v>
      </c>
      <c r="F3027" s="158">
        <v>0</v>
      </c>
      <c r="L3027" s="63"/>
      <c r="M3027" s="63"/>
      <c r="N3027" s="63"/>
      <c r="O3027" s="63"/>
      <c r="P3027" s="63"/>
      <c r="Q3027" s="63"/>
      <c r="R3027" s="63"/>
      <c r="S3027" s="63"/>
      <c r="T3027" s="63"/>
      <c r="U3027" s="63"/>
      <c r="V3027" s="63"/>
      <c r="W3027" s="63"/>
      <c r="X3027" s="63"/>
      <c r="Y3027" s="63"/>
      <c r="Z3027" s="63"/>
      <c r="AA3027" s="63"/>
      <c r="AB3027" s="63"/>
      <c r="AC3027" s="63"/>
    </row>
    <row r="3028" spans="1:29" ht="15.75" customHeight="1" x14ac:dyDescent="0.25">
      <c r="A3028" s="108">
        <v>46114</v>
      </c>
      <c r="B3028" s="153">
        <v>117</v>
      </c>
      <c r="C3028" s="136" t="s">
        <v>19</v>
      </c>
      <c r="D3028" s="110" t="str">
        <f>IF(ISBLANK($B3028),"",IFERROR(VLOOKUP($B3028,ESTOQUE!$B$2:$D$97168,3,FALSE),"Produto não cadastrado"))</f>
        <v>LUVA PIGMENTADA</v>
      </c>
      <c r="E3028" s="99" t="str">
        <f>_xlfn.XLOOKUP(B3028,ESTOQUE!B:B,ESTOQUE!G:G,"",0)</f>
        <v>PAR</v>
      </c>
      <c r="F3028" s="158">
        <v>3</v>
      </c>
      <c r="L3028" s="63"/>
      <c r="M3028" s="63"/>
      <c r="N3028" s="63"/>
      <c r="O3028" s="63"/>
      <c r="P3028" s="63"/>
      <c r="Q3028" s="63"/>
      <c r="R3028" s="63"/>
      <c r="S3028" s="63"/>
      <c r="T3028" s="63"/>
      <c r="U3028" s="63"/>
      <c r="V3028" s="63"/>
      <c r="W3028" s="63"/>
      <c r="X3028" s="63"/>
      <c r="Y3028" s="63"/>
      <c r="Z3028" s="63"/>
      <c r="AA3028" s="63"/>
      <c r="AB3028" s="63"/>
      <c r="AC3028" s="63"/>
    </row>
    <row r="3029" spans="1:29" ht="15.75" customHeight="1" x14ac:dyDescent="0.25">
      <c r="A3029" s="108">
        <v>46114</v>
      </c>
      <c r="B3029" s="153">
        <v>267</v>
      </c>
      <c r="C3029" s="136" t="s">
        <v>19</v>
      </c>
      <c r="D3029" s="110" t="str">
        <f>IF(ISBLANK($B3029),"",IFERROR(VLOOKUP($B3029,ESTOQUE!$B$2:$D$97168,3,FALSE),"Produto não cadastrado"))</f>
        <v>LUVA POLIESTER ANTICORTE CANO LONGO</v>
      </c>
      <c r="E3029" s="99" t="str">
        <f>_xlfn.XLOOKUP(B3029,ESTOQUE!B:B,ESTOQUE!G:G,"",0)</f>
        <v>UND</v>
      </c>
      <c r="F3029" s="158">
        <v>4</v>
      </c>
      <c r="L3029" s="63"/>
      <c r="M3029" s="63"/>
      <c r="N3029" s="63"/>
      <c r="O3029" s="63"/>
      <c r="P3029" s="63"/>
      <c r="Q3029" s="63"/>
      <c r="R3029" s="63"/>
      <c r="S3029" s="63"/>
      <c r="T3029" s="63"/>
      <c r="U3029" s="63"/>
      <c r="V3029" s="63"/>
      <c r="W3029" s="63"/>
      <c r="X3029" s="63"/>
      <c r="Y3029" s="63"/>
      <c r="Z3029" s="63"/>
      <c r="AA3029" s="63"/>
      <c r="AB3029" s="63"/>
      <c r="AC3029" s="63"/>
    </row>
    <row r="3030" spans="1:29" ht="15.75" customHeight="1" x14ac:dyDescent="0.25">
      <c r="A3030" s="108">
        <v>46114</v>
      </c>
      <c r="B3030" s="153">
        <v>144</v>
      </c>
      <c r="C3030" s="136" t="s">
        <v>19</v>
      </c>
      <c r="D3030" s="110" t="str">
        <f>IF(ISBLANK($B3030),"",IFERROR(VLOOKUP($B3030,ESTOQUE!$B$2:$D$97168,3,FALSE),"Produto não cadastrado"))</f>
        <v>MASCARA PFF2-S C/ FILTRO</v>
      </c>
      <c r="E3030" s="99" t="str">
        <f>_xlfn.XLOOKUP(B3030,ESTOQUE!B:B,ESTOQUE!G:G,"",0)</f>
        <v>UND</v>
      </c>
      <c r="F3030" s="158">
        <v>26</v>
      </c>
      <c r="L3030" s="63"/>
      <c r="M3030" s="63"/>
      <c r="N3030" s="63"/>
      <c r="O3030" s="63"/>
      <c r="P3030" s="63"/>
      <c r="Q3030" s="63"/>
      <c r="R3030" s="63"/>
      <c r="S3030" s="63"/>
      <c r="T3030" s="63"/>
      <c r="U3030" s="63"/>
      <c r="V3030" s="63"/>
      <c r="W3030" s="63"/>
      <c r="X3030" s="63"/>
      <c r="Y3030" s="63"/>
      <c r="Z3030" s="63"/>
      <c r="AA3030" s="63"/>
      <c r="AB3030" s="63"/>
      <c r="AC3030" s="63"/>
    </row>
    <row r="3031" spans="1:29" ht="15.75" customHeight="1" x14ac:dyDescent="0.25">
      <c r="A3031" s="108">
        <v>46114</v>
      </c>
      <c r="B3031" s="153">
        <v>126</v>
      </c>
      <c r="C3031" s="136" t="s">
        <v>19</v>
      </c>
      <c r="D3031" s="110" t="str">
        <f>IF(ISBLANK($B3031),"",IFERROR(VLOOKUP($B3031,ESTOQUE!$B$2:$D$97168,3,FALSE),"Produto não cadastrado"))</f>
        <v>OCULOS DE PROTEÇÃO ESCURO</v>
      </c>
      <c r="E3031" s="99" t="str">
        <f>_xlfn.XLOOKUP(B3031,ESTOQUE!B:B,ESTOQUE!G:G,"",0)</f>
        <v>UND</v>
      </c>
      <c r="F3031" s="158">
        <v>6</v>
      </c>
      <c r="L3031" s="63"/>
      <c r="M3031" s="63"/>
      <c r="N3031" s="63"/>
      <c r="O3031" s="63"/>
      <c r="P3031" s="63"/>
      <c r="Q3031" s="63"/>
      <c r="R3031" s="63"/>
      <c r="S3031" s="63"/>
      <c r="T3031" s="63"/>
      <c r="U3031" s="63"/>
      <c r="V3031" s="63"/>
      <c r="W3031" s="63"/>
      <c r="X3031" s="63"/>
      <c r="Y3031" s="63"/>
      <c r="Z3031" s="63"/>
      <c r="AA3031" s="63"/>
      <c r="AB3031" s="63"/>
      <c r="AC3031" s="63"/>
    </row>
    <row r="3032" spans="1:29" ht="15.75" customHeight="1" x14ac:dyDescent="0.25">
      <c r="A3032" s="108">
        <v>46114</v>
      </c>
      <c r="B3032" s="153">
        <v>124</v>
      </c>
      <c r="C3032" s="136" t="s">
        <v>19</v>
      </c>
      <c r="D3032" s="110" t="str">
        <f>IF(ISBLANK($B3032),"",IFERROR(VLOOKUP($B3032,ESTOQUE!$B$2:$D$97168,3,FALSE),"Produto não cadastrado"))</f>
        <v xml:space="preserve">OCULOS DE PROTEÇÃO INCOLOR </v>
      </c>
      <c r="E3032" s="99" t="str">
        <f>_xlfn.XLOOKUP(B3032,ESTOQUE!B:B,ESTOQUE!G:G,"",0)</f>
        <v>UND</v>
      </c>
      <c r="F3032" s="158">
        <v>2</v>
      </c>
      <c r="L3032" s="63"/>
      <c r="M3032" s="63"/>
      <c r="N3032" s="63"/>
      <c r="O3032" s="63"/>
      <c r="P3032" s="63"/>
      <c r="Q3032" s="63"/>
      <c r="R3032" s="63"/>
      <c r="S3032" s="63"/>
      <c r="T3032" s="63"/>
      <c r="U3032" s="63"/>
      <c r="V3032" s="63"/>
      <c r="W3032" s="63"/>
      <c r="X3032" s="63"/>
      <c r="Y3032" s="63"/>
      <c r="Z3032" s="63"/>
      <c r="AA3032" s="63"/>
      <c r="AB3032" s="63"/>
      <c r="AC3032" s="63"/>
    </row>
    <row r="3033" spans="1:29" ht="15.75" customHeight="1" x14ac:dyDescent="0.25">
      <c r="A3033" s="108">
        <v>46114</v>
      </c>
      <c r="B3033" s="153">
        <v>130</v>
      </c>
      <c r="C3033" s="136" t="s">
        <v>19</v>
      </c>
      <c r="D3033" s="110" t="str">
        <f>IF(ISBLANK($B3033),"",IFERROR(VLOOKUP($B3033,ESTOQUE!$B$2:$D$97168,3,FALSE),"Produto não cadastrado"))</f>
        <v>PROTETOR AUDITIVO TIPO CONCHA L-300</v>
      </c>
      <c r="E3033" s="99" t="str">
        <f>_xlfn.XLOOKUP(B3033,ESTOQUE!B:B,ESTOQUE!G:G,"",0)</f>
        <v>UND</v>
      </c>
      <c r="F3033" s="158">
        <v>1</v>
      </c>
      <c r="L3033" s="63"/>
      <c r="M3033" s="63"/>
      <c r="N3033" s="63"/>
      <c r="O3033" s="63"/>
      <c r="P3033" s="63"/>
      <c r="Q3033" s="63"/>
      <c r="R3033" s="63"/>
      <c r="S3033" s="63"/>
      <c r="T3033" s="63"/>
      <c r="U3033" s="63"/>
      <c r="V3033" s="63"/>
      <c r="W3033" s="63"/>
      <c r="X3033" s="63"/>
      <c r="Y3033" s="63"/>
      <c r="Z3033" s="63"/>
      <c r="AA3033" s="63"/>
      <c r="AB3033" s="63"/>
      <c r="AC3033" s="63"/>
    </row>
    <row r="3034" spans="1:29" ht="15.75" customHeight="1" x14ac:dyDescent="0.25">
      <c r="A3034" s="108">
        <v>46114</v>
      </c>
      <c r="B3034" s="153">
        <v>137</v>
      </c>
      <c r="C3034" s="136" t="s">
        <v>19</v>
      </c>
      <c r="D3034" s="110" t="str">
        <f>IF(ISBLANK($B3034),"",IFERROR(VLOOKUP($B3034,ESTOQUE!$B$2:$D$97168,3,FALSE),"Produto não cadastrado"))</f>
        <v xml:space="preserve">TOUCA ARABE </v>
      </c>
      <c r="E3034" s="99" t="str">
        <f>_xlfn.XLOOKUP(B3034,ESTOQUE!B:B,ESTOQUE!G:G,"",0)</f>
        <v>UND</v>
      </c>
      <c r="F3034" s="158">
        <v>1</v>
      </c>
      <c r="L3034" s="63"/>
      <c r="M3034" s="63"/>
      <c r="N3034" s="63"/>
      <c r="O3034" s="63"/>
      <c r="P3034" s="63"/>
      <c r="Q3034" s="63"/>
      <c r="R3034" s="63"/>
      <c r="S3034" s="63"/>
      <c r="T3034" s="63"/>
      <c r="U3034" s="63"/>
      <c r="V3034" s="63"/>
      <c r="W3034" s="63"/>
      <c r="X3034" s="63"/>
      <c r="Y3034" s="63"/>
      <c r="Z3034" s="63"/>
      <c r="AA3034" s="63"/>
      <c r="AB3034" s="63"/>
      <c r="AC3034" s="63"/>
    </row>
    <row r="3035" spans="1:29" ht="15.75" customHeight="1" x14ac:dyDescent="0.25">
      <c r="A3035" s="108">
        <v>46116</v>
      </c>
      <c r="B3035" s="128">
        <v>10</v>
      </c>
      <c r="C3035" s="49" t="s">
        <v>19</v>
      </c>
      <c r="D3035" s="110" t="str">
        <f>IF(ISBLANK($B3035),"",IFERROR(VLOOKUP($B3035,ESTOQUE!$B$2:$D$97168,3,FALSE),"Produto não cadastrado"))</f>
        <v>BOTA PVC CANO LONGO Nº 42</v>
      </c>
      <c r="E3035" s="99" t="str">
        <f>_xlfn.XLOOKUP(B3035,ESTOQUE!B:B,ESTOQUE!G:G,"",0)</f>
        <v>PAR</v>
      </c>
      <c r="F3035" s="99">
        <v>1</v>
      </c>
      <c r="G3035" s="146"/>
      <c r="H3035" s="146"/>
      <c r="I3035" s="147"/>
      <c r="J3035" s="147"/>
      <c r="K3035" s="63"/>
      <c r="L3035" s="63"/>
      <c r="M3035" s="63"/>
      <c r="N3035" s="63"/>
      <c r="O3035" s="63"/>
      <c r="P3035" s="63"/>
      <c r="Q3035" s="63"/>
      <c r="R3035" s="63"/>
      <c r="S3035" s="63"/>
      <c r="T3035" s="63"/>
      <c r="U3035" s="63"/>
      <c r="V3035" s="63"/>
      <c r="W3035" s="63"/>
      <c r="X3035" s="63"/>
      <c r="Y3035" s="63"/>
      <c r="Z3035" s="63"/>
      <c r="AA3035" s="63"/>
      <c r="AB3035" s="63"/>
      <c r="AC3035" s="63"/>
    </row>
    <row r="3036" spans="1:29" ht="15.75" customHeight="1" x14ac:dyDescent="0.25">
      <c r="A3036" s="108">
        <v>46116</v>
      </c>
      <c r="B3036" s="99">
        <v>38</v>
      </c>
      <c r="C3036" s="49" t="s">
        <v>19</v>
      </c>
      <c r="D3036" s="110" t="str">
        <f>IF(ISBLANK($B3036),"",IFERROR(VLOOKUP($B3036,ESTOQUE!$B$2:$D$97168,3,FALSE),"Produto não cadastrado"))</f>
        <v>BOTINA OP. BICO PVC Nº 40</v>
      </c>
      <c r="E3036" s="99" t="str">
        <f>_xlfn.XLOOKUP(B3036,ESTOQUE!B:B,ESTOQUE!G:G,"",0)</f>
        <v>PAR</v>
      </c>
      <c r="F3036" s="99">
        <v>1</v>
      </c>
      <c r="G3036" s="146"/>
      <c r="H3036" s="146"/>
      <c r="I3036" s="147"/>
      <c r="J3036" s="147"/>
      <c r="K3036" s="63"/>
      <c r="L3036" s="63"/>
      <c r="M3036" s="63"/>
      <c r="N3036" s="63"/>
      <c r="O3036" s="63"/>
      <c r="P3036" s="63"/>
      <c r="Q3036" s="63"/>
      <c r="R3036" s="63"/>
      <c r="S3036" s="63"/>
      <c r="T3036" s="63"/>
      <c r="U3036" s="63"/>
      <c r="V3036" s="63"/>
      <c r="W3036" s="63"/>
      <c r="X3036" s="63"/>
      <c r="Y3036" s="63"/>
      <c r="Z3036" s="63"/>
      <c r="AA3036" s="63"/>
      <c r="AB3036" s="63"/>
      <c r="AC3036" s="63"/>
    </row>
    <row r="3037" spans="1:29" ht="15.75" customHeight="1" x14ac:dyDescent="0.25">
      <c r="A3037" s="108">
        <v>46116</v>
      </c>
      <c r="B3037" s="128">
        <v>39</v>
      </c>
      <c r="C3037" s="49" t="s">
        <v>19</v>
      </c>
      <c r="D3037" s="110" t="str">
        <f>IF(ISBLANK($B3037),"",IFERROR(VLOOKUP($B3037,ESTOQUE!$B$2:$D$97168,3,FALSE),"Produto não cadastrado"))</f>
        <v>BOTINA OP. BICO PVC Nº 41</v>
      </c>
      <c r="E3037" s="99" t="str">
        <f>_xlfn.XLOOKUP(B3037,ESTOQUE!B:B,ESTOQUE!G:G,"",0)</f>
        <v>PAR</v>
      </c>
      <c r="F3037" s="99">
        <v>0</v>
      </c>
      <c r="G3037" s="146"/>
      <c r="H3037" s="146"/>
      <c r="I3037" s="147"/>
      <c r="J3037" s="147"/>
      <c r="K3037" s="63"/>
      <c r="L3037" s="63"/>
      <c r="M3037" s="63"/>
      <c r="N3037" s="63"/>
      <c r="O3037" s="63"/>
      <c r="P3037" s="63"/>
      <c r="Q3037" s="63"/>
      <c r="R3037" s="63"/>
      <c r="S3037" s="63"/>
      <c r="T3037" s="63"/>
      <c r="U3037" s="63"/>
      <c r="V3037" s="63"/>
      <c r="W3037" s="63"/>
      <c r="X3037" s="63"/>
      <c r="Y3037" s="63"/>
      <c r="Z3037" s="63"/>
      <c r="AA3037" s="63"/>
      <c r="AB3037" s="63"/>
      <c r="AC3037" s="63"/>
    </row>
    <row r="3038" spans="1:29" ht="15.75" customHeight="1" x14ac:dyDescent="0.25">
      <c r="A3038" s="108">
        <v>46116</v>
      </c>
      <c r="B3038" s="156">
        <v>47</v>
      </c>
      <c r="C3038" s="49" t="s">
        <v>19</v>
      </c>
      <c r="D3038" s="110" t="str">
        <f>IF(ISBLANK($B3038),"",IFERROR(VLOOKUP($B3038,ESTOQUE!$B$2:$D$97168,3,FALSE),"Produto não cadastrado"))</f>
        <v>CALÇA CINZA OP. C/ FAIXA REFLETIVA TAM: GG</v>
      </c>
      <c r="E3038" s="99" t="str">
        <f>_xlfn.XLOOKUP(B3038,ESTOQUE!B:B,ESTOQUE!G:G,"",0)</f>
        <v>UND</v>
      </c>
      <c r="F3038" s="99">
        <v>1</v>
      </c>
      <c r="G3038" s="146"/>
      <c r="H3038" s="146"/>
      <c r="I3038" s="147"/>
      <c r="J3038" s="147"/>
      <c r="K3038" s="63"/>
      <c r="L3038" s="63"/>
      <c r="M3038" s="63"/>
      <c r="N3038" s="63"/>
      <c r="O3038" s="63"/>
      <c r="P3038" s="63"/>
      <c r="Q3038" s="63"/>
      <c r="R3038" s="63"/>
      <c r="S3038" s="63"/>
      <c r="T3038" s="63"/>
      <c r="U3038" s="63"/>
      <c r="V3038" s="63"/>
      <c r="W3038" s="63"/>
      <c r="X3038" s="63"/>
      <c r="Y3038" s="63"/>
      <c r="Z3038" s="63"/>
      <c r="AA3038" s="63"/>
      <c r="AB3038" s="63"/>
      <c r="AC3038" s="63"/>
    </row>
    <row r="3039" spans="1:29" ht="15.75" customHeight="1" x14ac:dyDescent="0.25">
      <c r="A3039" s="108">
        <v>46116</v>
      </c>
      <c r="B3039" s="128">
        <v>48</v>
      </c>
      <c r="C3039" s="49" t="s">
        <v>19</v>
      </c>
      <c r="D3039" s="110" t="str">
        <f>IF(ISBLANK($B3039),"",IFERROR(VLOOKUP($B3039,ESTOQUE!$B$2:$D$97168,3,FALSE),"Produto não cadastrado"))</f>
        <v>CALÇA CINZA OP. C/ FAIXA REFLETIVA TAM: M</v>
      </c>
      <c r="E3039" s="99" t="str">
        <f>_xlfn.XLOOKUP(B3039,ESTOQUE!B:B,ESTOQUE!G:G,"",0)</f>
        <v>UND</v>
      </c>
      <c r="F3039" s="99">
        <v>1</v>
      </c>
      <c r="G3039" s="146"/>
      <c r="H3039" s="146"/>
      <c r="I3039" s="147"/>
      <c r="J3039" s="147"/>
      <c r="K3039" s="63"/>
      <c r="L3039" s="63"/>
      <c r="M3039" s="63"/>
      <c r="N3039" s="63"/>
      <c r="O3039" s="63"/>
      <c r="P3039" s="63"/>
      <c r="Q3039" s="63"/>
      <c r="R3039" s="63"/>
      <c r="S3039" s="63"/>
      <c r="T3039" s="63"/>
      <c r="U3039" s="63"/>
      <c r="V3039" s="63"/>
      <c r="W3039" s="63"/>
      <c r="X3039" s="63"/>
      <c r="Y3039" s="63"/>
      <c r="Z3039" s="63"/>
      <c r="AA3039" s="63"/>
      <c r="AB3039" s="63"/>
      <c r="AC3039" s="63"/>
    </row>
    <row r="3040" spans="1:29" ht="15.75" customHeight="1" x14ac:dyDescent="0.25">
      <c r="A3040" s="108">
        <v>46116</v>
      </c>
      <c r="B3040" s="128">
        <v>49</v>
      </c>
      <c r="C3040" s="49" t="s">
        <v>19</v>
      </c>
      <c r="D3040" s="110" t="str">
        <f>IF(ISBLANK($B3040),"",IFERROR(VLOOKUP($B3040,ESTOQUE!$B$2:$D$97168,3,FALSE),"Produto não cadastrado"))</f>
        <v>CALÇA CINZA OP. C/ FAIXA REFLETIVA TAM: P</v>
      </c>
      <c r="E3040" s="99" t="str">
        <f>_xlfn.XLOOKUP(B3040,ESTOQUE!B:B,ESTOQUE!G:G,"",0)</f>
        <v>UND</v>
      </c>
      <c r="F3040" s="99">
        <v>2</v>
      </c>
      <c r="G3040" s="146"/>
      <c r="H3040" s="146"/>
      <c r="I3040" s="147"/>
      <c r="J3040" s="147"/>
      <c r="K3040" s="63"/>
      <c r="L3040" s="63"/>
      <c r="M3040" s="63"/>
      <c r="N3040" s="63"/>
      <c r="O3040" s="63"/>
      <c r="P3040" s="63"/>
      <c r="Q3040" s="63"/>
      <c r="R3040" s="63"/>
      <c r="S3040" s="63"/>
      <c r="T3040" s="63"/>
      <c r="U3040" s="63"/>
      <c r="V3040" s="63"/>
      <c r="W3040" s="63"/>
      <c r="X3040" s="63"/>
      <c r="Y3040" s="63"/>
      <c r="Z3040" s="63"/>
      <c r="AA3040" s="63"/>
      <c r="AB3040" s="63"/>
      <c r="AC3040" s="63"/>
    </row>
    <row r="3041" spans="1:29" ht="15.75" customHeight="1" x14ac:dyDescent="0.25">
      <c r="A3041" s="108">
        <v>46116</v>
      </c>
      <c r="B3041" s="128">
        <v>67</v>
      </c>
      <c r="C3041" s="49" t="s">
        <v>19</v>
      </c>
      <c r="D3041" s="110" t="str">
        <f>IF(ISBLANK($B3041),"",IFERROR(VLOOKUP($B3041,ESTOQUE!$B$2:$D$97168,3,FALSE),"Produto não cadastrado"))</f>
        <v>CAMISA LARANJA OP. C/ FAIXA REFLETIVA TAM: G</v>
      </c>
      <c r="E3041" s="99" t="str">
        <f>_xlfn.XLOOKUP(B3041,ESTOQUE!B:B,ESTOQUE!G:G,"",0)</f>
        <v>UND</v>
      </c>
      <c r="F3041" s="99">
        <v>3</v>
      </c>
      <c r="G3041" s="146"/>
      <c r="H3041" s="146"/>
      <c r="I3041" s="147"/>
      <c r="J3041" s="147"/>
      <c r="K3041" s="63"/>
      <c r="L3041" s="63"/>
      <c r="M3041" s="63"/>
      <c r="N3041" s="63"/>
      <c r="O3041" s="63"/>
      <c r="P3041" s="63"/>
      <c r="Q3041" s="63"/>
      <c r="R3041" s="63"/>
      <c r="S3041" s="63"/>
      <c r="T3041" s="63"/>
      <c r="U3041" s="63"/>
      <c r="V3041" s="63"/>
      <c r="W3041" s="63"/>
      <c r="X3041" s="63"/>
      <c r="Y3041" s="63"/>
      <c r="Z3041" s="63"/>
      <c r="AA3041" s="63"/>
      <c r="AB3041" s="63"/>
      <c r="AC3041" s="63"/>
    </row>
    <row r="3042" spans="1:29" ht="15.75" customHeight="1" x14ac:dyDescent="0.25">
      <c r="A3042" s="108">
        <v>46116</v>
      </c>
      <c r="B3042" s="128">
        <v>68</v>
      </c>
      <c r="C3042" s="49" t="s">
        <v>19</v>
      </c>
      <c r="D3042" s="110" t="str">
        <f>IF(ISBLANK($B3042),"",IFERROR(VLOOKUP($B3042,ESTOQUE!$B$2:$D$97168,3,FALSE),"Produto não cadastrado"))</f>
        <v>CAMISA LARANJA OP. C/ FAIXA REFLETIVA TAM: GG</v>
      </c>
      <c r="E3042" s="99" t="str">
        <f>_xlfn.XLOOKUP(B3042,ESTOQUE!B:B,ESTOQUE!G:G,"",0)</f>
        <v>UND</v>
      </c>
      <c r="F3042" s="99">
        <v>1</v>
      </c>
      <c r="G3042" s="146"/>
      <c r="H3042" s="146"/>
      <c r="I3042" s="147"/>
      <c r="J3042" s="147"/>
      <c r="K3042" s="63"/>
      <c r="L3042" s="63"/>
      <c r="M3042" s="63"/>
      <c r="N3042" s="63"/>
      <c r="O3042" s="63"/>
      <c r="P3042" s="63"/>
      <c r="Q3042" s="63"/>
      <c r="R3042" s="63"/>
      <c r="S3042" s="63"/>
      <c r="T3042" s="63"/>
      <c r="U3042" s="63"/>
      <c r="V3042" s="63"/>
      <c r="W3042" s="63"/>
      <c r="X3042" s="63"/>
      <c r="Y3042" s="63"/>
      <c r="Z3042" s="63"/>
      <c r="AA3042" s="63"/>
      <c r="AB3042" s="63"/>
      <c r="AC3042" s="63"/>
    </row>
    <row r="3043" spans="1:29" ht="15.75" customHeight="1" x14ac:dyDescent="0.25">
      <c r="A3043" s="108">
        <v>46116</v>
      </c>
      <c r="B3043" s="128">
        <v>69</v>
      </c>
      <c r="C3043" s="49" t="s">
        <v>19</v>
      </c>
      <c r="D3043" s="110" t="str">
        <f>IF(ISBLANK($B3043),"",IFERROR(VLOOKUP($B3043,ESTOQUE!$B$2:$D$97168,3,FALSE),"Produto não cadastrado"))</f>
        <v>CAMISA LARANJA OP. C/ FAIXA REFLETIVA TAM: M</v>
      </c>
      <c r="E3043" s="99" t="str">
        <f>_xlfn.XLOOKUP(B3043,ESTOQUE!B:B,ESTOQUE!G:G,"",0)</f>
        <v>UND</v>
      </c>
      <c r="F3043" s="99">
        <v>1</v>
      </c>
      <c r="G3043" s="146"/>
      <c r="H3043" s="146"/>
      <c r="I3043" s="147"/>
      <c r="J3043" s="147"/>
      <c r="K3043" s="63"/>
      <c r="L3043" s="63"/>
      <c r="M3043" s="63"/>
      <c r="N3043" s="63"/>
      <c r="O3043" s="63"/>
      <c r="P3043" s="63"/>
      <c r="Q3043" s="63"/>
      <c r="R3043" s="63"/>
      <c r="S3043" s="63"/>
      <c r="T3043" s="63"/>
      <c r="U3043" s="63"/>
      <c r="V3043" s="63"/>
      <c r="W3043" s="63"/>
      <c r="X3043" s="63"/>
      <c r="Y3043" s="63"/>
      <c r="Z3043" s="63"/>
      <c r="AA3043" s="63"/>
      <c r="AB3043" s="63"/>
      <c r="AC3043" s="63"/>
    </row>
    <row r="3044" spans="1:29" ht="15.75" customHeight="1" x14ac:dyDescent="0.25">
      <c r="A3044" s="108">
        <v>46116</v>
      </c>
      <c r="B3044" s="128">
        <v>70</v>
      </c>
      <c r="C3044" s="49" t="s">
        <v>19</v>
      </c>
      <c r="D3044" s="110" t="str">
        <f>IF(ISBLANK($B3044),"",IFERROR(VLOOKUP($B3044,ESTOQUE!$B$2:$D$97168,3,FALSE),"Produto não cadastrado"))</f>
        <v>CAMISA LARANJA OP. C/ FAIXA REFLETIVA TAM: P</v>
      </c>
      <c r="E3044" s="99" t="str">
        <f>_xlfn.XLOOKUP(B3044,ESTOQUE!B:B,ESTOQUE!G:G,"",0)</f>
        <v>UND</v>
      </c>
      <c r="F3044" s="99">
        <v>2</v>
      </c>
      <c r="G3044" s="146"/>
      <c r="H3044" s="146"/>
      <c r="I3044" s="147"/>
      <c r="J3044" s="147"/>
      <c r="K3044" s="63"/>
      <c r="L3044" s="63"/>
      <c r="M3044" s="63"/>
      <c r="N3044" s="63"/>
      <c r="O3044" s="63"/>
      <c r="P3044" s="63"/>
      <c r="Q3044" s="63"/>
      <c r="R3044" s="63"/>
      <c r="S3044" s="63"/>
      <c r="T3044" s="63"/>
      <c r="U3044" s="63"/>
      <c r="V3044" s="63"/>
      <c r="W3044" s="63"/>
      <c r="X3044" s="63"/>
      <c r="Y3044" s="63"/>
      <c r="Z3044" s="63"/>
      <c r="AA3044" s="63"/>
      <c r="AB3044" s="63"/>
      <c r="AC3044" s="63"/>
    </row>
    <row r="3045" spans="1:29" ht="15.75" customHeight="1" x14ac:dyDescent="0.25">
      <c r="A3045" s="108">
        <v>46116</v>
      </c>
      <c r="B3045" s="128">
        <v>140</v>
      </c>
      <c r="C3045" s="49" t="s">
        <v>19</v>
      </c>
      <c r="D3045" s="110" t="str">
        <f>IF(ISBLANK($B3045),"",IFERROR(VLOOKUP($B3045,ESTOQUE!$B$2:$D$97168,3,FALSE),"Produto não cadastrado"))</f>
        <v>CAPACETE LIBUS VERMELHO</v>
      </c>
      <c r="E3045" s="99" t="str">
        <f>_xlfn.XLOOKUP(B3045,ESTOQUE!B:B,ESTOQUE!G:G,"",0)</f>
        <v>UND</v>
      </c>
      <c r="F3045" s="99">
        <v>1</v>
      </c>
      <c r="G3045" s="146"/>
      <c r="H3045" s="146"/>
      <c r="I3045" s="147"/>
      <c r="J3045" s="147"/>
      <c r="K3045" s="63"/>
      <c r="L3045" s="63"/>
      <c r="M3045" s="63"/>
      <c r="N3045" s="63"/>
      <c r="O3045" s="63"/>
      <c r="P3045" s="63"/>
      <c r="Q3045" s="63"/>
      <c r="R3045" s="63"/>
      <c r="S3045" s="63"/>
      <c r="T3045" s="63"/>
      <c r="U3045" s="63"/>
      <c r="V3045" s="63"/>
      <c r="W3045" s="63"/>
      <c r="X3045" s="63"/>
      <c r="Y3045" s="63"/>
      <c r="Z3045" s="63"/>
      <c r="AA3045" s="63"/>
      <c r="AB3045" s="63"/>
      <c r="AC3045" s="63"/>
    </row>
    <row r="3046" spans="1:29" ht="15.75" customHeight="1" x14ac:dyDescent="0.25">
      <c r="A3046" s="108">
        <v>46116</v>
      </c>
      <c r="B3046" s="128">
        <v>141</v>
      </c>
      <c r="C3046" s="49" t="s">
        <v>19</v>
      </c>
      <c r="D3046" s="110" t="str">
        <f>IF(ISBLANK($B3046),"",IFERROR(VLOOKUP($B3046,ESTOQUE!$B$2:$D$97168,3,FALSE),"Produto não cadastrado"))</f>
        <v xml:space="preserve">LUVA DE VAQUETA </v>
      </c>
      <c r="E3046" s="99" t="str">
        <f>_xlfn.XLOOKUP(B3046,ESTOQUE!B:B,ESTOQUE!G:G,"",0)</f>
        <v>PAR</v>
      </c>
      <c r="F3046" s="99">
        <v>1</v>
      </c>
      <c r="G3046" s="146"/>
      <c r="H3046" s="146"/>
      <c r="I3046" s="147"/>
      <c r="J3046" s="147"/>
      <c r="K3046" s="63"/>
      <c r="L3046" s="63"/>
      <c r="M3046" s="63"/>
      <c r="N3046" s="63"/>
      <c r="O3046" s="63"/>
      <c r="P3046" s="63"/>
      <c r="Q3046" s="63"/>
      <c r="R3046" s="63"/>
      <c r="S3046" s="63"/>
      <c r="T3046" s="63"/>
      <c r="U3046" s="63"/>
      <c r="V3046" s="63"/>
      <c r="W3046" s="63"/>
      <c r="X3046" s="63"/>
      <c r="Y3046" s="63"/>
      <c r="Z3046" s="63"/>
      <c r="AA3046" s="63"/>
      <c r="AB3046" s="63"/>
      <c r="AC3046" s="63"/>
    </row>
    <row r="3047" spans="1:29" ht="15.75" customHeight="1" x14ac:dyDescent="0.25">
      <c r="A3047" s="108">
        <v>46116</v>
      </c>
      <c r="B3047" s="128">
        <v>111</v>
      </c>
      <c r="C3047" s="49" t="s">
        <v>19</v>
      </c>
      <c r="D3047" s="110" t="str">
        <f>IF(ISBLANK($B3047),"",IFERROR(VLOOKUP($B3047,ESTOQUE!$B$2:$D$97168,3,FALSE),"Produto não cadastrado"))</f>
        <v>LUVA DE VAQUETA MARROM</v>
      </c>
      <c r="E3047" s="99" t="str">
        <f>_xlfn.XLOOKUP(B3047,ESTOQUE!B:B,ESTOQUE!G:G,"",0)</f>
        <v>PAR</v>
      </c>
      <c r="F3047" s="99">
        <v>0</v>
      </c>
      <c r="G3047" s="146"/>
      <c r="H3047" s="146"/>
      <c r="I3047" s="147"/>
      <c r="J3047" s="147"/>
      <c r="K3047" s="63"/>
      <c r="L3047" s="63"/>
      <c r="M3047" s="63"/>
      <c r="N3047" s="63"/>
      <c r="O3047" s="63"/>
      <c r="P3047" s="63"/>
      <c r="Q3047" s="63"/>
      <c r="R3047" s="63"/>
      <c r="S3047" s="63"/>
      <c r="T3047" s="63"/>
      <c r="U3047" s="63"/>
      <c r="V3047" s="63"/>
      <c r="W3047" s="63"/>
      <c r="X3047" s="63"/>
      <c r="Y3047" s="63"/>
      <c r="Z3047" s="63"/>
      <c r="AA3047" s="63"/>
      <c r="AB3047" s="63"/>
      <c r="AC3047" s="63"/>
    </row>
    <row r="3048" spans="1:29" ht="15.75" customHeight="1" x14ac:dyDescent="0.25">
      <c r="A3048" s="108">
        <v>46116</v>
      </c>
      <c r="B3048" s="128">
        <v>189</v>
      </c>
      <c r="C3048" s="49" t="s">
        <v>19</v>
      </c>
      <c r="D3048" s="110" t="str">
        <f>IF(ISBLANK($B3048),"",IFERROR(VLOOKUP($B3048,ESTOQUE!$B$2:$D$97168,3,FALSE),"Produto não cadastrado"))</f>
        <v xml:space="preserve">LUVA DE VAQUETA MISTA </v>
      </c>
      <c r="E3048" s="99" t="str">
        <f>_xlfn.XLOOKUP(B3048,ESTOQUE!B:B,ESTOQUE!G:G,"",0)</f>
        <v>UND</v>
      </c>
      <c r="F3048" s="99">
        <v>3</v>
      </c>
      <c r="G3048" s="146"/>
      <c r="H3048" s="146"/>
      <c r="I3048" s="147"/>
      <c r="J3048" s="147"/>
      <c r="K3048" s="63"/>
      <c r="L3048" s="63"/>
      <c r="M3048" s="63"/>
      <c r="N3048" s="63"/>
      <c r="O3048" s="63"/>
      <c r="P3048" s="63"/>
      <c r="Q3048" s="63"/>
      <c r="R3048" s="63"/>
      <c r="S3048" s="63"/>
      <c r="T3048" s="63"/>
      <c r="U3048" s="63"/>
      <c r="V3048" s="63"/>
      <c r="W3048" s="63"/>
      <c r="X3048" s="63"/>
      <c r="Y3048" s="63"/>
      <c r="Z3048" s="63"/>
      <c r="AA3048" s="63"/>
      <c r="AB3048" s="63"/>
      <c r="AC3048" s="63"/>
    </row>
    <row r="3049" spans="1:29" ht="15.75" customHeight="1" x14ac:dyDescent="0.25">
      <c r="A3049" s="108">
        <v>46116</v>
      </c>
      <c r="B3049" s="128">
        <v>207</v>
      </c>
      <c r="C3049" s="49" t="s">
        <v>19</v>
      </c>
      <c r="D3049" s="110" t="str">
        <f>IF(ISBLANK($B3049),"",IFERROR(VLOOKUP($B3049,ESTOQUE!$B$2:$D$97168,3,FALSE),"Produto não cadastrado"))</f>
        <v>LUVA POLIESTER ANTICORTE BANHADA PU TAM 9</v>
      </c>
      <c r="E3049" s="99" t="str">
        <f>_xlfn.XLOOKUP(B3049,ESTOQUE!B:B,ESTOQUE!G:G,"",0)</f>
        <v>PAR</v>
      </c>
      <c r="F3049" s="99">
        <v>0</v>
      </c>
      <c r="G3049" s="146"/>
      <c r="H3049" s="146"/>
      <c r="I3049" s="147"/>
      <c r="J3049" s="147"/>
      <c r="K3049" s="63"/>
      <c r="L3049" s="63"/>
      <c r="M3049" s="63"/>
      <c r="N3049" s="63"/>
      <c r="O3049" s="63"/>
      <c r="P3049" s="63"/>
      <c r="Q3049" s="63"/>
      <c r="R3049" s="63"/>
      <c r="S3049" s="63"/>
      <c r="T3049" s="63"/>
      <c r="U3049" s="63"/>
      <c r="V3049" s="63"/>
      <c r="W3049" s="63"/>
      <c r="X3049" s="63"/>
      <c r="Y3049" s="63"/>
      <c r="Z3049" s="63"/>
      <c r="AA3049" s="63"/>
      <c r="AB3049" s="63"/>
      <c r="AC3049" s="63"/>
    </row>
    <row r="3050" spans="1:29" ht="15.75" customHeight="1" x14ac:dyDescent="0.25">
      <c r="A3050" s="108">
        <v>46116</v>
      </c>
      <c r="B3050" s="128">
        <v>126</v>
      </c>
      <c r="C3050" s="49" t="s">
        <v>19</v>
      </c>
      <c r="D3050" s="110" t="str">
        <f>IF(ISBLANK($B3050),"",IFERROR(VLOOKUP($B3050,ESTOQUE!$B$2:$D$97168,3,FALSE),"Produto não cadastrado"))</f>
        <v>OCULOS DE PROTEÇÃO ESCURO</v>
      </c>
      <c r="E3050" s="99" t="str">
        <f>_xlfn.XLOOKUP(B3050,ESTOQUE!B:B,ESTOQUE!G:G,"",0)</f>
        <v>UND</v>
      </c>
      <c r="F3050" s="99">
        <v>128</v>
      </c>
      <c r="G3050" s="146"/>
      <c r="H3050" s="146"/>
      <c r="I3050" s="147"/>
      <c r="J3050" s="147"/>
      <c r="K3050" s="63"/>
      <c r="L3050" s="63"/>
      <c r="M3050" s="63"/>
      <c r="N3050" s="63"/>
      <c r="O3050" s="63"/>
      <c r="P3050" s="63"/>
      <c r="Q3050" s="63"/>
      <c r="R3050" s="63"/>
      <c r="S3050" s="63"/>
      <c r="T3050" s="63"/>
      <c r="U3050" s="63"/>
      <c r="V3050" s="63"/>
      <c r="W3050" s="63"/>
      <c r="X3050" s="63"/>
      <c r="Y3050" s="63"/>
      <c r="Z3050" s="63"/>
      <c r="AA3050" s="63"/>
      <c r="AB3050" s="63"/>
      <c r="AC3050" s="63"/>
    </row>
    <row r="3051" spans="1:29" ht="15.75" customHeight="1" x14ac:dyDescent="0.25">
      <c r="A3051" s="108">
        <v>46116</v>
      </c>
      <c r="B3051" s="128">
        <v>137</v>
      </c>
      <c r="C3051" s="49" t="s">
        <v>19</v>
      </c>
      <c r="D3051" s="110" t="str">
        <f>IF(ISBLANK($B3051),"",IFERROR(VLOOKUP($B3051,ESTOQUE!$B$2:$D$97168,3,FALSE),"Produto não cadastrado"))</f>
        <v xml:space="preserve">TOUCA ARABE </v>
      </c>
      <c r="E3051" s="99" t="str">
        <f>_xlfn.XLOOKUP(B3051,ESTOQUE!B:B,ESTOQUE!G:G,"",0)</f>
        <v>UND</v>
      </c>
      <c r="F3051" s="99">
        <v>1</v>
      </c>
      <c r="G3051" s="146"/>
      <c r="H3051" s="146"/>
      <c r="I3051" s="147"/>
      <c r="J3051" s="147"/>
      <c r="K3051" s="63"/>
      <c r="L3051" s="63"/>
      <c r="M3051" s="63"/>
      <c r="N3051" s="63"/>
      <c r="O3051" s="63"/>
      <c r="P3051" s="63"/>
      <c r="Q3051" s="63"/>
      <c r="R3051" s="63"/>
      <c r="S3051" s="63"/>
      <c r="T3051" s="63"/>
      <c r="U3051" s="63"/>
      <c r="V3051" s="63"/>
      <c r="W3051" s="63"/>
      <c r="X3051" s="63"/>
      <c r="Y3051" s="63"/>
      <c r="Z3051" s="63"/>
      <c r="AA3051" s="63"/>
      <c r="AB3051" s="63"/>
      <c r="AC3051" s="63"/>
    </row>
    <row r="3052" spans="1:29" ht="15.75" customHeight="1" x14ac:dyDescent="0.25">
      <c r="A3052" s="108">
        <v>46116</v>
      </c>
      <c r="B3052" s="128">
        <v>144</v>
      </c>
      <c r="C3052" s="49" t="s">
        <v>19</v>
      </c>
      <c r="D3052" s="110" t="str">
        <f>IF(ISBLANK($B3052),"",IFERROR(VLOOKUP($B3052,ESTOQUE!$B$2:$D$97168,3,FALSE),"Produto não cadastrado"))</f>
        <v>MASCARA PFF2-S C/ FILTRO</v>
      </c>
      <c r="E3052" s="99" t="str">
        <f>_xlfn.XLOOKUP(B3052,ESTOQUE!B:B,ESTOQUE!G:G,"",0)</f>
        <v>UND</v>
      </c>
      <c r="F3052" s="99">
        <v>31</v>
      </c>
      <c r="G3052" s="146"/>
      <c r="H3052" s="146"/>
      <c r="I3052" s="147"/>
      <c r="J3052" s="147"/>
      <c r="K3052" s="63"/>
      <c r="L3052" s="63"/>
      <c r="M3052" s="63"/>
      <c r="N3052" s="63"/>
      <c r="O3052" s="63"/>
      <c r="P3052" s="63"/>
      <c r="Q3052" s="63"/>
      <c r="R3052" s="63"/>
      <c r="S3052" s="63"/>
      <c r="T3052" s="63"/>
      <c r="U3052" s="63"/>
      <c r="V3052" s="63"/>
      <c r="W3052" s="63"/>
      <c r="X3052" s="63"/>
      <c r="Y3052" s="63"/>
      <c r="Z3052" s="63"/>
      <c r="AA3052" s="63"/>
      <c r="AB3052" s="63"/>
      <c r="AC3052" s="63"/>
    </row>
    <row r="3053" spans="1:29" ht="15.75" customHeight="1" x14ac:dyDescent="0.25">
      <c r="A3053" s="108">
        <v>46117</v>
      </c>
      <c r="B3053" s="128">
        <v>46</v>
      </c>
      <c r="C3053" s="49" t="s">
        <v>19</v>
      </c>
      <c r="D3053" s="110" t="str">
        <f>IF(ISBLANK($B3053),"",IFERROR(VLOOKUP($B3053,ESTOQUE!$B$2:$D$97168,3,FALSE),"Produto não cadastrado"))</f>
        <v>CALÇA CINZA OP. C/ FAIXA REFLETIVA TAM: G</v>
      </c>
      <c r="E3053" s="99" t="str">
        <f>_xlfn.XLOOKUP(B3053,ESTOQUE!B:B,ESTOQUE!G:G,"",0)</f>
        <v>UND</v>
      </c>
      <c r="F3053" s="99">
        <v>8</v>
      </c>
      <c r="G3053" s="146"/>
      <c r="H3053" s="146"/>
      <c r="I3053" s="147"/>
      <c r="J3053" s="147"/>
      <c r="K3053" s="63"/>
      <c r="L3053" s="63"/>
      <c r="M3053" s="63"/>
      <c r="N3053" s="63"/>
      <c r="O3053" s="63"/>
      <c r="P3053" s="63"/>
      <c r="Q3053" s="63"/>
      <c r="R3053" s="63"/>
      <c r="S3053" s="63"/>
      <c r="T3053" s="63"/>
      <c r="U3053" s="63"/>
      <c r="V3053" s="63"/>
      <c r="W3053" s="63"/>
      <c r="X3053" s="63"/>
      <c r="Y3053" s="63"/>
      <c r="Z3053" s="63"/>
      <c r="AA3053" s="63"/>
      <c r="AB3053" s="63"/>
      <c r="AC3053" s="63"/>
    </row>
    <row r="3054" spans="1:29" ht="15.75" customHeight="1" x14ac:dyDescent="0.25">
      <c r="A3054" s="108">
        <v>46117</v>
      </c>
      <c r="B3054" s="128">
        <v>47</v>
      </c>
      <c r="C3054" s="49" t="s">
        <v>19</v>
      </c>
      <c r="D3054" s="110" t="str">
        <f>IF(ISBLANK($B3054),"",IFERROR(VLOOKUP($B3054,ESTOQUE!$B$2:$D$97168,3,FALSE),"Produto não cadastrado"))</f>
        <v>CALÇA CINZA OP. C/ FAIXA REFLETIVA TAM: GG</v>
      </c>
      <c r="E3054" s="99" t="str">
        <f>_xlfn.XLOOKUP(B3054,ESTOQUE!B:B,ESTOQUE!G:G,"",0)</f>
        <v>UND</v>
      </c>
      <c r="F3054" s="99">
        <v>2</v>
      </c>
      <c r="G3054" s="146"/>
      <c r="H3054" s="146"/>
      <c r="I3054" s="147"/>
      <c r="J3054" s="147"/>
      <c r="K3054" s="63"/>
      <c r="L3054" s="63"/>
      <c r="M3054" s="63"/>
      <c r="N3054" s="63"/>
      <c r="O3054" s="63"/>
      <c r="P3054" s="63"/>
      <c r="Q3054" s="63"/>
      <c r="R3054" s="63"/>
      <c r="S3054" s="63"/>
      <c r="T3054" s="63"/>
      <c r="U3054" s="63"/>
      <c r="V3054" s="63"/>
      <c r="W3054" s="63"/>
      <c r="X3054" s="63"/>
      <c r="Y3054" s="63"/>
      <c r="Z3054" s="63"/>
      <c r="AA3054" s="63"/>
      <c r="AB3054" s="63"/>
      <c r="AC3054" s="63"/>
    </row>
    <row r="3055" spans="1:29" ht="15.75" customHeight="1" x14ac:dyDescent="0.25">
      <c r="A3055" s="108">
        <v>46117</v>
      </c>
      <c r="B3055" s="128">
        <v>48</v>
      </c>
      <c r="C3055" s="49" t="s">
        <v>19</v>
      </c>
      <c r="D3055" s="110" t="str">
        <f>IF(ISBLANK($B3055),"",IFERROR(VLOOKUP($B3055,ESTOQUE!$B$2:$D$97168,3,FALSE),"Produto não cadastrado"))</f>
        <v>CALÇA CINZA OP. C/ FAIXA REFLETIVA TAM: M</v>
      </c>
      <c r="E3055" s="99" t="str">
        <f>_xlfn.XLOOKUP(B3055,ESTOQUE!B:B,ESTOQUE!G:G,"",0)</f>
        <v>UND</v>
      </c>
      <c r="F3055" s="99">
        <v>4</v>
      </c>
      <c r="G3055" s="146"/>
      <c r="H3055" s="146"/>
      <c r="I3055" s="147"/>
      <c r="J3055" s="147"/>
      <c r="K3055" s="63"/>
      <c r="L3055" s="63"/>
      <c r="M3055" s="63"/>
      <c r="N3055" s="63"/>
      <c r="O3055" s="63"/>
      <c r="P3055" s="63"/>
      <c r="Q3055" s="63"/>
      <c r="R3055" s="63"/>
      <c r="S3055" s="63"/>
      <c r="T3055" s="63"/>
      <c r="U3055" s="63"/>
      <c r="V3055" s="63"/>
      <c r="W3055" s="63"/>
      <c r="X3055" s="63"/>
      <c r="Y3055" s="63"/>
      <c r="Z3055" s="63"/>
      <c r="AA3055" s="63"/>
      <c r="AB3055" s="63"/>
      <c r="AC3055" s="63"/>
    </row>
    <row r="3056" spans="1:29" ht="15.75" customHeight="1" x14ac:dyDescent="0.25">
      <c r="A3056" s="108">
        <v>46117</v>
      </c>
      <c r="B3056" s="128">
        <v>57</v>
      </c>
      <c r="C3056" s="49" t="s">
        <v>19</v>
      </c>
      <c r="D3056" s="110" t="str">
        <f>IF(ISBLANK($B3056),"",IFERROR(VLOOKUP($B3056,ESTOQUE!$B$2:$D$97168,3,FALSE),"Produto não cadastrado"))</f>
        <v>CAMISA ADM FEMININA TAM: GG</v>
      </c>
      <c r="E3056" s="99" t="str">
        <f>_xlfn.XLOOKUP(B3056,ESTOQUE!B:B,ESTOQUE!G:G,"",0)</f>
        <v>UND</v>
      </c>
      <c r="F3056" s="99">
        <v>0</v>
      </c>
      <c r="G3056" s="146"/>
      <c r="H3056" s="146"/>
      <c r="I3056" s="147"/>
      <c r="J3056" s="147"/>
      <c r="K3056" s="63"/>
      <c r="L3056" s="63"/>
      <c r="M3056" s="63"/>
      <c r="N3056" s="63"/>
      <c r="O3056" s="63"/>
      <c r="P3056" s="63"/>
      <c r="Q3056" s="63"/>
      <c r="R3056" s="63"/>
      <c r="S3056" s="63"/>
      <c r="T3056" s="63"/>
      <c r="U3056" s="63"/>
      <c r="V3056" s="63"/>
      <c r="W3056" s="63"/>
      <c r="X3056" s="63"/>
      <c r="Y3056" s="63"/>
      <c r="Z3056" s="63"/>
      <c r="AA3056" s="63"/>
      <c r="AB3056" s="63"/>
      <c r="AC3056" s="63"/>
    </row>
    <row r="3057" spans="1:29" ht="15.75" customHeight="1" x14ac:dyDescent="0.25">
      <c r="A3057" s="108">
        <v>46117</v>
      </c>
      <c r="B3057" s="128">
        <v>67</v>
      </c>
      <c r="C3057" s="49" t="s">
        <v>19</v>
      </c>
      <c r="D3057" s="110" t="str">
        <f>IF(ISBLANK($B3057),"",IFERROR(VLOOKUP($B3057,ESTOQUE!$B$2:$D$97168,3,FALSE),"Produto não cadastrado"))</f>
        <v>CAMISA LARANJA OP. C/ FAIXA REFLETIVA TAM: G</v>
      </c>
      <c r="E3057" s="99" t="str">
        <f>_xlfn.XLOOKUP(B3057,ESTOQUE!B:B,ESTOQUE!G:G,"",0)</f>
        <v>UND</v>
      </c>
      <c r="F3057" s="99">
        <v>6</v>
      </c>
      <c r="G3057" s="146"/>
      <c r="H3057" s="146"/>
      <c r="I3057" s="147"/>
      <c r="J3057" s="147"/>
      <c r="K3057" s="63"/>
      <c r="L3057" s="63"/>
      <c r="M3057" s="63"/>
      <c r="N3057" s="63"/>
      <c r="O3057" s="63"/>
      <c r="P3057" s="63"/>
      <c r="Q3057" s="63"/>
      <c r="R3057" s="63"/>
      <c r="S3057" s="63"/>
      <c r="T3057" s="63"/>
      <c r="U3057" s="63"/>
      <c r="V3057" s="63"/>
      <c r="W3057" s="63"/>
      <c r="X3057" s="63"/>
      <c r="Y3057" s="63"/>
      <c r="Z3057" s="63"/>
      <c r="AA3057" s="63"/>
      <c r="AB3057" s="63"/>
      <c r="AC3057" s="63"/>
    </row>
    <row r="3058" spans="1:29" ht="15.75" customHeight="1" x14ac:dyDescent="0.25">
      <c r="A3058" s="108">
        <v>46117</v>
      </c>
      <c r="B3058" s="128">
        <v>68</v>
      </c>
      <c r="C3058" s="49" t="s">
        <v>19</v>
      </c>
      <c r="D3058" s="110" t="str">
        <f>IF(ISBLANK($B3058),"",IFERROR(VLOOKUP($B3058,ESTOQUE!$B$2:$D$97168,3,FALSE),"Produto não cadastrado"))</f>
        <v>CAMISA LARANJA OP. C/ FAIXA REFLETIVA TAM: GG</v>
      </c>
      <c r="E3058" s="99" t="str">
        <f>_xlfn.XLOOKUP(B3058,ESTOQUE!B:B,ESTOQUE!G:G,"",0)</f>
        <v>UND</v>
      </c>
      <c r="F3058" s="99">
        <v>2</v>
      </c>
      <c r="G3058" s="146"/>
      <c r="H3058" s="146"/>
      <c r="I3058" s="147"/>
      <c r="J3058" s="147"/>
      <c r="K3058" s="63"/>
      <c r="L3058" s="63"/>
      <c r="M3058" s="63"/>
      <c r="N3058" s="63"/>
      <c r="O3058" s="63"/>
      <c r="P3058" s="63"/>
      <c r="Q3058" s="63"/>
      <c r="R3058" s="63"/>
      <c r="S3058" s="63"/>
      <c r="T3058" s="63"/>
      <c r="U3058" s="63"/>
      <c r="V3058" s="63"/>
      <c r="W3058" s="63"/>
      <c r="X3058" s="63"/>
      <c r="Y3058" s="63"/>
      <c r="Z3058" s="63"/>
      <c r="AA3058" s="63"/>
      <c r="AB3058" s="63"/>
      <c r="AC3058" s="63"/>
    </row>
    <row r="3059" spans="1:29" ht="15.75" customHeight="1" x14ac:dyDescent="0.25">
      <c r="A3059" s="108">
        <v>46117</v>
      </c>
      <c r="B3059" s="128">
        <v>69</v>
      </c>
      <c r="C3059" s="49" t="s">
        <v>19</v>
      </c>
      <c r="D3059" s="110" t="str">
        <f>IF(ISBLANK($B3059),"",IFERROR(VLOOKUP($B3059,ESTOQUE!$B$2:$D$97168,3,FALSE),"Produto não cadastrado"))</f>
        <v>CAMISA LARANJA OP. C/ FAIXA REFLETIVA TAM: M</v>
      </c>
      <c r="E3059" s="99" t="str">
        <f>_xlfn.XLOOKUP(B3059,ESTOQUE!B:B,ESTOQUE!G:G,"",0)</f>
        <v>UND</v>
      </c>
      <c r="F3059" s="99">
        <v>2</v>
      </c>
      <c r="G3059" s="146"/>
      <c r="H3059" s="146"/>
      <c r="I3059" s="147"/>
      <c r="J3059" s="147"/>
      <c r="K3059" s="63"/>
      <c r="L3059" s="63"/>
      <c r="M3059" s="63"/>
      <c r="N3059" s="63"/>
      <c r="O3059" s="63"/>
      <c r="P3059" s="63"/>
      <c r="Q3059" s="63"/>
      <c r="R3059" s="63"/>
      <c r="S3059" s="63"/>
      <c r="T3059" s="63"/>
      <c r="U3059" s="63"/>
      <c r="V3059" s="63"/>
      <c r="W3059" s="63"/>
      <c r="X3059" s="63"/>
      <c r="Y3059" s="63"/>
      <c r="Z3059" s="63"/>
      <c r="AA3059" s="63"/>
      <c r="AB3059" s="63"/>
      <c r="AC3059" s="63"/>
    </row>
    <row r="3060" spans="1:29" ht="15.75" customHeight="1" x14ac:dyDescent="0.25">
      <c r="A3060" s="108">
        <v>46117</v>
      </c>
      <c r="B3060" s="128">
        <v>267</v>
      </c>
      <c r="C3060" s="49" t="s">
        <v>19</v>
      </c>
      <c r="D3060" s="110" t="str">
        <f>IF(ISBLANK($B3060),"",IFERROR(VLOOKUP($B3060,ESTOQUE!$B$2:$D$97168,3,FALSE),"Produto não cadastrado"))</f>
        <v>LUVA POLIESTER ANTICORTE CANO LONGO</v>
      </c>
      <c r="E3060" s="99" t="str">
        <f>_xlfn.XLOOKUP(B3060,ESTOQUE!B:B,ESTOQUE!G:G,"",0)</f>
        <v>UND</v>
      </c>
      <c r="F3060" s="99">
        <v>1</v>
      </c>
      <c r="G3060" s="146"/>
      <c r="H3060" s="146"/>
      <c r="I3060" s="147"/>
      <c r="J3060" s="147"/>
      <c r="K3060" s="63"/>
      <c r="L3060" s="63"/>
      <c r="M3060" s="63"/>
      <c r="N3060" s="63"/>
      <c r="O3060" s="63"/>
      <c r="P3060" s="63"/>
      <c r="Q3060" s="63"/>
      <c r="R3060" s="63"/>
      <c r="S3060" s="63"/>
      <c r="T3060" s="63"/>
      <c r="U3060" s="63"/>
      <c r="V3060" s="63"/>
      <c r="W3060" s="63"/>
      <c r="X3060" s="63"/>
      <c r="Y3060" s="63"/>
      <c r="Z3060" s="63"/>
      <c r="AA3060" s="63"/>
      <c r="AB3060" s="63"/>
      <c r="AC3060" s="63"/>
    </row>
    <row r="3061" spans="1:29" ht="15.75" customHeight="1" x14ac:dyDescent="0.25">
      <c r="A3061" s="108">
        <v>46117</v>
      </c>
      <c r="B3061" s="128">
        <v>118</v>
      </c>
      <c r="C3061" s="49" t="s">
        <v>19</v>
      </c>
      <c r="D3061" s="110" t="str">
        <f>IF(ISBLANK($B3061),"",IFERROR(VLOOKUP($B3061,ESTOQUE!$B$2:$D$97168,3,FALSE),"Produto não cadastrado"))</f>
        <v>MACACÃO DE PROTEÇÃO TYVEK</v>
      </c>
      <c r="E3061" s="99" t="str">
        <f>_xlfn.XLOOKUP(B3061,ESTOQUE!B:B,ESTOQUE!G:G,"",0)</f>
        <v>UND</v>
      </c>
      <c r="F3061" s="99">
        <v>4</v>
      </c>
      <c r="G3061" s="146"/>
      <c r="H3061" s="146"/>
      <c r="I3061" s="147"/>
      <c r="J3061" s="147"/>
      <c r="K3061" s="63"/>
      <c r="L3061" s="63"/>
      <c r="M3061" s="63"/>
      <c r="N3061" s="63"/>
      <c r="O3061" s="63"/>
      <c r="P3061" s="63"/>
      <c r="Q3061" s="63"/>
      <c r="R3061" s="63"/>
      <c r="S3061" s="63"/>
      <c r="T3061" s="63"/>
      <c r="U3061" s="63"/>
      <c r="V3061" s="63"/>
      <c r="W3061" s="63"/>
      <c r="X3061" s="63"/>
      <c r="Y3061" s="63"/>
      <c r="Z3061" s="63"/>
      <c r="AA3061" s="63"/>
      <c r="AB3061" s="63"/>
      <c r="AC3061" s="63"/>
    </row>
    <row r="3062" spans="1:29" ht="15.75" customHeight="1" x14ac:dyDescent="0.25">
      <c r="A3062" s="108">
        <v>46117</v>
      </c>
      <c r="B3062" s="128">
        <v>125</v>
      </c>
      <c r="C3062" s="49" t="s">
        <v>19</v>
      </c>
      <c r="D3062" s="110" t="str">
        <f>IF(ISBLANK($B3062),"",IFERROR(VLOOKUP($B3062,ESTOQUE!$B$2:$D$97168,3,FALSE),"Produto não cadastrado"))</f>
        <v xml:space="preserve">MASCARA DE SOLDA AUTOMATICA </v>
      </c>
      <c r="E3062" s="99" t="str">
        <f>_xlfn.XLOOKUP(B3062,ESTOQUE!B:B,ESTOQUE!G:G,"",0)</f>
        <v>UND</v>
      </c>
      <c r="F3062" s="99">
        <v>0</v>
      </c>
      <c r="G3062" s="146"/>
      <c r="H3062" s="146"/>
      <c r="I3062" s="147"/>
      <c r="J3062" s="147"/>
      <c r="K3062" s="63"/>
      <c r="L3062" s="63"/>
      <c r="M3062" s="63"/>
      <c r="N3062" s="63"/>
      <c r="O3062" s="63"/>
      <c r="P3062" s="63"/>
      <c r="Q3062" s="63"/>
      <c r="R3062" s="63"/>
      <c r="S3062" s="63"/>
      <c r="T3062" s="63"/>
      <c r="U3062" s="63"/>
      <c r="V3062" s="63"/>
      <c r="W3062" s="63"/>
      <c r="X3062" s="63"/>
      <c r="Y3062" s="63"/>
      <c r="Z3062" s="63"/>
      <c r="AA3062" s="63"/>
      <c r="AB3062" s="63"/>
      <c r="AC3062" s="63"/>
    </row>
    <row r="3063" spans="1:29" ht="15.75" customHeight="1" x14ac:dyDescent="0.25">
      <c r="A3063" s="108">
        <v>46117</v>
      </c>
      <c r="B3063" s="128">
        <v>139</v>
      </c>
      <c r="C3063" s="49" t="s">
        <v>19</v>
      </c>
      <c r="D3063" s="110" t="str">
        <f>IF(ISBLANK($B3063),"",IFERROR(VLOOKUP($B3063,ESTOQUE!$B$2:$D$97168,3,FALSE),"Produto não cadastrado"))</f>
        <v>PROTETOR AURICULAR TIPO PLUG</v>
      </c>
      <c r="E3063" s="99" t="str">
        <f>_xlfn.XLOOKUP(B3063,ESTOQUE!B:B,ESTOQUE!G:G,"",0)</f>
        <v>UND</v>
      </c>
      <c r="F3063" s="99">
        <v>1</v>
      </c>
      <c r="G3063" s="146"/>
      <c r="H3063" s="146"/>
      <c r="I3063" s="147"/>
      <c r="J3063" s="147"/>
      <c r="K3063" s="63"/>
      <c r="L3063" s="63"/>
      <c r="M3063" s="63"/>
      <c r="N3063" s="63"/>
      <c r="O3063" s="63"/>
      <c r="P3063" s="63"/>
      <c r="Q3063" s="63"/>
      <c r="R3063" s="63"/>
      <c r="S3063" s="63"/>
      <c r="T3063" s="63"/>
      <c r="U3063" s="63"/>
      <c r="V3063" s="63"/>
      <c r="W3063" s="63"/>
      <c r="X3063" s="63"/>
      <c r="Y3063" s="63"/>
      <c r="Z3063" s="63"/>
      <c r="AA3063" s="63"/>
      <c r="AB3063" s="63"/>
      <c r="AC3063" s="63"/>
    </row>
    <row r="3064" spans="1:29" ht="15.75" customHeight="1" x14ac:dyDescent="0.25">
      <c r="A3064" s="108">
        <v>46119</v>
      </c>
      <c r="B3064" s="128">
        <v>1</v>
      </c>
      <c r="C3064" s="49" t="s">
        <v>19</v>
      </c>
      <c r="D3064" s="110" t="str">
        <f>IF(ISBLANK($B3064),"",IFERROR(VLOOKUP($B3064,ESTOQUE!$B$2:$D$97168,3,FALSE),"Produto não cadastrado"))</f>
        <v>ABAFADOR DE RUIDOS TIPO CONCHA</v>
      </c>
      <c r="E3064" s="99" t="str">
        <f>_xlfn.XLOOKUP(B3064,ESTOQUE!B:B,ESTOQUE!G:G,"",0)</f>
        <v>UND</v>
      </c>
      <c r="F3064" s="99">
        <v>2</v>
      </c>
      <c r="G3064" s="146"/>
      <c r="H3064" s="146"/>
      <c r="I3064" s="147"/>
      <c r="J3064" s="147"/>
      <c r="K3064" s="63"/>
      <c r="L3064" s="63"/>
      <c r="M3064" s="63"/>
      <c r="N3064" s="63"/>
      <c r="O3064" s="63"/>
      <c r="P3064" s="63"/>
      <c r="Q3064" s="63"/>
      <c r="R3064" s="63"/>
      <c r="S3064" s="63"/>
      <c r="T3064" s="63"/>
      <c r="U3064" s="63"/>
      <c r="V3064" s="63"/>
      <c r="W3064" s="63"/>
      <c r="X3064" s="63"/>
      <c r="Y3064" s="63"/>
      <c r="Z3064" s="63"/>
      <c r="AA3064" s="63"/>
      <c r="AB3064" s="63"/>
      <c r="AC3064" s="63"/>
    </row>
    <row r="3065" spans="1:29" ht="15.75" customHeight="1" x14ac:dyDescent="0.25">
      <c r="A3065" s="108">
        <v>46119</v>
      </c>
      <c r="B3065" s="155">
        <v>36</v>
      </c>
      <c r="C3065" s="49" t="s">
        <v>19</v>
      </c>
      <c r="D3065" s="110" t="str">
        <f>IF(ISBLANK($B3065),"",IFERROR(VLOOKUP($B3065,ESTOQUE!$B$2:$D$97168,3,FALSE),"Produto não cadastrado"))</f>
        <v>BOTINA OP. BICO PVC Nº 38</v>
      </c>
      <c r="E3065" s="99" t="str">
        <f>_xlfn.XLOOKUP(B3065,ESTOQUE!B:B,ESTOQUE!G:G,"",0)</f>
        <v>PAR</v>
      </c>
      <c r="F3065" s="99">
        <v>1</v>
      </c>
      <c r="G3065" s="146"/>
      <c r="H3065" s="146"/>
      <c r="I3065" s="147"/>
      <c r="J3065" s="147"/>
      <c r="K3065" s="63"/>
      <c r="L3065" s="63"/>
      <c r="M3065" s="63"/>
      <c r="N3065" s="63"/>
      <c r="O3065" s="63"/>
      <c r="P3065" s="63"/>
      <c r="Q3065" s="63"/>
      <c r="R3065" s="63"/>
      <c r="S3065" s="63"/>
      <c r="T3065" s="63"/>
      <c r="U3065" s="63"/>
      <c r="V3065" s="63"/>
      <c r="W3065" s="63"/>
      <c r="X3065" s="63"/>
      <c r="Y3065" s="63"/>
      <c r="Z3065" s="63"/>
      <c r="AA3065" s="63"/>
      <c r="AB3065" s="63"/>
      <c r="AC3065" s="63"/>
    </row>
    <row r="3066" spans="1:29" ht="15.75" customHeight="1" x14ac:dyDescent="0.25">
      <c r="A3066" s="108">
        <v>46119</v>
      </c>
      <c r="B3066" s="128">
        <v>46</v>
      </c>
      <c r="C3066" s="49" t="s">
        <v>19</v>
      </c>
      <c r="D3066" s="110" t="str">
        <f>IF(ISBLANK($B3066),"",IFERROR(VLOOKUP($B3066,ESTOQUE!$B$2:$D$97168,3,FALSE),"Produto não cadastrado"))</f>
        <v>CALÇA CINZA OP. C/ FAIXA REFLETIVA TAM: G</v>
      </c>
      <c r="E3066" s="99" t="str">
        <f>_xlfn.XLOOKUP(B3066,ESTOQUE!B:B,ESTOQUE!G:G,"",0)</f>
        <v>UND</v>
      </c>
      <c r="F3066" s="99">
        <v>3</v>
      </c>
      <c r="G3066" s="146"/>
      <c r="H3066" s="146"/>
      <c r="I3066" s="147"/>
      <c r="J3066" s="147"/>
      <c r="K3066" s="63"/>
      <c r="L3066" s="63"/>
      <c r="M3066" s="63"/>
      <c r="N3066" s="63"/>
      <c r="O3066" s="63"/>
      <c r="P3066" s="63"/>
      <c r="Q3066" s="63"/>
      <c r="R3066" s="63"/>
      <c r="S3066" s="63"/>
      <c r="T3066" s="63"/>
      <c r="U3066" s="63"/>
      <c r="V3066" s="63"/>
      <c r="W3066" s="63"/>
      <c r="X3066" s="63"/>
      <c r="Y3066" s="63"/>
      <c r="Z3066" s="63"/>
      <c r="AA3066" s="63"/>
      <c r="AB3066" s="63"/>
      <c r="AC3066" s="63"/>
    </row>
    <row r="3067" spans="1:29" ht="15.75" customHeight="1" x14ac:dyDescent="0.25">
      <c r="A3067" s="108">
        <v>46119</v>
      </c>
      <c r="B3067" s="128">
        <v>48</v>
      </c>
      <c r="C3067" s="49" t="s">
        <v>19</v>
      </c>
      <c r="D3067" s="110" t="str">
        <f>IF(ISBLANK($B3067),"",IFERROR(VLOOKUP($B3067,ESTOQUE!$B$2:$D$97168,3,FALSE),"Produto não cadastrado"))</f>
        <v>CALÇA CINZA OP. C/ FAIXA REFLETIVA TAM: M</v>
      </c>
      <c r="E3067" s="99" t="str">
        <f>_xlfn.XLOOKUP(B3067,ESTOQUE!B:B,ESTOQUE!G:G,"",0)</f>
        <v>UND</v>
      </c>
      <c r="F3067" s="99">
        <v>2</v>
      </c>
      <c r="G3067" s="146"/>
      <c r="H3067" s="146"/>
      <c r="I3067" s="147"/>
      <c r="J3067" s="147"/>
      <c r="K3067" s="63"/>
      <c r="L3067" s="63"/>
      <c r="M3067" s="63"/>
      <c r="N3067" s="63"/>
      <c r="O3067" s="63"/>
      <c r="P3067" s="63"/>
      <c r="Q3067" s="63"/>
      <c r="R3067" s="63"/>
      <c r="S3067" s="63"/>
      <c r="T3067" s="63"/>
      <c r="U3067" s="63"/>
      <c r="V3067" s="63"/>
      <c r="W3067" s="63"/>
      <c r="X3067" s="63"/>
      <c r="Y3067" s="63"/>
      <c r="Z3067" s="63"/>
      <c r="AA3067" s="63"/>
      <c r="AB3067" s="63"/>
      <c r="AC3067" s="63"/>
    </row>
    <row r="3068" spans="1:29" ht="15.75" customHeight="1" x14ac:dyDescent="0.25">
      <c r="A3068" s="108">
        <v>46119</v>
      </c>
      <c r="B3068" s="128">
        <v>49</v>
      </c>
      <c r="C3068" s="49" t="s">
        <v>19</v>
      </c>
      <c r="D3068" s="110" t="str">
        <f>IF(ISBLANK($B3068),"",IFERROR(VLOOKUP($B3068,ESTOQUE!$B$2:$D$97168,3,FALSE),"Produto não cadastrado"))</f>
        <v>CALÇA CINZA OP. C/ FAIXA REFLETIVA TAM: P</v>
      </c>
      <c r="E3068" s="99" t="str">
        <f>_xlfn.XLOOKUP(B3068,ESTOQUE!B:B,ESTOQUE!G:G,"",0)</f>
        <v>UND</v>
      </c>
      <c r="F3068" s="99">
        <v>1</v>
      </c>
      <c r="G3068" s="146"/>
      <c r="H3068" s="146"/>
      <c r="I3068" s="147"/>
      <c r="J3068" s="147"/>
      <c r="K3068" s="63"/>
      <c r="L3068" s="63"/>
      <c r="M3068" s="63"/>
      <c r="N3068" s="63"/>
      <c r="O3068" s="63"/>
      <c r="P3068" s="63"/>
      <c r="Q3068" s="63"/>
      <c r="R3068" s="63"/>
      <c r="S3068" s="63"/>
      <c r="T3068" s="63"/>
      <c r="U3068" s="63"/>
      <c r="V3068" s="63"/>
      <c r="W3068" s="63"/>
      <c r="X3068" s="63"/>
      <c r="Y3068" s="63"/>
      <c r="Z3068" s="63"/>
      <c r="AA3068" s="63"/>
      <c r="AB3068" s="63"/>
      <c r="AC3068" s="63"/>
    </row>
    <row r="3069" spans="1:29" ht="15.75" customHeight="1" x14ac:dyDescent="0.25">
      <c r="A3069" s="108">
        <v>46119</v>
      </c>
      <c r="B3069" s="128">
        <v>67</v>
      </c>
      <c r="C3069" s="49" t="s">
        <v>19</v>
      </c>
      <c r="D3069" s="110" t="str">
        <f>IF(ISBLANK($B3069),"",IFERROR(VLOOKUP($B3069,ESTOQUE!$B$2:$D$97168,3,FALSE),"Produto não cadastrado"))</f>
        <v>CAMISA LARANJA OP. C/ FAIXA REFLETIVA TAM: G</v>
      </c>
      <c r="E3069" s="99" t="str">
        <f>_xlfn.XLOOKUP(B3069,ESTOQUE!B:B,ESTOQUE!G:G,"",0)</f>
        <v>UND</v>
      </c>
      <c r="F3069" s="99">
        <v>2</v>
      </c>
      <c r="G3069" s="146"/>
      <c r="H3069" s="146"/>
      <c r="I3069" s="147"/>
      <c r="J3069" s="147"/>
      <c r="K3069" s="63"/>
      <c r="L3069" s="63"/>
      <c r="M3069" s="63"/>
      <c r="N3069" s="63"/>
      <c r="O3069" s="63"/>
      <c r="P3069" s="63"/>
      <c r="Q3069" s="63"/>
      <c r="R3069" s="63"/>
      <c r="S3069" s="63"/>
      <c r="T3069" s="63"/>
      <c r="U3069" s="63"/>
      <c r="V3069" s="63"/>
      <c r="W3069" s="63"/>
      <c r="X3069" s="63"/>
      <c r="Y3069" s="63"/>
      <c r="Z3069" s="63"/>
      <c r="AA3069" s="63"/>
      <c r="AB3069" s="63"/>
      <c r="AC3069" s="63"/>
    </row>
    <row r="3070" spans="1:29" ht="15.75" customHeight="1" x14ac:dyDescent="0.25">
      <c r="A3070" s="108">
        <v>46119</v>
      </c>
      <c r="B3070" s="128">
        <v>68</v>
      </c>
      <c r="C3070" s="49" t="s">
        <v>19</v>
      </c>
      <c r="D3070" s="110" t="str">
        <f>IF(ISBLANK($B3070),"",IFERROR(VLOOKUP($B3070,ESTOQUE!$B$2:$D$97168,3,FALSE),"Produto não cadastrado"))</f>
        <v>CAMISA LARANJA OP. C/ FAIXA REFLETIVA TAM: GG</v>
      </c>
      <c r="E3070" s="99" t="str">
        <f>_xlfn.XLOOKUP(B3070,ESTOQUE!B:B,ESTOQUE!G:G,"",0)</f>
        <v>UND</v>
      </c>
      <c r="F3070" s="99">
        <v>1</v>
      </c>
      <c r="G3070" s="146"/>
      <c r="H3070" s="146"/>
      <c r="I3070" s="147"/>
      <c r="J3070" s="147"/>
      <c r="K3070" s="63"/>
      <c r="L3070" s="63"/>
      <c r="M3070" s="63"/>
      <c r="N3070" s="63"/>
      <c r="O3070" s="63"/>
      <c r="P3070" s="63"/>
      <c r="Q3070" s="63"/>
      <c r="R3070" s="63"/>
      <c r="S3070" s="63"/>
      <c r="T3070" s="63"/>
      <c r="U3070" s="63"/>
      <c r="V3070" s="63"/>
      <c r="W3070" s="63"/>
      <c r="X3070" s="63"/>
      <c r="Y3070" s="63"/>
      <c r="Z3070" s="63"/>
      <c r="AA3070" s="63"/>
      <c r="AB3070" s="63"/>
      <c r="AC3070" s="63"/>
    </row>
    <row r="3071" spans="1:29" ht="15.75" customHeight="1" x14ac:dyDescent="0.25">
      <c r="A3071" s="108">
        <v>46119</v>
      </c>
      <c r="B3071" s="128">
        <v>69</v>
      </c>
      <c r="C3071" s="49" t="s">
        <v>19</v>
      </c>
      <c r="D3071" s="110" t="str">
        <f>IF(ISBLANK($B3071),"",IFERROR(VLOOKUP($B3071,ESTOQUE!$B$2:$D$97168,3,FALSE),"Produto não cadastrado"))</f>
        <v>CAMISA LARANJA OP. C/ FAIXA REFLETIVA TAM: M</v>
      </c>
      <c r="E3071" s="99" t="str">
        <f>_xlfn.XLOOKUP(B3071,ESTOQUE!B:B,ESTOQUE!G:G,"",0)</f>
        <v>UND</v>
      </c>
      <c r="F3071" s="99">
        <v>1</v>
      </c>
      <c r="G3071" s="146"/>
      <c r="H3071" s="146"/>
      <c r="I3071" s="147"/>
      <c r="J3071" s="147"/>
      <c r="K3071" s="63"/>
      <c r="L3071" s="63"/>
      <c r="M3071" s="63"/>
      <c r="N3071" s="63"/>
      <c r="O3071" s="63"/>
      <c r="P3071" s="63"/>
      <c r="Q3071" s="63"/>
      <c r="R3071" s="63"/>
      <c r="S3071" s="63"/>
      <c r="T3071" s="63"/>
      <c r="U3071" s="63"/>
      <c r="V3071" s="63"/>
      <c r="W3071" s="63"/>
      <c r="X3071" s="63"/>
      <c r="Y3071" s="63"/>
      <c r="Z3071" s="63"/>
      <c r="AA3071" s="63"/>
      <c r="AB3071" s="63"/>
      <c r="AC3071" s="63"/>
    </row>
    <row r="3072" spans="1:29" ht="15.75" customHeight="1" x14ac:dyDescent="0.25">
      <c r="A3072" s="108">
        <v>46119</v>
      </c>
      <c r="B3072" s="128">
        <v>73</v>
      </c>
      <c r="C3072" s="49" t="s">
        <v>19</v>
      </c>
      <c r="D3072" s="110" t="str">
        <f>IF(ISBLANK($B3072),"",IFERROR(VLOOKUP($B3072,ESTOQUE!$B$2:$D$97168,3,FALSE),"Produto não cadastrado"))</f>
        <v>CAPA DE CHUVA GG</v>
      </c>
      <c r="E3072" s="99" t="str">
        <f>_xlfn.XLOOKUP(B3072,ESTOQUE!B:B,ESTOQUE!G:G,"",0)</f>
        <v>UND</v>
      </c>
      <c r="F3072" s="99">
        <v>1</v>
      </c>
      <c r="G3072" s="146"/>
      <c r="H3072" s="146"/>
      <c r="I3072" s="147"/>
      <c r="J3072" s="147"/>
      <c r="K3072" s="63"/>
      <c r="L3072" s="63"/>
      <c r="M3072" s="63"/>
      <c r="N3072" s="63"/>
      <c r="O3072" s="63"/>
      <c r="P3072" s="63"/>
      <c r="Q3072" s="63"/>
      <c r="R3072" s="63"/>
      <c r="S3072" s="63"/>
      <c r="T3072" s="63"/>
      <c r="U3072" s="63"/>
      <c r="V3072" s="63"/>
      <c r="W3072" s="63"/>
      <c r="X3072" s="63"/>
      <c r="Y3072" s="63"/>
      <c r="Z3072" s="63"/>
      <c r="AA3072" s="63"/>
      <c r="AB3072" s="63"/>
      <c r="AC3072" s="63"/>
    </row>
    <row r="3073" spans="1:29" ht="15.75" customHeight="1" x14ac:dyDescent="0.25">
      <c r="A3073" s="108">
        <v>46119</v>
      </c>
      <c r="B3073" s="128">
        <v>114</v>
      </c>
      <c r="C3073" s="49" t="s">
        <v>19</v>
      </c>
      <c r="D3073" s="110" t="str">
        <f>IF(ISBLANK($B3073),"",IFERROR(VLOOKUP($B3073,ESTOQUE!$B$2:$D$97168,3,FALSE),"Produto não cadastrado"))</f>
        <v xml:space="preserve">LUVA LATEX NITRILICA </v>
      </c>
      <c r="E3073" s="99" t="str">
        <f>_xlfn.XLOOKUP(B3073,ESTOQUE!B:B,ESTOQUE!G:G,"",0)</f>
        <v>PAR</v>
      </c>
      <c r="F3073" s="99">
        <v>24</v>
      </c>
      <c r="G3073" s="146"/>
      <c r="H3073" s="146"/>
      <c r="I3073" s="147"/>
      <c r="J3073" s="147"/>
      <c r="K3073" s="63"/>
      <c r="L3073" s="63"/>
      <c r="M3073" s="63"/>
      <c r="N3073" s="63"/>
      <c r="O3073" s="63"/>
      <c r="P3073" s="63"/>
      <c r="Q3073" s="63"/>
      <c r="R3073" s="63"/>
      <c r="S3073" s="63"/>
      <c r="T3073" s="63"/>
      <c r="U3073" s="63"/>
      <c r="V3073" s="63"/>
      <c r="W3073" s="63"/>
      <c r="X3073" s="63"/>
      <c r="Y3073" s="63"/>
      <c r="Z3073" s="63"/>
      <c r="AA3073" s="63"/>
      <c r="AB3073" s="63"/>
      <c r="AC3073" s="63"/>
    </row>
    <row r="3074" spans="1:29" ht="15.75" customHeight="1" x14ac:dyDescent="0.25">
      <c r="A3074" s="108">
        <v>46119</v>
      </c>
      <c r="B3074" s="128">
        <v>267</v>
      </c>
      <c r="C3074" s="49" t="s">
        <v>19</v>
      </c>
      <c r="D3074" s="110" t="str">
        <f>IF(ISBLANK($B3074),"",IFERROR(VLOOKUP($B3074,ESTOQUE!$B$2:$D$97168,3,FALSE),"Produto não cadastrado"))</f>
        <v>LUVA POLIESTER ANTICORTE CANO LONGO</v>
      </c>
      <c r="E3074" s="99" t="str">
        <f>_xlfn.XLOOKUP(B3074,ESTOQUE!B:B,ESTOQUE!G:G,"",0)</f>
        <v>UND</v>
      </c>
      <c r="F3074" s="99">
        <v>2</v>
      </c>
      <c r="G3074" s="146"/>
      <c r="H3074" s="146"/>
      <c r="I3074" s="147"/>
      <c r="J3074" s="147"/>
      <c r="K3074" s="63"/>
      <c r="L3074" s="63"/>
      <c r="M3074" s="63"/>
      <c r="N3074" s="63"/>
      <c r="O3074" s="63"/>
      <c r="P3074" s="63"/>
      <c r="Q3074" s="63"/>
      <c r="R3074" s="63"/>
      <c r="S3074" s="63"/>
      <c r="T3074" s="63"/>
      <c r="U3074" s="63"/>
      <c r="V3074" s="63"/>
      <c r="W3074" s="63"/>
      <c r="X3074" s="63"/>
      <c r="Y3074" s="63"/>
      <c r="Z3074" s="63"/>
      <c r="AA3074" s="63"/>
      <c r="AB3074" s="63"/>
      <c r="AC3074" s="63"/>
    </row>
    <row r="3075" spans="1:29" ht="15.75" customHeight="1" x14ac:dyDescent="0.25">
      <c r="A3075" s="108">
        <v>46119</v>
      </c>
      <c r="B3075" s="128">
        <v>117</v>
      </c>
      <c r="C3075" s="49" t="s">
        <v>19</v>
      </c>
      <c r="D3075" s="110" t="str">
        <f>IF(ISBLANK($B3075),"",IFERROR(VLOOKUP($B3075,ESTOQUE!$B$2:$D$97168,3,FALSE),"Produto não cadastrado"))</f>
        <v>LUVA PIGMENTADA</v>
      </c>
      <c r="E3075" s="99" t="str">
        <f>_xlfn.XLOOKUP(B3075,ESTOQUE!B:B,ESTOQUE!G:G,"",0)</f>
        <v>PAR</v>
      </c>
      <c r="F3075" s="99">
        <v>37</v>
      </c>
      <c r="G3075" s="146"/>
      <c r="H3075" s="146"/>
      <c r="I3075" s="147"/>
      <c r="J3075" s="147"/>
      <c r="K3075" s="63"/>
      <c r="L3075" s="63"/>
      <c r="M3075" s="63"/>
      <c r="N3075" s="63"/>
      <c r="O3075" s="63"/>
      <c r="P3075" s="63"/>
      <c r="Q3075" s="63"/>
      <c r="R3075" s="63"/>
      <c r="S3075" s="63"/>
      <c r="T3075" s="63"/>
      <c r="U3075" s="63"/>
      <c r="V3075" s="63"/>
      <c r="W3075" s="63"/>
      <c r="X3075" s="63"/>
      <c r="Y3075" s="63"/>
      <c r="Z3075" s="63"/>
      <c r="AA3075" s="63"/>
      <c r="AB3075" s="63"/>
      <c r="AC3075" s="63"/>
    </row>
    <row r="3076" spans="1:29" ht="15.75" customHeight="1" x14ac:dyDescent="0.25">
      <c r="A3076" s="108">
        <v>46119</v>
      </c>
      <c r="B3076" s="128">
        <v>144</v>
      </c>
      <c r="C3076" s="49" t="s">
        <v>19</v>
      </c>
      <c r="D3076" s="110" t="str">
        <f>IF(ISBLANK($B3076),"",IFERROR(VLOOKUP($B3076,ESTOQUE!$B$2:$D$97168,3,FALSE),"Produto não cadastrado"))</f>
        <v>MASCARA PFF2-S C/ FILTRO</v>
      </c>
      <c r="E3076" s="99" t="str">
        <f>_xlfn.XLOOKUP(B3076,ESTOQUE!B:B,ESTOQUE!G:G,"",0)</f>
        <v>UND</v>
      </c>
      <c r="F3076" s="99">
        <v>42</v>
      </c>
      <c r="G3076" s="146"/>
      <c r="H3076" s="146"/>
      <c r="I3076" s="147"/>
      <c r="J3076" s="147"/>
      <c r="K3076" s="63"/>
      <c r="L3076" s="63"/>
      <c r="M3076" s="63"/>
      <c r="N3076" s="63"/>
      <c r="O3076" s="63"/>
      <c r="P3076" s="63"/>
      <c r="Q3076" s="63"/>
      <c r="R3076" s="63"/>
      <c r="S3076" s="63"/>
      <c r="T3076" s="63"/>
      <c r="U3076" s="63"/>
      <c r="V3076" s="63"/>
      <c r="W3076" s="63"/>
      <c r="X3076" s="63"/>
      <c r="Y3076" s="63"/>
      <c r="Z3076" s="63"/>
      <c r="AA3076" s="63"/>
      <c r="AB3076" s="63"/>
      <c r="AC3076" s="63"/>
    </row>
    <row r="3077" spans="1:29" ht="15.75" customHeight="1" x14ac:dyDescent="0.25">
      <c r="A3077" s="108">
        <v>46119</v>
      </c>
      <c r="B3077" s="128">
        <v>126</v>
      </c>
      <c r="C3077" s="49" t="s">
        <v>19</v>
      </c>
      <c r="D3077" s="110" t="str">
        <f>IF(ISBLANK($B3077),"",IFERROR(VLOOKUP($B3077,ESTOQUE!$B$2:$D$97168,3,FALSE),"Produto não cadastrado"))</f>
        <v>OCULOS DE PROTEÇÃO ESCURO</v>
      </c>
      <c r="E3077" s="99" t="str">
        <f>_xlfn.XLOOKUP(B3077,ESTOQUE!B:B,ESTOQUE!G:G,"",0)</f>
        <v>UND</v>
      </c>
      <c r="F3077" s="99">
        <v>128</v>
      </c>
      <c r="G3077" s="146"/>
      <c r="H3077" s="146"/>
      <c r="I3077" s="147"/>
      <c r="J3077" s="147"/>
      <c r="K3077" s="63"/>
      <c r="L3077" s="63"/>
      <c r="M3077" s="63"/>
      <c r="N3077" s="63"/>
      <c r="O3077" s="63"/>
      <c r="P3077" s="63"/>
      <c r="Q3077" s="63"/>
      <c r="R3077" s="63"/>
      <c r="S3077" s="63"/>
      <c r="T3077" s="63"/>
      <c r="U3077" s="63"/>
      <c r="V3077" s="63"/>
      <c r="W3077" s="63"/>
      <c r="X3077" s="63"/>
      <c r="Y3077" s="63"/>
      <c r="Z3077" s="63"/>
      <c r="AA3077" s="63"/>
      <c r="AB3077" s="63"/>
      <c r="AC3077" s="63"/>
    </row>
    <row r="3078" spans="1:29" ht="15.75" customHeight="1" x14ac:dyDescent="0.25">
      <c r="A3078" s="108">
        <v>46119</v>
      </c>
      <c r="B3078" s="128">
        <v>137</v>
      </c>
      <c r="C3078" s="49" t="s">
        <v>19</v>
      </c>
      <c r="D3078" s="110" t="str">
        <f>IF(ISBLANK($B3078),"",IFERROR(VLOOKUP($B3078,ESTOQUE!$B$2:$D$97168,3,FALSE),"Produto não cadastrado"))</f>
        <v xml:space="preserve">TOUCA ARABE </v>
      </c>
      <c r="E3078" s="99" t="str">
        <f>_xlfn.XLOOKUP(B3078,ESTOQUE!B:B,ESTOQUE!G:G,"",0)</f>
        <v>UND</v>
      </c>
      <c r="F3078" s="99">
        <v>1</v>
      </c>
      <c r="G3078" s="146"/>
      <c r="H3078" s="146"/>
      <c r="I3078" s="147"/>
      <c r="J3078" s="147"/>
      <c r="K3078" s="63"/>
      <c r="L3078" s="63"/>
      <c r="M3078" s="63"/>
      <c r="N3078" s="63"/>
      <c r="O3078" s="63"/>
      <c r="P3078" s="63"/>
      <c r="Q3078" s="63"/>
      <c r="R3078" s="63"/>
      <c r="S3078" s="63"/>
      <c r="T3078" s="63"/>
      <c r="U3078" s="63"/>
      <c r="V3078" s="63"/>
      <c r="W3078" s="63"/>
      <c r="X3078" s="63"/>
      <c r="Y3078" s="63"/>
      <c r="Z3078" s="63"/>
      <c r="AA3078" s="63"/>
      <c r="AB3078" s="63"/>
      <c r="AC3078" s="63"/>
    </row>
    <row r="3079" spans="1:29" ht="15.75" customHeight="1" x14ac:dyDescent="0.25">
      <c r="A3079" s="108">
        <v>46120</v>
      </c>
      <c r="B3079" s="128">
        <v>37</v>
      </c>
      <c r="C3079" s="49" t="s">
        <v>19</v>
      </c>
      <c r="D3079" s="110" t="str">
        <f>IF(ISBLANK($B3079),"",IFERROR(VLOOKUP($B3079,ESTOQUE!$B$2:$D$97168,3,FALSE),"Produto não cadastrado"))</f>
        <v>BOTINA OP. BICO PVC Nº 39</v>
      </c>
      <c r="E3079" s="99" t="str">
        <f>_xlfn.XLOOKUP(B3079,ESTOQUE!B:B,ESTOQUE!G:G,"",0)</f>
        <v>PAR</v>
      </c>
      <c r="F3079" s="99">
        <v>1</v>
      </c>
      <c r="G3079" s="146"/>
      <c r="H3079" s="146"/>
      <c r="I3079" s="147"/>
      <c r="J3079" s="147"/>
      <c r="K3079" s="63"/>
      <c r="L3079" s="63"/>
      <c r="M3079" s="63"/>
      <c r="N3079" s="63"/>
      <c r="O3079" s="63"/>
      <c r="P3079" s="63"/>
      <c r="Q3079" s="63"/>
      <c r="R3079" s="63"/>
      <c r="S3079" s="63"/>
      <c r="T3079" s="63"/>
      <c r="U3079" s="63"/>
      <c r="V3079" s="63"/>
      <c r="W3079" s="63"/>
      <c r="X3079" s="63"/>
      <c r="Y3079" s="63"/>
      <c r="Z3079" s="63"/>
      <c r="AA3079" s="63"/>
      <c r="AB3079" s="63"/>
      <c r="AC3079" s="63"/>
    </row>
    <row r="3080" spans="1:29" ht="15.75" customHeight="1" x14ac:dyDescent="0.25">
      <c r="A3080" s="108">
        <v>46120</v>
      </c>
      <c r="B3080" s="128">
        <v>40</v>
      </c>
      <c r="C3080" s="49" t="s">
        <v>19</v>
      </c>
      <c r="D3080" s="110" t="str">
        <f>IF(ISBLANK($B3080),"",IFERROR(VLOOKUP($B3080,ESTOQUE!$B$2:$D$97168,3,FALSE),"Produto não cadastrado"))</f>
        <v>BOTINA OP. BICO PVC Nº 42</v>
      </c>
      <c r="E3080" s="99" t="str">
        <f>_xlfn.XLOOKUP(B3080,ESTOQUE!B:B,ESTOQUE!G:G,"",0)</f>
        <v>PAR</v>
      </c>
      <c r="F3080" s="99">
        <v>2</v>
      </c>
      <c r="G3080" s="146"/>
      <c r="H3080" s="146"/>
      <c r="I3080" s="147"/>
      <c r="J3080" s="147"/>
      <c r="K3080" s="63"/>
      <c r="L3080" s="63"/>
      <c r="M3080" s="63"/>
      <c r="N3080" s="63"/>
      <c r="O3080" s="63"/>
      <c r="P3080" s="63"/>
      <c r="Q3080" s="63"/>
      <c r="R3080" s="63"/>
      <c r="S3080" s="63"/>
      <c r="T3080" s="63"/>
      <c r="U3080" s="63"/>
      <c r="V3080" s="63"/>
      <c r="W3080" s="63"/>
      <c r="X3080" s="63"/>
      <c r="Y3080" s="63"/>
      <c r="Z3080" s="63"/>
      <c r="AA3080" s="63"/>
      <c r="AB3080" s="63"/>
      <c r="AC3080" s="63"/>
    </row>
    <row r="3081" spans="1:29" ht="15.75" customHeight="1" x14ac:dyDescent="0.25">
      <c r="A3081" s="108">
        <v>46120</v>
      </c>
      <c r="B3081" s="128">
        <v>43</v>
      </c>
      <c r="C3081" s="49" t="s">
        <v>19</v>
      </c>
      <c r="D3081" s="110" t="str">
        <f>IF(ISBLANK($B3081),"",IFERROR(VLOOKUP($B3081,ESTOQUE!$B$2:$D$97168,3,FALSE),"Produto não cadastrado"))</f>
        <v>BOTINA OP. BICO PVC Nº 45</v>
      </c>
      <c r="E3081" s="99" t="str">
        <f>_xlfn.XLOOKUP(B3081,ESTOQUE!B:B,ESTOQUE!G:G,"",0)</f>
        <v>PAR</v>
      </c>
      <c r="F3081" s="99">
        <v>1</v>
      </c>
      <c r="G3081" s="146"/>
      <c r="H3081" s="146"/>
      <c r="I3081" s="147"/>
      <c r="J3081" s="147"/>
      <c r="K3081" s="63"/>
      <c r="L3081" s="63"/>
      <c r="M3081" s="63"/>
      <c r="N3081" s="63"/>
      <c r="O3081" s="63"/>
      <c r="P3081" s="63"/>
      <c r="Q3081" s="63"/>
      <c r="R3081" s="63"/>
      <c r="S3081" s="63"/>
      <c r="T3081" s="63"/>
      <c r="U3081" s="63"/>
      <c r="V3081" s="63"/>
      <c r="W3081" s="63"/>
      <c r="X3081" s="63"/>
      <c r="Y3081" s="63"/>
      <c r="Z3081" s="63"/>
      <c r="AA3081" s="63"/>
      <c r="AB3081" s="63"/>
      <c r="AC3081" s="63"/>
    </row>
    <row r="3082" spans="1:29" ht="15.75" customHeight="1" x14ac:dyDescent="0.25">
      <c r="A3082" s="108">
        <v>46120</v>
      </c>
      <c r="B3082" s="128">
        <v>46</v>
      </c>
      <c r="C3082" s="49" t="s">
        <v>19</v>
      </c>
      <c r="D3082" s="110" t="str">
        <f>IF(ISBLANK($B3082),"",IFERROR(VLOOKUP($B3082,ESTOQUE!$B$2:$D$97168,3,FALSE),"Produto não cadastrado"))</f>
        <v>CALÇA CINZA OP. C/ FAIXA REFLETIVA TAM: G</v>
      </c>
      <c r="E3082" s="99" t="str">
        <f>_xlfn.XLOOKUP(B3082,ESTOQUE!B:B,ESTOQUE!G:G,"",0)</f>
        <v>UND</v>
      </c>
      <c r="F3082" s="99">
        <v>5</v>
      </c>
      <c r="G3082" s="146"/>
      <c r="H3082" s="146"/>
      <c r="I3082" s="147"/>
      <c r="J3082" s="147"/>
      <c r="K3082" s="63"/>
      <c r="L3082" s="63"/>
      <c r="M3082" s="63"/>
      <c r="N3082" s="63"/>
      <c r="O3082" s="63"/>
      <c r="P3082" s="63"/>
      <c r="Q3082" s="63"/>
      <c r="R3082" s="63"/>
      <c r="S3082" s="63"/>
      <c r="T3082" s="63"/>
      <c r="U3082" s="63"/>
      <c r="V3082" s="63"/>
      <c r="W3082" s="63"/>
      <c r="X3082" s="63"/>
      <c r="Y3082" s="63"/>
      <c r="Z3082" s="63"/>
      <c r="AA3082" s="63"/>
      <c r="AB3082" s="63"/>
      <c r="AC3082" s="63"/>
    </row>
    <row r="3083" spans="1:29" ht="15.75" customHeight="1" x14ac:dyDescent="0.25">
      <c r="A3083" s="108">
        <v>46120</v>
      </c>
      <c r="B3083" s="128">
        <v>47</v>
      </c>
      <c r="C3083" s="49" t="s">
        <v>19</v>
      </c>
      <c r="D3083" s="110" t="str">
        <f>IF(ISBLANK($B3083),"",IFERROR(VLOOKUP($B3083,ESTOQUE!$B$2:$D$97168,3,FALSE),"Produto não cadastrado"))</f>
        <v>CALÇA CINZA OP. C/ FAIXA REFLETIVA TAM: GG</v>
      </c>
      <c r="E3083" s="99" t="str">
        <f>_xlfn.XLOOKUP(B3083,ESTOQUE!B:B,ESTOQUE!G:G,"",0)</f>
        <v>UND</v>
      </c>
      <c r="F3083" s="99">
        <v>2</v>
      </c>
      <c r="G3083" s="146"/>
      <c r="H3083" s="146"/>
      <c r="I3083" s="147"/>
      <c r="J3083" s="147"/>
      <c r="K3083" s="63"/>
      <c r="L3083" s="63"/>
      <c r="M3083" s="63"/>
      <c r="N3083" s="63"/>
      <c r="O3083" s="63"/>
      <c r="P3083" s="63"/>
      <c r="Q3083" s="63"/>
      <c r="R3083" s="63"/>
      <c r="S3083" s="63"/>
      <c r="T3083" s="63"/>
      <c r="U3083" s="63"/>
      <c r="V3083" s="63"/>
      <c r="W3083" s="63"/>
      <c r="X3083" s="63"/>
      <c r="Y3083" s="63"/>
      <c r="Z3083" s="63"/>
      <c r="AA3083" s="63"/>
      <c r="AB3083" s="63"/>
      <c r="AC3083" s="63"/>
    </row>
    <row r="3084" spans="1:29" ht="15.75" customHeight="1" x14ac:dyDescent="0.25">
      <c r="A3084" s="108">
        <v>46120</v>
      </c>
      <c r="B3084" s="128">
        <v>48</v>
      </c>
      <c r="C3084" s="49" t="s">
        <v>19</v>
      </c>
      <c r="D3084" s="110" t="str">
        <f>IF(ISBLANK($B3084),"",IFERROR(VLOOKUP($B3084,ESTOQUE!$B$2:$D$97168,3,FALSE),"Produto não cadastrado"))</f>
        <v>CALÇA CINZA OP. C/ FAIXA REFLETIVA TAM: M</v>
      </c>
      <c r="E3084" s="99" t="str">
        <f>_xlfn.XLOOKUP(B3084,ESTOQUE!B:B,ESTOQUE!G:G,"",0)</f>
        <v>UND</v>
      </c>
      <c r="F3084" s="99">
        <v>8</v>
      </c>
      <c r="G3084" s="146"/>
      <c r="H3084" s="146"/>
      <c r="I3084" s="147"/>
      <c r="J3084" s="147"/>
      <c r="K3084" s="63"/>
      <c r="L3084" s="63"/>
      <c r="M3084" s="63"/>
      <c r="N3084" s="63"/>
      <c r="O3084" s="63"/>
      <c r="P3084" s="63"/>
      <c r="Q3084" s="63"/>
      <c r="R3084" s="63"/>
      <c r="S3084" s="63"/>
      <c r="T3084" s="63"/>
      <c r="U3084" s="63"/>
      <c r="V3084" s="63"/>
      <c r="W3084" s="63"/>
      <c r="X3084" s="63"/>
      <c r="Y3084" s="63"/>
      <c r="Z3084" s="63"/>
      <c r="AA3084" s="63"/>
      <c r="AB3084" s="63"/>
      <c r="AC3084" s="63"/>
    </row>
    <row r="3085" spans="1:29" ht="15.75" customHeight="1" x14ac:dyDescent="0.25">
      <c r="A3085" s="108">
        <v>46120</v>
      </c>
      <c r="B3085" s="128">
        <v>49</v>
      </c>
      <c r="C3085" s="49" t="s">
        <v>19</v>
      </c>
      <c r="D3085" s="110" t="str">
        <f>IF(ISBLANK($B3085),"",IFERROR(VLOOKUP($B3085,ESTOQUE!$B$2:$D$97168,3,FALSE),"Produto não cadastrado"))</f>
        <v>CALÇA CINZA OP. C/ FAIXA REFLETIVA TAM: P</v>
      </c>
      <c r="E3085" s="99" t="str">
        <f>_xlfn.XLOOKUP(B3085,ESTOQUE!B:B,ESTOQUE!G:G,"",0)</f>
        <v>UND</v>
      </c>
      <c r="F3085" s="99">
        <v>2</v>
      </c>
      <c r="G3085" s="146"/>
      <c r="H3085" s="146"/>
      <c r="I3085" s="147"/>
      <c r="J3085" s="147"/>
      <c r="K3085" s="63"/>
      <c r="L3085" s="63"/>
      <c r="M3085" s="63"/>
      <c r="N3085" s="63"/>
      <c r="O3085" s="63"/>
      <c r="P3085" s="63"/>
      <c r="Q3085" s="63"/>
      <c r="R3085" s="63"/>
      <c r="S3085" s="63"/>
      <c r="T3085" s="63"/>
      <c r="U3085" s="63"/>
      <c r="V3085" s="63"/>
      <c r="W3085" s="63"/>
      <c r="X3085" s="63"/>
      <c r="Y3085" s="63"/>
      <c r="Z3085" s="63"/>
      <c r="AA3085" s="63"/>
      <c r="AB3085" s="63"/>
      <c r="AC3085" s="63"/>
    </row>
    <row r="3086" spans="1:29" ht="15.75" customHeight="1" x14ac:dyDescent="0.25">
      <c r="A3086" s="108">
        <v>46120</v>
      </c>
      <c r="B3086" s="128">
        <v>67</v>
      </c>
      <c r="C3086" s="49" t="s">
        <v>19</v>
      </c>
      <c r="D3086" s="110" t="str">
        <f>IF(ISBLANK($B3086),"",IFERROR(VLOOKUP($B3086,ESTOQUE!$B$2:$D$97168,3,FALSE),"Produto não cadastrado"))</f>
        <v>CAMISA LARANJA OP. C/ FAIXA REFLETIVA TAM: G</v>
      </c>
      <c r="E3086" s="99" t="str">
        <f>_xlfn.XLOOKUP(B3086,ESTOQUE!B:B,ESTOQUE!G:G,"",0)</f>
        <v>UND</v>
      </c>
      <c r="F3086" s="99">
        <v>5</v>
      </c>
      <c r="G3086" s="146"/>
      <c r="H3086" s="146"/>
      <c r="I3086" s="147"/>
      <c r="J3086" s="147"/>
      <c r="K3086" s="63"/>
      <c r="L3086" s="63"/>
      <c r="M3086" s="63"/>
      <c r="N3086" s="63"/>
      <c r="O3086" s="63"/>
      <c r="P3086" s="63"/>
      <c r="Q3086" s="63"/>
      <c r="R3086" s="63"/>
      <c r="S3086" s="63"/>
      <c r="T3086" s="63"/>
      <c r="U3086" s="63"/>
      <c r="V3086" s="63"/>
      <c r="W3086" s="63"/>
      <c r="X3086" s="63"/>
      <c r="Y3086" s="63"/>
      <c r="Z3086" s="63"/>
      <c r="AA3086" s="63"/>
      <c r="AB3086" s="63"/>
      <c r="AC3086" s="63"/>
    </row>
    <row r="3087" spans="1:29" ht="15.75" customHeight="1" x14ac:dyDescent="0.25">
      <c r="A3087" s="108">
        <v>46120</v>
      </c>
      <c r="B3087" s="128">
        <v>68</v>
      </c>
      <c r="C3087" s="49" t="s">
        <v>19</v>
      </c>
      <c r="D3087" s="110" t="str">
        <f>IF(ISBLANK($B3087),"",IFERROR(VLOOKUP($B3087,ESTOQUE!$B$2:$D$97168,3,FALSE),"Produto não cadastrado"))</f>
        <v>CAMISA LARANJA OP. C/ FAIXA REFLETIVA TAM: GG</v>
      </c>
      <c r="E3087" s="99" t="str">
        <f>_xlfn.XLOOKUP(B3087,ESTOQUE!B:B,ESTOQUE!G:G,"",0)</f>
        <v>UND</v>
      </c>
      <c r="F3087" s="99">
        <v>1</v>
      </c>
      <c r="G3087" s="146"/>
      <c r="H3087" s="146"/>
      <c r="I3087" s="147"/>
      <c r="J3087" s="147"/>
      <c r="K3087" s="63"/>
      <c r="L3087" s="63"/>
      <c r="M3087" s="63"/>
      <c r="N3087" s="63"/>
      <c r="O3087" s="63"/>
      <c r="P3087" s="63"/>
      <c r="Q3087" s="63"/>
      <c r="R3087" s="63"/>
      <c r="S3087" s="63"/>
      <c r="T3087" s="63"/>
      <c r="U3087" s="63"/>
      <c r="V3087" s="63"/>
      <c r="W3087" s="63"/>
      <c r="X3087" s="63"/>
      <c r="Y3087" s="63"/>
      <c r="Z3087" s="63"/>
      <c r="AA3087" s="63"/>
      <c r="AB3087" s="63"/>
      <c r="AC3087" s="63"/>
    </row>
    <row r="3088" spans="1:29" ht="15.75" customHeight="1" x14ac:dyDescent="0.25">
      <c r="A3088" s="108">
        <v>46120</v>
      </c>
      <c r="B3088" s="128">
        <v>69</v>
      </c>
      <c r="C3088" s="49" t="s">
        <v>19</v>
      </c>
      <c r="D3088" s="110" t="str">
        <f>IF(ISBLANK($B3088),"",IFERROR(VLOOKUP($B3088,ESTOQUE!$B$2:$D$97168,3,FALSE),"Produto não cadastrado"))</f>
        <v>CAMISA LARANJA OP. C/ FAIXA REFLETIVA TAM: M</v>
      </c>
      <c r="E3088" s="99" t="str">
        <f>_xlfn.XLOOKUP(B3088,ESTOQUE!B:B,ESTOQUE!G:G,"",0)</f>
        <v>UND</v>
      </c>
      <c r="F3088" s="99">
        <v>2</v>
      </c>
      <c r="G3088" s="146"/>
      <c r="H3088" s="146"/>
      <c r="I3088" s="147"/>
      <c r="J3088" s="147"/>
      <c r="K3088" s="63"/>
      <c r="L3088" s="63"/>
      <c r="M3088" s="63"/>
      <c r="N3088" s="63"/>
      <c r="O3088" s="63"/>
      <c r="P3088" s="63"/>
      <c r="Q3088" s="63"/>
      <c r="R3088" s="63"/>
      <c r="S3088" s="63"/>
      <c r="T3088" s="63"/>
      <c r="U3088" s="63"/>
      <c r="V3088" s="63"/>
      <c r="W3088" s="63"/>
      <c r="X3088" s="63"/>
      <c r="Y3088" s="63"/>
      <c r="Z3088" s="63"/>
      <c r="AA3088" s="63"/>
      <c r="AB3088" s="63"/>
      <c r="AC3088" s="63"/>
    </row>
    <row r="3089" spans="1:29" ht="15.75" customHeight="1" x14ac:dyDescent="0.25">
      <c r="A3089" s="108">
        <v>46120</v>
      </c>
      <c r="B3089" s="128">
        <v>70</v>
      </c>
      <c r="C3089" s="49" t="s">
        <v>19</v>
      </c>
      <c r="D3089" s="110" t="str">
        <f>IF(ISBLANK($B3089),"",IFERROR(VLOOKUP($B3089,ESTOQUE!$B$2:$D$97168,3,FALSE),"Produto não cadastrado"))</f>
        <v>CAMISA LARANJA OP. C/ FAIXA REFLETIVA TAM: P</v>
      </c>
      <c r="E3089" s="99" t="str">
        <f>_xlfn.XLOOKUP(B3089,ESTOQUE!B:B,ESTOQUE!G:G,"",0)</f>
        <v>UND</v>
      </c>
      <c r="F3089" s="99">
        <v>2</v>
      </c>
      <c r="G3089" s="146"/>
      <c r="H3089" s="146"/>
      <c r="I3089" s="147"/>
      <c r="J3089" s="147"/>
      <c r="K3089" s="63"/>
      <c r="L3089" s="63"/>
      <c r="M3089" s="63"/>
      <c r="N3089" s="63"/>
      <c r="O3089" s="63"/>
      <c r="P3089" s="63"/>
      <c r="Q3089" s="63"/>
      <c r="R3089" s="63"/>
      <c r="S3089" s="63"/>
      <c r="T3089" s="63"/>
      <c r="U3089" s="63"/>
      <c r="V3089" s="63"/>
      <c r="W3089" s="63"/>
      <c r="X3089" s="63"/>
      <c r="Y3089" s="63"/>
      <c r="Z3089" s="63"/>
      <c r="AA3089" s="63"/>
      <c r="AB3089" s="63"/>
      <c r="AC3089" s="63"/>
    </row>
    <row r="3090" spans="1:29" ht="15.75" customHeight="1" x14ac:dyDescent="0.25">
      <c r="A3090" s="108">
        <v>46120</v>
      </c>
      <c r="B3090" s="128">
        <v>110</v>
      </c>
      <c r="C3090" s="49" t="s">
        <v>19</v>
      </c>
      <c r="D3090" s="110" t="str">
        <f>IF(ISBLANK($B3090),"",IFERROR(VLOOKUP($B3090,ESTOQUE!$B$2:$D$97168,3,FALSE),"Produto não cadastrado"))</f>
        <v>LUVA DE RASPA CANO LONGO</v>
      </c>
      <c r="E3090" s="99" t="str">
        <f>_xlfn.XLOOKUP(B3090,ESTOQUE!B:B,ESTOQUE!G:G,"",0)</f>
        <v>PAR</v>
      </c>
      <c r="F3090" s="99">
        <v>1</v>
      </c>
      <c r="G3090" s="146"/>
      <c r="H3090" s="146"/>
      <c r="I3090" s="147"/>
      <c r="J3090" s="147"/>
      <c r="K3090" s="63"/>
      <c r="L3090" s="63"/>
      <c r="M3090" s="63"/>
      <c r="N3090" s="63"/>
      <c r="O3090" s="63"/>
      <c r="P3090" s="63"/>
      <c r="Q3090" s="63"/>
      <c r="R3090" s="63"/>
      <c r="S3090" s="63"/>
      <c r="T3090" s="63"/>
      <c r="U3090" s="63"/>
      <c r="V3090" s="63"/>
      <c r="W3090" s="63"/>
      <c r="X3090" s="63"/>
      <c r="Y3090" s="63"/>
      <c r="Z3090" s="63"/>
      <c r="AA3090" s="63"/>
      <c r="AB3090" s="63"/>
      <c r="AC3090" s="63"/>
    </row>
    <row r="3091" spans="1:29" ht="15.75" customHeight="1" x14ac:dyDescent="0.25">
      <c r="A3091" s="108">
        <v>46120</v>
      </c>
      <c r="B3091" s="128">
        <v>114</v>
      </c>
      <c r="C3091" s="49" t="s">
        <v>19</v>
      </c>
      <c r="D3091" s="110" t="str">
        <f>IF(ISBLANK($B3091),"",IFERROR(VLOOKUP($B3091,ESTOQUE!$B$2:$D$97168,3,FALSE),"Produto não cadastrado"))</f>
        <v xml:space="preserve">LUVA LATEX NITRILICA </v>
      </c>
      <c r="E3091" s="99" t="str">
        <f>_xlfn.XLOOKUP(B3091,ESTOQUE!B:B,ESTOQUE!G:G,"",0)</f>
        <v>PAR</v>
      </c>
      <c r="F3091" s="99">
        <v>1</v>
      </c>
      <c r="G3091" s="146"/>
      <c r="H3091" s="146"/>
      <c r="I3091" s="147"/>
      <c r="J3091" s="147"/>
      <c r="K3091" s="63"/>
      <c r="L3091" s="63"/>
      <c r="M3091" s="63"/>
      <c r="N3091" s="63"/>
      <c r="O3091" s="63"/>
      <c r="P3091" s="63"/>
      <c r="Q3091" s="63"/>
      <c r="R3091" s="63"/>
      <c r="S3091" s="63"/>
      <c r="T3091" s="63"/>
      <c r="U3091" s="63"/>
      <c r="V3091" s="63"/>
      <c r="W3091" s="63"/>
      <c r="X3091" s="63"/>
      <c r="Y3091" s="63"/>
      <c r="Z3091" s="63"/>
      <c r="AA3091" s="63"/>
      <c r="AB3091" s="63"/>
      <c r="AC3091" s="63"/>
    </row>
    <row r="3092" spans="1:29" ht="15.75" customHeight="1" x14ac:dyDescent="0.25">
      <c r="A3092" s="108">
        <v>46120</v>
      </c>
      <c r="B3092" s="128">
        <v>144</v>
      </c>
      <c r="C3092" s="49" t="s">
        <v>19</v>
      </c>
      <c r="D3092" s="110" t="str">
        <f>IF(ISBLANK($B3092),"",IFERROR(VLOOKUP($B3092,ESTOQUE!$B$2:$D$97168,3,FALSE),"Produto não cadastrado"))</f>
        <v>MASCARA PFF2-S C/ FILTRO</v>
      </c>
      <c r="E3092" s="99" t="str">
        <f>_xlfn.XLOOKUP(B3092,ESTOQUE!B:B,ESTOQUE!G:G,"",0)</f>
        <v>UND</v>
      </c>
      <c r="F3092" s="99">
        <v>90</v>
      </c>
      <c r="G3092" s="146"/>
      <c r="H3092" s="146"/>
      <c r="I3092" s="147"/>
      <c r="J3092" s="147"/>
      <c r="K3092" s="63"/>
      <c r="L3092" s="63"/>
      <c r="M3092" s="63"/>
      <c r="N3092" s="63"/>
      <c r="O3092" s="63"/>
      <c r="P3092" s="63"/>
      <c r="Q3092" s="63"/>
      <c r="R3092" s="63"/>
      <c r="S3092" s="63"/>
      <c r="T3092" s="63"/>
      <c r="U3092" s="63"/>
      <c r="V3092" s="63"/>
      <c r="W3092" s="63"/>
      <c r="X3092" s="63"/>
      <c r="Y3092" s="63"/>
      <c r="Z3092" s="63"/>
      <c r="AA3092" s="63"/>
      <c r="AB3092" s="63"/>
      <c r="AC3092" s="63"/>
    </row>
    <row r="3093" spans="1:29" ht="15.75" customHeight="1" x14ac:dyDescent="0.25">
      <c r="A3093" s="108">
        <v>46120</v>
      </c>
      <c r="B3093" s="128">
        <v>126</v>
      </c>
      <c r="C3093" s="49" t="s">
        <v>19</v>
      </c>
      <c r="D3093" s="110" t="str">
        <f>IF(ISBLANK($B3093),"",IFERROR(VLOOKUP($B3093,ESTOQUE!$B$2:$D$97168,3,FALSE),"Produto não cadastrado"))</f>
        <v>OCULOS DE PROTEÇÃO ESCURO</v>
      </c>
      <c r="E3093" s="99" t="str">
        <f>_xlfn.XLOOKUP(B3093,ESTOQUE!B:B,ESTOQUE!G:G,"",0)</f>
        <v>UND</v>
      </c>
      <c r="F3093" s="99">
        <v>5</v>
      </c>
      <c r="G3093" s="146"/>
      <c r="H3093" s="146"/>
      <c r="I3093" s="147"/>
      <c r="J3093" s="147"/>
      <c r="K3093" s="63"/>
      <c r="L3093" s="63"/>
      <c r="M3093" s="63"/>
      <c r="N3093" s="63"/>
      <c r="O3093" s="63"/>
      <c r="P3093" s="63"/>
      <c r="Q3093" s="63"/>
      <c r="R3093" s="63"/>
      <c r="S3093" s="63"/>
      <c r="T3093" s="63"/>
      <c r="U3093" s="63"/>
      <c r="V3093" s="63"/>
      <c r="W3093" s="63"/>
      <c r="X3093" s="63"/>
      <c r="Y3093" s="63"/>
      <c r="Z3093" s="63"/>
      <c r="AA3093" s="63"/>
      <c r="AB3093" s="63"/>
      <c r="AC3093" s="63"/>
    </row>
    <row r="3094" spans="1:29" ht="15.75" customHeight="1" x14ac:dyDescent="0.25">
      <c r="A3094" s="108">
        <v>46120</v>
      </c>
      <c r="B3094" s="128">
        <v>139</v>
      </c>
      <c r="C3094" s="49" t="s">
        <v>19</v>
      </c>
      <c r="D3094" s="110" t="str">
        <f>IF(ISBLANK($B3094),"",IFERROR(VLOOKUP($B3094,ESTOQUE!$B$2:$D$97168,3,FALSE),"Produto não cadastrado"))</f>
        <v>PROTETOR AURICULAR TIPO PLUG</v>
      </c>
      <c r="E3094" s="99" t="str">
        <f>_xlfn.XLOOKUP(B3094,ESTOQUE!B:B,ESTOQUE!G:G,"",0)</f>
        <v>UND</v>
      </c>
      <c r="F3094" s="99">
        <v>30</v>
      </c>
      <c r="G3094" s="146"/>
      <c r="H3094" s="146"/>
      <c r="I3094" s="147"/>
      <c r="J3094" s="147"/>
      <c r="K3094" s="63"/>
      <c r="L3094" s="63"/>
      <c r="M3094" s="63"/>
      <c r="N3094" s="63"/>
      <c r="O3094" s="63"/>
      <c r="P3094" s="63"/>
      <c r="Q3094" s="63"/>
      <c r="R3094" s="63"/>
      <c r="S3094" s="63"/>
      <c r="T3094" s="63"/>
      <c r="U3094" s="63"/>
      <c r="V3094" s="63"/>
      <c r="W3094" s="63"/>
      <c r="X3094" s="63"/>
      <c r="Y3094" s="63"/>
      <c r="Z3094" s="63"/>
      <c r="AA3094" s="63"/>
      <c r="AB3094" s="63"/>
      <c r="AC3094" s="63"/>
    </row>
    <row r="3095" spans="1:29" ht="15.75" customHeight="1" x14ac:dyDescent="0.25">
      <c r="A3095" s="108">
        <v>46120</v>
      </c>
      <c r="B3095" s="128">
        <v>153</v>
      </c>
      <c r="C3095" s="49" t="s">
        <v>19</v>
      </c>
      <c r="D3095" s="110" t="str">
        <f>IF(ISBLANK($B3095),"",IFERROR(VLOOKUP($B3095,ESTOQUE!$B$2:$D$97168,3,FALSE),"Produto não cadastrado"))</f>
        <v>BOTINA BICO PVC Nº 42 NOBUCK</v>
      </c>
      <c r="E3095" s="99" t="str">
        <f>_xlfn.XLOOKUP(B3095,ESTOQUE!B:B,ESTOQUE!G:G,"",0)</f>
        <v>PAR</v>
      </c>
      <c r="F3095" s="99">
        <v>0</v>
      </c>
      <c r="G3095" s="146"/>
      <c r="H3095" s="146"/>
      <c r="I3095" s="147"/>
      <c r="J3095" s="147"/>
      <c r="K3095" s="63"/>
      <c r="L3095" s="63"/>
      <c r="M3095" s="63"/>
      <c r="N3095" s="63"/>
      <c r="O3095" s="63"/>
      <c r="P3095" s="63"/>
      <c r="Q3095" s="63"/>
      <c r="R3095" s="63"/>
      <c r="S3095" s="63"/>
      <c r="T3095" s="63"/>
      <c r="U3095" s="63"/>
      <c r="V3095" s="63"/>
      <c r="W3095" s="63"/>
      <c r="X3095" s="63"/>
      <c r="Y3095" s="63"/>
      <c r="Z3095" s="63"/>
      <c r="AA3095" s="63"/>
      <c r="AB3095" s="63"/>
      <c r="AC3095" s="63"/>
    </row>
    <row r="3096" spans="1:29" ht="15.75" customHeight="1" x14ac:dyDescent="0.25">
      <c r="A3096" s="108">
        <v>46121</v>
      </c>
      <c r="B3096" s="128">
        <v>1</v>
      </c>
      <c r="C3096" s="49" t="s">
        <v>19</v>
      </c>
      <c r="D3096" s="110" t="str">
        <f>IF(ISBLANK($B3096),"",IFERROR(VLOOKUP($B3096,ESTOQUE!$B$2:$D$97168,3,FALSE),"Produto não cadastrado"))</f>
        <v>ABAFADOR DE RUIDOS TIPO CONCHA</v>
      </c>
      <c r="E3096" s="99" t="str">
        <f>_xlfn.XLOOKUP(B3096,ESTOQUE!B:B,ESTOQUE!G:G,"",0)</f>
        <v>UND</v>
      </c>
      <c r="F3096" s="99">
        <v>4</v>
      </c>
      <c r="G3096" s="146"/>
      <c r="H3096" s="146"/>
      <c r="I3096" s="147"/>
      <c r="J3096" s="147"/>
      <c r="K3096" s="63"/>
      <c r="L3096" s="63"/>
      <c r="M3096" s="63"/>
      <c r="N3096" s="63"/>
      <c r="O3096" s="63"/>
      <c r="P3096" s="63"/>
      <c r="Q3096" s="63"/>
      <c r="R3096" s="63"/>
      <c r="S3096" s="63"/>
      <c r="T3096" s="63"/>
      <c r="U3096" s="63"/>
      <c r="V3096" s="63"/>
      <c r="W3096" s="63"/>
      <c r="X3096" s="63"/>
      <c r="Y3096" s="63"/>
      <c r="Z3096" s="63"/>
      <c r="AA3096" s="63"/>
      <c r="AB3096" s="63"/>
      <c r="AC3096" s="63"/>
    </row>
    <row r="3097" spans="1:29" ht="15.75" customHeight="1" x14ac:dyDescent="0.25">
      <c r="A3097" s="108">
        <v>46121</v>
      </c>
      <c r="B3097" s="128">
        <v>35</v>
      </c>
      <c r="C3097" s="49" t="s">
        <v>19</v>
      </c>
      <c r="D3097" s="110" t="str">
        <f>IF(ISBLANK($B3097),"",IFERROR(VLOOKUP($B3097,ESTOQUE!$B$2:$D$97168,3,FALSE),"Produto não cadastrado"))</f>
        <v>BOTINA OP. BICO PVC Nº 37</v>
      </c>
      <c r="E3097" s="99" t="str">
        <f>_xlfn.XLOOKUP(B3097,ESTOQUE!B:B,ESTOQUE!G:G,"",0)</f>
        <v>PAR</v>
      </c>
      <c r="F3097" s="99">
        <v>1</v>
      </c>
      <c r="G3097" s="146"/>
      <c r="H3097" s="146"/>
      <c r="I3097" s="147"/>
      <c r="J3097" s="147"/>
      <c r="K3097" s="63"/>
      <c r="L3097" s="63"/>
      <c r="M3097" s="63"/>
      <c r="N3097" s="63"/>
      <c r="O3097" s="63"/>
      <c r="P3097" s="63"/>
      <c r="Q3097" s="63"/>
      <c r="R3097" s="63"/>
      <c r="S3097" s="63"/>
      <c r="T3097" s="63"/>
      <c r="U3097" s="63"/>
      <c r="V3097" s="63"/>
      <c r="W3097" s="63"/>
      <c r="X3097" s="63"/>
      <c r="Y3097" s="63"/>
      <c r="Z3097" s="63"/>
      <c r="AA3097" s="63"/>
      <c r="AB3097" s="63"/>
      <c r="AC3097" s="63"/>
    </row>
    <row r="3098" spans="1:29" ht="15.75" customHeight="1" x14ac:dyDescent="0.25">
      <c r="A3098" s="108">
        <v>46121</v>
      </c>
      <c r="B3098" s="128">
        <v>37</v>
      </c>
      <c r="C3098" s="49" t="s">
        <v>19</v>
      </c>
      <c r="D3098" s="110" t="str">
        <f>IF(ISBLANK($B3098),"",IFERROR(VLOOKUP($B3098,ESTOQUE!$B$2:$D$97168,3,FALSE),"Produto não cadastrado"))</f>
        <v>BOTINA OP. BICO PVC Nº 39</v>
      </c>
      <c r="E3098" s="99" t="str">
        <f>_xlfn.XLOOKUP(B3098,ESTOQUE!B:B,ESTOQUE!G:G,"",0)</f>
        <v>PAR</v>
      </c>
      <c r="F3098" s="99">
        <v>1</v>
      </c>
      <c r="G3098" s="146"/>
      <c r="H3098" s="146"/>
      <c r="I3098" s="147"/>
      <c r="J3098" s="147"/>
      <c r="K3098" s="63"/>
      <c r="L3098" s="63"/>
      <c r="M3098" s="63"/>
      <c r="N3098" s="63"/>
      <c r="O3098" s="63"/>
      <c r="P3098" s="63"/>
      <c r="Q3098" s="63"/>
      <c r="R3098" s="63"/>
      <c r="S3098" s="63"/>
      <c r="T3098" s="63"/>
      <c r="U3098" s="63"/>
      <c r="V3098" s="63"/>
      <c r="W3098" s="63"/>
      <c r="X3098" s="63"/>
      <c r="Y3098" s="63"/>
      <c r="Z3098" s="63"/>
      <c r="AA3098" s="63"/>
      <c r="AB3098" s="63"/>
      <c r="AC3098" s="63"/>
    </row>
    <row r="3099" spans="1:29" ht="15.75" customHeight="1" x14ac:dyDescent="0.25">
      <c r="A3099" s="108">
        <v>46121</v>
      </c>
      <c r="B3099" s="128">
        <v>38</v>
      </c>
      <c r="C3099" s="49" t="s">
        <v>19</v>
      </c>
      <c r="D3099" s="110" t="str">
        <f>IF(ISBLANK($B3099),"",IFERROR(VLOOKUP($B3099,ESTOQUE!$B$2:$D$97168,3,FALSE),"Produto não cadastrado"))</f>
        <v>BOTINA OP. BICO PVC Nº 40</v>
      </c>
      <c r="E3099" s="99" t="str">
        <f>_xlfn.XLOOKUP(B3099,ESTOQUE!B:B,ESTOQUE!G:G,"",0)</f>
        <v>PAR</v>
      </c>
      <c r="F3099" s="99">
        <v>2</v>
      </c>
      <c r="G3099" s="146"/>
      <c r="H3099" s="146"/>
      <c r="I3099" s="147"/>
      <c r="J3099" s="147"/>
      <c r="K3099" s="63"/>
      <c r="L3099" s="63"/>
      <c r="M3099" s="63"/>
      <c r="N3099" s="63"/>
      <c r="O3099" s="63"/>
      <c r="P3099" s="63"/>
      <c r="Q3099" s="63"/>
      <c r="R3099" s="63"/>
      <c r="S3099" s="63"/>
      <c r="T3099" s="63"/>
      <c r="U3099" s="63"/>
      <c r="V3099" s="63"/>
      <c r="W3099" s="63"/>
      <c r="X3099" s="63"/>
      <c r="Y3099" s="63"/>
      <c r="Z3099" s="63"/>
      <c r="AA3099" s="63"/>
      <c r="AB3099" s="63"/>
      <c r="AC3099" s="63"/>
    </row>
    <row r="3100" spans="1:29" ht="15.75" customHeight="1" x14ac:dyDescent="0.25">
      <c r="A3100" s="108">
        <v>46121</v>
      </c>
      <c r="B3100" s="128">
        <v>39</v>
      </c>
      <c r="C3100" s="49" t="s">
        <v>19</v>
      </c>
      <c r="D3100" s="110" t="str">
        <f>IF(ISBLANK($B3100),"",IFERROR(VLOOKUP($B3100,ESTOQUE!$B$2:$D$97168,3,FALSE),"Produto não cadastrado"))</f>
        <v>BOTINA OP. BICO PVC Nº 41</v>
      </c>
      <c r="E3100" s="99" t="str">
        <f>_xlfn.XLOOKUP(B3100,ESTOQUE!B:B,ESTOQUE!G:G,"",0)</f>
        <v>PAR</v>
      </c>
      <c r="F3100" s="99">
        <v>0</v>
      </c>
      <c r="G3100" s="146"/>
      <c r="H3100" s="146"/>
      <c r="I3100" s="147"/>
      <c r="J3100" s="147"/>
      <c r="K3100" s="63"/>
      <c r="L3100" s="63"/>
      <c r="M3100" s="63"/>
      <c r="N3100" s="63"/>
      <c r="O3100" s="63"/>
      <c r="P3100" s="63"/>
      <c r="Q3100" s="63"/>
      <c r="R3100" s="63"/>
      <c r="S3100" s="63"/>
      <c r="T3100" s="63"/>
      <c r="U3100" s="63"/>
      <c r="V3100" s="63"/>
      <c r="W3100" s="63"/>
      <c r="X3100" s="63"/>
      <c r="Y3100" s="63"/>
      <c r="Z3100" s="63"/>
      <c r="AA3100" s="63"/>
      <c r="AB3100" s="63"/>
      <c r="AC3100" s="63"/>
    </row>
    <row r="3101" spans="1:29" ht="15.75" customHeight="1" x14ac:dyDescent="0.25">
      <c r="A3101" s="108">
        <v>46121</v>
      </c>
      <c r="B3101" s="128">
        <v>40</v>
      </c>
      <c r="C3101" s="49" t="s">
        <v>19</v>
      </c>
      <c r="D3101" s="110" t="str">
        <f>IF(ISBLANK($B3101),"",IFERROR(VLOOKUP($B3101,ESTOQUE!$B$2:$D$97168,3,FALSE),"Produto não cadastrado"))</f>
        <v>BOTINA OP. BICO PVC Nº 42</v>
      </c>
      <c r="E3101" s="99" t="str">
        <f>_xlfn.XLOOKUP(B3101,ESTOQUE!B:B,ESTOQUE!G:G,"",0)</f>
        <v>PAR</v>
      </c>
      <c r="F3101" s="99">
        <v>1</v>
      </c>
      <c r="G3101" s="146"/>
      <c r="H3101" s="146"/>
      <c r="I3101" s="147"/>
      <c r="J3101" s="147"/>
      <c r="K3101" s="63"/>
      <c r="L3101" s="63"/>
      <c r="M3101" s="63"/>
      <c r="N3101" s="63"/>
      <c r="O3101" s="63"/>
      <c r="P3101" s="63"/>
      <c r="Q3101" s="63"/>
      <c r="R3101" s="63"/>
      <c r="S3101" s="63"/>
      <c r="T3101" s="63"/>
      <c r="U3101" s="63"/>
      <c r="V3101" s="63"/>
      <c r="W3101" s="63"/>
      <c r="X3101" s="63"/>
      <c r="Y3101" s="63"/>
      <c r="Z3101" s="63"/>
      <c r="AA3101" s="63"/>
      <c r="AB3101" s="63"/>
      <c r="AC3101" s="63"/>
    </row>
    <row r="3102" spans="1:29" ht="15.75" customHeight="1" x14ac:dyDescent="0.25">
      <c r="A3102" s="108">
        <v>46121</v>
      </c>
      <c r="B3102" s="128">
        <v>217</v>
      </c>
      <c r="C3102" s="49" t="s">
        <v>19</v>
      </c>
      <c r="D3102" s="110" t="str">
        <f>IF(ISBLANK($B3102),"",IFERROR(VLOOKUP($B3102,ESTOQUE!$B$2:$D$97168,3,FALSE),"Produto não cadastrado"))</f>
        <v>BOTINA SEGURANÇA METATARSO  40</v>
      </c>
      <c r="E3102" s="99" t="str">
        <f>_xlfn.XLOOKUP(B3102,ESTOQUE!B:B,ESTOQUE!G:G,"",0)</f>
        <v>PAR</v>
      </c>
      <c r="F3102" s="99">
        <v>2</v>
      </c>
      <c r="G3102" s="146"/>
      <c r="H3102" s="146"/>
      <c r="I3102" s="147"/>
      <c r="J3102" s="147"/>
      <c r="K3102" s="63"/>
      <c r="L3102" s="63"/>
      <c r="M3102" s="63"/>
      <c r="N3102" s="63"/>
      <c r="O3102" s="63"/>
      <c r="P3102" s="63"/>
      <c r="Q3102" s="63"/>
      <c r="R3102" s="63"/>
      <c r="S3102" s="63"/>
      <c r="T3102" s="63"/>
      <c r="U3102" s="63"/>
      <c r="V3102" s="63"/>
      <c r="W3102" s="63"/>
      <c r="X3102" s="63"/>
      <c r="Y3102" s="63"/>
      <c r="Z3102" s="63"/>
      <c r="AA3102" s="63"/>
      <c r="AB3102" s="63"/>
      <c r="AC3102" s="63"/>
    </row>
    <row r="3103" spans="1:29" ht="15.75" customHeight="1" x14ac:dyDescent="0.25">
      <c r="A3103" s="108">
        <v>46121</v>
      </c>
      <c r="B3103" s="128">
        <v>46</v>
      </c>
      <c r="C3103" s="49" t="s">
        <v>19</v>
      </c>
      <c r="D3103" s="110" t="str">
        <f>IF(ISBLANK($B3103),"",IFERROR(VLOOKUP($B3103,ESTOQUE!$B$2:$D$97168,3,FALSE),"Produto não cadastrado"))</f>
        <v>CALÇA CINZA OP. C/ FAIXA REFLETIVA TAM: G</v>
      </c>
      <c r="E3103" s="99" t="str">
        <f>_xlfn.XLOOKUP(B3103,ESTOQUE!B:B,ESTOQUE!G:G,"",0)</f>
        <v>UND</v>
      </c>
      <c r="F3103" s="99">
        <v>4</v>
      </c>
      <c r="G3103" s="146"/>
      <c r="H3103" s="146"/>
      <c r="I3103" s="147"/>
      <c r="J3103" s="147"/>
      <c r="K3103" s="63"/>
      <c r="L3103" s="63"/>
      <c r="M3103" s="63"/>
      <c r="N3103" s="63"/>
      <c r="O3103" s="63"/>
      <c r="P3103" s="63"/>
      <c r="Q3103" s="63"/>
      <c r="R3103" s="63"/>
      <c r="S3103" s="63"/>
      <c r="T3103" s="63"/>
      <c r="U3103" s="63"/>
      <c r="V3103" s="63"/>
      <c r="W3103" s="63"/>
      <c r="X3103" s="63"/>
      <c r="Y3103" s="63"/>
      <c r="Z3103" s="63"/>
      <c r="AA3103" s="63"/>
      <c r="AB3103" s="63"/>
      <c r="AC3103" s="63"/>
    </row>
    <row r="3104" spans="1:29" ht="15.75" customHeight="1" x14ac:dyDescent="0.25">
      <c r="A3104" s="108">
        <v>46121</v>
      </c>
      <c r="B3104" s="128">
        <v>47</v>
      </c>
      <c r="C3104" s="49" t="s">
        <v>19</v>
      </c>
      <c r="D3104" s="110" t="str">
        <f>IF(ISBLANK($B3104),"",IFERROR(VLOOKUP($B3104,ESTOQUE!$B$2:$D$97168,3,FALSE),"Produto não cadastrado"))</f>
        <v>CALÇA CINZA OP. C/ FAIXA REFLETIVA TAM: GG</v>
      </c>
      <c r="E3104" s="99" t="str">
        <f>_xlfn.XLOOKUP(B3104,ESTOQUE!B:B,ESTOQUE!G:G,"",0)</f>
        <v>UND</v>
      </c>
      <c r="F3104" s="99">
        <v>3</v>
      </c>
      <c r="G3104" s="146"/>
      <c r="H3104" s="146"/>
      <c r="I3104" s="147"/>
      <c r="J3104" s="147"/>
      <c r="K3104" s="63"/>
      <c r="L3104" s="63"/>
      <c r="M3104" s="63"/>
      <c r="N3104" s="63"/>
      <c r="O3104" s="63"/>
      <c r="P3104" s="63"/>
      <c r="Q3104" s="63"/>
      <c r="R3104" s="63"/>
      <c r="S3104" s="63"/>
      <c r="T3104" s="63"/>
      <c r="U3104" s="63"/>
      <c r="V3104" s="63"/>
      <c r="W3104" s="63"/>
      <c r="X3104" s="63"/>
      <c r="Y3104" s="63"/>
      <c r="Z3104" s="63"/>
      <c r="AA3104" s="63"/>
      <c r="AB3104" s="63"/>
      <c r="AC3104" s="63"/>
    </row>
    <row r="3105" spans="1:29" ht="15.75" customHeight="1" x14ac:dyDescent="0.25">
      <c r="A3105" s="108">
        <v>46121</v>
      </c>
      <c r="B3105" s="128">
        <v>48</v>
      </c>
      <c r="C3105" s="49" t="s">
        <v>19</v>
      </c>
      <c r="D3105" s="110" t="str">
        <f>IF(ISBLANK($B3105),"",IFERROR(VLOOKUP($B3105,ESTOQUE!$B$2:$D$97168,3,FALSE),"Produto não cadastrado"))</f>
        <v>CALÇA CINZA OP. C/ FAIXA REFLETIVA TAM: M</v>
      </c>
      <c r="E3105" s="99" t="str">
        <f>_xlfn.XLOOKUP(B3105,ESTOQUE!B:B,ESTOQUE!G:G,"",0)</f>
        <v>UND</v>
      </c>
      <c r="F3105" s="99">
        <v>8</v>
      </c>
      <c r="G3105" s="146"/>
      <c r="H3105" s="146"/>
      <c r="I3105" s="147"/>
      <c r="J3105" s="147"/>
      <c r="K3105" s="63"/>
      <c r="L3105" s="63"/>
      <c r="M3105" s="63"/>
      <c r="N3105" s="63"/>
      <c r="O3105" s="63"/>
      <c r="P3105" s="63"/>
      <c r="Q3105" s="63"/>
      <c r="R3105" s="63"/>
      <c r="S3105" s="63"/>
      <c r="T3105" s="63"/>
      <c r="U3105" s="63"/>
      <c r="V3105" s="63"/>
      <c r="W3105" s="63"/>
      <c r="X3105" s="63"/>
      <c r="Y3105" s="63"/>
      <c r="Z3105" s="63"/>
      <c r="AA3105" s="63"/>
      <c r="AB3105" s="63"/>
      <c r="AC3105" s="63"/>
    </row>
    <row r="3106" spans="1:29" ht="15.75" customHeight="1" x14ac:dyDescent="0.25">
      <c r="A3106" s="108">
        <v>46121</v>
      </c>
      <c r="B3106" s="128">
        <v>49</v>
      </c>
      <c r="C3106" s="49" t="s">
        <v>19</v>
      </c>
      <c r="D3106" s="110" t="str">
        <f>IF(ISBLANK($B3106),"",IFERROR(VLOOKUP($B3106,ESTOQUE!$B$2:$D$97168,3,FALSE),"Produto não cadastrado"))</f>
        <v>CALÇA CINZA OP. C/ FAIXA REFLETIVA TAM: P</v>
      </c>
      <c r="E3106" s="99" t="str">
        <f>_xlfn.XLOOKUP(B3106,ESTOQUE!B:B,ESTOQUE!G:G,"",0)</f>
        <v>UND</v>
      </c>
      <c r="F3106" s="99">
        <v>4</v>
      </c>
      <c r="G3106" s="146"/>
      <c r="H3106" s="146"/>
      <c r="I3106" s="147"/>
      <c r="J3106" s="147"/>
      <c r="K3106" s="63"/>
      <c r="L3106" s="63"/>
      <c r="M3106" s="63"/>
      <c r="N3106" s="63"/>
      <c r="O3106" s="63"/>
      <c r="P3106" s="63"/>
      <c r="Q3106" s="63"/>
      <c r="R3106" s="63"/>
      <c r="S3106" s="63"/>
      <c r="T3106" s="63"/>
      <c r="U3106" s="63"/>
      <c r="V3106" s="63"/>
      <c r="W3106" s="63"/>
      <c r="X3106" s="63"/>
      <c r="Y3106" s="63"/>
      <c r="Z3106" s="63"/>
      <c r="AA3106" s="63"/>
      <c r="AB3106" s="63"/>
      <c r="AC3106" s="63"/>
    </row>
    <row r="3107" spans="1:29" ht="15.75" customHeight="1" x14ac:dyDescent="0.25">
      <c r="A3107" s="108">
        <v>46121</v>
      </c>
      <c r="B3107" s="128">
        <v>54</v>
      </c>
      <c r="C3107" s="49" t="s">
        <v>19</v>
      </c>
      <c r="D3107" s="110" t="str">
        <f>IF(ISBLANK($B3107),"",IFERROR(VLOOKUP($B3107,ESTOQUE!$B$2:$D$97168,3,FALSE),"Produto não cadastrado"))</f>
        <v>CALÇA DE ELETRICISTA NR.10 TAM: G</v>
      </c>
      <c r="E3107" s="99" t="str">
        <f>_xlfn.XLOOKUP(B3107,ESTOQUE!B:B,ESTOQUE!G:G,"",0)</f>
        <v>UND</v>
      </c>
      <c r="F3107" s="99">
        <v>1</v>
      </c>
      <c r="G3107" s="146"/>
      <c r="H3107" s="146"/>
      <c r="I3107" s="147"/>
      <c r="J3107" s="147"/>
      <c r="K3107" s="63"/>
      <c r="L3107" s="63"/>
      <c r="M3107" s="63"/>
      <c r="N3107" s="63"/>
      <c r="O3107" s="63"/>
      <c r="P3107" s="63"/>
      <c r="Q3107" s="63"/>
      <c r="R3107" s="63"/>
      <c r="S3107" s="63"/>
      <c r="T3107" s="63"/>
      <c r="U3107" s="63"/>
      <c r="V3107" s="63"/>
      <c r="W3107" s="63"/>
      <c r="X3107" s="63"/>
      <c r="Y3107" s="63"/>
      <c r="Z3107" s="63"/>
      <c r="AA3107" s="63"/>
      <c r="AB3107" s="63"/>
      <c r="AC3107" s="63"/>
    </row>
    <row r="3108" spans="1:29" ht="15.75" customHeight="1" x14ac:dyDescent="0.25">
      <c r="A3108" s="108">
        <v>46121</v>
      </c>
      <c r="B3108" s="128">
        <v>69</v>
      </c>
      <c r="C3108" s="49" t="s">
        <v>19</v>
      </c>
      <c r="D3108" s="110" t="str">
        <f>IF(ISBLANK($B3108),"",IFERROR(VLOOKUP($B3108,ESTOQUE!$B$2:$D$97168,3,FALSE),"Produto não cadastrado"))</f>
        <v>CAMISA LARANJA OP. C/ FAIXA REFLETIVA TAM: M</v>
      </c>
      <c r="E3108" s="99" t="str">
        <f>_xlfn.XLOOKUP(B3108,ESTOQUE!B:B,ESTOQUE!G:G,"",0)</f>
        <v>UND</v>
      </c>
      <c r="F3108" s="99">
        <v>5</v>
      </c>
      <c r="G3108" s="146"/>
      <c r="H3108" s="146"/>
      <c r="I3108" s="147"/>
      <c r="J3108" s="147"/>
      <c r="K3108" s="63"/>
      <c r="L3108" s="63"/>
      <c r="M3108" s="63"/>
      <c r="N3108" s="63"/>
      <c r="O3108" s="63"/>
      <c r="P3108" s="63"/>
      <c r="Q3108" s="63"/>
      <c r="R3108" s="63"/>
      <c r="S3108" s="63"/>
      <c r="T3108" s="63"/>
      <c r="U3108" s="63"/>
      <c r="V3108" s="63"/>
      <c r="W3108" s="63"/>
      <c r="X3108" s="63"/>
      <c r="Y3108" s="63"/>
      <c r="Z3108" s="63"/>
      <c r="AA3108" s="63"/>
      <c r="AB3108" s="63"/>
      <c r="AC3108" s="63"/>
    </row>
    <row r="3109" spans="1:29" ht="15.75" customHeight="1" x14ac:dyDescent="0.25">
      <c r="A3109" s="108">
        <v>46121</v>
      </c>
      <c r="B3109" s="128">
        <v>70</v>
      </c>
      <c r="C3109" s="49" t="s">
        <v>19</v>
      </c>
      <c r="D3109" s="110" t="str">
        <f>IF(ISBLANK($B3109),"",IFERROR(VLOOKUP($B3109,ESTOQUE!$B$2:$D$97168,3,FALSE),"Produto não cadastrado"))</f>
        <v>CAMISA LARANJA OP. C/ FAIXA REFLETIVA TAM: P</v>
      </c>
      <c r="E3109" s="99" t="str">
        <f>_xlfn.XLOOKUP(B3109,ESTOQUE!B:B,ESTOQUE!G:G,"",0)</f>
        <v>UND</v>
      </c>
      <c r="F3109" s="99">
        <v>2</v>
      </c>
      <c r="G3109" s="146"/>
      <c r="H3109" s="146"/>
      <c r="I3109" s="147"/>
      <c r="J3109" s="147"/>
      <c r="K3109" s="63"/>
      <c r="L3109" s="63"/>
      <c r="M3109" s="63"/>
      <c r="N3109" s="63"/>
      <c r="O3109" s="63"/>
      <c r="P3109" s="63"/>
      <c r="Q3109" s="63"/>
      <c r="R3109" s="63"/>
      <c r="S3109" s="63"/>
      <c r="T3109" s="63"/>
      <c r="U3109" s="63"/>
      <c r="V3109" s="63"/>
      <c r="W3109" s="63"/>
      <c r="X3109" s="63"/>
      <c r="Y3109" s="63"/>
      <c r="Z3109" s="63"/>
      <c r="AA3109" s="63"/>
      <c r="AB3109" s="63"/>
      <c r="AC3109" s="63"/>
    </row>
    <row r="3110" spans="1:29" ht="15.75" customHeight="1" x14ac:dyDescent="0.25">
      <c r="A3110" s="108">
        <v>46121</v>
      </c>
      <c r="B3110" s="128">
        <v>96</v>
      </c>
      <c r="C3110" s="49" t="s">
        <v>19</v>
      </c>
      <c r="D3110" s="110" t="str">
        <f>IF(ISBLANK($B3110),"",IFERROR(VLOOKUP($B3110,ESTOQUE!$B$2:$D$97168,3,FALSE),"Produto não cadastrado"))</f>
        <v xml:space="preserve">CINTO DE SEGURANÇA MODELO:C70 </v>
      </c>
      <c r="E3110" s="99" t="str">
        <f>_xlfn.XLOOKUP(B3110,ESTOQUE!B:B,ESTOQUE!G:G,"",0)</f>
        <v>UND</v>
      </c>
      <c r="F3110" s="99">
        <v>4</v>
      </c>
      <c r="G3110" s="146"/>
      <c r="H3110" s="146"/>
      <c r="I3110" s="147"/>
      <c r="J3110" s="147"/>
      <c r="K3110" s="63"/>
      <c r="L3110" s="63"/>
      <c r="M3110" s="63"/>
      <c r="N3110" s="63"/>
      <c r="O3110" s="63"/>
      <c r="P3110" s="63"/>
      <c r="Q3110" s="63"/>
      <c r="R3110" s="63"/>
      <c r="S3110" s="63"/>
      <c r="T3110" s="63"/>
      <c r="U3110" s="63"/>
      <c r="V3110" s="63"/>
      <c r="W3110" s="63"/>
      <c r="X3110" s="63"/>
      <c r="Y3110" s="63"/>
      <c r="Z3110" s="63"/>
      <c r="AA3110" s="63"/>
      <c r="AB3110" s="63"/>
      <c r="AC3110" s="63"/>
    </row>
    <row r="3111" spans="1:29" x14ac:dyDescent="0.25">
      <c r="A3111" s="108">
        <v>46121</v>
      </c>
      <c r="B3111" s="128">
        <v>186</v>
      </c>
      <c r="C3111" s="49" t="s">
        <v>19</v>
      </c>
      <c r="D3111" s="110" t="str">
        <f>IF(ISBLANK($B3111),"",IFERROR(VLOOKUP($B3111,ESTOQUE!$B$2:$D$97168,3,FALSE),"Produto não cadastrado"))</f>
        <v>COLETE REFLETIVO LARANJA GG</v>
      </c>
      <c r="E3111" s="99" t="str">
        <f>_xlfn.XLOOKUP(B3111,ESTOQUE!B:B,ESTOQUE!G:G,"",0)</f>
        <v>UND</v>
      </c>
      <c r="F3111" s="99">
        <v>4</v>
      </c>
      <c r="G3111" s="146"/>
      <c r="H3111" s="146"/>
      <c r="I3111" s="147"/>
      <c r="J3111" s="147"/>
      <c r="K3111" s="63"/>
      <c r="L3111" s="63"/>
      <c r="M3111" s="63"/>
      <c r="N3111" s="63"/>
      <c r="O3111" s="63"/>
      <c r="P3111" s="63"/>
      <c r="Q3111" s="63"/>
      <c r="R3111" s="63"/>
      <c r="S3111" s="63"/>
      <c r="T3111" s="63"/>
      <c r="U3111" s="63"/>
      <c r="V3111" s="63"/>
      <c r="W3111" s="63"/>
    </row>
    <row r="3112" spans="1:29" x14ac:dyDescent="0.25">
      <c r="A3112" s="108">
        <v>46121</v>
      </c>
      <c r="B3112" s="128">
        <v>110</v>
      </c>
      <c r="C3112" s="49" t="s">
        <v>19</v>
      </c>
      <c r="D3112" s="110" t="str">
        <f>IF(ISBLANK($B3112),"",IFERROR(VLOOKUP($B3112,ESTOQUE!$B$2:$D$97168,3,FALSE),"Produto não cadastrado"))</f>
        <v>LUVA DE RASPA CANO LONGO</v>
      </c>
      <c r="E3112" s="99" t="str">
        <f>_xlfn.XLOOKUP(B3112,ESTOQUE!B:B,ESTOQUE!G:G,"",0)</f>
        <v>PAR</v>
      </c>
      <c r="F3112" s="99">
        <v>20</v>
      </c>
      <c r="G3112" s="146"/>
      <c r="H3112" s="146"/>
      <c r="I3112" s="147"/>
      <c r="J3112" s="147"/>
      <c r="K3112" s="63"/>
      <c r="L3112" s="63"/>
      <c r="M3112" s="63"/>
      <c r="N3112" s="63"/>
      <c r="O3112" s="63"/>
      <c r="P3112" s="63"/>
      <c r="Q3112" s="63"/>
      <c r="R3112" s="63"/>
      <c r="S3112" s="63"/>
      <c r="T3112" s="63"/>
      <c r="U3112" s="63"/>
      <c r="V3112" s="63"/>
      <c r="W3112" s="63"/>
    </row>
    <row r="3113" spans="1:29" x14ac:dyDescent="0.25">
      <c r="A3113" s="108">
        <v>46121</v>
      </c>
      <c r="B3113" s="128">
        <v>112</v>
      </c>
      <c r="C3113" s="49" t="s">
        <v>19</v>
      </c>
      <c r="D3113" s="110" t="str">
        <f>IF(ISBLANK($B3113),"",IFERROR(VLOOKUP($B3113,ESTOQUE!$B$2:$D$97168,3,FALSE),"Produto não cadastrado"))</f>
        <v>LUVA DE RASPA CANO MEDIO</v>
      </c>
      <c r="E3113" s="99" t="str">
        <f>_xlfn.XLOOKUP(B3113,ESTOQUE!B:B,ESTOQUE!G:G,"",0)</f>
        <v>PAR</v>
      </c>
      <c r="F3113" s="99">
        <v>1</v>
      </c>
      <c r="G3113" s="146"/>
      <c r="H3113" s="146"/>
      <c r="I3113" s="147"/>
      <c r="J3113" s="147"/>
      <c r="K3113" s="63"/>
      <c r="L3113" s="63"/>
      <c r="M3113" s="63"/>
      <c r="N3113" s="63"/>
      <c r="O3113" s="63"/>
      <c r="P3113" s="63"/>
      <c r="Q3113" s="63"/>
      <c r="R3113" s="63"/>
      <c r="S3113" s="63"/>
      <c r="T3113" s="63"/>
      <c r="U3113" s="63"/>
      <c r="V3113" s="63"/>
      <c r="W3113" s="63"/>
    </row>
    <row r="3114" spans="1:29" x14ac:dyDescent="0.25">
      <c r="A3114" s="108">
        <v>46121</v>
      </c>
      <c r="B3114" s="128">
        <v>111</v>
      </c>
      <c r="C3114" s="49" t="s">
        <v>19</v>
      </c>
      <c r="D3114" s="110" t="str">
        <f>IF(ISBLANK($B3114),"",IFERROR(VLOOKUP($B3114,ESTOQUE!$B$2:$D$97168,3,FALSE),"Produto não cadastrado"))</f>
        <v>LUVA DE VAQUETA MARROM</v>
      </c>
      <c r="E3114" s="99" t="str">
        <f>_xlfn.XLOOKUP(B3114,ESTOQUE!B:B,ESTOQUE!G:G,"",0)</f>
        <v>PAR</v>
      </c>
      <c r="F3114" s="99">
        <v>0</v>
      </c>
      <c r="G3114" s="146"/>
      <c r="H3114" s="146"/>
      <c r="I3114" s="147"/>
      <c r="J3114" s="147"/>
      <c r="K3114" s="63"/>
      <c r="L3114" s="63"/>
      <c r="M3114" s="63"/>
      <c r="N3114" s="63"/>
      <c r="O3114" s="63"/>
      <c r="P3114" s="63"/>
      <c r="Q3114" s="63"/>
      <c r="R3114" s="63"/>
      <c r="S3114" s="63"/>
      <c r="T3114" s="63"/>
      <c r="U3114" s="63"/>
      <c r="V3114" s="63"/>
      <c r="W3114" s="63"/>
    </row>
    <row r="3115" spans="1:29" x14ac:dyDescent="0.25">
      <c r="A3115" s="108">
        <v>46121</v>
      </c>
      <c r="B3115" s="128">
        <v>189</v>
      </c>
      <c r="C3115" s="49" t="s">
        <v>19</v>
      </c>
      <c r="D3115" s="110" t="str">
        <f>IF(ISBLANK($B3115),"",IFERROR(VLOOKUP($B3115,ESTOQUE!$B$2:$D$97168,3,FALSE),"Produto não cadastrado"))</f>
        <v xml:space="preserve">LUVA DE VAQUETA MISTA </v>
      </c>
      <c r="E3115" s="99" t="str">
        <f>_xlfn.XLOOKUP(B3115,ESTOQUE!B:B,ESTOQUE!G:G,"",0)</f>
        <v>UND</v>
      </c>
      <c r="F3115" s="99">
        <v>0</v>
      </c>
      <c r="G3115" s="146"/>
      <c r="H3115" s="146"/>
      <c r="I3115" s="147"/>
      <c r="J3115" s="147"/>
      <c r="K3115" s="63"/>
      <c r="L3115" s="63"/>
      <c r="M3115" s="63"/>
      <c r="N3115" s="63"/>
      <c r="O3115" s="63"/>
      <c r="P3115" s="63"/>
      <c r="Q3115" s="63"/>
      <c r="R3115" s="63"/>
      <c r="S3115" s="63"/>
      <c r="T3115" s="63"/>
      <c r="U3115" s="63"/>
      <c r="V3115" s="63"/>
      <c r="W3115" s="63"/>
    </row>
    <row r="3116" spans="1:29" x14ac:dyDescent="0.25">
      <c r="A3116" s="108">
        <v>46121</v>
      </c>
      <c r="B3116" s="128">
        <v>114</v>
      </c>
      <c r="C3116" s="49" t="s">
        <v>19</v>
      </c>
      <c r="D3116" s="110" t="str">
        <f>IF(ISBLANK($B3116),"",IFERROR(VLOOKUP($B3116,ESTOQUE!$B$2:$D$97168,3,FALSE),"Produto não cadastrado"))</f>
        <v xml:space="preserve">LUVA LATEX NITRILICA </v>
      </c>
      <c r="E3116" s="99" t="str">
        <f>_xlfn.XLOOKUP(B3116,ESTOQUE!B:B,ESTOQUE!G:G,"",0)</f>
        <v>PAR</v>
      </c>
      <c r="F3116" s="99">
        <v>2</v>
      </c>
      <c r="G3116" s="146"/>
      <c r="H3116" s="146"/>
      <c r="I3116" s="147"/>
      <c r="J3116" s="147"/>
      <c r="K3116" s="63"/>
      <c r="L3116" s="63"/>
      <c r="M3116" s="63"/>
      <c r="N3116" s="63"/>
      <c r="O3116" s="63"/>
      <c r="P3116" s="63"/>
      <c r="Q3116" s="63"/>
      <c r="R3116" s="63"/>
      <c r="S3116" s="63"/>
      <c r="T3116" s="63"/>
      <c r="U3116" s="63"/>
      <c r="V3116" s="63"/>
      <c r="W3116" s="63"/>
    </row>
    <row r="3117" spans="1:29" x14ac:dyDescent="0.25">
      <c r="A3117" s="108">
        <v>46121</v>
      </c>
      <c r="B3117" s="128">
        <v>117</v>
      </c>
      <c r="C3117" s="49" t="s">
        <v>19</v>
      </c>
      <c r="D3117" s="110" t="str">
        <f>IF(ISBLANK($B3117),"",IFERROR(VLOOKUP($B3117,ESTOQUE!$B$2:$D$97168,3,FALSE),"Produto não cadastrado"))</f>
        <v>LUVA PIGMENTADA</v>
      </c>
      <c r="E3117" s="99" t="str">
        <f>_xlfn.XLOOKUP(B3117,ESTOQUE!B:B,ESTOQUE!G:G,"",0)</f>
        <v>PAR</v>
      </c>
      <c r="F3117" s="99">
        <v>10</v>
      </c>
      <c r="G3117" s="146"/>
      <c r="H3117" s="146"/>
      <c r="I3117" s="147"/>
      <c r="J3117" s="147"/>
      <c r="K3117" s="63"/>
      <c r="L3117" s="63"/>
      <c r="M3117" s="63"/>
      <c r="N3117" s="63"/>
      <c r="O3117" s="63"/>
      <c r="P3117" s="63"/>
      <c r="Q3117" s="63"/>
      <c r="R3117" s="63"/>
      <c r="S3117" s="63"/>
      <c r="T3117" s="63"/>
      <c r="U3117" s="63"/>
      <c r="V3117" s="63"/>
      <c r="W3117" s="63"/>
    </row>
    <row r="3118" spans="1:29" x14ac:dyDescent="0.25">
      <c r="A3118" s="108">
        <v>46121</v>
      </c>
      <c r="B3118" s="128">
        <v>207</v>
      </c>
      <c r="C3118" s="49" t="s">
        <v>19</v>
      </c>
      <c r="D3118" s="110" t="str">
        <f>IF(ISBLANK($B3118),"",IFERROR(VLOOKUP($B3118,ESTOQUE!$B$2:$D$97168,3,FALSE),"Produto não cadastrado"))</f>
        <v>LUVA POLIESTER ANTICORTE BANHADA PU TAM 9</v>
      </c>
      <c r="E3118" s="99" t="str">
        <f>_xlfn.XLOOKUP(B3118,ESTOQUE!B:B,ESTOQUE!G:G,"",0)</f>
        <v>PAR</v>
      </c>
      <c r="F3118" s="99">
        <v>0</v>
      </c>
      <c r="G3118" s="146"/>
      <c r="H3118" s="146"/>
      <c r="I3118" s="147"/>
      <c r="J3118" s="147"/>
      <c r="K3118" s="63"/>
      <c r="L3118" s="63"/>
      <c r="M3118" s="63"/>
      <c r="N3118" s="63"/>
      <c r="O3118" s="63"/>
      <c r="P3118" s="63"/>
      <c r="Q3118" s="63"/>
      <c r="R3118" s="63"/>
      <c r="S3118" s="63"/>
      <c r="T3118" s="63"/>
      <c r="U3118" s="63"/>
      <c r="V3118" s="63"/>
      <c r="W3118" s="63"/>
    </row>
    <row r="3119" spans="1:29" x14ac:dyDescent="0.25">
      <c r="A3119" s="108">
        <v>46122</v>
      </c>
      <c r="B3119" s="128">
        <v>46</v>
      </c>
      <c r="C3119" s="49" t="s">
        <v>19</v>
      </c>
      <c r="D3119" s="110" t="str">
        <f>IF(ISBLANK($B3119),"",IFERROR(VLOOKUP($B3119,ESTOQUE!$B$2:$D$97168,3,FALSE),"Produto não cadastrado"))</f>
        <v>CALÇA CINZA OP. C/ FAIXA REFLETIVA TAM: G</v>
      </c>
      <c r="E3119" s="99" t="str">
        <f>_xlfn.XLOOKUP(B3119,ESTOQUE!B:B,ESTOQUE!G:G,"",0)</f>
        <v>UND</v>
      </c>
      <c r="F3119" s="99">
        <v>2</v>
      </c>
      <c r="G3119" s="146"/>
      <c r="H3119" s="146"/>
      <c r="I3119" s="147"/>
      <c r="J3119" s="147"/>
      <c r="K3119" s="63"/>
      <c r="L3119" s="63"/>
      <c r="M3119" s="63"/>
      <c r="N3119" s="63"/>
      <c r="O3119" s="63"/>
      <c r="P3119" s="63"/>
      <c r="Q3119" s="63"/>
      <c r="R3119" s="63"/>
      <c r="S3119" s="63"/>
      <c r="T3119" s="63"/>
      <c r="U3119" s="63"/>
      <c r="V3119" s="63"/>
      <c r="W3119" s="63"/>
    </row>
    <row r="3120" spans="1:29" x14ac:dyDescent="0.25">
      <c r="A3120" s="108">
        <v>46122</v>
      </c>
      <c r="B3120" s="128">
        <v>47</v>
      </c>
      <c r="C3120" s="49" t="s">
        <v>19</v>
      </c>
      <c r="D3120" s="110" t="str">
        <f>IF(ISBLANK($B3120),"",IFERROR(VLOOKUP($B3120,ESTOQUE!$B$2:$D$97168,3,FALSE),"Produto não cadastrado"))</f>
        <v>CALÇA CINZA OP. C/ FAIXA REFLETIVA TAM: GG</v>
      </c>
      <c r="E3120" s="99" t="str">
        <f>_xlfn.XLOOKUP(B3120,ESTOQUE!B:B,ESTOQUE!G:G,"",0)</f>
        <v>UND</v>
      </c>
      <c r="F3120" s="99">
        <v>2</v>
      </c>
      <c r="G3120" s="146"/>
      <c r="H3120" s="146"/>
      <c r="I3120" s="147"/>
      <c r="J3120" s="147"/>
      <c r="K3120" s="63"/>
      <c r="L3120" s="63"/>
      <c r="M3120" s="63"/>
      <c r="N3120" s="63"/>
      <c r="O3120" s="63"/>
      <c r="P3120" s="63"/>
      <c r="Q3120" s="63"/>
      <c r="R3120" s="63"/>
      <c r="S3120" s="63"/>
      <c r="T3120" s="63"/>
      <c r="U3120" s="63"/>
      <c r="V3120" s="63"/>
      <c r="W3120" s="63"/>
    </row>
    <row r="3121" spans="1:23" x14ac:dyDescent="0.25">
      <c r="A3121" s="108">
        <v>46122</v>
      </c>
      <c r="B3121" s="128">
        <v>48</v>
      </c>
      <c r="C3121" s="49" t="s">
        <v>19</v>
      </c>
      <c r="D3121" s="110" t="str">
        <f>IF(ISBLANK($B3121),"",IFERROR(VLOOKUP($B3121,ESTOQUE!$B$2:$D$97168,3,FALSE),"Produto não cadastrado"))</f>
        <v>CALÇA CINZA OP. C/ FAIXA REFLETIVA TAM: M</v>
      </c>
      <c r="E3121" s="99" t="str">
        <f>_xlfn.XLOOKUP(B3121,ESTOQUE!B:B,ESTOQUE!G:G,"",0)</f>
        <v>UND</v>
      </c>
      <c r="F3121" s="99">
        <v>4</v>
      </c>
      <c r="G3121" s="146"/>
      <c r="H3121" s="146"/>
      <c r="I3121" s="147"/>
      <c r="J3121" s="147"/>
      <c r="K3121" s="63"/>
      <c r="L3121" s="63"/>
      <c r="M3121" s="63"/>
      <c r="N3121" s="63"/>
      <c r="O3121" s="63"/>
      <c r="P3121" s="63"/>
      <c r="Q3121" s="63"/>
      <c r="R3121" s="63"/>
      <c r="S3121" s="63"/>
      <c r="T3121" s="63"/>
      <c r="U3121" s="63"/>
      <c r="V3121" s="63"/>
      <c r="W3121" s="63"/>
    </row>
    <row r="3122" spans="1:23" x14ac:dyDescent="0.25">
      <c r="A3122" s="108">
        <v>46122</v>
      </c>
      <c r="B3122" s="128">
        <v>49</v>
      </c>
      <c r="C3122" s="49" t="s">
        <v>19</v>
      </c>
      <c r="D3122" s="110" t="str">
        <f>IF(ISBLANK($B3122),"",IFERROR(VLOOKUP($B3122,ESTOQUE!$B$2:$D$97168,3,FALSE),"Produto não cadastrado"))</f>
        <v>CALÇA CINZA OP. C/ FAIXA REFLETIVA TAM: P</v>
      </c>
      <c r="E3122" s="99" t="str">
        <f>_xlfn.XLOOKUP(B3122,ESTOQUE!B:B,ESTOQUE!G:G,"",0)</f>
        <v>UND</v>
      </c>
      <c r="F3122" s="99">
        <v>3</v>
      </c>
      <c r="G3122" s="146"/>
      <c r="H3122" s="146"/>
      <c r="I3122" s="147"/>
      <c r="J3122" s="147"/>
      <c r="K3122" s="63"/>
      <c r="L3122" s="63"/>
      <c r="M3122" s="63"/>
      <c r="N3122" s="63"/>
      <c r="O3122" s="63"/>
      <c r="P3122" s="63"/>
      <c r="Q3122" s="63"/>
      <c r="R3122" s="63"/>
      <c r="S3122" s="63"/>
      <c r="T3122" s="63"/>
      <c r="U3122" s="63"/>
      <c r="V3122" s="63"/>
      <c r="W3122" s="63"/>
    </row>
    <row r="3123" spans="1:23" x14ac:dyDescent="0.25">
      <c r="A3123" s="108">
        <v>46122</v>
      </c>
      <c r="B3123" s="128">
        <v>67</v>
      </c>
      <c r="C3123" s="49" t="s">
        <v>19</v>
      </c>
      <c r="D3123" s="110" t="str">
        <f>IF(ISBLANK($B3123),"",IFERROR(VLOOKUP($B3123,ESTOQUE!$B$2:$D$97168,3,FALSE),"Produto não cadastrado"))</f>
        <v>CAMISA LARANJA OP. C/ FAIXA REFLETIVA TAM: G</v>
      </c>
      <c r="E3123" s="99" t="str">
        <f>_xlfn.XLOOKUP(B3123,ESTOQUE!B:B,ESTOQUE!G:G,"",0)</f>
        <v>UND</v>
      </c>
      <c r="F3123" s="99">
        <v>1</v>
      </c>
      <c r="G3123" s="146"/>
      <c r="H3123" s="146"/>
      <c r="I3123" s="147"/>
      <c r="J3123" s="147"/>
      <c r="K3123" s="63"/>
      <c r="L3123" s="63"/>
      <c r="M3123" s="63"/>
      <c r="N3123" s="63"/>
      <c r="O3123" s="63"/>
      <c r="P3123" s="63"/>
      <c r="Q3123" s="63"/>
      <c r="R3123" s="63"/>
      <c r="S3123" s="63"/>
      <c r="T3123" s="63"/>
      <c r="U3123" s="63"/>
      <c r="V3123" s="63"/>
      <c r="W3123" s="63"/>
    </row>
    <row r="3124" spans="1:23" x14ac:dyDescent="0.25">
      <c r="A3124" s="108">
        <v>46122</v>
      </c>
      <c r="B3124" s="128">
        <v>68</v>
      </c>
      <c r="C3124" s="49" t="s">
        <v>19</v>
      </c>
      <c r="D3124" s="110" t="str">
        <f>IF(ISBLANK($B3124),"",IFERROR(VLOOKUP($B3124,ESTOQUE!$B$2:$D$97168,3,FALSE),"Produto não cadastrado"))</f>
        <v>CAMISA LARANJA OP. C/ FAIXA REFLETIVA TAM: GG</v>
      </c>
      <c r="E3124" s="99" t="str">
        <f>_xlfn.XLOOKUP(B3124,ESTOQUE!B:B,ESTOQUE!G:G,"",0)</f>
        <v>UND</v>
      </c>
      <c r="F3124" s="99">
        <v>1</v>
      </c>
      <c r="G3124" s="146"/>
      <c r="H3124" s="146"/>
      <c r="I3124" s="147"/>
      <c r="J3124" s="147"/>
      <c r="K3124" s="63"/>
      <c r="L3124" s="63"/>
      <c r="M3124" s="63"/>
      <c r="N3124" s="63"/>
      <c r="O3124" s="63"/>
      <c r="P3124" s="63"/>
      <c r="Q3124" s="63"/>
      <c r="R3124" s="63"/>
      <c r="S3124" s="63"/>
      <c r="T3124" s="63"/>
      <c r="U3124" s="63"/>
      <c r="V3124" s="63"/>
      <c r="W3124" s="63"/>
    </row>
    <row r="3125" spans="1:23" x14ac:dyDescent="0.25">
      <c r="A3125" s="108">
        <v>46122</v>
      </c>
      <c r="B3125" s="128">
        <v>69</v>
      </c>
      <c r="C3125" s="49" t="s">
        <v>19</v>
      </c>
      <c r="D3125" s="110" t="str">
        <f>IF(ISBLANK($B3125),"",IFERROR(VLOOKUP($B3125,ESTOQUE!$B$2:$D$97168,3,FALSE),"Produto não cadastrado"))</f>
        <v>CAMISA LARANJA OP. C/ FAIXA REFLETIVA TAM: M</v>
      </c>
      <c r="E3125" s="99" t="str">
        <f>_xlfn.XLOOKUP(B3125,ESTOQUE!B:B,ESTOQUE!G:G,"",0)</f>
        <v>UND</v>
      </c>
      <c r="F3125" s="99">
        <v>4</v>
      </c>
      <c r="G3125" s="146"/>
      <c r="H3125" s="146"/>
      <c r="I3125" s="147"/>
      <c r="J3125" s="147"/>
      <c r="K3125" s="63"/>
      <c r="L3125" s="63"/>
      <c r="M3125" s="63"/>
      <c r="N3125" s="63"/>
      <c r="O3125" s="63"/>
      <c r="P3125" s="63"/>
      <c r="Q3125" s="63"/>
      <c r="R3125" s="63"/>
      <c r="S3125" s="63"/>
      <c r="T3125" s="63"/>
      <c r="U3125" s="63"/>
      <c r="V3125" s="63"/>
      <c r="W3125" s="63"/>
    </row>
    <row r="3126" spans="1:23" x14ac:dyDescent="0.25">
      <c r="A3126" s="108">
        <v>46122</v>
      </c>
      <c r="B3126" s="128">
        <v>70</v>
      </c>
      <c r="C3126" s="49" t="s">
        <v>19</v>
      </c>
      <c r="D3126" s="110" t="str">
        <f>IF(ISBLANK($B3126),"",IFERROR(VLOOKUP($B3126,ESTOQUE!$B$2:$D$97168,3,FALSE),"Produto não cadastrado"))</f>
        <v>CAMISA LARANJA OP. C/ FAIXA REFLETIVA TAM: P</v>
      </c>
      <c r="E3126" s="99" t="str">
        <f>_xlfn.XLOOKUP(B3126,ESTOQUE!B:B,ESTOQUE!G:G,"",0)</f>
        <v>UND</v>
      </c>
      <c r="F3126" s="99">
        <v>3</v>
      </c>
      <c r="G3126" s="146"/>
      <c r="H3126" s="146"/>
      <c r="I3126" s="147"/>
      <c r="J3126" s="147"/>
      <c r="K3126" s="63"/>
      <c r="L3126" s="63"/>
      <c r="M3126" s="63"/>
      <c r="N3126" s="63"/>
      <c r="O3126" s="63"/>
      <c r="P3126" s="63"/>
      <c r="Q3126" s="63"/>
      <c r="R3126" s="63"/>
      <c r="S3126" s="63"/>
      <c r="T3126" s="63"/>
      <c r="U3126" s="63"/>
      <c r="V3126" s="63"/>
      <c r="W3126" s="63"/>
    </row>
    <row r="3127" spans="1:23" x14ac:dyDescent="0.25">
      <c r="A3127" s="108">
        <v>46122</v>
      </c>
      <c r="B3127" s="128">
        <v>73</v>
      </c>
      <c r="C3127" s="49" t="s">
        <v>19</v>
      </c>
      <c r="D3127" s="110" t="str">
        <f>IF(ISBLANK($B3127),"",IFERROR(VLOOKUP($B3127,ESTOQUE!$B$2:$D$97168,3,FALSE),"Produto não cadastrado"))</f>
        <v>CAPA DE CHUVA GG</v>
      </c>
      <c r="E3127" s="99" t="str">
        <f>_xlfn.XLOOKUP(B3127,ESTOQUE!B:B,ESTOQUE!G:G,"",0)</f>
        <v>UND</v>
      </c>
      <c r="F3127" s="99">
        <v>1</v>
      </c>
      <c r="G3127" s="146"/>
      <c r="H3127" s="146"/>
      <c r="I3127" s="147"/>
      <c r="J3127" s="147"/>
      <c r="K3127" s="63"/>
      <c r="L3127" s="63"/>
      <c r="M3127" s="63"/>
      <c r="N3127" s="63"/>
      <c r="O3127" s="63"/>
      <c r="P3127" s="63"/>
      <c r="Q3127" s="63"/>
      <c r="R3127" s="63"/>
      <c r="S3127" s="63"/>
      <c r="T3127" s="63"/>
      <c r="U3127" s="63"/>
      <c r="V3127" s="63"/>
      <c r="W3127" s="63"/>
    </row>
    <row r="3128" spans="1:23" x14ac:dyDescent="0.25">
      <c r="A3128" s="108">
        <v>46122</v>
      </c>
      <c r="B3128" s="128">
        <v>83</v>
      </c>
      <c r="C3128" s="49" t="s">
        <v>19</v>
      </c>
      <c r="D3128" s="110" t="str">
        <f>IF(ISBLANK($B3128),"",IFERROR(VLOOKUP($B3128,ESTOQUE!$B$2:$D$97168,3,FALSE),"Produto não cadastrado"))</f>
        <v>CAPACETE LIBUS LARANJA</v>
      </c>
      <c r="E3128" s="99" t="str">
        <f>_xlfn.XLOOKUP(B3128,ESTOQUE!B:B,ESTOQUE!G:G,"",0)</f>
        <v>UND</v>
      </c>
      <c r="F3128" s="99">
        <v>1</v>
      </c>
      <c r="G3128" s="146"/>
      <c r="H3128" s="146"/>
      <c r="I3128" s="147"/>
      <c r="J3128" s="147"/>
      <c r="K3128" s="63"/>
      <c r="L3128" s="63"/>
      <c r="M3128" s="63"/>
      <c r="N3128" s="63"/>
      <c r="O3128" s="63"/>
      <c r="P3128" s="63"/>
      <c r="Q3128" s="63"/>
      <c r="R3128" s="63"/>
      <c r="S3128" s="63"/>
      <c r="T3128" s="63"/>
      <c r="U3128" s="63"/>
      <c r="V3128" s="63"/>
      <c r="W3128" s="63"/>
    </row>
    <row r="3129" spans="1:23" x14ac:dyDescent="0.25">
      <c r="A3129" s="108">
        <v>46122</v>
      </c>
      <c r="B3129" s="128">
        <v>95</v>
      </c>
      <c r="C3129" s="49" t="s">
        <v>19</v>
      </c>
      <c r="D3129" s="110" t="str">
        <f>IF(ISBLANK($B3129),"",IFERROR(VLOOKUP($B3129,ESTOQUE!$B$2:$D$97168,3,FALSE),"Produto não cadastrado"))</f>
        <v>CARNEIRA P/ CAPACETE LIBUS</v>
      </c>
      <c r="E3129" s="99" t="str">
        <f>_xlfn.XLOOKUP(B3129,ESTOQUE!B:B,ESTOQUE!G:G,"",0)</f>
        <v>UND</v>
      </c>
      <c r="F3129" s="99">
        <v>1</v>
      </c>
      <c r="G3129" s="146"/>
      <c r="H3129" s="146"/>
      <c r="I3129" s="147"/>
      <c r="J3129" s="147"/>
      <c r="K3129" s="63"/>
      <c r="L3129" s="63"/>
      <c r="M3129" s="63"/>
      <c r="N3129" s="63"/>
      <c r="O3129" s="63"/>
      <c r="P3129" s="63"/>
      <c r="Q3129" s="63"/>
      <c r="R3129" s="63"/>
      <c r="S3129" s="63"/>
      <c r="T3129" s="63"/>
      <c r="U3129" s="63"/>
      <c r="V3129" s="63"/>
      <c r="W3129" s="63"/>
    </row>
    <row r="3130" spans="1:23" x14ac:dyDescent="0.25">
      <c r="A3130" s="108">
        <v>46122</v>
      </c>
      <c r="B3130" s="128">
        <v>161</v>
      </c>
      <c r="C3130" s="49" t="s">
        <v>19</v>
      </c>
      <c r="D3130" s="110" t="str">
        <f>IF(ISBLANK($B3130),"",IFERROR(VLOOKUP($B3130,ESTOQUE!$B$2:$D$97168,3,FALSE),"Produto não cadastrado"))</f>
        <v>JUGULAR</v>
      </c>
      <c r="E3130" s="99" t="str">
        <f>_xlfn.XLOOKUP(B3130,ESTOQUE!B:B,ESTOQUE!G:G,"",0)</f>
        <v>UND</v>
      </c>
      <c r="F3130" s="99">
        <v>1</v>
      </c>
      <c r="G3130" s="146"/>
      <c r="H3130" s="146"/>
      <c r="I3130" s="147"/>
      <c r="J3130" s="147"/>
      <c r="K3130" s="63"/>
      <c r="L3130" s="63"/>
      <c r="M3130" s="63"/>
      <c r="N3130" s="63"/>
      <c r="O3130" s="63"/>
      <c r="P3130" s="63"/>
      <c r="Q3130" s="63"/>
      <c r="R3130" s="63"/>
      <c r="S3130" s="63"/>
      <c r="T3130" s="63"/>
      <c r="U3130" s="63"/>
      <c r="V3130" s="63"/>
      <c r="W3130" s="63"/>
    </row>
    <row r="3131" spans="1:23" x14ac:dyDescent="0.25">
      <c r="A3131" s="108">
        <v>46122</v>
      </c>
      <c r="B3131" s="128">
        <v>110</v>
      </c>
      <c r="C3131" s="49" t="s">
        <v>19</v>
      </c>
      <c r="D3131" s="110" t="str">
        <f>IF(ISBLANK($B3131),"",IFERROR(VLOOKUP($B3131,ESTOQUE!$B$2:$D$97168,3,FALSE),"Produto não cadastrado"))</f>
        <v>LUVA DE RASPA CANO LONGO</v>
      </c>
      <c r="E3131" s="99" t="str">
        <f>_xlfn.XLOOKUP(B3131,ESTOQUE!B:B,ESTOQUE!G:G,"",0)</f>
        <v>PAR</v>
      </c>
      <c r="F3131" s="99">
        <v>1</v>
      </c>
      <c r="G3131" s="146"/>
      <c r="H3131" s="146"/>
      <c r="I3131" s="147"/>
      <c r="J3131" s="147"/>
      <c r="K3131" s="63"/>
      <c r="L3131" s="63"/>
      <c r="M3131" s="63"/>
      <c r="N3131" s="63"/>
      <c r="O3131" s="63"/>
      <c r="P3131" s="63"/>
      <c r="Q3131" s="63"/>
      <c r="R3131" s="63"/>
      <c r="S3131" s="63"/>
      <c r="T3131" s="63"/>
      <c r="U3131" s="63"/>
      <c r="V3131" s="63"/>
      <c r="W3131" s="63"/>
    </row>
    <row r="3132" spans="1:23" x14ac:dyDescent="0.25">
      <c r="A3132" s="108">
        <v>46122</v>
      </c>
      <c r="B3132" s="128">
        <v>209</v>
      </c>
      <c r="C3132" s="49" t="s">
        <v>19</v>
      </c>
      <c r="D3132" s="110" t="str">
        <f>IF(ISBLANK($B3132),"",IFERROR(VLOOKUP($B3132,ESTOQUE!$B$2:$D$97168,3,FALSE),"Produto não cadastrado"))</f>
        <v>LUVA PARA SOLDADOR MIG AZUL TAM 10</v>
      </c>
      <c r="E3132" s="99" t="str">
        <f>_xlfn.XLOOKUP(B3132,ESTOQUE!B:B,ESTOQUE!G:G,"",0)</f>
        <v>PAR</v>
      </c>
      <c r="F3132" s="99">
        <v>1</v>
      </c>
      <c r="G3132" s="146"/>
      <c r="H3132" s="146"/>
      <c r="I3132" s="147"/>
      <c r="J3132" s="147"/>
      <c r="K3132" s="63"/>
      <c r="L3132" s="63"/>
      <c r="M3132" s="63"/>
      <c r="N3132" s="63"/>
      <c r="O3132" s="63"/>
      <c r="P3132" s="63"/>
      <c r="Q3132" s="63"/>
      <c r="R3132" s="63"/>
      <c r="S3132" s="63"/>
      <c r="T3132" s="63"/>
      <c r="U3132" s="63"/>
      <c r="V3132" s="63"/>
      <c r="W3132" s="63"/>
    </row>
    <row r="3133" spans="1:23" x14ac:dyDescent="0.25">
      <c r="A3133" s="108">
        <v>46122</v>
      </c>
      <c r="B3133" s="128">
        <v>267</v>
      </c>
      <c r="C3133" s="49" t="s">
        <v>19</v>
      </c>
      <c r="D3133" s="110" t="str">
        <f>IF(ISBLANK($B3133),"",IFERROR(VLOOKUP($B3133,ESTOQUE!$B$2:$D$97168,3,FALSE),"Produto não cadastrado"))</f>
        <v>LUVA POLIESTER ANTICORTE CANO LONGO</v>
      </c>
      <c r="E3133" s="99" t="str">
        <f>_xlfn.XLOOKUP(B3133,ESTOQUE!B:B,ESTOQUE!G:G,"",0)</f>
        <v>UND</v>
      </c>
      <c r="F3133" s="99">
        <v>1</v>
      </c>
      <c r="G3133" s="146"/>
      <c r="H3133" s="146"/>
      <c r="I3133" s="147"/>
      <c r="J3133" s="147"/>
      <c r="K3133" s="63"/>
      <c r="L3133" s="63"/>
      <c r="M3133" s="63"/>
      <c r="N3133" s="63"/>
      <c r="O3133" s="63"/>
      <c r="P3133" s="63"/>
      <c r="Q3133" s="63"/>
      <c r="R3133" s="63"/>
      <c r="S3133" s="63"/>
      <c r="T3133" s="63"/>
      <c r="U3133" s="63"/>
      <c r="V3133" s="63"/>
      <c r="W3133" s="63"/>
    </row>
    <row r="3134" spans="1:23" x14ac:dyDescent="0.25">
      <c r="A3134" s="108">
        <v>46122</v>
      </c>
      <c r="B3134" s="128">
        <v>118</v>
      </c>
      <c r="C3134" s="49" t="s">
        <v>19</v>
      </c>
      <c r="D3134" s="110" t="str">
        <f>IF(ISBLANK($B3134),"",IFERROR(VLOOKUP($B3134,ESTOQUE!$B$2:$D$97168,3,FALSE),"Produto não cadastrado"))</f>
        <v>MACACÃO DE PROTEÇÃO TYVEK</v>
      </c>
      <c r="E3134" s="99" t="str">
        <f>_xlfn.XLOOKUP(B3134,ESTOQUE!B:B,ESTOQUE!G:G,"",0)</f>
        <v>UND</v>
      </c>
      <c r="F3134" s="99">
        <v>7</v>
      </c>
      <c r="G3134" s="146"/>
      <c r="H3134" s="146"/>
      <c r="I3134" s="147"/>
      <c r="J3134" s="147"/>
      <c r="K3134" s="63"/>
      <c r="L3134" s="63"/>
      <c r="M3134" s="63"/>
      <c r="N3134" s="63"/>
      <c r="O3134" s="63"/>
      <c r="P3134" s="63"/>
      <c r="Q3134" s="63"/>
      <c r="R3134" s="63"/>
      <c r="S3134" s="63"/>
      <c r="T3134" s="63"/>
      <c r="U3134" s="63"/>
      <c r="V3134" s="63"/>
      <c r="W3134" s="63"/>
    </row>
    <row r="3135" spans="1:23" x14ac:dyDescent="0.25">
      <c r="A3135" s="108">
        <v>46122</v>
      </c>
      <c r="B3135" s="128">
        <v>126</v>
      </c>
      <c r="C3135" s="49" t="s">
        <v>19</v>
      </c>
      <c r="D3135" s="110" t="str">
        <f>IF(ISBLANK($B3135),"",IFERROR(VLOOKUP($B3135,ESTOQUE!$B$2:$D$97168,3,FALSE),"Produto não cadastrado"))</f>
        <v>OCULOS DE PROTEÇÃO ESCURO</v>
      </c>
      <c r="E3135" s="99" t="str">
        <f>_xlfn.XLOOKUP(B3135,ESTOQUE!B:B,ESTOQUE!G:G,"",0)</f>
        <v>UND</v>
      </c>
      <c r="F3135" s="99">
        <v>1</v>
      </c>
      <c r="G3135" s="146"/>
      <c r="H3135" s="146"/>
      <c r="I3135" s="147"/>
      <c r="J3135" s="147"/>
      <c r="K3135" s="63"/>
      <c r="L3135" s="63"/>
      <c r="M3135" s="63"/>
      <c r="N3135" s="63"/>
      <c r="O3135" s="63"/>
      <c r="P3135" s="63"/>
      <c r="Q3135" s="63"/>
      <c r="R3135" s="63"/>
      <c r="S3135" s="63"/>
      <c r="T3135" s="63"/>
      <c r="U3135" s="63"/>
      <c r="V3135" s="63"/>
      <c r="W3135" s="63"/>
    </row>
    <row r="3136" spans="1:23" x14ac:dyDescent="0.25">
      <c r="A3136" s="108">
        <v>46122</v>
      </c>
      <c r="B3136" s="128">
        <v>130</v>
      </c>
      <c r="C3136" s="49" t="s">
        <v>19</v>
      </c>
      <c r="D3136" s="110" t="str">
        <f>IF(ISBLANK($B3136),"",IFERROR(VLOOKUP($B3136,ESTOQUE!$B$2:$D$97168,3,FALSE),"Produto não cadastrado"))</f>
        <v>PROTETOR AUDITIVO TIPO CONCHA L-300</v>
      </c>
      <c r="E3136" s="99" t="str">
        <f>_xlfn.XLOOKUP(B3136,ESTOQUE!B:B,ESTOQUE!G:G,"",0)</f>
        <v>UND</v>
      </c>
      <c r="F3136" s="99">
        <v>2</v>
      </c>
      <c r="G3136" s="146"/>
      <c r="H3136" s="146"/>
      <c r="I3136" s="147"/>
      <c r="J3136" s="147"/>
      <c r="K3136" s="63"/>
      <c r="L3136" s="63"/>
      <c r="M3136" s="63"/>
      <c r="N3136" s="63"/>
      <c r="O3136" s="63"/>
      <c r="P3136" s="63"/>
      <c r="Q3136" s="63"/>
      <c r="R3136" s="63"/>
      <c r="S3136" s="63"/>
      <c r="T3136" s="63"/>
      <c r="U3136" s="63"/>
      <c r="V3136" s="63"/>
      <c r="W3136" s="63"/>
    </row>
    <row r="3137" spans="1:23" x14ac:dyDescent="0.25">
      <c r="A3137" s="108">
        <v>46123</v>
      </c>
      <c r="B3137" s="128">
        <v>38</v>
      </c>
      <c r="C3137" s="49" t="s">
        <v>19</v>
      </c>
      <c r="D3137" s="110" t="str">
        <f>IF(ISBLANK($B3137),"",IFERROR(VLOOKUP($B3137,ESTOQUE!$B$2:$D$97168,3,FALSE),"Produto não cadastrado"))</f>
        <v>BOTINA OP. BICO PVC Nº 40</v>
      </c>
      <c r="E3137" s="99" t="str">
        <f>_xlfn.XLOOKUP(B3137,ESTOQUE!B:B,ESTOQUE!G:G,"",0)</f>
        <v>PAR</v>
      </c>
      <c r="F3137" s="99">
        <v>1</v>
      </c>
      <c r="G3137" s="63"/>
      <c r="H3137" s="63"/>
      <c r="I3137" s="63"/>
      <c r="J3137" s="63"/>
      <c r="K3137" s="63"/>
      <c r="L3137" s="63"/>
      <c r="M3137" s="63"/>
      <c r="N3137" s="63"/>
      <c r="O3137" s="63"/>
      <c r="P3137" s="63"/>
      <c r="Q3137" s="63"/>
      <c r="R3137" s="63"/>
      <c r="S3137" s="63"/>
      <c r="T3137" s="63"/>
      <c r="U3137" s="63"/>
      <c r="V3137" s="63"/>
      <c r="W3137" s="63"/>
    </row>
    <row r="3138" spans="1:23" x14ac:dyDescent="0.25">
      <c r="A3138" s="108">
        <v>46123</v>
      </c>
      <c r="B3138" s="128">
        <v>215</v>
      </c>
      <c r="C3138" s="49" t="s">
        <v>19</v>
      </c>
      <c r="D3138" s="110" t="str">
        <f>IF(ISBLANK($B3138),"",IFERROR(VLOOKUP($B3138,ESTOQUE!$B$2:$D$97168,3,FALSE),"Produto não cadastrado"))</f>
        <v>BOTINA SEGURANÇA METATARSO  38</v>
      </c>
      <c r="E3138" s="99" t="str">
        <f>_xlfn.XLOOKUP(B3138,ESTOQUE!B:B,ESTOQUE!G:G,"",0)</f>
        <v>PAR</v>
      </c>
      <c r="F3138" s="99">
        <v>1</v>
      </c>
      <c r="G3138" s="63"/>
      <c r="H3138" s="63"/>
      <c r="I3138" s="63"/>
      <c r="J3138" s="63"/>
      <c r="K3138" s="63"/>
      <c r="L3138" s="63"/>
      <c r="M3138" s="63"/>
      <c r="N3138" s="63"/>
      <c r="O3138" s="63"/>
      <c r="P3138" s="63"/>
      <c r="Q3138" s="63"/>
      <c r="R3138" s="63"/>
      <c r="S3138" s="63"/>
      <c r="T3138" s="63"/>
      <c r="U3138" s="63"/>
      <c r="V3138" s="63"/>
      <c r="W3138" s="63"/>
    </row>
    <row r="3139" spans="1:23" x14ac:dyDescent="0.25">
      <c r="A3139" s="108">
        <v>46123</v>
      </c>
      <c r="B3139" s="128">
        <v>46</v>
      </c>
      <c r="C3139" s="49" t="s">
        <v>19</v>
      </c>
      <c r="D3139" s="110" t="str">
        <f>IF(ISBLANK($B3139),"",IFERROR(VLOOKUP($B3139,ESTOQUE!$B$2:$D$97168,3,FALSE),"Produto não cadastrado"))</f>
        <v>CALÇA CINZA OP. C/ FAIXA REFLETIVA TAM: G</v>
      </c>
      <c r="E3139" s="99" t="str">
        <f>_xlfn.XLOOKUP(B3139,ESTOQUE!B:B,ESTOQUE!G:G,"",0)</f>
        <v>UND</v>
      </c>
      <c r="F3139" s="99">
        <v>3</v>
      </c>
      <c r="G3139" s="63"/>
      <c r="H3139" s="63"/>
      <c r="I3139" s="63"/>
      <c r="J3139" s="63"/>
      <c r="K3139" s="63"/>
      <c r="L3139" s="63"/>
      <c r="M3139" s="63"/>
      <c r="N3139" s="63"/>
      <c r="O3139" s="63"/>
      <c r="P3139" s="63"/>
      <c r="Q3139" s="63"/>
      <c r="R3139" s="63"/>
      <c r="S3139" s="63"/>
      <c r="T3139" s="63"/>
      <c r="U3139" s="63"/>
      <c r="V3139" s="63"/>
      <c r="W3139" s="63"/>
    </row>
    <row r="3140" spans="1:23" x14ac:dyDescent="0.25">
      <c r="A3140" s="108">
        <v>46123</v>
      </c>
      <c r="B3140" s="128">
        <v>47</v>
      </c>
      <c r="C3140" s="49" t="s">
        <v>19</v>
      </c>
      <c r="D3140" s="110" t="str">
        <f>IF(ISBLANK($B3140),"",IFERROR(VLOOKUP($B3140,ESTOQUE!$B$2:$D$97168,3,FALSE),"Produto não cadastrado"))</f>
        <v>CALÇA CINZA OP. C/ FAIXA REFLETIVA TAM: GG</v>
      </c>
      <c r="E3140" s="99" t="str">
        <f>_xlfn.XLOOKUP(B3140,ESTOQUE!B:B,ESTOQUE!G:G,"",0)</f>
        <v>UND</v>
      </c>
      <c r="F3140" s="99">
        <v>1</v>
      </c>
      <c r="G3140" s="63"/>
      <c r="H3140" s="63"/>
      <c r="I3140" s="63"/>
      <c r="J3140" s="63"/>
      <c r="K3140" s="63"/>
      <c r="L3140" s="63"/>
      <c r="M3140" s="63"/>
      <c r="N3140" s="63"/>
      <c r="O3140" s="63"/>
      <c r="P3140" s="63"/>
      <c r="Q3140" s="63"/>
      <c r="R3140" s="63"/>
      <c r="S3140" s="63"/>
      <c r="T3140" s="63"/>
      <c r="U3140" s="63"/>
      <c r="V3140" s="63"/>
      <c r="W3140" s="63"/>
    </row>
    <row r="3141" spans="1:23" x14ac:dyDescent="0.25">
      <c r="A3141" s="108">
        <v>46123</v>
      </c>
      <c r="B3141" s="128">
        <v>48</v>
      </c>
      <c r="C3141" s="49" t="s">
        <v>19</v>
      </c>
      <c r="D3141" s="110" t="str">
        <f>IF(ISBLANK($B3141),"",IFERROR(VLOOKUP($B3141,ESTOQUE!$B$2:$D$97168,3,FALSE),"Produto não cadastrado"))</f>
        <v>CALÇA CINZA OP. C/ FAIXA REFLETIVA TAM: M</v>
      </c>
      <c r="E3141" s="99" t="str">
        <f>_xlfn.XLOOKUP(B3141,ESTOQUE!B:B,ESTOQUE!G:G,"",0)</f>
        <v>UND</v>
      </c>
      <c r="F3141" s="99">
        <v>10</v>
      </c>
      <c r="G3141" s="63"/>
      <c r="H3141" s="63"/>
      <c r="I3141" s="63"/>
      <c r="J3141" s="63"/>
      <c r="K3141" s="63"/>
      <c r="L3141" s="63"/>
      <c r="M3141" s="63"/>
      <c r="N3141" s="63"/>
      <c r="O3141" s="63"/>
      <c r="P3141" s="63"/>
      <c r="Q3141" s="63"/>
      <c r="R3141" s="63"/>
      <c r="S3141" s="63"/>
      <c r="T3141" s="63"/>
      <c r="U3141" s="63"/>
      <c r="V3141" s="63"/>
      <c r="W3141" s="63"/>
    </row>
    <row r="3142" spans="1:23" x14ac:dyDescent="0.25">
      <c r="A3142" s="108">
        <v>46123</v>
      </c>
      <c r="B3142" s="128">
        <v>49</v>
      </c>
      <c r="C3142" s="49" t="s">
        <v>19</v>
      </c>
      <c r="D3142" s="110" t="str">
        <f>IF(ISBLANK($B3142),"",IFERROR(VLOOKUP($B3142,ESTOQUE!$B$2:$D$97168,3,FALSE),"Produto não cadastrado"))</f>
        <v>CALÇA CINZA OP. C/ FAIXA REFLETIVA TAM: P</v>
      </c>
      <c r="E3142" s="99" t="str">
        <f>_xlfn.XLOOKUP(B3142,ESTOQUE!B:B,ESTOQUE!G:G,"",0)</f>
        <v>UND</v>
      </c>
      <c r="F3142" s="99">
        <v>6</v>
      </c>
      <c r="G3142" s="63"/>
      <c r="H3142" s="63"/>
      <c r="I3142" s="63"/>
      <c r="J3142" s="63"/>
      <c r="K3142" s="63"/>
      <c r="L3142" s="63"/>
      <c r="M3142" s="63"/>
      <c r="N3142" s="63"/>
      <c r="O3142" s="63"/>
      <c r="P3142" s="63"/>
      <c r="Q3142" s="63"/>
      <c r="R3142" s="63"/>
      <c r="S3142" s="63"/>
      <c r="T3142" s="63"/>
      <c r="U3142" s="63"/>
      <c r="V3142" s="63"/>
      <c r="W3142" s="63"/>
    </row>
    <row r="3143" spans="1:23" x14ac:dyDescent="0.25">
      <c r="A3143" s="108">
        <v>46123</v>
      </c>
      <c r="B3143" s="128">
        <v>67</v>
      </c>
      <c r="C3143" s="49" t="s">
        <v>19</v>
      </c>
      <c r="D3143" s="110" t="str">
        <f>IF(ISBLANK($B3143),"",IFERROR(VLOOKUP($B3143,ESTOQUE!$B$2:$D$97168,3,FALSE),"Produto não cadastrado"))</f>
        <v>CAMISA LARANJA OP. C/ FAIXA REFLETIVA TAM: G</v>
      </c>
      <c r="E3143" s="99" t="str">
        <f>_xlfn.XLOOKUP(B3143,ESTOQUE!B:B,ESTOQUE!G:G,"",0)</f>
        <v>UND</v>
      </c>
      <c r="F3143" s="99">
        <v>5</v>
      </c>
      <c r="G3143" s="63"/>
      <c r="H3143" s="63"/>
      <c r="I3143" s="63"/>
      <c r="J3143" s="63"/>
      <c r="K3143" s="63"/>
      <c r="L3143" s="63"/>
      <c r="M3143" s="63"/>
      <c r="N3143" s="63"/>
      <c r="O3143" s="63"/>
      <c r="P3143" s="63"/>
      <c r="Q3143" s="63"/>
      <c r="R3143" s="63"/>
      <c r="S3143" s="63"/>
      <c r="T3143" s="63"/>
      <c r="U3143" s="63"/>
      <c r="V3143" s="63"/>
      <c r="W3143" s="63"/>
    </row>
    <row r="3144" spans="1:23" x14ac:dyDescent="0.25">
      <c r="A3144" s="108">
        <v>46123</v>
      </c>
      <c r="B3144" s="128">
        <v>68</v>
      </c>
      <c r="C3144" s="49" t="s">
        <v>19</v>
      </c>
      <c r="D3144" s="110" t="str">
        <f>IF(ISBLANK($B3144),"",IFERROR(VLOOKUP($B3144,ESTOQUE!$B$2:$D$97168,3,FALSE),"Produto não cadastrado"))</f>
        <v>CAMISA LARANJA OP. C/ FAIXA REFLETIVA TAM: GG</v>
      </c>
      <c r="E3144" s="99" t="str">
        <f>_xlfn.XLOOKUP(B3144,ESTOQUE!B:B,ESTOQUE!G:G,"",0)</f>
        <v>UND</v>
      </c>
      <c r="F3144" s="99">
        <v>2</v>
      </c>
      <c r="G3144" s="63"/>
      <c r="H3144" s="63"/>
      <c r="I3144" s="63"/>
      <c r="J3144" s="63"/>
      <c r="K3144" s="63"/>
      <c r="L3144" s="63"/>
      <c r="M3144" s="63"/>
      <c r="N3144" s="63"/>
      <c r="O3144" s="63"/>
      <c r="P3144" s="63"/>
      <c r="Q3144" s="63"/>
      <c r="R3144" s="63"/>
      <c r="S3144" s="63"/>
      <c r="T3144" s="63"/>
      <c r="U3144" s="63"/>
      <c r="V3144" s="63"/>
      <c r="W3144" s="63"/>
    </row>
    <row r="3145" spans="1:23" x14ac:dyDescent="0.25">
      <c r="A3145" s="108">
        <v>46123</v>
      </c>
      <c r="B3145" s="128">
        <v>69</v>
      </c>
      <c r="C3145" s="49" t="s">
        <v>19</v>
      </c>
      <c r="D3145" s="110" t="str">
        <f>IF(ISBLANK($B3145),"",IFERROR(VLOOKUP($B3145,ESTOQUE!$B$2:$D$97168,3,FALSE),"Produto não cadastrado"))</f>
        <v>CAMISA LARANJA OP. C/ FAIXA REFLETIVA TAM: M</v>
      </c>
      <c r="E3145" s="99" t="str">
        <f>_xlfn.XLOOKUP(B3145,ESTOQUE!B:B,ESTOQUE!G:G,"",0)</f>
        <v>UND</v>
      </c>
      <c r="F3145" s="99">
        <v>7</v>
      </c>
      <c r="G3145" s="63"/>
      <c r="H3145" s="63"/>
      <c r="I3145" s="63"/>
      <c r="J3145" s="63"/>
      <c r="K3145" s="63"/>
      <c r="L3145" s="63"/>
      <c r="M3145" s="63"/>
      <c r="N3145" s="63"/>
      <c r="O3145" s="63"/>
      <c r="P3145" s="63"/>
      <c r="Q3145" s="63"/>
      <c r="R3145" s="63"/>
      <c r="S3145" s="63"/>
      <c r="T3145" s="63"/>
      <c r="U3145" s="63"/>
      <c r="V3145" s="63"/>
      <c r="W3145" s="63"/>
    </row>
    <row r="3146" spans="1:23" x14ac:dyDescent="0.25">
      <c r="A3146" s="108">
        <v>46123</v>
      </c>
      <c r="B3146" s="128">
        <v>70</v>
      </c>
      <c r="C3146" s="49" t="s">
        <v>19</v>
      </c>
      <c r="D3146" s="110" t="str">
        <f>IF(ISBLANK($B3146),"",IFERROR(VLOOKUP($B3146,ESTOQUE!$B$2:$D$97168,3,FALSE),"Produto não cadastrado"))</f>
        <v>CAMISA LARANJA OP. C/ FAIXA REFLETIVA TAM: P</v>
      </c>
      <c r="E3146" s="99" t="str">
        <f>_xlfn.XLOOKUP(B3146,ESTOQUE!B:B,ESTOQUE!G:G,"",0)</f>
        <v>UND</v>
      </c>
      <c r="F3146" s="99">
        <v>7</v>
      </c>
      <c r="G3146" s="63"/>
      <c r="H3146" s="63"/>
      <c r="I3146" s="63"/>
      <c r="J3146" s="63"/>
      <c r="K3146" s="63"/>
      <c r="L3146" s="63"/>
      <c r="M3146" s="63"/>
      <c r="N3146" s="63"/>
      <c r="O3146" s="63"/>
      <c r="P3146" s="63"/>
      <c r="Q3146" s="63"/>
      <c r="R3146" s="63"/>
      <c r="S3146" s="63"/>
      <c r="T3146" s="63"/>
      <c r="U3146" s="63"/>
      <c r="V3146" s="63"/>
      <c r="W3146" s="63"/>
    </row>
    <row r="3147" spans="1:23" x14ac:dyDescent="0.25">
      <c r="A3147" s="108">
        <v>46123</v>
      </c>
      <c r="B3147" s="128">
        <v>71</v>
      </c>
      <c r="C3147" s="49" t="s">
        <v>19</v>
      </c>
      <c r="D3147" s="110" t="str">
        <f>IF(ISBLANK($B3147),"",IFERROR(VLOOKUP($B3147,ESTOQUE!$B$2:$D$97168,3,FALSE),"Produto não cadastrado"))</f>
        <v>CAMISA LARANJA OP. C/ FAIXA REFLETIVA TAM: XG</v>
      </c>
      <c r="E3147" s="99" t="str">
        <f>_xlfn.XLOOKUP(B3147,ESTOQUE!B:B,ESTOQUE!G:G,"",0)</f>
        <v>UND</v>
      </c>
      <c r="F3147" s="99">
        <v>1</v>
      </c>
      <c r="G3147" s="63"/>
      <c r="H3147" s="63"/>
      <c r="I3147" s="63"/>
      <c r="J3147" s="63"/>
      <c r="K3147" s="63"/>
      <c r="L3147" s="63"/>
      <c r="M3147" s="63"/>
      <c r="N3147" s="63"/>
      <c r="O3147" s="63"/>
      <c r="P3147" s="63"/>
      <c r="Q3147" s="63"/>
      <c r="R3147" s="63"/>
      <c r="S3147" s="63"/>
      <c r="T3147" s="63"/>
      <c r="U3147" s="63"/>
      <c r="V3147" s="63"/>
      <c r="W3147" s="63"/>
    </row>
    <row r="3148" spans="1:23" x14ac:dyDescent="0.25">
      <c r="A3148" s="108">
        <v>46123</v>
      </c>
      <c r="B3148" s="128">
        <v>141</v>
      </c>
      <c r="C3148" s="49" t="s">
        <v>19</v>
      </c>
      <c r="D3148" s="110" t="str">
        <f>IF(ISBLANK($B3148),"",IFERROR(VLOOKUP($B3148,ESTOQUE!$B$2:$D$97168,3,FALSE),"Produto não cadastrado"))</f>
        <v xml:space="preserve">LUVA DE VAQUETA </v>
      </c>
      <c r="E3148" s="99" t="str">
        <f>_xlfn.XLOOKUP(B3148,ESTOQUE!B:B,ESTOQUE!G:G,"",0)</f>
        <v>PAR</v>
      </c>
      <c r="F3148" s="99">
        <v>26</v>
      </c>
      <c r="G3148" s="63"/>
      <c r="H3148" s="63"/>
      <c r="I3148" s="63"/>
      <c r="J3148" s="63"/>
      <c r="K3148" s="63"/>
      <c r="L3148" s="63"/>
      <c r="M3148" s="63"/>
      <c r="N3148" s="63"/>
      <c r="O3148" s="63"/>
      <c r="P3148" s="63"/>
      <c r="Q3148" s="63"/>
      <c r="R3148" s="63"/>
      <c r="S3148" s="63"/>
      <c r="T3148" s="63"/>
      <c r="U3148" s="63"/>
      <c r="V3148" s="63"/>
      <c r="W3148" s="63"/>
    </row>
    <row r="3149" spans="1:23" x14ac:dyDescent="0.25">
      <c r="A3149" s="108">
        <v>46123</v>
      </c>
      <c r="B3149" s="128">
        <v>117</v>
      </c>
      <c r="C3149" s="49" t="s">
        <v>19</v>
      </c>
      <c r="D3149" s="110" t="str">
        <f>IF(ISBLANK($B3149),"",IFERROR(VLOOKUP($B3149,ESTOQUE!$B$2:$D$97168,3,FALSE),"Produto não cadastrado"))</f>
        <v>LUVA PIGMENTADA</v>
      </c>
      <c r="E3149" s="99" t="str">
        <f>_xlfn.XLOOKUP(B3149,ESTOQUE!B:B,ESTOQUE!G:G,"",0)</f>
        <v>PAR</v>
      </c>
      <c r="F3149" s="99">
        <v>28</v>
      </c>
      <c r="G3149" s="63"/>
      <c r="H3149" s="63"/>
      <c r="I3149" s="63"/>
      <c r="J3149" s="63"/>
      <c r="K3149" s="63"/>
      <c r="L3149" s="63"/>
      <c r="M3149" s="63"/>
      <c r="N3149" s="63"/>
      <c r="O3149" s="63"/>
      <c r="P3149" s="63"/>
      <c r="Q3149" s="63"/>
      <c r="R3149" s="63"/>
      <c r="S3149" s="63"/>
      <c r="T3149" s="63"/>
      <c r="U3149" s="63"/>
      <c r="V3149" s="63"/>
      <c r="W3149" s="63"/>
    </row>
    <row r="3150" spans="1:23" x14ac:dyDescent="0.25">
      <c r="A3150" s="108">
        <v>46123</v>
      </c>
      <c r="B3150" s="128">
        <v>126</v>
      </c>
      <c r="C3150" s="49" t="s">
        <v>19</v>
      </c>
      <c r="D3150" s="110" t="str">
        <f>IF(ISBLANK($B3150),"",IFERROR(VLOOKUP($B3150,ESTOQUE!$B$2:$D$97168,3,FALSE),"Produto não cadastrado"))</f>
        <v>OCULOS DE PROTEÇÃO ESCURO</v>
      </c>
      <c r="E3150" s="99" t="str">
        <f>_xlfn.XLOOKUP(B3150,ESTOQUE!B:B,ESTOQUE!G:G,"",0)</f>
        <v>UND</v>
      </c>
      <c r="F3150" s="99">
        <v>2</v>
      </c>
      <c r="G3150" s="63"/>
      <c r="H3150" s="63"/>
      <c r="I3150" s="63"/>
      <c r="J3150" s="63"/>
      <c r="K3150" s="63"/>
      <c r="L3150" s="63"/>
      <c r="M3150" s="63"/>
      <c r="N3150" s="63"/>
      <c r="O3150" s="63"/>
      <c r="P3150" s="63"/>
      <c r="Q3150" s="63"/>
      <c r="R3150" s="63"/>
      <c r="S3150" s="63"/>
      <c r="T3150" s="63"/>
      <c r="U3150" s="63"/>
      <c r="V3150" s="63"/>
      <c r="W3150" s="63"/>
    </row>
    <row r="3151" spans="1:23" x14ac:dyDescent="0.25">
      <c r="A3151" s="108">
        <v>46123</v>
      </c>
      <c r="B3151" s="128">
        <v>139</v>
      </c>
      <c r="C3151" s="49" t="s">
        <v>19</v>
      </c>
      <c r="D3151" s="110" t="str">
        <f>IF(ISBLANK($B3151),"",IFERROR(VLOOKUP($B3151,ESTOQUE!$B$2:$D$97168,3,FALSE),"Produto não cadastrado"))</f>
        <v>PROTETOR AURICULAR TIPO PLUG</v>
      </c>
      <c r="E3151" s="99" t="str">
        <f>_xlfn.XLOOKUP(B3151,ESTOQUE!B:B,ESTOQUE!G:G,"",0)</f>
        <v>UND</v>
      </c>
      <c r="F3151" s="99">
        <v>21</v>
      </c>
      <c r="G3151" s="63"/>
      <c r="H3151" s="63"/>
      <c r="I3151" s="63"/>
      <c r="J3151" s="63"/>
      <c r="K3151" s="63"/>
      <c r="L3151" s="63"/>
      <c r="M3151" s="63"/>
      <c r="N3151" s="63"/>
      <c r="O3151" s="63"/>
      <c r="P3151" s="63"/>
      <c r="Q3151" s="63"/>
      <c r="R3151" s="63"/>
      <c r="S3151" s="63"/>
      <c r="T3151" s="63"/>
      <c r="U3151" s="63"/>
      <c r="V3151" s="63"/>
      <c r="W3151" s="63"/>
    </row>
    <row r="3152" spans="1:23" x14ac:dyDescent="0.25">
      <c r="A3152" s="108">
        <v>46123</v>
      </c>
      <c r="B3152" s="128">
        <v>137</v>
      </c>
      <c r="C3152" s="49" t="s">
        <v>19</v>
      </c>
      <c r="D3152" s="110" t="str">
        <f>IF(ISBLANK($B3152),"",IFERROR(VLOOKUP($B3152,ESTOQUE!$B$2:$D$97168,3,FALSE),"Produto não cadastrado"))</f>
        <v xml:space="preserve">TOUCA ARABE </v>
      </c>
      <c r="E3152" s="99" t="str">
        <f>_xlfn.XLOOKUP(B3152,ESTOQUE!B:B,ESTOQUE!G:G,"",0)</f>
        <v>UND</v>
      </c>
      <c r="F3152" s="99">
        <v>3</v>
      </c>
      <c r="G3152" s="63"/>
      <c r="H3152" s="63"/>
      <c r="I3152" s="63"/>
      <c r="J3152" s="63"/>
      <c r="K3152" s="63"/>
      <c r="L3152" s="63"/>
      <c r="M3152" s="63"/>
      <c r="N3152" s="63"/>
      <c r="O3152" s="63"/>
      <c r="P3152" s="63"/>
      <c r="Q3152" s="63"/>
      <c r="R3152" s="63"/>
      <c r="S3152" s="63"/>
      <c r="T3152" s="63"/>
      <c r="U3152" s="63"/>
      <c r="V3152" s="63"/>
      <c r="W3152" s="63"/>
    </row>
    <row r="3153" spans="1:23" x14ac:dyDescent="0.25">
      <c r="A3153" s="108">
        <v>46123</v>
      </c>
      <c r="B3153" s="128">
        <v>114</v>
      </c>
      <c r="C3153" s="49" t="s">
        <v>19</v>
      </c>
      <c r="D3153" s="110" t="str">
        <f>IF(ISBLANK($B3153),"",IFERROR(VLOOKUP($B3153,ESTOQUE!$B$2:$D$97168,3,FALSE),"Produto não cadastrado"))</f>
        <v xml:space="preserve">LUVA LATEX NITRILICA </v>
      </c>
      <c r="E3153" s="99" t="str">
        <f>_xlfn.XLOOKUP(B3153,ESTOQUE!B:B,ESTOQUE!G:G,"",0)</f>
        <v>PAR</v>
      </c>
      <c r="F3153" s="99">
        <v>0</v>
      </c>
      <c r="G3153" s="63"/>
      <c r="H3153" s="63"/>
      <c r="I3153" s="63"/>
      <c r="J3153" s="63"/>
      <c r="K3153" s="63"/>
      <c r="L3153" s="63"/>
      <c r="M3153" s="63"/>
      <c r="N3153" s="63"/>
      <c r="O3153" s="63"/>
      <c r="P3153" s="63"/>
      <c r="Q3153" s="63"/>
      <c r="R3153" s="63"/>
      <c r="S3153" s="63"/>
      <c r="T3153" s="63"/>
      <c r="U3153" s="63"/>
      <c r="V3153" s="63"/>
      <c r="W3153" s="63"/>
    </row>
    <row r="3154" spans="1:23" x14ac:dyDescent="0.25">
      <c r="A3154" s="108">
        <v>46125</v>
      </c>
      <c r="B3154" s="128">
        <v>172</v>
      </c>
      <c r="C3154" s="49" t="s">
        <v>19</v>
      </c>
      <c r="D3154" s="110" t="str">
        <f>IF(ISBLANK($B3154),"",IFERROR(VLOOKUP($B3154,ESTOQUE!$B$2:$D$97168,3,FALSE),"Produto não cadastrado"))</f>
        <v>BOTA PVC CANO CURTO Nº 41</v>
      </c>
      <c r="E3154" s="99" t="str">
        <f>_xlfn.XLOOKUP(B3154,ESTOQUE!B:B,ESTOQUE!G:G,"",0)</f>
        <v>PAR</v>
      </c>
      <c r="F3154" s="99">
        <v>1</v>
      </c>
      <c r="G3154" s="63"/>
      <c r="H3154" s="63"/>
      <c r="I3154" s="63"/>
      <c r="J3154" s="63"/>
      <c r="K3154" s="63"/>
      <c r="L3154" s="63"/>
      <c r="M3154" s="63"/>
      <c r="N3154" s="63"/>
      <c r="O3154" s="63"/>
      <c r="P3154" s="63"/>
      <c r="Q3154" s="63"/>
      <c r="R3154" s="63"/>
      <c r="S3154" s="63"/>
      <c r="T3154" s="63"/>
      <c r="U3154" s="63"/>
      <c r="V3154" s="63"/>
      <c r="W3154" s="63"/>
    </row>
    <row r="3155" spans="1:23" x14ac:dyDescent="0.25">
      <c r="A3155" s="108">
        <v>46125</v>
      </c>
      <c r="B3155" s="128">
        <v>37</v>
      </c>
      <c r="C3155" s="49" t="s">
        <v>19</v>
      </c>
      <c r="D3155" s="110" t="str">
        <f>IF(ISBLANK($B3155),"",IFERROR(VLOOKUP($B3155,ESTOQUE!$B$2:$D$97168,3,FALSE),"Produto não cadastrado"))</f>
        <v>BOTINA OP. BICO PVC Nº 39</v>
      </c>
      <c r="E3155" s="99" t="str">
        <f>_xlfn.XLOOKUP(B3155,ESTOQUE!B:B,ESTOQUE!G:G,"",0)</f>
        <v>PAR</v>
      </c>
      <c r="F3155" s="99">
        <v>2</v>
      </c>
      <c r="G3155" s="63"/>
      <c r="H3155" s="63"/>
      <c r="I3155" s="63"/>
      <c r="J3155" s="63"/>
      <c r="K3155" s="63"/>
      <c r="L3155" s="63"/>
      <c r="M3155" s="63"/>
      <c r="N3155" s="63"/>
      <c r="O3155" s="63"/>
      <c r="P3155" s="63"/>
      <c r="Q3155" s="63"/>
      <c r="R3155" s="63"/>
      <c r="S3155" s="63"/>
      <c r="T3155" s="63"/>
      <c r="U3155" s="63"/>
      <c r="V3155" s="63"/>
      <c r="W3155" s="63"/>
    </row>
    <row r="3156" spans="1:23" x14ac:dyDescent="0.25">
      <c r="A3156" s="108">
        <v>46125</v>
      </c>
      <c r="B3156" s="128">
        <v>40</v>
      </c>
      <c r="C3156" s="49" t="s">
        <v>19</v>
      </c>
      <c r="D3156" s="110" t="str">
        <f>IF(ISBLANK($B3156),"",IFERROR(VLOOKUP($B3156,ESTOQUE!$B$2:$D$97168,3,FALSE),"Produto não cadastrado"))</f>
        <v>BOTINA OP. BICO PVC Nº 42</v>
      </c>
      <c r="E3156" s="99" t="str">
        <f>_xlfn.XLOOKUP(B3156,ESTOQUE!B:B,ESTOQUE!G:G,"",0)</f>
        <v>PAR</v>
      </c>
      <c r="F3156" s="99">
        <v>1</v>
      </c>
      <c r="G3156" s="63"/>
      <c r="H3156" s="63"/>
      <c r="I3156" s="63"/>
      <c r="J3156" s="63"/>
      <c r="K3156" s="63"/>
      <c r="L3156" s="63"/>
      <c r="M3156" s="63"/>
      <c r="N3156" s="63"/>
      <c r="O3156" s="63"/>
      <c r="P3156" s="63"/>
      <c r="Q3156" s="63"/>
      <c r="R3156" s="63"/>
      <c r="S3156" s="63"/>
      <c r="T3156" s="63"/>
      <c r="U3156" s="63"/>
      <c r="V3156" s="63"/>
      <c r="W3156" s="63"/>
    </row>
    <row r="3157" spans="1:23" x14ac:dyDescent="0.25">
      <c r="A3157" s="108">
        <v>46125</v>
      </c>
      <c r="B3157" s="128">
        <v>216</v>
      </c>
      <c r="C3157" s="49" t="s">
        <v>19</v>
      </c>
      <c r="D3157" s="110" t="str">
        <f>IF(ISBLANK($B3157),"",IFERROR(VLOOKUP($B3157,ESTOQUE!$B$2:$D$97168,3,FALSE),"Produto não cadastrado"))</f>
        <v>BOTINA SEGURANÇA METATARSO  39</v>
      </c>
      <c r="E3157" s="99" t="str">
        <f>_xlfn.XLOOKUP(B3157,ESTOQUE!B:B,ESTOQUE!G:G,"",0)</f>
        <v>PAR</v>
      </c>
      <c r="F3157" s="99">
        <v>1</v>
      </c>
      <c r="G3157" s="63"/>
      <c r="H3157" s="63"/>
      <c r="I3157" s="63"/>
      <c r="J3157" s="63"/>
      <c r="K3157" s="63"/>
      <c r="L3157" s="63"/>
      <c r="M3157" s="63"/>
      <c r="N3157" s="63"/>
      <c r="O3157" s="63"/>
      <c r="P3157" s="63"/>
      <c r="Q3157" s="63"/>
      <c r="R3157" s="63"/>
      <c r="S3157" s="63"/>
      <c r="T3157" s="63"/>
      <c r="U3157" s="63"/>
      <c r="V3157" s="63"/>
      <c r="W3157" s="63"/>
    </row>
    <row r="3158" spans="1:23" x14ac:dyDescent="0.25">
      <c r="A3158" s="108">
        <v>46125</v>
      </c>
      <c r="B3158" s="128">
        <v>218</v>
      </c>
      <c r="C3158" s="49" t="s">
        <v>19</v>
      </c>
      <c r="D3158" s="110" t="str">
        <f>IF(ISBLANK($B3158),"",IFERROR(VLOOKUP($B3158,ESTOQUE!$B$2:$D$97168,3,FALSE),"Produto não cadastrado"))</f>
        <v>BOTINA SEGURANÇA METATARSO  41</v>
      </c>
      <c r="E3158" s="99" t="str">
        <f>_xlfn.XLOOKUP(B3158,ESTOQUE!B:B,ESTOQUE!G:G,"",0)</f>
        <v>PAR</v>
      </c>
      <c r="F3158" s="99">
        <v>1</v>
      </c>
      <c r="G3158" s="63"/>
      <c r="H3158" s="63"/>
      <c r="I3158" s="63"/>
      <c r="J3158" s="63"/>
      <c r="K3158" s="63"/>
      <c r="L3158" s="63"/>
      <c r="M3158" s="63"/>
      <c r="N3158" s="63"/>
      <c r="O3158" s="63"/>
      <c r="P3158" s="63"/>
      <c r="Q3158" s="63"/>
      <c r="R3158" s="63"/>
      <c r="S3158" s="63"/>
      <c r="T3158" s="63"/>
      <c r="U3158" s="63"/>
      <c r="V3158" s="63"/>
      <c r="W3158" s="63"/>
    </row>
    <row r="3159" spans="1:23" x14ac:dyDescent="0.25">
      <c r="A3159" s="108">
        <v>46125</v>
      </c>
      <c r="B3159" s="128">
        <v>46</v>
      </c>
      <c r="C3159" s="49" t="s">
        <v>19</v>
      </c>
      <c r="D3159" s="110" t="str">
        <f>IF(ISBLANK($B3159),"",IFERROR(VLOOKUP($B3159,ESTOQUE!$B$2:$D$97168,3,FALSE),"Produto não cadastrado"))</f>
        <v>CALÇA CINZA OP. C/ FAIXA REFLETIVA TAM: G</v>
      </c>
      <c r="E3159" s="99" t="str">
        <f>_xlfn.XLOOKUP(B3159,ESTOQUE!B:B,ESTOQUE!G:G,"",0)</f>
        <v>UND</v>
      </c>
      <c r="F3159" s="99">
        <v>5</v>
      </c>
      <c r="G3159" s="63"/>
      <c r="H3159" s="63"/>
      <c r="I3159" s="63"/>
      <c r="J3159" s="63"/>
      <c r="K3159" s="63"/>
      <c r="L3159" s="63"/>
      <c r="M3159" s="63"/>
      <c r="N3159" s="63"/>
      <c r="O3159" s="63"/>
      <c r="P3159" s="63"/>
      <c r="Q3159" s="63"/>
      <c r="R3159" s="63"/>
      <c r="S3159" s="63"/>
      <c r="T3159" s="63"/>
      <c r="U3159" s="63"/>
      <c r="V3159" s="63"/>
      <c r="W3159" s="63"/>
    </row>
    <row r="3160" spans="1:23" x14ac:dyDescent="0.25">
      <c r="A3160" s="108">
        <v>46125</v>
      </c>
      <c r="B3160" s="128">
        <v>47</v>
      </c>
      <c r="C3160" s="49" t="s">
        <v>19</v>
      </c>
      <c r="D3160" s="110" t="str">
        <f>IF(ISBLANK($B3160),"",IFERROR(VLOOKUP($B3160,ESTOQUE!$B$2:$D$97168,3,FALSE),"Produto não cadastrado"))</f>
        <v>CALÇA CINZA OP. C/ FAIXA REFLETIVA TAM: GG</v>
      </c>
      <c r="E3160" s="99" t="str">
        <f>_xlfn.XLOOKUP(B3160,ESTOQUE!B:B,ESTOQUE!G:G,"",0)</f>
        <v>UND</v>
      </c>
      <c r="F3160" s="99">
        <v>1</v>
      </c>
      <c r="G3160" s="63"/>
      <c r="H3160" s="63"/>
      <c r="I3160" s="63"/>
      <c r="J3160" s="63"/>
      <c r="K3160" s="63"/>
      <c r="L3160" s="63"/>
      <c r="M3160" s="63"/>
      <c r="N3160" s="63"/>
      <c r="O3160" s="63"/>
      <c r="P3160" s="63"/>
      <c r="Q3160" s="63"/>
      <c r="R3160" s="63"/>
      <c r="S3160" s="63"/>
      <c r="T3160" s="63"/>
      <c r="U3160" s="63"/>
      <c r="V3160" s="63"/>
      <c r="W3160" s="63"/>
    </row>
    <row r="3161" spans="1:23" x14ac:dyDescent="0.25">
      <c r="A3161" s="108">
        <v>46125</v>
      </c>
      <c r="B3161" s="128">
        <v>48</v>
      </c>
      <c r="C3161" s="49" t="s">
        <v>19</v>
      </c>
      <c r="D3161" s="110" t="str">
        <f>IF(ISBLANK($B3161),"",IFERROR(VLOOKUP($B3161,ESTOQUE!$B$2:$D$97168,3,FALSE),"Produto não cadastrado"))</f>
        <v>CALÇA CINZA OP. C/ FAIXA REFLETIVA TAM: M</v>
      </c>
      <c r="E3161" s="99" t="str">
        <f>_xlfn.XLOOKUP(B3161,ESTOQUE!B:B,ESTOQUE!G:G,"",0)</f>
        <v>UND</v>
      </c>
      <c r="F3161" s="99">
        <v>3</v>
      </c>
      <c r="G3161" s="63"/>
      <c r="H3161" s="63"/>
      <c r="I3161" s="63"/>
      <c r="J3161" s="63"/>
      <c r="K3161" s="63"/>
      <c r="L3161" s="63"/>
      <c r="M3161" s="63"/>
      <c r="N3161" s="63"/>
      <c r="O3161" s="63"/>
      <c r="P3161" s="63"/>
      <c r="Q3161" s="63"/>
      <c r="R3161" s="63"/>
      <c r="S3161" s="63"/>
      <c r="T3161" s="63"/>
      <c r="U3161" s="63"/>
      <c r="V3161" s="63"/>
      <c r="W3161" s="63"/>
    </row>
    <row r="3162" spans="1:23" x14ac:dyDescent="0.25">
      <c r="A3162" s="108">
        <v>46125</v>
      </c>
      <c r="B3162" s="128">
        <v>49</v>
      </c>
      <c r="C3162" s="49" t="s">
        <v>19</v>
      </c>
      <c r="D3162" s="110" t="str">
        <f>IF(ISBLANK($B3162),"",IFERROR(VLOOKUP($B3162,ESTOQUE!$B$2:$D$97168,3,FALSE),"Produto não cadastrado"))</f>
        <v>CALÇA CINZA OP. C/ FAIXA REFLETIVA TAM: P</v>
      </c>
      <c r="E3162" s="99" t="str">
        <f>_xlfn.XLOOKUP(B3162,ESTOQUE!B:B,ESTOQUE!G:G,"",0)</f>
        <v>UND</v>
      </c>
      <c r="F3162" s="99">
        <v>2</v>
      </c>
      <c r="G3162" s="63"/>
      <c r="H3162" s="63"/>
      <c r="I3162" s="63"/>
      <c r="J3162" s="63"/>
      <c r="K3162" s="63"/>
      <c r="L3162" s="63"/>
      <c r="M3162" s="63"/>
      <c r="N3162" s="63"/>
      <c r="O3162" s="63"/>
      <c r="P3162" s="63"/>
      <c r="Q3162" s="63"/>
      <c r="R3162" s="63"/>
      <c r="S3162" s="63"/>
      <c r="T3162" s="63"/>
      <c r="U3162" s="63"/>
      <c r="V3162" s="63"/>
      <c r="W3162" s="63"/>
    </row>
    <row r="3163" spans="1:23" x14ac:dyDescent="0.25">
      <c r="A3163" s="108">
        <v>46125</v>
      </c>
      <c r="B3163" s="128">
        <v>67</v>
      </c>
      <c r="C3163" s="49" t="s">
        <v>19</v>
      </c>
      <c r="D3163" s="110" t="str">
        <f>IF(ISBLANK($B3163),"",IFERROR(VLOOKUP($B3163,ESTOQUE!$B$2:$D$97168,3,FALSE),"Produto não cadastrado"))</f>
        <v>CAMISA LARANJA OP. C/ FAIXA REFLETIVA TAM: G</v>
      </c>
      <c r="E3163" s="99" t="str">
        <f>_xlfn.XLOOKUP(B3163,ESTOQUE!B:B,ESTOQUE!G:G,"",0)</f>
        <v>UND</v>
      </c>
      <c r="F3163" s="99">
        <v>5</v>
      </c>
      <c r="G3163" s="63"/>
      <c r="H3163" s="63"/>
      <c r="I3163" s="63"/>
      <c r="J3163" s="63"/>
      <c r="K3163" s="63"/>
      <c r="L3163" s="63"/>
      <c r="M3163" s="63"/>
      <c r="N3163" s="63"/>
      <c r="O3163" s="63"/>
      <c r="P3163" s="63"/>
      <c r="Q3163" s="63"/>
      <c r="R3163" s="63"/>
      <c r="S3163" s="63"/>
      <c r="T3163" s="63"/>
      <c r="U3163" s="63"/>
      <c r="V3163" s="63"/>
      <c r="W3163" s="63"/>
    </row>
    <row r="3164" spans="1:23" x14ac:dyDescent="0.25">
      <c r="A3164" s="108">
        <v>46125</v>
      </c>
      <c r="B3164" s="128">
        <v>69</v>
      </c>
      <c r="C3164" s="49" t="s">
        <v>19</v>
      </c>
      <c r="D3164" s="110" t="str">
        <f>IF(ISBLANK($B3164),"",IFERROR(VLOOKUP($B3164,ESTOQUE!$B$2:$D$97168,3,FALSE),"Produto não cadastrado"))</f>
        <v>CAMISA LARANJA OP. C/ FAIXA REFLETIVA TAM: M</v>
      </c>
      <c r="E3164" s="99" t="str">
        <f>_xlfn.XLOOKUP(B3164,ESTOQUE!B:B,ESTOQUE!G:G,"",0)</f>
        <v>UND</v>
      </c>
      <c r="F3164" s="99">
        <v>1</v>
      </c>
      <c r="G3164" s="63"/>
      <c r="H3164" s="63"/>
      <c r="I3164" s="63"/>
      <c r="J3164" s="63"/>
      <c r="K3164" s="63"/>
      <c r="L3164" s="63"/>
      <c r="M3164" s="63"/>
      <c r="N3164" s="63"/>
      <c r="O3164" s="63"/>
      <c r="P3164" s="63"/>
      <c r="Q3164" s="63"/>
      <c r="R3164" s="63"/>
      <c r="S3164" s="63"/>
      <c r="T3164" s="63"/>
      <c r="U3164" s="63"/>
      <c r="V3164" s="63"/>
      <c r="W3164" s="63"/>
    </row>
    <row r="3165" spans="1:23" x14ac:dyDescent="0.25">
      <c r="A3165" s="108">
        <v>46125</v>
      </c>
      <c r="B3165" s="128">
        <v>70</v>
      </c>
      <c r="C3165" s="49" t="s">
        <v>19</v>
      </c>
      <c r="D3165" s="110" t="str">
        <f>IF(ISBLANK($B3165),"",IFERROR(VLOOKUP($B3165,ESTOQUE!$B$2:$D$97168,3,FALSE),"Produto não cadastrado"))</f>
        <v>CAMISA LARANJA OP. C/ FAIXA REFLETIVA TAM: P</v>
      </c>
      <c r="E3165" s="99" t="str">
        <f>_xlfn.XLOOKUP(B3165,ESTOQUE!B:B,ESTOQUE!G:G,"",0)</f>
        <v>UND</v>
      </c>
      <c r="F3165" s="99">
        <v>6</v>
      </c>
      <c r="G3165" s="63"/>
      <c r="H3165" s="63"/>
      <c r="I3165" s="63"/>
      <c r="J3165" s="63"/>
      <c r="K3165" s="63"/>
      <c r="L3165" s="63"/>
      <c r="M3165" s="63"/>
      <c r="N3165" s="63"/>
      <c r="O3165" s="63"/>
      <c r="P3165" s="63"/>
      <c r="Q3165" s="63"/>
      <c r="R3165" s="63"/>
      <c r="S3165" s="63"/>
      <c r="T3165" s="63"/>
      <c r="U3165" s="63"/>
      <c r="V3165" s="63"/>
      <c r="W3165" s="63"/>
    </row>
    <row r="3166" spans="1:23" x14ac:dyDescent="0.25">
      <c r="A3166" s="108">
        <v>46125</v>
      </c>
      <c r="B3166" s="128">
        <v>71</v>
      </c>
      <c r="C3166" s="49" t="s">
        <v>19</v>
      </c>
      <c r="D3166" s="110" t="str">
        <f>IF(ISBLANK($B3166),"",IFERROR(VLOOKUP($B3166,ESTOQUE!$B$2:$D$97168,3,FALSE),"Produto não cadastrado"))</f>
        <v>CAMISA LARANJA OP. C/ FAIXA REFLETIVA TAM: XG</v>
      </c>
      <c r="E3166" s="99" t="str">
        <f>_xlfn.XLOOKUP(B3166,ESTOQUE!B:B,ESTOQUE!G:G,"",0)</f>
        <v>UND</v>
      </c>
      <c r="F3166" s="99">
        <v>1</v>
      </c>
      <c r="G3166" s="63"/>
      <c r="H3166" s="63"/>
      <c r="I3166" s="63"/>
      <c r="J3166" s="63"/>
      <c r="K3166" s="63"/>
      <c r="L3166" s="63"/>
      <c r="M3166" s="63"/>
      <c r="N3166" s="63"/>
      <c r="O3166" s="63"/>
      <c r="P3166" s="63"/>
      <c r="Q3166" s="63"/>
      <c r="R3166" s="63"/>
      <c r="S3166" s="63"/>
      <c r="T3166" s="63"/>
      <c r="U3166" s="63"/>
      <c r="V3166" s="63"/>
      <c r="W3166" s="63"/>
    </row>
    <row r="3167" spans="1:23" x14ac:dyDescent="0.25">
      <c r="A3167" s="108">
        <v>46125</v>
      </c>
      <c r="B3167" s="128">
        <v>210</v>
      </c>
      <c r="C3167" s="49" t="s">
        <v>19</v>
      </c>
      <c r="D3167" s="110" t="str">
        <f>IF(ISBLANK($B3167),"",IFERROR(VLOOKUP($B3167,ESTOQUE!$B$2:$D$97168,3,FALSE),"Produto não cadastrado"))</f>
        <v>COLETE REFLETIVO LARANJA G</v>
      </c>
      <c r="E3167" s="99" t="str">
        <f>_xlfn.XLOOKUP(B3167,ESTOQUE!B:B,ESTOQUE!G:G,"",0)</f>
        <v>UND</v>
      </c>
      <c r="F3167" s="99">
        <v>1</v>
      </c>
      <c r="G3167" s="63"/>
      <c r="H3167" s="63"/>
      <c r="I3167" s="63"/>
      <c r="J3167" s="63"/>
      <c r="K3167" s="63"/>
      <c r="L3167" s="63"/>
      <c r="M3167" s="63"/>
      <c r="N3167" s="63"/>
      <c r="O3167" s="63"/>
      <c r="P3167" s="63"/>
      <c r="Q3167" s="63"/>
      <c r="R3167" s="63"/>
      <c r="S3167" s="63"/>
      <c r="T3167" s="63"/>
      <c r="U3167" s="63"/>
      <c r="V3167" s="63"/>
      <c r="W3167" s="63"/>
    </row>
    <row r="3168" spans="1:23" x14ac:dyDescent="0.25">
      <c r="A3168" s="108">
        <v>46125</v>
      </c>
      <c r="B3168" s="128">
        <v>95</v>
      </c>
      <c r="C3168" s="49" t="s">
        <v>19</v>
      </c>
      <c r="D3168" s="110" t="str">
        <f>IF(ISBLANK($B3168),"",IFERROR(VLOOKUP($B3168,ESTOQUE!$B$2:$D$97168,3,FALSE),"Produto não cadastrado"))</f>
        <v>CARNEIRA P/ CAPACETE LIBUS</v>
      </c>
      <c r="E3168" s="99" t="str">
        <f>_xlfn.XLOOKUP(B3168,ESTOQUE!B:B,ESTOQUE!G:G,"",0)</f>
        <v>UND</v>
      </c>
      <c r="F3168" s="99">
        <v>1</v>
      </c>
      <c r="G3168" s="63"/>
      <c r="H3168" s="63"/>
      <c r="I3168" s="63"/>
      <c r="J3168" s="63"/>
      <c r="K3168" s="63"/>
      <c r="L3168" s="63"/>
      <c r="M3168" s="63"/>
      <c r="N3168" s="63"/>
      <c r="O3168" s="63"/>
      <c r="P3168" s="63"/>
      <c r="Q3168" s="63"/>
      <c r="R3168" s="63"/>
      <c r="S3168" s="63"/>
      <c r="T3168" s="63"/>
      <c r="U3168" s="63"/>
      <c r="V3168" s="63"/>
      <c r="W3168" s="63"/>
    </row>
    <row r="3169" spans="1:23" x14ac:dyDescent="0.25">
      <c r="A3169" s="108">
        <v>46125</v>
      </c>
      <c r="B3169" s="128">
        <v>110</v>
      </c>
      <c r="C3169" s="49" t="s">
        <v>19</v>
      </c>
      <c r="D3169" s="110" t="str">
        <f>IF(ISBLANK($B3169),"",IFERROR(VLOOKUP($B3169,ESTOQUE!$B$2:$D$97168,3,FALSE),"Produto não cadastrado"))</f>
        <v>LUVA DE RASPA CANO LONGO</v>
      </c>
      <c r="E3169" s="99" t="str">
        <f>_xlfn.XLOOKUP(B3169,ESTOQUE!B:B,ESTOQUE!G:G,"",0)</f>
        <v>PAR</v>
      </c>
      <c r="F3169" s="99">
        <v>40</v>
      </c>
      <c r="G3169" s="63"/>
      <c r="H3169" s="63"/>
      <c r="I3169" s="63"/>
      <c r="J3169" s="63"/>
      <c r="K3169" s="63"/>
      <c r="L3169" s="63"/>
      <c r="M3169" s="63"/>
      <c r="N3169" s="63"/>
      <c r="O3169" s="63"/>
      <c r="P3169" s="63"/>
      <c r="Q3169" s="63"/>
      <c r="R3169" s="63"/>
      <c r="S3169" s="63"/>
      <c r="T3169" s="63"/>
      <c r="U3169" s="63"/>
      <c r="V3169" s="63"/>
      <c r="W3169" s="63"/>
    </row>
    <row r="3170" spans="1:23" x14ac:dyDescent="0.25">
      <c r="A3170" s="108">
        <v>46125</v>
      </c>
      <c r="B3170" s="128">
        <v>141</v>
      </c>
      <c r="C3170" s="49" t="s">
        <v>19</v>
      </c>
      <c r="D3170" s="110" t="str">
        <f>IF(ISBLANK($B3170),"",IFERROR(VLOOKUP($B3170,ESTOQUE!$B$2:$D$97168,3,FALSE),"Produto não cadastrado"))</f>
        <v xml:space="preserve">LUVA DE VAQUETA </v>
      </c>
      <c r="E3170" s="99" t="str">
        <f>_xlfn.XLOOKUP(B3170,ESTOQUE!B:B,ESTOQUE!G:G,"",0)</f>
        <v>PAR</v>
      </c>
      <c r="F3170" s="99">
        <v>21</v>
      </c>
      <c r="G3170" s="63"/>
      <c r="H3170" s="63"/>
      <c r="I3170" s="63"/>
      <c r="J3170" s="63"/>
      <c r="K3170" s="63"/>
      <c r="L3170" s="63"/>
      <c r="M3170" s="63"/>
      <c r="N3170" s="63"/>
      <c r="O3170" s="63"/>
      <c r="P3170" s="63"/>
      <c r="Q3170" s="63"/>
      <c r="R3170" s="63"/>
      <c r="S3170" s="63"/>
      <c r="T3170" s="63"/>
      <c r="U3170" s="63"/>
      <c r="V3170" s="63"/>
      <c r="W3170" s="63"/>
    </row>
    <row r="3171" spans="1:23" x14ac:dyDescent="0.25">
      <c r="A3171" s="108">
        <v>46125</v>
      </c>
      <c r="B3171" s="128">
        <v>114</v>
      </c>
      <c r="C3171" s="49" t="s">
        <v>19</v>
      </c>
      <c r="D3171" s="110" t="str">
        <f>IF(ISBLANK($B3171),"",IFERROR(VLOOKUP($B3171,ESTOQUE!$B$2:$D$97168,3,FALSE),"Produto não cadastrado"))</f>
        <v xml:space="preserve">LUVA LATEX NITRILICA </v>
      </c>
      <c r="E3171" s="99" t="str">
        <f>_xlfn.XLOOKUP(B3171,ESTOQUE!B:B,ESTOQUE!G:G,"",0)</f>
        <v>PAR</v>
      </c>
      <c r="F3171" s="99">
        <v>53</v>
      </c>
      <c r="G3171" s="63"/>
      <c r="H3171" s="63"/>
      <c r="I3171" s="63"/>
      <c r="J3171" s="63"/>
      <c r="K3171" s="63"/>
      <c r="L3171" s="63"/>
      <c r="M3171" s="63"/>
      <c r="N3171" s="63"/>
      <c r="O3171" s="63"/>
      <c r="P3171" s="63"/>
      <c r="Q3171" s="63"/>
      <c r="R3171" s="63"/>
      <c r="S3171" s="63"/>
      <c r="T3171" s="63"/>
      <c r="U3171" s="63"/>
      <c r="V3171" s="63"/>
      <c r="W3171" s="63"/>
    </row>
    <row r="3172" spans="1:23" x14ac:dyDescent="0.25">
      <c r="A3172" s="108">
        <v>46125</v>
      </c>
      <c r="B3172" s="128">
        <v>117</v>
      </c>
      <c r="C3172" s="49" t="s">
        <v>19</v>
      </c>
      <c r="D3172" s="110" t="str">
        <f>IF(ISBLANK($B3172),"",IFERROR(VLOOKUP($B3172,ESTOQUE!$B$2:$D$97168,3,FALSE),"Produto não cadastrado"))</f>
        <v>LUVA PIGMENTADA</v>
      </c>
      <c r="E3172" s="99" t="str">
        <f>_xlfn.XLOOKUP(B3172,ESTOQUE!B:B,ESTOQUE!G:G,"",0)</f>
        <v>PAR</v>
      </c>
      <c r="F3172" s="99">
        <v>1</v>
      </c>
      <c r="G3172" s="63"/>
      <c r="H3172" s="63"/>
      <c r="I3172" s="63"/>
      <c r="J3172" s="63"/>
      <c r="K3172" s="63"/>
      <c r="L3172" s="63"/>
      <c r="M3172" s="63"/>
      <c r="N3172" s="63"/>
      <c r="O3172" s="63"/>
      <c r="P3172" s="63"/>
      <c r="Q3172" s="63"/>
      <c r="R3172" s="63"/>
      <c r="S3172" s="63"/>
      <c r="T3172" s="63"/>
      <c r="U3172" s="63"/>
      <c r="V3172" s="63"/>
      <c r="W3172" s="63"/>
    </row>
    <row r="3173" spans="1:23" x14ac:dyDescent="0.25">
      <c r="A3173" s="108">
        <v>46125</v>
      </c>
      <c r="B3173" s="128">
        <v>267</v>
      </c>
      <c r="C3173" s="49" t="s">
        <v>19</v>
      </c>
      <c r="D3173" s="110" t="str">
        <f>IF(ISBLANK($B3173),"",IFERROR(VLOOKUP($B3173,ESTOQUE!$B$2:$D$97168,3,FALSE),"Produto não cadastrado"))</f>
        <v>LUVA POLIESTER ANTICORTE CANO LONGO</v>
      </c>
      <c r="E3173" s="99" t="str">
        <f>_xlfn.XLOOKUP(B3173,ESTOQUE!B:B,ESTOQUE!G:G,"",0)</f>
        <v>UND</v>
      </c>
      <c r="F3173" s="99">
        <v>1</v>
      </c>
      <c r="G3173" s="63"/>
      <c r="H3173" s="63"/>
      <c r="I3173" s="63"/>
      <c r="J3173" s="63"/>
      <c r="K3173" s="63"/>
      <c r="L3173" s="63"/>
      <c r="M3173" s="63"/>
      <c r="N3173" s="63"/>
      <c r="O3173" s="63"/>
      <c r="P3173" s="63"/>
      <c r="Q3173" s="63"/>
      <c r="R3173" s="63"/>
      <c r="S3173" s="63"/>
      <c r="T3173" s="63"/>
      <c r="U3173" s="63"/>
      <c r="V3173" s="63"/>
      <c r="W3173" s="63"/>
    </row>
    <row r="3174" spans="1:23" x14ac:dyDescent="0.25">
      <c r="A3174" s="108">
        <v>46125</v>
      </c>
      <c r="B3174" s="128">
        <v>118</v>
      </c>
      <c r="C3174" s="49" t="s">
        <v>19</v>
      </c>
      <c r="D3174" s="110" t="str">
        <f>IF(ISBLANK($B3174),"",IFERROR(VLOOKUP($B3174,ESTOQUE!$B$2:$D$97168,3,FALSE),"Produto não cadastrado"))</f>
        <v>MACACÃO DE PROTEÇÃO TYVEK</v>
      </c>
      <c r="E3174" s="99" t="str">
        <f>_xlfn.XLOOKUP(B3174,ESTOQUE!B:B,ESTOQUE!G:G,"",0)</f>
        <v>UND</v>
      </c>
      <c r="F3174" s="99">
        <v>4</v>
      </c>
      <c r="G3174" s="63"/>
      <c r="H3174" s="63"/>
      <c r="I3174" s="63"/>
      <c r="J3174" s="63"/>
      <c r="K3174" s="63"/>
      <c r="L3174" s="63"/>
      <c r="M3174" s="63"/>
      <c r="N3174" s="63"/>
      <c r="O3174" s="63"/>
      <c r="P3174" s="63"/>
      <c r="Q3174" s="63"/>
      <c r="R3174" s="63"/>
      <c r="S3174" s="63"/>
      <c r="T3174" s="63"/>
      <c r="U3174" s="63"/>
      <c r="V3174" s="63"/>
      <c r="W3174" s="63"/>
    </row>
    <row r="3175" spans="1:23" x14ac:dyDescent="0.25">
      <c r="A3175" s="108">
        <v>46125</v>
      </c>
      <c r="B3175" s="128">
        <v>126</v>
      </c>
      <c r="C3175" s="49" t="s">
        <v>19</v>
      </c>
      <c r="D3175" s="110" t="str">
        <f>IF(ISBLANK($B3175),"",IFERROR(VLOOKUP($B3175,ESTOQUE!$B$2:$D$97168,3,FALSE),"Produto não cadastrado"))</f>
        <v>OCULOS DE PROTEÇÃO ESCURO</v>
      </c>
      <c r="E3175" s="99" t="str">
        <f>_xlfn.XLOOKUP(B3175,ESTOQUE!B:B,ESTOQUE!G:G,"",0)</f>
        <v>UND</v>
      </c>
      <c r="F3175" s="99">
        <v>3</v>
      </c>
      <c r="G3175" s="63"/>
      <c r="H3175" s="63"/>
      <c r="I3175" s="63"/>
      <c r="J3175" s="63"/>
      <c r="K3175" s="63"/>
      <c r="L3175" s="63"/>
      <c r="M3175" s="63"/>
      <c r="N3175" s="63"/>
      <c r="O3175" s="63"/>
      <c r="P3175" s="63"/>
      <c r="Q3175" s="63"/>
      <c r="R3175" s="63"/>
      <c r="S3175" s="63"/>
      <c r="T3175" s="63"/>
      <c r="U3175" s="63"/>
      <c r="V3175" s="63"/>
      <c r="W3175" s="63"/>
    </row>
    <row r="3176" spans="1:23" x14ac:dyDescent="0.25">
      <c r="A3176" s="108">
        <v>46125</v>
      </c>
      <c r="B3176" s="128">
        <v>139</v>
      </c>
      <c r="C3176" s="49" t="s">
        <v>19</v>
      </c>
      <c r="D3176" s="110" t="str">
        <f>IF(ISBLANK($B3176),"",IFERROR(VLOOKUP($B3176,ESTOQUE!$B$2:$D$97168,3,FALSE),"Produto não cadastrado"))</f>
        <v>PROTETOR AURICULAR TIPO PLUG</v>
      </c>
      <c r="E3176" s="99" t="str">
        <f>_xlfn.XLOOKUP(B3176,ESTOQUE!B:B,ESTOQUE!G:G,"",0)</f>
        <v>UND</v>
      </c>
      <c r="F3176" s="99">
        <v>2</v>
      </c>
      <c r="G3176" s="63"/>
      <c r="H3176" s="63"/>
      <c r="I3176" s="63"/>
      <c r="J3176" s="63"/>
      <c r="K3176" s="63"/>
      <c r="L3176" s="63"/>
      <c r="M3176" s="63"/>
      <c r="N3176" s="63"/>
      <c r="O3176" s="63"/>
      <c r="P3176" s="63"/>
      <c r="Q3176" s="63"/>
      <c r="R3176" s="63"/>
      <c r="S3176" s="63"/>
      <c r="T3176" s="63"/>
      <c r="U3176" s="63"/>
      <c r="V3176" s="63"/>
      <c r="W3176" s="63"/>
    </row>
    <row r="3177" spans="1:23" x14ac:dyDescent="0.25">
      <c r="A3177" s="108">
        <v>46126</v>
      </c>
      <c r="B3177" s="128">
        <v>9</v>
      </c>
      <c r="C3177" s="49" t="s">
        <v>19</v>
      </c>
      <c r="D3177" s="110" t="str">
        <f>IF(ISBLANK($B3177),"",IFERROR(VLOOKUP($B3177,ESTOQUE!$B$2:$D$97168,3,FALSE),"Produto não cadastrado"))</f>
        <v>BOTA PVC CANO LONGO Nº 41</v>
      </c>
      <c r="E3177" s="99" t="str">
        <f>_xlfn.XLOOKUP(B3177,ESTOQUE!B:B,ESTOQUE!G:G,"",0)</f>
        <v>PAR</v>
      </c>
      <c r="F3177" s="99">
        <v>1</v>
      </c>
      <c r="G3177" s="146"/>
      <c r="H3177" s="146"/>
      <c r="I3177" s="147"/>
      <c r="J3177" s="147"/>
      <c r="K3177" s="63"/>
      <c r="L3177" s="63"/>
      <c r="M3177" s="63"/>
      <c r="N3177" s="63"/>
      <c r="O3177" s="63"/>
      <c r="P3177" s="63"/>
      <c r="Q3177" s="63"/>
      <c r="R3177" s="63"/>
      <c r="S3177" s="63"/>
      <c r="T3177" s="63"/>
      <c r="U3177" s="63"/>
      <c r="V3177" s="63"/>
      <c r="W3177" s="63"/>
    </row>
    <row r="3178" spans="1:23" x14ac:dyDescent="0.25">
      <c r="A3178" s="108">
        <v>46126</v>
      </c>
      <c r="B3178" s="128">
        <v>12</v>
      </c>
      <c r="C3178" s="49" t="s">
        <v>19</v>
      </c>
      <c r="D3178" s="110" t="str">
        <f>IF(ISBLANK($B3178),"",IFERROR(VLOOKUP($B3178,ESTOQUE!$B$2:$D$97168,3,FALSE),"Produto não cadastrado"))</f>
        <v>BOTA PVC CANO LONGO Nº 44</v>
      </c>
      <c r="E3178" s="99" t="str">
        <f>_xlfn.XLOOKUP(B3178,ESTOQUE!B:B,ESTOQUE!G:G,"",0)</f>
        <v>PAR</v>
      </c>
      <c r="F3178" s="99">
        <v>1</v>
      </c>
      <c r="G3178" s="63"/>
      <c r="H3178" s="63"/>
      <c r="I3178" s="63"/>
      <c r="J3178" s="63"/>
      <c r="K3178" s="63"/>
      <c r="L3178" s="63"/>
      <c r="M3178" s="63"/>
      <c r="N3178" s="63"/>
      <c r="O3178" s="63"/>
      <c r="P3178" s="63"/>
      <c r="Q3178" s="63"/>
      <c r="R3178" s="63"/>
      <c r="S3178" s="63"/>
      <c r="T3178" s="63"/>
      <c r="U3178" s="63"/>
      <c r="V3178" s="63"/>
      <c r="W3178" s="63"/>
    </row>
    <row r="3179" spans="1:23" x14ac:dyDescent="0.25">
      <c r="A3179" s="108">
        <v>46126</v>
      </c>
      <c r="B3179" s="128">
        <v>13</v>
      </c>
      <c r="C3179" s="49" t="s">
        <v>19</v>
      </c>
      <c r="D3179" s="110" t="str">
        <f>IF(ISBLANK($B3179),"",IFERROR(VLOOKUP($B3179,ESTOQUE!$B$2:$D$97168,3,FALSE),"Produto não cadastrado"))</f>
        <v>BOTA PVC CANO LONGO Nº 45</v>
      </c>
      <c r="E3179" s="99" t="str">
        <f>_xlfn.XLOOKUP(B3179,ESTOQUE!B:B,ESTOQUE!G:G,"",0)</f>
        <v>PAR</v>
      </c>
      <c r="F3179" s="99">
        <v>1</v>
      </c>
      <c r="G3179" s="63"/>
      <c r="H3179" s="63"/>
      <c r="I3179" s="63"/>
      <c r="J3179" s="63"/>
      <c r="K3179" s="63"/>
      <c r="L3179" s="63"/>
      <c r="M3179" s="63"/>
      <c r="N3179" s="63"/>
      <c r="O3179" s="63"/>
      <c r="P3179" s="63"/>
      <c r="Q3179" s="63"/>
      <c r="R3179" s="63"/>
      <c r="S3179" s="63"/>
      <c r="T3179" s="63"/>
      <c r="U3179" s="63"/>
      <c r="V3179" s="63"/>
      <c r="W3179" s="63"/>
    </row>
    <row r="3180" spans="1:23" x14ac:dyDescent="0.25">
      <c r="A3180" s="108">
        <v>46126</v>
      </c>
      <c r="B3180" s="128">
        <v>38</v>
      </c>
      <c r="C3180" s="49" t="s">
        <v>19</v>
      </c>
      <c r="D3180" s="110" t="str">
        <f>IF(ISBLANK($B3180),"",IFERROR(VLOOKUP($B3180,ESTOQUE!$B$2:$D$97168,3,FALSE),"Produto não cadastrado"))</f>
        <v>BOTINA OP. BICO PVC Nº 40</v>
      </c>
      <c r="E3180" s="99" t="str">
        <f>_xlfn.XLOOKUP(B3180,ESTOQUE!B:B,ESTOQUE!G:G,"",0)</f>
        <v>PAR</v>
      </c>
      <c r="F3180" s="99">
        <v>1</v>
      </c>
      <c r="G3180" s="63"/>
      <c r="H3180" s="63"/>
      <c r="I3180" s="63"/>
      <c r="J3180" s="63"/>
      <c r="K3180" s="63"/>
      <c r="L3180" s="63"/>
      <c r="M3180" s="63"/>
      <c r="N3180" s="63"/>
      <c r="O3180" s="63"/>
      <c r="P3180" s="63"/>
      <c r="Q3180" s="63"/>
      <c r="R3180" s="63"/>
      <c r="S3180" s="63"/>
      <c r="T3180" s="63"/>
      <c r="U3180" s="63"/>
      <c r="V3180" s="63"/>
      <c r="W3180" s="63"/>
    </row>
    <row r="3181" spans="1:23" x14ac:dyDescent="0.25">
      <c r="A3181" s="108">
        <v>46126</v>
      </c>
      <c r="B3181" s="128">
        <v>39</v>
      </c>
      <c r="C3181" s="49" t="s">
        <v>19</v>
      </c>
      <c r="D3181" s="110" t="str">
        <f>IF(ISBLANK($B3181),"",IFERROR(VLOOKUP($B3181,ESTOQUE!$B$2:$D$97168,3,FALSE),"Produto não cadastrado"))</f>
        <v>BOTINA OP. BICO PVC Nº 41</v>
      </c>
      <c r="E3181" s="99" t="str">
        <f>_xlfn.XLOOKUP(B3181,ESTOQUE!B:B,ESTOQUE!G:G,"",0)</f>
        <v>PAR</v>
      </c>
      <c r="F3181" s="99">
        <v>0</v>
      </c>
      <c r="G3181" s="63"/>
      <c r="H3181" s="63"/>
      <c r="I3181" s="63"/>
      <c r="J3181" s="63"/>
      <c r="K3181" s="63"/>
      <c r="L3181" s="63"/>
      <c r="M3181" s="63"/>
      <c r="N3181" s="63"/>
      <c r="O3181" s="63"/>
      <c r="P3181" s="63"/>
      <c r="Q3181" s="63"/>
      <c r="R3181" s="63"/>
      <c r="S3181" s="63"/>
      <c r="T3181" s="63"/>
      <c r="U3181" s="63"/>
      <c r="V3181" s="63"/>
      <c r="W3181" s="63"/>
    </row>
    <row r="3182" spans="1:23" x14ac:dyDescent="0.25">
      <c r="A3182" s="108">
        <v>46126</v>
      </c>
      <c r="B3182" s="128">
        <v>42</v>
      </c>
      <c r="C3182" s="49" t="s">
        <v>19</v>
      </c>
      <c r="D3182" s="110" t="str">
        <f>IF(ISBLANK($B3182),"",IFERROR(VLOOKUP($B3182,ESTOQUE!$B$2:$D$97168,3,FALSE),"Produto não cadastrado"))</f>
        <v>BOTINA OP. BICO PVC Nº 44</v>
      </c>
      <c r="E3182" s="99" t="str">
        <f>_xlfn.XLOOKUP(B3182,ESTOQUE!B:B,ESTOQUE!G:G,"",0)</f>
        <v>PAR</v>
      </c>
      <c r="F3182" s="99">
        <v>1</v>
      </c>
      <c r="G3182" s="63"/>
      <c r="H3182" s="63"/>
      <c r="I3182" s="63"/>
      <c r="J3182" s="63"/>
      <c r="K3182" s="63"/>
      <c r="L3182" s="63"/>
      <c r="M3182" s="63"/>
      <c r="N3182" s="63"/>
      <c r="O3182" s="63"/>
      <c r="P3182" s="63"/>
      <c r="Q3182" s="63"/>
      <c r="R3182" s="63"/>
      <c r="S3182" s="63"/>
      <c r="T3182" s="63"/>
      <c r="U3182" s="63"/>
      <c r="V3182" s="63"/>
      <c r="W3182" s="63"/>
    </row>
    <row r="3183" spans="1:23" x14ac:dyDescent="0.25">
      <c r="A3183" s="108">
        <v>46126</v>
      </c>
      <c r="B3183" s="128">
        <v>46</v>
      </c>
      <c r="C3183" s="49" t="s">
        <v>19</v>
      </c>
      <c r="D3183" s="110" t="str">
        <f>IF(ISBLANK($B3183),"",IFERROR(VLOOKUP($B3183,ESTOQUE!$B$2:$D$97168,3,FALSE),"Produto não cadastrado"))</f>
        <v>CALÇA CINZA OP. C/ FAIXA REFLETIVA TAM: G</v>
      </c>
      <c r="E3183" s="99" t="str">
        <f>_xlfn.XLOOKUP(B3183,ESTOQUE!B:B,ESTOQUE!G:G,"",0)</f>
        <v>UND</v>
      </c>
      <c r="F3183" s="99">
        <v>3</v>
      </c>
      <c r="G3183" s="63"/>
      <c r="H3183" s="63"/>
      <c r="I3183" s="63"/>
      <c r="J3183" s="63"/>
      <c r="K3183" s="63"/>
      <c r="L3183" s="63"/>
      <c r="M3183" s="63"/>
      <c r="N3183" s="63"/>
      <c r="O3183" s="63"/>
      <c r="P3183" s="63"/>
      <c r="Q3183" s="63"/>
      <c r="R3183" s="63"/>
      <c r="S3183" s="63"/>
      <c r="T3183" s="63"/>
      <c r="U3183" s="63"/>
      <c r="V3183" s="63"/>
      <c r="W3183" s="63"/>
    </row>
    <row r="3184" spans="1:23" x14ac:dyDescent="0.25">
      <c r="A3184" s="108">
        <v>46126</v>
      </c>
      <c r="B3184" s="128">
        <v>47</v>
      </c>
      <c r="C3184" s="49" t="s">
        <v>19</v>
      </c>
      <c r="D3184" s="110" t="str">
        <f>IF(ISBLANK($B3184),"",IFERROR(VLOOKUP($B3184,ESTOQUE!$B$2:$D$97168,3,FALSE),"Produto não cadastrado"))</f>
        <v>CALÇA CINZA OP. C/ FAIXA REFLETIVA TAM: GG</v>
      </c>
      <c r="E3184" s="99" t="str">
        <f>_xlfn.XLOOKUP(B3184,ESTOQUE!B:B,ESTOQUE!G:G,"",0)</f>
        <v>UND</v>
      </c>
      <c r="F3184" s="99">
        <v>1</v>
      </c>
      <c r="G3184" s="63"/>
      <c r="H3184" s="63"/>
      <c r="I3184" s="63"/>
      <c r="J3184" s="63"/>
      <c r="K3184" s="63"/>
      <c r="L3184" s="63"/>
      <c r="M3184" s="63"/>
      <c r="N3184" s="63"/>
      <c r="O3184" s="63"/>
      <c r="P3184" s="63"/>
      <c r="Q3184" s="63"/>
      <c r="R3184" s="63"/>
      <c r="S3184" s="63"/>
      <c r="T3184" s="63"/>
      <c r="U3184" s="63"/>
      <c r="V3184" s="63"/>
      <c r="W3184" s="63"/>
    </row>
    <row r="3185" spans="1:23" x14ac:dyDescent="0.25">
      <c r="A3185" s="108">
        <v>46126</v>
      </c>
      <c r="B3185" s="128">
        <v>48</v>
      </c>
      <c r="C3185" s="49" t="s">
        <v>19</v>
      </c>
      <c r="D3185" s="110" t="str">
        <f>IF(ISBLANK($B3185),"",IFERROR(VLOOKUP($B3185,ESTOQUE!$B$2:$D$97168,3,FALSE),"Produto não cadastrado"))</f>
        <v>CALÇA CINZA OP. C/ FAIXA REFLETIVA TAM: M</v>
      </c>
      <c r="E3185" s="99" t="str">
        <f>_xlfn.XLOOKUP(B3185,ESTOQUE!B:B,ESTOQUE!G:G,"",0)</f>
        <v>UND</v>
      </c>
      <c r="F3185" s="99">
        <v>5</v>
      </c>
      <c r="G3185" s="63"/>
      <c r="H3185" s="63"/>
      <c r="I3185" s="63"/>
      <c r="J3185" s="63"/>
      <c r="K3185" s="63"/>
      <c r="L3185" s="63"/>
      <c r="M3185" s="63"/>
      <c r="N3185" s="63"/>
      <c r="O3185" s="63"/>
      <c r="P3185" s="63"/>
      <c r="Q3185" s="63"/>
      <c r="R3185" s="63"/>
      <c r="S3185" s="63"/>
      <c r="T3185" s="63"/>
      <c r="U3185" s="63"/>
      <c r="V3185" s="63"/>
      <c r="W3185" s="63"/>
    </row>
    <row r="3186" spans="1:23" x14ac:dyDescent="0.25">
      <c r="A3186" s="108">
        <v>46126</v>
      </c>
      <c r="B3186" s="128">
        <v>49</v>
      </c>
      <c r="C3186" s="49" t="s">
        <v>19</v>
      </c>
      <c r="D3186" s="110" t="str">
        <f>IF(ISBLANK($B3186),"",IFERROR(VLOOKUP($B3186,ESTOQUE!$B$2:$D$97168,3,FALSE),"Produto não cadastrado"))</f>
        <v>CALÇA CINZA OP. C/ FAIXA REFLETIVA TAM: P</v>
      </c>
      <c r="E3186" s="99" t="str">
        <f>_xlfn.XLOOKUP(B3186,ESTOQUE!B:B,ESTOQUE!G:G,"",0)</f>
        <v>UND</v>
      </c>
      <c r="F3186" s="99">
        <v>5</v>
      </c>
      <c r="G3186" s="63"/>
      <c r="H3186" s="63"/>
      <c r="I3186" s="63"/>
      <c r="J3186" s="63"/>
      <c r="K3186" s="63"/>
      <c r="L3186" s="63"/>
      <c r="M3186" s="63"/>
      <c r="N3186" s="63"/>
      <c r="O3186" s="63"/>
      <c r="P3186" s="63"/>
      <c r="Q3186" s="63"/>
      <c r="R3186" s="63"/>
      <c r="S3186" s="63"/>
      <c r="T3186" s="63"/>
      <c r="U3186" s="63"/>
      <c r="V3186" s="63"/>
      <c r="W3186" s="63"/>
    </row>
    <row r="3187" spans="1:23" x14ac:dyDescent="0.25">
      <c r="A3187" s="108">
        <v>46126</v>
      </c>
      <c r="B3187" s="128">
        <v>50</v>
      </c>
      <c r="C3187" s="49" t="s">
        <v>19</v>
      </c>
      <c r="D3187" s="110" t="str">
        <f>IF(ISBLANK($B3187),"",IFERROR(VLOOKUP($B3187,ESTOQUE!$B$2:$D$97168,3,FALSE),"Produto não cadastrado"))</f>
        <v>CALÇA CINZA OP. C/ FAIXA REFLETIVA TAM: XG</v>
      </c>
      <c r="E3187" s="99" t="str">
        <f>_xlfn.XLOOKUP(B3187,ESTOQUE!B:B,ESTOQUE!G:G,"",0)</f>
        <v>UND</v>
      </c>
      <c r="F3187" s="99">
        <v>1</v>
      </c>
      <c r="G3187" s="63"/>
      <c r="H3187" s="63"/>
      <c r="I3187" s="63"/>
      <c r="J3187" s="63"/>
      <c r="K3187" s="63"/>
      <c r="L3187" s="63"/>
      <c r="M3187" s="63"/>
      <c r="N3187" s="63"/>
      <c r="O3187" s="63"/>
      <c r="P3187" s="63"/>
      <c r="Q3187" s="63"/>
      <c r="R3187" s="63"/>
      <c r="S3187" s="63"/>
      <c r="T3187" s="63"/>
      <c r="U3187" s="63"/>
      <c r="V3187" s="63"/>
      <c r="W3187" s="63"/>
    </row>
    <row r="3188" spans="1:23" x14ac:dyDescent="0.25">
      <c r="A3188" s="108">
        <v>46126</v>
      </c>
      <c r="B3188" s="128">
        <v>67</v>
      </c>
      <c r="C3188" s="49" t="s">
        <v>19</v>
      </c>
      <c r="D3188" s="110" t="str">
        <f>IF(ISBLANK($B3188),"",IFERROR(VLOOKUP($B3188,ESTOQUE!$B$2:$D$97168,3,FALSE),"Produto não cadastrado"))</f>
        <v>CAMISA LARANJA OP. C/ FAIXA REFLETIVA TAM: G</v>
      </c>
      <c r="E3188" s="99" t="str">
        <f>_xlfn.XLOOKUP(B3188,ESTOQUE!B:B,ESTOQUE!G:G,"",0)</f>
        <v>UND</v>
      </c>
      <c r="F3188" s="99">
        <v>4</v>
      </c>
      <c r="G3188" s="63"/>
      <c r="H3188" s="63"/>
      <c r="I3188" s="63"/>
      <c r="J3188" s="63"/>
      <c r="K3188" s="63"/>
      <c r="L3188" s="63"/>
      <c r="M3188" s="63"/>
      <c r="N3188" s="63"/>
      <c r="O3188" s="63"/>
      <c r="P3188" s="63"/>
      <c r="Q3188" s="63"/>
      <c r="R3188" s="63"/>
      <c r="S3188" s="63"/>
      <c r="T3188" s="63"/>
      <c r="U3188" s="63"/>
      <c r="V3188" s="63"/>
      <c r="W3188" s="63"/>
    </row>
    <row r="3189" spans="1:23" x14ac:dyDescent="0.25">
      <c r="A3189" s="108">
        <v>46126</v>
      </c>
      <c r="B3189" s="128">
        <v>68</v>
      </c>
      <c r="C3189" s="49" t="s">
        <v>19</v>
      </c>
      <c r="D3189" s="110" t="str">
        <f>IF(ISBLANK($B3189),"",IFERROR(VLOOKUP($B3189,ESTOQUE!$B$2:$D$97168,3,FALSE),"Produto não cadastrado"))</f>
        <v>CAMISA LARANJA OP. C/ FAIXA REFLETIVA TAM: GG</v>
      </c>
      <c r="E3189" s="99" t="str">
        <f>_xlfn.XLOOKUP(B3189,ESTOQUE!B:B,ESTOQUE!G:G,"",0)</f>
        <v>UND</v>
      </c>
      <c r="F3189" s="99">
        <v>2</v>
      </c>
      <c r="G3189" s="63"/>
      <c r="H3189" s="63"/>
      <c r="I3189" s="63"/>
      <c r="J3189" s="63"/>
      <c r="K3189" s="63"/>
      <c r="L3189" s="63"/>
      <c r="M3189" s="63"/>
      <c r="N3189" s="63"/>
      <c r="O3189" s="63"/>
      <c r="P3189" s="63"/>
      <c r="Q3189" s="63"/>
      <c r="R3189" s="63"/>
      <c r="S3189" s="63"/>
      <c r="T3189" s="63"/>
      <c r="U3189" s="63"/>
      <c r="V3189" s="63"/>
      <c r="W3189" s="63"/>
    </row>
    <row r="3190" spans="1:23" x14ac:dyDescent="0.25">
      <c r="A3190" s="108">
        <v>46126</v>
      </c>
      <c r="B3190" s="128">
        <v>69</v>
      </c>
      <c r="C3190" s="49" t="s">
        <v>19</v>
      </c>
      <c r="D3190" s="110" t="str">
        <f>IF(ISBLANK($B3190),"",IFERROR(VLOOKUP($B3190,ESTOQUE!$B$2:$D$97168,3,FALSE),"Produto não cadastrado"))</f>
        <v>CAMISA LARANJA OP. C/ FAIXA REFLETIVA TAM: M</v>
      </c>
      <c r="E3190" s="99" t="str">
        <f>_xlfn.XLOOKUP(B3190,ESTOQUE!B:B,ESTOQUE!G:G,"",0)</f>
        <v>UND</v>
      </c>
      <c r="F3190" s="99">
        <v>7</v>
      </c>
      <c r="G3190" s="63"/>
      <c r="H3190" s="63"/>
      <c r="I3190" s="63"/>
      <c r="J3190" s="63"/>
      <c r="K3190" s="63"/>
      <c r="L3190" s="63"/>
      <c r="M3190" s="63"/>
      <c r="N3190" s="63"/>
      <c r="O3190" s="63"/>
      <c r="P3190" s="63"/>
      <c r="Q3190" s="63"/>
      <c r="R3190" s="63"/>
      <c r="S3190" s="63"/>
      <c r="T3190" s="63"/>
      <c r="U3190" s="63"/>
      <c r="V3190" s="63"/>
      <c r="W3190" s="63"/>
    </row>
    <row r="3191" spans="1:23" x14ac:dyDescent="0.25">
      <c r="A3191" s="108">
        <v>46126</v>
      </c>
      <c r="B3191" s="128">
        <v>70</v>
      </c>
      <c r="C3191" s="49" t="s">
        <v>19</v>
      </c>
      <c r="D3191" s="110" t="str">
        <f>IF(ISBLANK($B3191),"",IFERROR(VLOOKUP($B3191,ESTOQUE!$B$2:$D$97168,3,FALSE),"Produto não cadastrado"))</f>
        <v>CAMISA LARANJA OP. C/ FAIXA REFLETIVA TAM: P</v>
      </c>
      <c r="E3191" s="99" t="str">
        <f>_xlfn.XLOOKUP(B3191,ESTOQUE!B:B,ESTOQUE!G:G,"",0)</f>
        <v>UND</v>
      </c>
      <c r="F3191" s="99">
        <v>6</v>
      </c>
      <c r="G3191" s="63"/>
      <c r="H3191" s="63"/>
      <c r="I3191" s="63"/>
      <c r="J3191" s="63"/>
      <c r="K3191" s="63"/>
      <c r="L3191" s="63"/>
      <c r="M3191" s="63"/>
      <c r="N3191" s="63"/>
      <c r="O3191" s="63"/>
      <c r="P3191" s="63"/>
      <c r="Q3191" s="63"/>
      <c r="R3191" s="63"/>
      <c r="S3191" s="63"/>
      <c r="T3191" s="63"/>
      <c r="U3191" s="63"/>
      <c r="V3191" s="63"/>
      <c r="W3191" s="63"/>
    </row>
    <row r="3192" spans="1:23" x14ac:dyDescent="0.25">
      <c r="A3192" s="108">
        <v>46126</v>
      </c>
      <c r="B3192" s="128">
        <v>186</v>
      </c>
      <c r="C3192" s="49" t="s">
        <v>19</v>
      </c>
      <c r="D3192" s="110" t="str">
        <f>IF(ISBLANK($B3192),"",IFERROR(VLOOKUP($B3192,ESTOQUE!$B$2:$D$97168,3,FALSE),"Produto não cadastrado"))</f>
        <v>COLETE REFLETIVO LARANJA GG</v>
      </c>
      <c r="E3192" s="99" t="str">
        <f>_xlfn.XLOOKUP(B3192,ESTOQUE!B:B,ESTOQUE!G:G,"",0)</f>
        <v>UND</v>
      </c>
      <c r="F3192" s="99">
        <v>1</v>
      </c>
      <c r="G3192" s="63"/>
      <c r="H3192" s="63"/>
      <c r="I3192" s="63"/>
      <c r="J3192" s="63"/>
      <c r="K3192" s="63"/>
      <c r="L3192" s="63"/>
      <c r="M3192" s="63"/>
      <c r="N3192" s="63"/>
      <c r="O3192" s="63"/>
      <c r="P3192" s="63"/>
      <c r="Q3192" s="63"/>
      <c r="R3192" s="63"/>
      <c r="S3192" s="63"/>
      <c r="T3192" s="63"/>
      <c r="U3192" s="63"/>
      <c r="V3192" s="63"/>
      <c r="W3192" s="63"/>
    </row>
    <row r="3193" spans="1:23" x14ac:dyDescent="0.25">
      <c r="A3193" s="108">
        <v>46126</v>
      </c>
      <c r="B3193" s="128">
        <v>117</v>
      </c>
      <c r="C3193" s="49" t="s">
        <v>19</v>
      </c>
      <c r="D3193" s="110" t="str">
        <f>IF(ISBLANK($B3193),"",IFERROR(VLOOKUP($B3193,ESTOQUE!$B$2:$D$97168,3,FALSE),"Produto não cadastrado"))</f>
        <v>LUVA PIGMENTADA</v>
      </c>
      <c r="E3193" s="99" t="str">
        <f>_xlfn.XLOOKUP(B3193,ESTOQUE!B:B,ESTOQUE!G:G,"",0)</f>
        <v>PAR</v>
      </c>
      <c r="F3193" s="99">
        <v>25</v>
      </c>
      <c r="G3193" s="63"/>
      <c r="H3193" s="63"/>
      <c r="I3193" s="63"/>
      <c r="J3193" s="63"/>
      <c r="K3193" s="63"/>
      <c r="L3193" s="63"/>
      <c r="M3193" s="63"/>
      <c r="N3193" s="63"/>
      <c r="O3193" s="63"/>
      <c r="P3193" s="63"/>
      <c r="Q3193" s="63"/>
      <c r="R3193" s="63"/>
      <c r="S3193" s="63"/>
      <c r="T3193" s="63"/>
      <c r="U3193" s="63"/>
      <c r="V3193" s="63"/>
      <c r="W3193" s="63"/>
    </row>
    <row r="3194" spans="1:23" x14ac:dyDescent="0.25">
      <c r="A3194" s="108">
        <v>46126</v>
      </c>
      <c r="B3194" s="128">
        <v>126</v>
      </c>
      <c r="C3194" s="49" t="s">
        <v>19</v>
      </c>
      <c r="D3194" s="110" t="str">
        <f>IF(ISBLANK($B3194),"",IFERROR(VLOOKUP($B3194,ESTOQUE!$B$2:$D$97168,3,FALSE),"Produto não cadastrado"))</f>
        <v>OCULOS DE PROTEÇÃO ESCURO</v>
      </c>
      <c r="E3194" s="99" t="str">
        <f>_xlfn.XLOOKUP(B3194,ESTOQUE!B:B,ESTOQUE!G:G,"",0)</f>
        <v>UND</v>
      </c>
      <c r="F3194" s="99">
        <v>4</v>
      </c>
      <c r="G3194" s="63"/>
      <c r="H3194" s="63"/>
      <c r="I3194" s="63"/>
      <c r="J3194" s="63"/>
      <c r="K3194" s="63"/>
      <c r="L3194" s="63"/>
      <c r="M3194" s="63"/>
      <c r="N3194" s="63"/>
      <c r="O3194" s="63"/>
      <c r="P3194" s="63"/>
      <c r="Q3194" s="63"/>
      <c r="R3194" s="63"/>
      <c r="S3194" s="63"/>
      <c r="T3194" s="63"/>
      <c r="U3194" s="63"/>
      <c r="V3194" s="63"/>
      <c r="W3194" s="63"/>
    </row>
    <row r="3195" spans="1:23" x14ac:dyDescent="0.25">
      <c r="A3195" s="108">
        <v>46127</v>
      </c>
      <c r="B3195" s="128">
        <v>37</v>
      </c>
      <c r="C3195" s="49" t="s">
        <v>19</v>
      </c>
      <c r="D3195" s="110" t="str">
        <f>IF(ISBLANK($B3195),"",IFERROR(VLOOKUP($B3195,ESTOQUE!$B$2:$D$97168,3,FALSE),"Produto não cadastrado"))</f>
        <v>BOTINA OP. BICO PVC Nº 39</v>
      </c>
      <c r="E3195" s="99" t="str">
        <f>_xlfn.XLOOKUP(B3195,ESTOQUE!B:B,ESTOQUE!G:G,"",0)</f>
        <v>PAR</v>
      </c>
      <c r="F3195" s="99">
        <v>1</v>
      </c>
      <c r="G3195" s="63"/>
      <c r="H3195" s="63"/>
      <c r="I3195" s="63"/>
      <c r="J3195" s="63"/>
      <c r="K3195" s="63"/>
      <c r="L3195" s="63"/>
      <c r="M3195" s="63"/>
      <c r="N3195" s="63"/>
      <c r="O3195" s="63"/>
      <c r="P3195" s="63"/>
      <c r="Q3195" s="63"/>
      <c r="R3195" s="63"/>
      <c r="S3195" s="63"/>
      <c r="T3195" s="63"/>
      <c r="U3195" s="63"/>
      <c r="V3195" s="63"/>
      <c r="W3195" s="63"/>
    </row>
    <row r="3196" spans="1:23" x14ac:dyDescent="0.25">
      <c r="A3196" s="108">
        <v>46127</v>
      </c>
      <c r="B3196" s="128">
        <v>38</v>
      </c>
      <c r="C3196" s="49" t="s">
        <v>19</v>
      </c>
      <c r="D3196" s="110" t="str">
        <f>IF(ISBLANK($B3196),"",IFERROR(VLOOKUP($B3196,ESTOQUE!$B$2:$D$97168,3,FALSE),"Produto não cadastrado"))</f>
        <v>BOTINA OP. BICO PVC Nº 40</v>
      </c>
      <c r="E3196" s="99" t="str">
        <f>_xlfn.XLOOKUP(B3196,ESTOQUE!B:B,ESTOQUE!G:G,"",0)</f>
        <v>PAR</v>
      </c>
      <c r="F3196" s="99">
        <v>1</v>
      </c>
      <c r="G3196" s="63"/>
      <c r="H3196" s="63"/>
      <c r="I3196" s="63"/>
      <c r="J3196" s="63"/>
      <c r="K3196" s="63"/>
      <c r="L3196" s="63"/>
      <c r="M3196" s="63"/>
      <c r="N3196" s="63"/>
      <c r="O3196" s="63"/>
      <c r="P3196" s="63"/>
      <c r="Q3196" s="63"/>
      <c r="R3196" s="63"/>
      <c r="S3196" s="63"/>
      <c r="T3196" s="63"/>
      <c r="U3196" s="63"/>
      <c r="V3196" s="63"/>
      <c r="W3196" s="63"/>
    </row>
    <row r="3197" spans="1:23" x14ac:dyDescent="0.25">
      <c r="A3197" s="108">
        <v>46127</v>
      </c>
      <c r="B3197" s="128">
        <v>40</v>
      </c>
      <c r="C3197" s="49" t="s">
        <v>19</v>
      </c>
      <c r="D3197" s="110" t="str">
        <f>IF(ISBLANK($B3197),"",IFERROR(VLOOKUP($B3197,ESTOQUE!$B$2:$D$97168,3,FALSE),"Produto não cadastrado"))</f>
        <v>BOTINA OP. BICO PVC Nº 42</v>
      </c>
      <c r="E3197" s="99" t="str">
        <f>_xlfn.XLOOKUP(B3197,ESTOQUE!B:B,ESTOQUE!G:G,"",0)</f>
        <v>PAR</v>
      </c>
      <c r="F3197" s="99">
        <v>0</v>
      </c>
      <c r="G3197" s="63"/>
      <c r="H3197" s="63"/>
      <c r="I3197" s="63"/>
      <c r="J3197" s="63"/>
      <c r="K3197" s="63"/>
      <c r="L3197" s="63"/>
      <c r="M3197" s="63"/>
      <c r="N3197" s="63"/>
      <c r="O3197" s="63"/>
      <c r="P3197" s="63"/>
      <c r="Q3197" s="63"/>
      <c r="R3197" s="63"/>
      <c r="S3197" s="63"/>
      <c r="T3197" s="63"/>
      <c r="U3197" s="63"/>
      <c r="V3197" s="63"/>
      <c r="W3197" s="63"/>
    </row>
    <row r="3198" spans="1:23" x14ac:dyDescent="0.25">
      <c r="A3198" s="108">
        <v>46127</v>
      </c>
      <c r="B3198" s="128">
        <v>41</v>
      </c>
      <c r="C3198" s="49" t="s">
        <v>19</v>
      </c>
      <c r="D3198" s="110" t="str">
        <f>IF(ISBLANK($B3198),"",IFERROR(VLOOKUP($B3198,ESTOQUE!$B$2:$D$97168,3,FALSE),"Produto não cadastrado"))</f>
        <v>BOTINA OP. BICO PVC Nº 43</v>
      </c>
      <c r="E3198" s="99" t="str">
        <f>_xlfn.XLOOKUP(B3198,ESTOQUE!B:B,ESTOQUE!G:G,"",0)</f>
        <v>PAR</v>
      </c>
      <c r="F3198" s="99">
        <v>1</v>
      </c>
      <c r="G3198" s="63"/>
      <c r="H3198" s="63"/>
      <c r="I3198" s="63"/>
      <c r="J3198" s="63"/>
      <c r="K3198" s="63"/>
      <c r="L3198" s="63"/>
      <c r="M3198" s="63"/>
      <c r="N3198" s="63"/>
      <c r="O3198" s="63"/>
      <c r="P3198" s="63"/>
      <c r="Q3198" s="63"/>
      <c r="R3198" s="63"/>
      <c r="S3198" s="63"/>
      <c r="T3198" s="63"/>
      <c r="U3198" s="63"/>
      <c r="V3198" s="63"/>
      <c r="W3198" s="63"/>
    </row>
    <row r="3199" spans="1:23" x14ac:dyDescent="0.25">
      <c r="A3199" s="108">
        <v>46127</v>
      </c>
      <c r="B3199" s="128">
        <v>216</v>
      </c>
      <c r="C3199" s="49" t="s">
        <v>19</v>
      </c>
      <c r="D3199" s="110" t="str">
        <f>IF(ISBLANK($B3199),"",IFERROR(VLOOKUP($B3199,ESTOQUE!$B$2:$D$97168,3,FALSE),"Produto não cadastrado"))</f>
        <v>BOTINA SEGURANÇA METATARSO  39</v>
      </c>
      <c r="E3199" s="99" t="str">
        <f>_xlfn.XLOOKUP(B3199,ESTOQUE!B:B,ESTOQUE!G:G,"",0)</f>
        <v>PAR</v>
      </c>
      <c r="F3199" s="99">
        <v>1</v>
      </c>
      <c r="G3199" s="63"/>
      <c r="H3199" s="63"/>
      <c r="I3199" s="63"/>
      <c r="J3199" s="63"/>
      <c r="K3199" s="63"/>
      <c r="L3199" s="63"/>
      <c r="M3199" s="63"/>
      <c r="N3199" s="63"/>
      <c r="O3199" s="63"/>
      <c r="P3199" s="63"/>
      <c r="Q3199" s="63"/>
      <c r="R3199" s="63"/>
      <c r="S3199" s="63"/>
      <c r="T3199" s="63"/>
      <c r="U3199" s="63"/>
      <c r="V3199" s="63"/>
      <c r="W3199" s="63"/>
    </row>
    <row r="3200" spans="1:23" x14ac:dyDescent="0.25">
      <c r="A3200" s="108">
        <v>46127</v>
      </c>
      <c r="B3200" s="128">
        <v>46</v>
      </c>
      <c r="C3200" s="49" t="s">
        <v>19</v>
      </c>
      <c r="D3200" s="110" t="str">
        <f>IF(ISBLANK($B3200),"",IFERROR(VLOOKUP($B3200,ESTOQUE!$B$2:$D$97168,3,FALSE),"Produto não cadastrado"))</f>
        <v>CALÇA CINZA OP. C/ FAIXA REFLETIVA TAM: G</v>
      </c>
      <c r="E3200" s="99" t="str">
        <f>_xlfn.XLOOKUP(B3200,ESTOQUE!B:B,ESTOQUE!G:G,"",0)</f>
        <v>UND</v>
      </c>
      <c r="F3200" s="99">
        <v>3</v>
      </c>
      <c r="G3200" s="63"/>
      <c r="H3200" s="63"/>
      <c r="I3200" s="63"/>
      <c r="J3200" s="63"/>
      <c r="K3200" s="63"/>
      <c r="L3200" s="63"/>
      <c r="M3200" s="63"/>
      <c r="N3200" s="63"/>
      <c r="O3200" s="63"/>
      <c r="P3200" s="63"/>
      <c r="Q3200" s="63"/>
      <c r="R3200" s="63"/>
      <c r="S3200" s="63"/>
      <c r="T3200" s="63"/>
      <c r="U3200" s="63"/>
      <c r="V3200" s="63"/>
      <c r="W3200" s="63"/>
    </row>
    <row r="3201" spans="1:23" x14ac:dyDescent="0.25">
      <c r="A3201" s="108">
        <v>46127</v>
      </c>
      <c r="B3201" s="128">
        <v>47</v>
      </c>
      <c r="C3201" s="49" t="s">
        <v>19</v>
      </c>
      <c r="D3201" s="110" t="str">
        <f>IF(ISBLANK($B3201),"",IFERROR(VLOOKUP($B3201,ESTOQUE!$B$2:$D$97168,3,FALSE),"Produto não cadastrado"))</f>
        <v>CALÇA CINZA OP. C/ FAIXA REFLETIVA TAM: GG</v>
      </c>
      <c r="E3201" s="99" t="str">
        <f>_xlfn.XLOOKUP(B3201,ESTOQUE!B:B,ESTOQUE!G:G,"",0)</f>
        <v>UND</v>
      </c>
      <c r="F3201" s="99">
        <v>3</v>
      </c>
      <c r="G3201" s="63"/>
      <c r="H3201" s="63"/>
      <c r="I3201" s="63"/>
      <c r="J3201" s="63"/>
      <c r="K3201" s="63"/>
      <c r="L3201" s="63"/>
      <c r="M3201" s="63"/>
      <c r="N3201" s="63"/>
      <c r="O3201" s="63"/>
      <c r="P3201" s="63"/>
      <c r="Q3201" s="63"/>
      <c r="R3201" s="63"/>
      <c r="S3201" s="63"/>
      <c r="T3201" s="63"/>
      <c r="U3201" s="63"/>
      <c r="V3201" s="63"/>
      <c r="W3201" s="63"/>
    </row>
    <row r="3202" spans="1:23" x14ac:dyDescent="0.25">
      <c r="A3202" s="108">
        <v>46127</v>
      </c>
      <c r="B3202" s="128">
        <v>48</v>
      </c>
      <c r="C3202" s="49" t="s">
        <v>19</v>
      </c>
      <c r="D3202" s="110" t="str">
        <f>IF(ISBLANK($B3202),"",IFERROR(VLOOKUP($B3202,ESTOQUE!$B$2:$D$97168,3,FALSE),"Produto não cadastrado"))</f>
        <v>CALÇA CINZA OP. C/ FAIXA REFLETIVA TAM: M</v>
      </c>
      <c r="E3202" s="99" t="str">
        <f>_xlfn.XLOOKUP(B3202,ESTOQUE!B:B,ESTOQUE!G:G,"",0)</f>
        <v>UND</v>
      </c>
      <c r="F3202" s="99">
        <v>5</v>
      </c>
      <c r="G3202" s="63"/>
      <c r="H3202" s="63"/>
      <c r="I3202" s="63"/>
      <c r="J3202" s="63"/>
      <c r="K3202" s="63"/>
      <c r="L3202" s="63"/>
      <c r="M3202" s="63"/>
      <c r="N3202" s="63"/>
      <c r="O3202" s="63"/>
      <c r="P3202" s="63"/>
      <c r="Q3202" s="63"/>
      <c r="R3202" s="63"/>
      <c r="S3202" s="63"/>
      <c r="T3202" s="63"/>
      <c r="U3202" s="63"/>
      <c r="V3202" s="63"/>
      <c r="W3202" s="63"/>
    </row>
    <row r="3203" spans="1:23" x14ac:dyDescent="0.25">
      <c r="A3203" s="108">
        <v>46127</v>
      </c>
      <c r="B3203" s="128">
        <v>49</v>
      </c>
      <c r="C3203" s="49" t="s">
        <v>19</v>
      </c>
      <c r="D3203" s="110" t="str">
        <f>IF(ISBLANK($B3203),"",IFERROR(VLOOKUP($B3203,ESTOQUE!$B$2:$D$97168,3,FALSE),"Produto não cadastrado"))</f>
        <v>CALÇA CINZA OP. C/ FAIXA REFLETIVA TAM: P</v>
      </c>
      <c r="E3203" s="99" t="str">
        <f>_xlfn.XLOOKUP(B3203,ESTOQUE!B:B,ESTOQUE!G:G,"",0)</f>
        <v>UND</v>
      </c>
      <c r="F3203" s="99">
        <v>5</v>
      </c>
      <c r="G3203" s="63"/>
      <c r="H3203" s="63"/>
      <c r="I3203" s="63"/>
      <c r="J3203" s="63"/>
      <c r="K3203" s="63"/>
      <c r="L3203" s="63"/>
      <c r="M3203" s="63"/>
      <c r="N3203" s="63"/>
      <c r="O3203" s="63"/>
      <c r="P3203" s="63"/>
      <c r="Q3203" s="63"/>
      <c r="R3203" s="63"/>
      <c r="S3203" s="63"/>
      <c r="T3203" s="63"/>
      <c r="U3203" s="63"/>
      <c r="V3203" s="63"/>
      <c r="W3203" s="63"/>
    </row>
    <row r="3204" spans="1:23" x14ac:dyDescent="0.25">
      <c r="A3204" s="108">
        <v>46127</v>
      </c>
      <c r="B3204" s="128">
        <v>67</v>
      </c>
      <c r="C3204" s="49" t="s">
        <v>19</v>
      </c>
      <c r="D3204" s="110" t="str">
        <f>IF(ISBLANK($B3204),"",IFERROR(VLOOKUP($B3204,ESTOQUE!$B$2:$D$97168,3,FALSE),"Produto não cadastrado"))</f>
        <v>CAMISA LARANJA OP. C/ FAIXA REFLETIVA TAM: G</v>
      </c>
      <c r="E3204" s="99" t="str">
        <f>_xlfn.XLOOKUP(B3204,ESTOQUE!B:B,ESTOQUE!G:G,"",0)</f>
        <v>UND</v>
      </c>
      <c r="F3204" s="99">
        <v>2</v>
      </c>
      <c r="G3204" s="63"/>
      <c r="H3204" s="63"/>
      <c r="I3204" s="63"/>
      <c r="J3204" s="63"/>
      <c r="K3204" s="63"/>
      <c r="L3204" s="63"/>
      <c r="M3204" s="63"/>
      <c r="N3204" s="63"/>
      <c r="O3204" s="63"/>
      <c r="P3204" s="63"/>
      <c r="Q3204" s="63"/>
      <c r="R3204" s="63"/>
      <c r="S3204" s="63"/>
      <c r="T3204" s="63"/>
      <c r="U3204" s="63"/>
      <c r="V3204" s="63"/>
      <c r="W3204" s="63"/>
    </row>
    <row r="3205" spans="1:23" x14ac:dyDescent="0.25">
      <c r="A3205" s="108">
        <v>46127</v>
      </c>
      <c r="B3205" s="128">
        <v>68</v>
      </c>
      <c r="C3205" s="49" t="s">
        <v>19</v>
      </c>
      <c r="D3205" s="110" t="str">
        <f>IF(ISBLANK($B3205),"",IFERROR(VLOOKUP($B3205,ESTOQUE!$B$2:$D$97168,3,FALSE),"Produto não cadastrado"))</f>
        <v>CAMISA LARANJA OP. C/ FAIXA REFLETIVA TAM: GG</v>
      </c>
      <c r="E3205" s="99" t="str">
        <f>_xlfn.XLOOKUP(B3205,ESTOQUE!B:B,ESTOQUE!G:G,"",0)</f>
        <v>UND</v>
      </c>
      <c r="F3205" s="99">
        <v>1</v>
      </c>
      <c r="G3205" s="63"/>
      <c r="H3205" s="63"/>
      <c r="I3205" s="63"/>
      <c r="J3205" s="63"/>
      <c r="K3205" s="63"/>
      <c r="L3205" s="63"/>
      <c r="M3205" s="63"/>
      <c r="N3205" s="63"/>
      <c r="O3205" s="63"/>
      <c r="P3205" s="63"/>
      <c r="Q3205" s="63"/>
      <c r="R3205" s="63"/>
      <c r="S3205" s="63"/>
      <c r="T3205" s="63"/>
      <c r="U3205" s="63"/>
      <c r="V3205" s="63"/>
      <c r="W3205" s="63"/>
    </row>
    <row r="3206" spans="1:23" x14ac:dyDescent="0.25">
      <c r="A3206" s="108">
        <v>46127</v>
      </c>
      <c r="B3206" s="128">
        <v>69</v>
      </c>
      <c r="C3206" s="49" t="s">
        <v>19</v>
      </c>
      <c r="D3206" s="110" t="str">
        <f>IF(ISBLANK($B3206),"",IFERROR(VLOOKUP($B3206,ESTOQUE!$B$2:$D$97168,3,FALSE),"Produto não cadastrado"))</f>
        <v>CAMISA LARANJA OP. C/ FAIXA REFLETIVA TAM: M</v>
      </c>
      <c r="E3206" s="99" t="str">
        <f>_xlfn.XLOOKUP(B3206,ESTOQUE!B:B,ESTOQUE!G:G,"",0)</f>
        <v>UND</v>
      </c>
      <c r="F3206" s="99">
        <v>7</v>
      </c>
      <c r="G3206" s="63"/>
      <c r="H3206" s="63"/>
      <c r="I3206" s="63"/>
      <c r="J3206" s="63"/>
      <c r="K3206" s="63"/>
      <c r="L3206" s="63"/>
      <c r="M3206" s="63"/>
      <c r="N3206" s="63"/>
      <c r="O3206" s="63"/>
      <c r="P3206" s="63"/>
      <c r="Q3206" s="63"/>
      <c r="R3206" s="63"/>
      <c r="S3206" s="63"/>
      <c r="T3206" s="63"/>
      <c r="U3206" s="63"/>
      <c r="V3206" s="63"/>
      <c r="W3206" s="63"/>
    </row>
    <row r="3207" spans="1:23" x14ac:dyDescent="0.25">
      <c r="A3207" s="108">
        <v>46127</v>
      </c>
      <c r="B3207" s="128">
        <v>70</v>
      </c>
      <c r="C3207" s="49" t="s">
        <v>19</v>
      </c>
      <c r="D3207" s="110" t="str">
        <f>IF(ISBLANK($B3207),"",IFERROR(VLOOKUP($B3207,ESTOQUE!$B$2:$D$97168,3,FALSE),"Produto não cadastrado"))</f>
        <v>CAMISA LARANJA OP. C/ FAIXA REFLETIVA TAM: P</v>
      </c>
      <c r="E3207" s="99" t="str">
        <f>_xlfn.XLOOKUP(B3207,ESTOQUE!B:B,ESTOQUE!G:G,"",0)</f>
        <v>UND</v>
      </c>
      <c r="F3207" s="99">
        <v>4</v>
      </c>
      <c r="G3207" s="63"/>
      <c r="H3207" s="63"/>
      <c r="I3207" s="63"/>
      <c r="J3207" s="63"/>
      <c r="K3207" s="63"/>
      <c r="L3207" s="63"/>
      <c r="M3207" s="63"/>
      <c r="N3207" s="63"/>
      <c r="O3207" s="63"/>
      <c r="P3207" s="63"/>
      <c r="Q3207" s="63"/>
      <c r="R3207" s="63"/>
      <c r="S3207" s="63"/>
      <c r="T3207" s="63"/>
      <c r="U3207" s="63"/>
      <c r="V3207" s="63"/>
      <c r="W3207" s="63"/>
    </row>
    <row r="3208" spans="1:23" x14ac:dyDescent="0.25">
      <c r="A3208" s="108">
        <v>46127</v>
      </c>
      <c r="B3208" s="128">
        <v>186</v>
      </c>
      <c r="C3208" s="49" t="s">
        <v>19</v>
      </c>
      <c r="D3208" s="110" t="str">
        <f>IF(ISBLANK($B3208),"",IFERROR(VLOOKUP($B3208,ESTOQUE!$B$2:$D$97168,3,FALSE),"Produto não cadastrado"))</f>
        <v>COLETE REFLETIVO LARANJA GG</v>
      </c>
      <c r="E3208" s="99" t="str">
        <f>_xlfn.XLOOKUP(B3208,ESTOQUE!B:B,ESTOQUE!G:G,"",0)</f>
        <v>UND</v>
      </c>
      <c r="F3208" s="99">
        <v>1</v>
      </c>
      <c r="G3208" s="63"/>
      <c r="H3208" s="63"/>
      <c r="I3208" s="63"/>
      <c r="J3208" s="63"/>
      <c r="K3208" s="63"/>
      <c r="L3208" s="63"/>
      <c r="M3208" s="63"/>
      <c r="N3208" s="63"/>
      <c r="O3208" s="63"/>
      <c r="P3208" s="63"/>
      <c r="Q3208" s="63"/>
      <c r="R3208" s="63"/>
      <c r="S3208" s="63"/>
      <c r="T3208" s="63"/>
      <c r="U3208" s="63"/>
      <c r="V3208" s="63"/>
      <c r="W3208" s="63"/>
    </row>
    <row r="3209" spans="1:23" x14ac:dyDescent="0.25">
      <c r="A3209" s="108">
        <v>46127</v>
      </c>
      <c r="B3209" s="128">
        <v>126</v>
      </c>
      <c r="C3209" s="49" t="s">
        <v>19</v>
      </c>
      <c r="D3209" s="110" t="str">
        <f>IF(ISBLANK($B3209),"",IFERROR(VLOOKUP($B3209,ESTOQUE!$B$2:$D$97168,3,FALSE),"Produto não cadastrado"))</f>
        <v>OCULOS DE PROTEÇÃO ESCURO</v>
      </c>
      <c r="E3209" s="99" t="str">
        <f>_xlfn.XLOOKUP(B3209,ESTOQUE!B:B,ESTOQUE!G:G,"",0)</f>
        <v>UND</v>
      </c>
      <c r="F3209" s="99">
        <v>6</v>
      </c>
      <c r="G3209" s="63"/>
      <c r="H3209" s="63"/>
      <c r="I3209" s="63"/>
      <c r="J3209" s="63"/>
      <c r="K3209" s="63"/>
      <c r="L3209" s="63"/>
      <c r="M3209" s="63"/>
      <c r="N3209" s="63"/>
      <c r="O3209" s="63"/>
      <c r="P3209" s="63"/>
      <c r="Q3209" s="63"/>
      <c r="R3209" s="63"/>
      <c r="S3209" s="63"/>
      <c r="T3209" s="63"/>
      <c r="U3209" s="63"/>
      <c r="V3209" s="63"/>
      <c r="W3209" s="63"/>
    </row>
    <row r="3210" spans="1:23" x14ac:dyDescent="0.25">
      <c r="A3210" s="108">
        <v>46127</v>
      </c>
      <c r="B3210" s="128">
        <v>224</v>
      </c>
      <c r="C3210" s="49" t="s">
        <v>19</v>
      </c>
      <c r="D3210" s="110" t="str">
        <f>IF(ISBLANK($B3210),"",IFERROR(VLOOKUP($B3210,ESTOQUE!$B$2:$D$97168,3,FALSE),"Produto não cadastrado"))</f>
        <v>OCULOS OPERACIONAL SOBRE POR ESCURO</v>
      </c>
      <c r="E3210" s="99" t="str">
        <f>_xlfn.XLOOKUP(B3210,ESTOQUE!B:B,ESTOQUE!G:G,"",0)</f>
        <v>UND</v>
      </c>
      <c r="F3210" s="99">
        <v>7</v>
      </c>
      <c r="G3210" s="63"/>
      <c r="H3210" s="63"/>
      <c r="I3210" s="63"/>
      <c r="J3210" s="63"/>
      <c r="K3210" s="63"/>
      <c r="L3210" s="63"/>
      <c r="M3210" s="63"/>
      <c r="N3210" s="63"/>
      <c r="O3210" s="63"/>
      <c r="P3210" s="63"/>
      <c r="Q3210" s="63"/>
      <c r="R3210" s="63"/>
      <c r="S3210" s="63"/>
      <c r="T3210" s="63"/>
      <c r="U3210" s="63"/>
      <c r="V3210" s="63"/>
      <c r="W3210" s="63"/>
    </row>
    <row r="3211" spans="1:23" x14ac:dyDescent="0.25">
      <c r="A3211" s="108">
        <v>46129</v>
      </c>
      <c r="B3211" s="128">
        <v>34</v>
      </c>
      <c r="C3211" s="49" t="s">
        <v>19</v>
      </c>
      <c r="D3211" s="110" t="str">
        <f>IF(ISBLANK($B3211),"",IFERROR(VLOOKUP($B3211,ESTOQUE!$B$2:$D$97168,3,FALSE),"Produto não cadastrado"))</f>
        <v>BOTINA OP. BICO PVC Nº 36</v>
      </c>
      <c r="E3211" s="99" t="str">
        <f>_xlfn.XLOOKUP(B3211,ESTOQUE!B:B,ESTOQUE!G:G,"",0)</f>
        <v>PAR</v>
      </c>
      <c r="F3211" s="99">
        <v>1</v>
      </c>
      <c r="G3211" s="63"/>
      <c r="H3211" s="63"/>
      <c r="I3211" s="63"/>
      <c r="J3211" s="63"/>
      <c r="K3211" s="63"/>
      <c r="L3211" s="63"/>
      <c r="M3211" s="63"/>
      <c r="N3211" s="63"/>
      <c r="O3211" s="63"/>
      <c r="P3211" s="63"/>
      <c r="Q3211" s="63"/>
      <c r="R3211" s="63"/>
      <c r="S3211" s="63"/>
      <c r="T3211" s="63"/>
      <c r="U3211" s="63"/>
      <c r="V3211" s="63"/>
      <c r="W3211" s="63"/>
    </row>
    <row r="3212" spans="1:23" x14ac:dyDescent="0.25">
      <c r="A3212" s="108">
        <v>46129</v>
      </c>
      <c r="B3212" s="128">
        <v>36</v>
      </c>
      <c r="C3212" s="49" t="s">
        <v>19</v>
      </c>
      <c r="D3212" s="110" t="str">
        <f>IF(ISBLANK($B3212),"",IFERROR(VLOOKUP($B3212,ESTOQUE!$B$2:$D$97168,3,FALSE),"Produto não cadastrado"))</f>
        <v>BOTINA OP. BICO PVC Nº 38</v>
      </c>
      <c r="E3212" s="99" t="str">
        <f>_xlfn.XLOOKUP(B3212,ESTOQUE!B:B,ESTOQUE!G:G,"",0)</f>
        <v>PAR</v>
      </c>
      <c r="F3212" s="99">
        <v>1</v>
      </c>
      <c r="G3212" s="63"/>
      <c r="H3212" s="63"/>
      <c r="I3212" s="63"/>
      <c r="J3212" s="63"/>
      <c r="K3212" s="63"/>
      <c r="L3212" s="63"/>
      <c r="M3212" s="63"/>
      <c r="N3212" s="63"/>
      <c r="O3212" s="63"/>
      <c r="P3212" s="63"/>
      <c r="Q3212" s="63"/>
      <c r="R3212" s="63"/>
      <c r="S3212" s="63"/>
      <c r="T3212" s="63"/>
      <c r="U3212" s="63"/>
      <c r="V3212" s="63"/>
      <c r="W3212" s="63"/>
    </row>
    <row r="3213" spans="1:23" x14ac:dyDescent="0.25">
      <c r="A3213" s="108">
        <v>46129</v>
      </c>
      <c r="B3213" s="128">
        <v>218</v>
      </c>
      <c r="C3213" s="49" t="s">
        <v>19</v>
      </c>
      <c r="D3213" s="110" t="str">
        <f>IF(ISBLANK($B3213),"",IFERROR(VLOOKUP($B3213,ESTOQUE!$B$2:$D$97168,3,FALSE),"Produto não cadastrado"))</f>
        <v>BOTINA SEGURANÇA METATARSO  41</v>
      </c>
      <c r="E3213" s="99" t="str">
        <f>_xlfn.XLOOKUP(B3213,ESTOQUE!B:B,ESTOQUE!G:G,"",0)</f>
        <v>PAR</v>
      </c>
      <c r="F3213" s="99">
        <v>2</v>
      </c>
      <c r="G3213" s="63"/>
      <c r="H3213" s="63"/>
      <c r="I3213" s="63"/>
      <c r="J3213" s="63"/>
      <c r="K3213" s="63"/>
      <c r="L3213" s="63"/>
      <c r="M3213" s="63"/>
      <c r="N3213" s="63"/>
      <c r="O3213" s="63"/>
      <c r="P3213" s="63"/>
      <c r="Q3213" s="63"/>
      <c r="R3213" s="63"/>
      <c r="S3213" s="63"/>
      <c r="T3213" s="63"/>
      <c r="U3213" s="63"/>
      <c r="V3213" s="63"/>
      <c r="W3213" s="63"/>
    </row>
    <row r="3214" spans="1:23" x14ac:dyDescent="0.25">
      <c r="A3214" s="108">
        <v>46129</v>
      </c>
      <c r="B3214" s="128">
        <v>41</v>
      </c>
      <c r="C3214" s="49" t="s">
        <v>19</v>
      </c>
      <c r="D3214" s="110" t="str">
        <f>IF(ISBLANK($B3214),"",IFERROR(VLOOKUP($B3214,ESTOQUE!$B$2:$D$97168,3,FALSE),"Produto não cadastrado"))</f>
        <v>BOTINA OP. BICO PVC Nº 43</v>
      </c>
      <c r="E3214" s="99" t="str">
        <f>_xlfn.XLOOKUP(B3214,ESTOQUE!B:B,ESTOQUE!G:G,"",0)</f>
        <v>PAR</v>
      </c>
      <c r="F3214" s="99">
        <v>1</v>
      </c>
      <c r="G3214" s="63"/>
      <c r="H3214" s="63"/>
      <c r="I3214" s="63"/>
      <c r="J3214" s="63"/>
      <c r="K3214" s="63"/>
      <c r="L3214" s="63"/>
      <c r="M3214" s="63"/>
      <c r="N3214" s="63"/>
      <c r="O3214" s="63"/>
      <c r="P3214" s="63"/>
      <c r="Q3214" s="63"/>
      <c r="R3214" s="63"/>
      <c r="S3214" s="63"/>
      <c r="T3214" s="63"/>
      <c r="U3214" s="63"/>
      <c r="V3214" s="63"/>
      <c r="W3214" s="63"/>
    </row>
    <row r="3215" spans="1:23" x14ac:dyDescent="0.25">
      <c r="A3215" s="108">
        <v>46129</v>
      </c>
      <c r="B3215" s="128">
        <v>42</v>
      </c>
      <c r="C3215" s="49" t="s">
        <v>19</v>
      </c>
      <c r="D3215" s="110" t="str">
        <f>IF(ISBLANK($B3215),"",IFERROR(VLOOKUP($B3215,ESTOQUE!$B$2:$D$97168,3,FALSE),"Produto não cadastrado"))</f>
        <v>BOTINA OP. BICO PVC Nº 44</v>
      </c>
      <c r="E3215" s="99" t="str">
        <f>_xlfn.XLOOKUP(B3215,ESTOQUE!B:B,ESTOQUE!G:G,"",0)</f>
        <v>PAR</v>
      </c>
      <c r="F3215" s="99">
        <v>1</v>
      </c>
      <c r="G3215" s="63"/>
      <c r="H3215" s="63"/>
      <c r="I3215" s="63"/>
      <c r="J3215" s="63"/>
      <c r="K3215" s="63"/>
      <c r="L3215" s="63"/>
      <c r="M3215" s="63"/>
      <c r="N3215" s="63"/>
      <c r="O3215" s="63"/>
      <c r="P3215" s="63"/>
      <c r="Q3215" s="63"/>
      <c r="R3215" s="63"/>
      <c r="S3215" s="63"/>
      <c r="T3215" s="63"/>
      <c r="U3215" s="63"/>
      <c r="V3215" s="63"/>
      <c r="W3215" s="63"/>
    </row>
    <row r="3216" spans="1:23" x14ac:dyDescent="0.25">
      <c r="A3216" s="108">
        <v>46129</v>
      </c>
      <c r="B3216" s="128">
        <v>216</v>
      </c>
      <c r="C3216" s="49" t="s">
        <v>19</v>
      </c>
      <c r="D3216" s="110" t="str">
        <f>IF(ISBLANK($B3216),"",IFERROR(VLOOKUP($B3216,ESTOQUE!$B$2:$D$97168,3,FALSE),"Produto não cadastrado"))</f>
        <v>BOTINA SEGURANÇA METATARSO  39</v>
      </c>
      <c r="E3216" s="99" t="str">
        <f>_xlfn.XLOOKUP(B3216,ESTOQUE!B:B,ESTOQUE!G:G,"",0)</f>
        <v>PAR</v>
      </c>
      <c r="F3216" s="99">
        <v>2</v>
      </c>
      <c r="G3216" s="63"/>
      <c r="H3216" s="63"/>
      <c r="I3216" s="63"/>
      <c r="J3216" s="63"/>
      <c r="K3216" s="63"/>
      <c r="L3216" s="63"/>
      <c r="M3216" s="63"/>
      <c r="N3216" s="63"/>
      <c r="O3216" s="63"/>
      <c r="P3216" s="63"/>
      <c r="Q3216" s="63"/>
      <c r="R3216" s="63"/>
      <c r="S3216" s="63"/>
      <c r="T3216" s="63"/>
      <c r="U3216" s="63"/>
      <c r="V3216" s="63"/>
      <c r="W3216" s="63"/>
    </row>
    <row r="3217" spans="1:23" x14ac:dyDescent="0.25">
      <c r="A3217" s="108">
        <v>46129</v>
      </c>
      <c r="B3217" s="128">
        <v>49</v>
      </c>
      <c r="C3217" s="49" t="s">
        <v>19</v>
      </c>
      <c r="D3217" s="110" t="str">
        <f>IF(ISBLANK($B3217),"",IFERROR(VLOOKUP($B3217,ESTOQUE!$B$2:$D$97168,3,FALSE),"Produto não cadastrado"))</f>
        <v>CALÇA CINZA OP. C/ FAIXA REFLETIVA TAM: P</v>
      </c>
      <c r="E3217" s="99" t="str">
        <f>_xlfn.XLOOKUP(B3217,ESTOQUE!B:B,ESTOQUE!G:G,"",0)</f>
        <v>UND</v>
      </c>
      <c r="F3217" s="99">
        <v>10</v>
      </c>
      <c r="G3217" s="63"/>
      <c r="H3217" s="63"/>
      <c r="I3217" s="63"/>
      <c r="J3217" s="63"/>
      <c r="K3217" s="63"/>
      <c r="L3217" s="63"/>
      <c r="M3217" s="63"/>
      <c r="N3217" s="63"/>
      <c r="O3217" s="63"/>
      <c r="P3217" s="63"/>
      <c r="Q3217" s="63"/>
      <c r="R3217" s="63"/>
      <c r="S3217" s="63"/>
      <c r="T3217" s="63"/>
      <c r="U3217" s="63"/>
      <c r="V3217" s="63"/>
      <c r="W3217" s="63"/>
    </row>
    <row r="3218" spans="1:23" x14ac:dyDescent="0.25">
      <c r="A3218" s="108">
        <v>46129</v>
      </c>
      <c r="B3218" s="128">
        <v>46</v>
      </c>
      <c r="C3218" s="49" t="s">
        <v>19</v>
      </c>
      <c r="D3218" s="110" t="str">
        <f>IF(ISBLANK($B3218),"",IFERROR(VLOOKUP($B3218,ESTOQUE!$B$2:$D$97168,3,FALSE),"Produto não cadastrado"))</f>
        <v>CALÇA CINZA OP. C/ FAIXA REFLETIVA TAM: G</v>
      </c>
      <c r="E3218" s="99" t="str">
        <f>_xlfn.XLOOKUP(B3218,ESTOQUE!B:B,ESTOQUE!G:G,"",0)</f>
        <v>UND</v>
      </c>
      <c r="F3218" s="99">
        <v>3</v>
      </c>
      <c r="G3218" s="63"/>
      <c r="H3218" s="63"/>
      <c r="I3218" s="63"/>
      <c r="J3218" s="63"/>
      <c r="K3218" s="63"/>
      <c r="L3218" s="63"/>
      <c r="M3218" s="63"/>
      <c r="N3218" s="63"/>
      <c r="O3218" s="63"/>
      <c r="P3218" s="63"/>
      <c r="Q3218" s="63"/>
      <c r="R3218" s="63"/>
      <c r="S3218" s="63"/>
      <c r="T3218" s="63"/>
      <c r="U3218" s="63"/>
      <c r="V3218" s="63"/>
      <c r="W3218" s="63"/>
    </row>
    <row r="3219" spans="1:23" x14ac:dyDescent="0.25">
      <c r="A3219" s="108">
        <v>46129</v>
      </c>
      <c r="B3219" s="128">
        <v>47</v>
      </c>
      <c r="C3219" s="49" t="s">
        <v>19</v>
      </c>
      <c r="D3219" s="110" t="str">
        <f>IF(ISBLANK($B3219),"",IFERROR(VLOOKUP($B3219,ESTOQUE!$B$2:$D$97168,3,FALSE),"Produto não cadastrado"))</f>
        <v>CALÇA CINZA OP. C/ FAIXA REFLETIVA TAM: GG</v>
      </c>
      <c r="E3219" s="99" t="str">
        <f>_xlfn.XLOOKUP(B3219,ESTOQUE!B:B,ESTOQUE!G:G,"",0)</f>
        <v>UND</v>
      </c>
      <c r="F3219" s="99">
        <v>2</v>
      </c>
      <c r="G3219" s="63"/>
      <c r="H3219" s="63"/>
      <c r="I3219" s="63"/>
      <c r="J3219" s="63"/>
      <c r="K3219" s="63"/>
      <c r="L3219" s="63"/>
      <c r="M3219" s="63"/>
      <c r="N3219" s="63"/>
      <c r="O3219" s="63"/>
      <c r="P3219" s="63"/>
      <c r="Q3219" s="63"/>
      <c r="R3219" s="63"/>
      <c r="S3219" s="63"/>
      <c r="T3219" s="63"/>
      <c r="U3219" s="63"/>
      <c r="V3219" s="63"/>
      <c r="W3219" s="63"/>
    </row>
    <row r="3220" spans="1:23" x14ac:dyDescent="0.25">
      <c r="A3220" s="108">
        <v>46129</v>
      </c>
      <c r="B3220" s="128">
        <v>48</v>
      </c>
      <c r="C3220" s="49" t="s">
        <v>19</v>
      </c>
      <c r="D3220" s="110" t="str">
        <f>IF(ISBLANK($B3220),"",IFERROR(VLOOKUP($B3220,ESTOQUE!$B$2:$D$97168,3,FALSE),"Produto não cadastrado"))</f>
        <v>CALÇA CINZA OP. C/ FAIXA REFLETIVA TAM: M</v>
      </c>
      <c r="E3220" s="99" t="str">
        <f>_xlfn.XLOOKUP(B3220,ESTOQUE!B:B,ESTOQUE!G:G,"",0)</f>
        <v>UND</v>
      </c>
      <c r="F3220" s="99">
        <v>8</v>
      </c>
      <c r="G3220" s="63"/>
      <c r="H3220" s="63"/>
      <c r="I3220" s="63"/>
      <c r="J3220" s="63"/>
      <c r="K3220" s="63"/>
      <c r="L3220" s="63"/>
      <c r="M3220" s="63"/>
      <c r="N3220" s="63"/>
      <c r="O3220" s="63"/>
      <c r="P3220" s="63"/>
      <c r="Q3220" s="63"/>
      <c r="R3220" s="63"/>
      <c r="S3220" s="63"/>
      <c r="T3220" s="63"/>
      <c r="U3220" s="63"/>
      <c r="V3220" s="63"/>
      <c r="W3220" s="63"/>
    </row>
    <row r="3221" spans="1:23" x14ac:dyDescent="0.25">
      <c r="A3221" s="108">
        <v>46129</v>
      </c>
      <c r="B3221" s="128">
        <v>67</v>
      </c>
      <c r="C3221" s="49" t="s">
        <v>19</v>
      </c>
      <c r="D3221" s="110" t="str">
        <f>IF(ISBLANK($B3221),"",IFERROR(VLOOKUP($B3221,ESTOQUE!$B$2:$D$97168,3,FALSE),"Produto não cadastrado"))</f>
        <v>CAMISA LARANJA OP. C/ FAIXA REFLETIVA TAM: G</v>
      </c>
      <c r="E3221" s="99" t="str">
        <f>_xlfn.XLOOKUP(B3221,ESTOQUE!B:B,ESTOQUE!G:G,"",0)</f>
        <v>UND</v>
      </c>
      <c r="F3221" s="99">
        <v>3</v>
      </c>
      <c r="G3221" s="63"/>
      <c r="H3221" s="63"/>
      <c r="I3221" s="63"/>
      <c r="J3221" s="63"/>
      <c r="K3221" s="63"/>
      <c r="L3221" s="63"/>
      <c r="M3221" s="63"/>
      <c r="N3221" s="63"/>
      <c r="O3221" s="63"/>
      <c r="P3221" s="63"/>
      <c r="Q3221" s="63"/>
      <c r="R3221" s="63"/>
      <c r="S3221" s="63"/>
      <c r="T3221" s="63"/>
      <c r="U3221" s="63"/>
      <c r="V3221" s="63"/>
      <c r="W3221" s="63"/>
    </row>
    <row r="3222" spans="1:23" x14ac:dyDescent="0.25">
      <c r="A3222" s="108">
        <v>46129</v>
      </c>
      <c r="B3222" s="128">
        <v>68</v>
      </c>
      <c r="C3222" s="49" t="s">
        <v>19</v>
      </c>
      <c r="D3222" s="110" t="str">
        <f>IF(ISBLANK($B3222),"",IFERROR(VLOOKUP($B3222,ESTOQUE!$B$2:$D$97168,3,FALSE),"Produto não cadastrado"))</f>
        <v>CAMISA LARANJA OP. C/ FAIXA REFLETIVA TAM: GG</v>
      </c>
      <c r="E3222" s="99" t="str">
        <f>_xlfn.XLOOKUP(B3222,ESTOQUE!B:B,ESTOQUE!G:G,"",0)</f>
        <v>UND</v>
      </c>
      <c r="F3222" s="99">
        <v>3</v>
      </c>
      <c r="G3222" s="63"/>
      <c r="H3222" s="63"/>
      <c r="I3222" s="63"/>
      <c r="J3222" s="63"/>
      <c r="K3222" s="63"/>
      <c r="L3222" s="63"/>
      <c r="M3222" s="63"/>
      <c r="N3222" s="63"/>
      <c r="O3222" s="63"/>
      <c r="P3222" s="63"/>
      <c r="Q3222" s="63"/>
      <c r="R3222" s="63"/>
      <c r="S3222" s="63"/>
      <c r="T3222" s="63"/>
      <c r="U3222" s="63"/>
      <c r="V3222" s="63"/>
      <c r="W3222" s="63"/>
    </row>
    <row r="3223" spans="1:23" x14ac:dyDescent="0.25">
      <c r="A3223" s="108">
        <v>46129</v>
      </c>
      <c r="B3223" s="128">
        <v>69</v>
      </c>
      <c r="C3223" s="49" t="s">
        <v>19</v>
      </c>
      <c r="D3223" s="110" t="str">
        <f>IF(ISBLANK($B3223),"",IFERROR(VLOOKUP($B3223,ESTOQUE!$B$2:$D$97168,3,FALSE),"Produto não cadastrado"))</f>
        <v>CAMISA LARANJA OP. C/ FAIXA REFLETIVA TAM: M</v>
      </c>
      <c r="E3223" s="99" t="str">
        <f>_xlfn.XLOOKUP(B3223,ESTOQUE!B:B,ESTOQUE!G:G,"",0)</f>
        <v>UND</v>
      </c>
      <c r="F3223" s="99">
        <v>2</v>
      </c>
      <c r="G3223" s="63"/>
      <c r="H3223" s="63"/>
      <c r="I3223" s="63"/>
      <c r="J3223" s="63"/>
      <c r="K3223" s="63"/>
      <c r="L3223" s="63"/>
      <c r="M3223" s="63"/>
      <c r="N3223" s="63"/>
      <c r="O3223" s="63"/>
      <c r="P3223" s="63"/>
      <c r="Q3223" s="63"/>
      <c r="R3223" s="63"/>
      <c r="S3223" s="63"/>
      <c r="T3223" s="63"/>
      <c r="U3223" s="63"/>
      <c r="V3223" s="63"/>
      <c r="W3223" s="63"/>
    </row>
    <row r="3224" spans="1:23" x14ac:dyDescent="0.25">
      <c r="A3224" s="108">
        <v>46129</v>
      </c>
      <c r="B3224" s="128">
        <v>70</v>
      </c>
      <c r="C3224" s="49" t="s">
        <v>19</v>
      </c>
      <c r="D3224" s="110" t="str">
        <f>IF(ISBLANK($B3224),"",IFERROR(VLOOKUP($B3224,ESTOQUE!$B$2:$D$97168,3,FALSE),"Produto não cadastrado"))</f>
        <v>CAMISA LARANJA OP. C/ FAIXA REFLETIVA TAM: P</v>
      </c>
      <c r="E3224" s="99" t="str">
        <f>_xlfn.XLOOKUP(B3224,ESTOQUE!B:B,ESTOQUE!G:G,"",0)</f>
        <v>UND</v>
      </c>
      <c r="F3224" s="99">
        <v>8</v>
      </c>
      <c r="G3224" s="63"/>
      <c r="H3224" s="63"/>
      <c r="I3224" s="63"/>
      <c r="J3224" s="63"/>
      <c r="K3224" s="63"/>
      <c r="L3224" s="63"/>
      <c r="M3224" s="63"/>
      <c r="N3224" s="63"/>
      <c r="O3224" s="63"/>
      <c r="P3224" s="63"/>
      <c r="Q3224" s="63"/>
      <c r="R3224" s="63"/>
      <c r="S3224" s="63"/>
      <c r="T3224" s="63"/>
      <c r="U3224" s="63"/>
      <c r="V3224" s="63"/>
      <c r="W3224" s="63"/>
    </row>
    <row r="3225" spans="1:23" x14ac:dyDescent="0.25">
      <c r="A3225" s="108">
        <v>46129</v>
      </c>
      <c r="B3225" s="128">
        <v>110</v>
      </c>
      <c r="C3225" s="49" t="s">
        <v>19</v>
      </c>
      <c r="D3225" s="110" t="str">
        <f>IF(ISBLANK($B3225),"",IFERROR(VLOOKUP($B3225,ESTOQUE!$B$2:$D$97168,3,FALSE),"Produto não cadastrado"))</f>
        <v>LUVA DE RASPA CANO LONGO</v>
      </c>
      <c r="E3225" s="99" t="str">
        <f>_xlfn.XLOOKUP(B3225,ESTOQUE!B:B,ESTOQUE!G:G,"",0)</f>
        <v>PAR</v>
      </c>
      <c r="F3225" s="99">
        <v>3</v>
      </c>
      <c r="G3225" s="63"/>
      <c r="H3225" s="63"/>
      <c r="I3225" s="63"/>
      <c r="J3225" s="63"/>
      <c r="K3225" s="63"/>
      <c r="L3225" s="63"/>
      <c r="M3225" s="63"/>
      <c r="N3225" s="63"/>
      <c r="O3225" s="63"/>
      <c r="P3225" s="63"/>
      <c r="Q3225" s="63"/>
      <c r="R3225" s="63"/>
      <c r="S3225" s="63"/>
      <c r="T3225" s="63"/>
      <c r="U3225" s="63"/>
      <c r="V3225" s="63"/>
      <c r="W3225" s="63"/>
    </row>
    <row r="3226" spans="1:23" x14ac:dyDescent="0.25">
      <c r="A3226" s="108">
        <v>46129</v>
      </c>
      <c r="B3226" s="128">
        <v>114</v>
      </c>
      <c r="C3226" s="49" t="s">
        <v>19</v>
      </c>
      <c r="D3226" s="110" t="str">
        <f>IF(ISBLANK($B3226),"",IFERROR(VLOOKUP($B3226,ESTOQUE!$B$2:$D$97168,3,FALSE),"Produto não cadastrado"))</f>
        <v xml:space="preserve">LUVA LATEX NITRILICA </v>
      </c>
      <c r="E3226" s="99" t="str">
        <f>_xlfn.XLOOKUP(B3226,ESTOQUE!B:B,ESTOQUE!G:G,"",0)</f>
        <v>PAR</v>
      </c>
      <c r="F3226" s="99">
        <v>2</v>
      </c>
      <c r="G3226" s="63"/>
      <c r="H3226" s="63"/>
      <c r="I3226" s="63"/>
      <c r="J3226" s="63"/>
      <c r="K3226" s="63"/>
      <c r="L3226" s="63"/>
      <c r="M3226" s="63"/>
      <c r="N3226" s="63"/>
      <c r="O3226" s="63"/>
      <c r="P3226" s="63"/>
      <c r="Q3226" s="63"/>
      <c r="R3226" s="63"/>
      <c r="S3226" s="63"/>
      <c r="T3226" s="63"/>
      <c r="U3226" s="63"/>
      <c r="V3226" s="63"/>
      <c r="W3226" s="63"/>
    </row>
    <row r="3227" spans="1:23" x14ac:dyDescent="0.25">
      <c r="A3227" s="108">
        <v>46129</v>
      </c>
      <c r="B3227" s="128">
        <v>117</v>
      </c>
      <c r="C3227" s="49" t="s">
        <v>19</v>
      </c>
      <c r="D3227" s="110" t="str">
        <f>IF(ISBLANK($B3227),"",IFERROR(VLOOKUP($B3227,ESTOQUE!$B$2:$D$97168,3,FALSE),"Produto não cadastrado"))</f>
        <v>LUVA PIGMENTADA</v>
      </c>
      <c r="E3227" s="99" t="str">
        <f>_xlfn.XLOOKUP(B3227,ESTOQUE!B:B,ESTOQUE!G:G,"",0)</f>
        <v>PAR</v>
      </c>
      <c r="F3227" s="99">
        <v>1</v>
      </c>
      <c r="G3227" s="63"/>
      <c r="H3227" s="63"/>
      <c r="I3227" s="63"/>
      <c r="J3227" s="63"/>
      <c r="K3227" s="63"/>
      <c r="L3227" s="63"/>
      <c r="M3227" s="63"/>
      <c r="N3227" s="63"/>
      <c r="O3227" s="63"/>
      <c r="P3227" s="63"/>
      <c r="Q3227" s="63"/>
      <c r="R3227" s="63"/>
      <c r="S3227" s="63"/>
      <c r="T3227" s="63"/>
      <c r="U3227" s="63"/>
      <c r="V3227" s="63"/>
      <c r="W3227" s="63"/>
    </row>
    <row r="3228" spans="1:23" x14ac:dyDescent="0.25">
      <c r="A3228" s="108">
        <v>46129</v>
      </c>
      <c r="B3228" s="128">
        <v>267</v>
      </c>
      <c r="C3228" s="49" t="s">
        <v>19</v>
      </c>
      <c r="D3228" s="110" t="str">
        <f>IF(ISBLANK($B3228),"",IFERROR(VLOOKUP($B3228,ESTOQUE!$B$2:$D$97168,3,FALSE),"Produto não cadastrado"))</f>
        <v>LUVA POLIESTER ANTICORTE CANO LONGO</v>
      </c>
      <c r="E3228" s="99" t="str">
        <f>_xlfn.XLOOKUP(B3228,ESTOQUE!B:B,ESTOQUE!G:G,"",0)</f>
        <v>UND</v>
      </c>
      <c r="F3228" s="99">
        <v>37</v>
      </c>
      <c r="G3228" s="63"/>
      <c r="H3228" s="63"/>
      <c r="I3228" s="63"/>
      <c r="J3228" s="63"/>
      <c r="K3228" s="63"/>
      <c r="L3228" s="63"/>
      <c r="M3228" s="63"/>
      <c r="N3228" s="63"/>
      <c r="O3228" s="63"/>
      <c r="P3228" s="63"/>
      <c r="Q3228" s="63"/>
      <c r="R3228" s="63"/>
      <c r="S3228" s="63"/>
      <c r="T3228" s="63"/>
      <c r="U3228" s="63"/>
      <c r="V3228" s="63"/>
      <c r="W3228" s="63"/>
    </row>
    <row r="3229" spans="1:23" x14ac:dyDescent="0.25">
      <c r="A3229" s="108">
        <v>46129</v>
      </c>
      <c r="B3229" s="128">
        <v>118</v>
      </c>
      <c r="C3229" s="49" t="s">
        <v>19</v>
      </c>
      <c r="D3229" s="110" t="str">
        <f>IF(ISBLANK($B3229),"",IFERROR(VLOOKUP($B3229,ESTOQUE!$B$2:$D$97168,3,FALSE),"Produto não cadastrado"))</f>
        <v>MACACÃO DE PROTEÇÃO TYVEK</v>
      </c>
      <c r="E3229" s="99" t="str">
        <f>_xlfn.XLOOKUP(B3229,ESTOQUE!B:B,ESTOQUE!G:G,"",0)</f>
        <v>UND</v>
      </c>
      <c r="F3229" s="99">
        <v>81</v>
      </c>
      <c r="G3229" s="63"/>
      <c r="H3229" s="63"/>
      <c r="I3229" s="63"/>
      <c r="J3229" s="63"/>
      <c r="K3229" s="63"/>
      <c r="L3229" s="63"/>
      <c r="M3229" s="63"/>
      <c r="N3229" s="63"/>
      <c r="O3229" s="63"/>
      <c r="P3229" s="63"/>
      <c r="Q3229" s="63"/>
      <c r="R3229" s="63"/>
      <c r="S3229" s="63"/>
      <c r="T3229" s="63"/>
      <c r="U3229" s="63"/>
      <c r="V3229" s="63"/>
      <c r="W3229" s="63"/>
    </row>
    <row r="3230" spans="1:23" x14ac:dyDescent="0.25">
      <c r="A3230" s="108">
        <v>46129</v>
      </c>
      <c r="B3230" s="128">
        <v>144</v>
      </c>
      <c r="C3230" s="49" t="s">
        <v>19</v>
      </c>
      <c r="D3230" s="110" t="str">
        <f>IF(ISBLANK($B3230),"",IFERROR(VLOOKUP($B3230,ESTOQUE!$B$2:$D$97168,3,FALSE),"Produto não cadastrado"))</f>
        <v>MASCARA PFF2-S C/ FILTRO</v>
      </c>
      <c r="E3230" s="99" t="str">
        <f>_xlfn.XLOOKUP(B3230,ESTOQUE!B:B,ESTOQUE!G:G,"",0)</f>
        <v>UND</v>
      </c>
      <c r="F3230" s="99">
        <v>352</v>
      </c>
      <c r="G3230" s="63"/>
      <c r="H3230" s="63"/>
      <c r="I3230" s="63"/>
      <c r="J3230" s="63"/>
      <c r="K3230" s="63"/>
      <c r="L3230" s="63"/>
      <c r="M3230" s="63"/>
      <c r="N3230" s="63"/>
      <c r="O3230" s="63"/>
      <c r="P3230" s="63"/>
      <c r="Q3230" s="63"/>
      <c r="R3230" s="63"/>
      <c r="S3230" s="63"/>
      <c r="T3230" s="63"/>
      <c r="U3230" s="63"/>
      <c r="V3230" s="63"/>
      <c r="W3230" s="63"/>
    </row>
    <row r="3231" spans="1:23" x14ac:dyDescent="0.25">
      <c r="A3231" s="108">
        <v>46129</v>
      </c>
      <c r="B3231" s="128">
        <v>126</v>
      </c>
      <c r="C3231" s="49" t="s">
        <v>19</v>
      </c>
      <c r="D3231" s="110" t="str">
        <f>IF(ISBLANK($B3231),"",IFERROR(VLOOKUP($B3231,ESTOQUE!$B$2:$D$97168,3,FALSE),"Produto não cadastrado"))</f>
        <v>OCULOS DE PROTEÇÃO ESCURO</v>
      </c>
      <c r="E3231" s="99" t="str">
        <f>_xlfn.XLOOKUP(B3231,ESTOQUE!B:B,ESTOQUE!G:G,"",0)</f>
        <v>UND</v>
      </c>
      <c r="F3231" s="99">
        <v>1</v>
      </c>
      <c r="G3231" s="63"/>
      <c r="H3231" s="63"/>
      <c r="I3231" s="63"/>
      <c r="J3231" s="63"/>
      <c r="K3231" s="63"/>
      <c r="L3231" s="63"/>
      <c r="M3231" s="63"/>
      <c r="N3231" s="63"/>
      <c r="O3231" s="63"/>
      <c r="P3231" s="63"/>
      <c r="Q3231" s="63"/>
      <c r="R3231" s="63"/>
      <c r="S3231" s="63"/>
      <c r="T3231" s="63"/>
      <c r="U3231" s="63"/>
      <c r="V3231" s="63"/>
      <c r="W3231" s="63"/>
    </row>
    <row r="3232" spans="1:23" x14ac:dyDescent="0.25">
      <c r="A3232" s="108">
        <v>46129</v>
      </c>
      <c r="B3232" s="128">
        <v>124</v>
      </c>
      <c r="C3232" s="49" t="s">
        <v>19</v>
      </c>
      <c r="D3232" s="110" t="str">
        <f>IF(ISBLANK($B3232),"",IFERROR(VLOOKUP($B3232,ESTOQUE!$B$2:$D$97168,3,FALSE),"Produto não cadastrado"))</f>
        <v xml:space="preserve">OCULOS DE PROTEÇÃO INCOLOR </v>
      </c>
      <c r="E3232" s="99" t="str">
        <f>_xlfn.XLOOKUP(B3232,ESTOQUE!B:B,ESTOQUE!G:G,"",0)</f>
        <v>UND</v>
      </c>
      <c r="F3232" s="99">
        <v>1</v>
      </c>
      <c r="G3232" s="63"/>
      <c r="H3232" s="63"/>
      <c r="I3232" s="63"/>
      <c r="J3232" s="63"/>
      <c r="K3232" s="63"/>
      <c r="L3232" s="63"/>
      <c r="M3232" s="63"/>
      <c r="N3232" s="63"/>
      <c r="O3232" s="63"/>
      <c r="P3232" s="63"/>
      <c r="Q3232" s="63"/>
      <c r="R3232" s="63"/>
      <c r="S3232" s="63"/>
      <c r="T3232" s="63"/>
      <c r="U3232" s="63"/>
      <c r="V3232" s="63"/>
      <c r="W3232" s="63"/>
    </row>
    <row r="3233" spans="1:23" x14ac:dyDescent="0.25">
      <c r="A3233" s="108">
        <v>46129</v>
      </c>
      <c r="B3233" s="128">
        <v>191</v>
      </c>
      <c r="C3233" s="49" t="s">
        <v>19</v>
      </c>
      <c r="D3233" s="110" t="str">
        <f>IF(ISBLANK($B3233),"",IFERROR(VLOOKUP($B3233,ESTOQUE!$B$2:$D$97168,3,FALSE),"Produto não cadastrado"))</f>
        <v>PROTETOR AUDITIVO TIPO CONCHA</v>
      </c>
      <c r="E3233" s="99" t="str">
        <f>_xlfn.XLOOKUP(B3233,ESTOQUE!B:B,ESTOQUE!G:G,"",0)</f>
        <v>UND</v>
      </c>
      <c r="F3233" s="99">
        <v>1</v>
      </c>
      <c r="G3233" s="63"/>
      <c r="H3233" s="63"/>
      <c r="I3233" s="63"/>
      <c r="J3233" s="63"/>
      <c r="K3233" s="63"/>
      <c r="L3233" s="63"/>
      <c r="M3233" s="63"/>
      <c r="N3233" s="63"/>
      <c r="O3233" s="63"/>
      <c r="P3233" s="63"/>
      <c r="Q3233" s="63"/>
      <c r="R3233" s="63"/>
      <c r="S3233" s="63"/>
      <c r="T3233" s="63"/>
      <c r="U3233" s="63"/>
      <c r="V3233" s="63"/>
      <c r="W3233" s="63"/>
    </row>
    <row r="3234" spans="1:23" x14ac:dyDescent="0.25">
      <c r="A3234" s="108">
        <v>46130</v>
      </c>
      <c r="B3234" s="128">
        <v>228</v>
      </c>
      <c r="C3234" s="49" t="s">
        <v>19</v>
      </c>
      <c r="D3234" s="110" t="str">
        <f>IF(ISBLANK($B3234),"",IFERROR(VLOOKUP($B3234,ESTOQUE!$B$2:$D$97168,3,FALSE),"Produto não cadastrado"))</f>
        <v xml:space="preserve">BALACLAVA  </v>
      </c>
      <c r="E3234" s="99" t="str">
        <f>_xlfn.XLOOKUP(B3234,ESTOQUE!B:B,ESTOQUE!G:G,"",0)</f>
        <v>UND</v>
      </c>
      <c r="F3234" s="99">
        <v>15</v>
      </c>
      <c r="G3234" s="63"/>
      <c r="H3234" s="63"/>
      <c r="I3234" s="63"/>
      <c r="J3234" s="63"/>
      <c r="K3234" s="63"/>
      <c r="L3234" s="63"/>
      <c r="M3234" s="63"/>
      <c r="N3234" s="63"/>
      <c r="O3234" s="63"/>
      <c r="P3234" s="63"/>
      <c r="Q3234" s="63"/>
      <c r="R3234" s="63"/>
      <c r="S3234" s="63"/>
      <c r="T3234" s="63"/>
      <c r="U3234" s="63"/>
      <c r="V3234" s="63"/>
      <c r="W3234" s="63"/>
    </row>
    <row r="3235" spans="1:23" x14ac:dyDescent="0.25">
      <c r="A3235" s="108">
        <v>46130</v>
      </c>
      <c r="B3235" s="128">
        <v>46</v>
      </c>
      <c r="C3235" s="49" t="s">
        <v>19</v>
      </c>
      <c r="D3235" s="110" t="str">
        <f>IF(ISBLANK($B3235),"",IFERROR(VLOOKUP($B3235,ESTOQUE!$B$2:$D$97168,3,FALSE),"Produto não cadastrado"))</f>
        <v>CALÇA CINZA OP. C/ FAIXA REFLETIVA TAM: G</v>
      </c>
      <c r="E3235" s="99" t="str">
        <f>_xlfn.XLOOKUP(B3235,ESTOQUE!B:B,ESTOQUE!G:G,"",0)</f>
        <v>UND</v>
      </c>
      <c r="F3235" s="99">
        <v>2</v>
      </c>
      <c r="G3235" s="63"/>
      <c r="H3235" s="63"/>
      <c r="I3235" s="63"/>
      <c r="J3235" s="63"/>
      <c r="K3235" s="63"/>
      <c r="L3235" s="63"/>
      <c r="M3235" s="63"/>
      <c r="N3235" s="63"/>
      <c r="O3235" s="63"/>
      <c r="P3235" s="63"/>
      <c r="Q3235" s="63"/>
      <c r="R3235" s="63"/>
      <c r="S3235" s="63"/>
      <c r="T3235" s="63"/>
      <c r="U3235" s="63"/>
      <c r="V3235" s="63"/>
      <c r="W3235" s="63"/>
    </row>
    <row r="3236" spans="1:23" x14ac:dyDescent="0.25">
      <c r="A3236" s="108">
        <v>46130</v>
      </c>
      <c r="B3236" s="128">
        <v>47</v>
      </c>
      <c r="C3236" s="49" t="s">
        <v>19</v>
      </c>
      <c r="D3236" s="110" t="str">
        <f>IF(ISBLANK($B3236),"",IFERROR(VLOOKUP($B3236,ESTOQUE!$B$2:$D$97168,3,FALSE),"Produto não cadastrado"))</f>
        <v>CALÇA CINZA OP. C/ FAIXA REFLETIVA TAM: GG</v>
      </c>
      <c r="E3236" s="99" t="str">
        <f>_xlfn.XLOOKUP(B3236,ESTOQUE!B:B,ESTOQUE!G:G,"",0)</f>
        <v>UND</v>
      </c>
      <c r="F3236" s="99">
        <v>1</v>
      </c>
      <c r="G3236" s="63"/>
      <c r="H3236" s="63"/>
      <c r="I3236" s="63"/>
      <c r="J3236" s="63"/>
      <c r="K3236" s="63"/>
      <c r="L3236" s="63"/>
      <c r="M3236" s="63"/>
      <c r="N3236" s="63"/>
      <c r="O3236" s="63"/>
      <c r="P3236" s="63"/>
      <c r="Q3236" s="63"/>
      <c r="R3236" s="63"/>
      <c r="S3236" s="63"/>
      <c r="T3236" s="63"/>
      <c r="U3236" s="63"/>
      <c r="V3236" s="63"/>
      <c r="W3236" s="63"/>
    </row>
    <row r="3237" spans="1:23" x14ac:dyDescent="0.25">
      <c r="A3237" s="108">
        <v>46130</v>
      </c>
      <c r="B3237" s="128">
        <v>48</v>
      </c>
      <c r="C3237" s="49" t="s">
        <v>19</v>
      </c>
      <c r="D3237" s="110" t="str">
        <f>IF(ISBLANK($B3237),"",IFERROR(VLOOKUP($B3237,ESTOQUE!$B$2:$D$97168,3,FALSE),"Produto não cadastrado"))</f>
        <v>CALÇA CINZA OP. C/ FAIXA REFLETIVA TAM: M</v>
      </c>
      <c r="E3237" s="99" t="str">
        <f>_xlfn.XLOOKUP(B3237,ESTOQUE!B:B,ESTOQUE!G:G,"",0)</f>
        <v>UND</v>
      </c>
      <c r="F3237" s="99">
        <v>4</v>
      </c>
      <c r="G3237" s="63"/>
      <c r="H3237" s="63"/>
      <c r="I3237" s="63"/>
      <c r="J3237" s="63"/>
      <c r="K3237" s="63"/>
      <c r="L3237" s="63"/>
      <c r="M3237" s="63"/>
      <c r="N3237" s="63"/>
      <c r="O3237" s="63"/>
      <c r="P3237" s="63"/>
      <c r="Q3237" s="63"/>
      <c r="R3237" s="63"/>
      <c r="S3237" s="63"/>
      <c r="T3237" s="63"/>
      <c r="U3237" s="63"/>
      <c r="V3237" s="63"/>
      <c r="W3237" s="63"/>
    </row>
    <row r="3238" spans="1:23" x14ac:dyDescent="0.25">
      <c r="A3238" s="108">
        <v>46130</v>
      </c>
      <c r="B3238" s="128">
        <v>49</v>
      </c>
      <c r="C3238" s="49" t="s">
        <v>19</v>
      </c>
      <c r="D3238" s="110" t="str">
        <f>IF(ISBLANK($B3238),"",IFERROR(VLOOKUP($B3238,ESTOQUE!$B$2:$D$97168,3,FALSE),"Produto não cadastrado"))</f>
        <v>CALÇA CINZA OP. C/ FAIXA REFLETIVA TAM: P</v>
      </c>
      <c r="E3238" s="99" t="str">
        <f>_xlfn.XLOOKUP(B3238,ESTOQUE!B:B,ESTOQUE!G:G,"",0)</f>
        <v>UND</v>
      </c>
      <c r="F3238" s="99">
        <v>1</v>
      </c>
      <c r="G3238" s="63"/>
      <c r="H3238" s="63"/>
      <c r="I3238" s="63"/>
      <c r="J3238" s="63"/>
      <c r="K3238" s="63"/>
      <c r="L3238" s="63"/>
      <c r="M3238" s="63"/>
      <c r="N3238" s="63"/>
      <c r="O3238" s="63"/>
      <c r="P3238" s="63"/>
      <c r="Q3238" s="63"/>
      <c r="R3238" s="63"/>
      <c r="S3238" s="63"/>
      <c r="T3238" s="63"/>
      <c r="U3238" s="63"/>
      <c r="V3238" s="63"/>
      <c r="W3238" s="63"/>
    </row>
    <row r="3239" spans="1:23" x14ac:dyDescent="0.25">
      <c r="A3239" s="108">
        <v>46130</v>
      </c>
      <c r="B3239" s="128">
        <v>68</v>
      </c>
      <c r="C3239" s="49" t="s">
        <v>19</v>
      </c>
      <c r="D3239" s="110" t="str">
        <f>IF(ISBLANK($B3239),"",IFERROR(VLOOKUP($B3239,ESTOQUE!$B$2:$D$97168,3,FALSE),"Produto não cadastrado"))</f>
        <v>CAMISA LARANJA OP. C/ FAIXA REFLETIVA TAM: GG</v>
      </c>
      <c r="E3239" s="99" t="str">
        <f>_xlfn.XLOOKUP(B3239,ESTOQUE!B:B,ESTOQUE!G:G,"",0)</f>
        <v>UND</v>
      </c>
      <c r="F3239" s="99">
        <v>2</v>
      </c>
      <c r="G3239" s="63"/>
      <c r="H3239" s="63"/>
      <c r="I3239" s="63"/>
      <c r="J3239" s="63"/>
      <c r="K3239" s="63"/>
      <c r="L3239" s="63"/>
      <c r="M3239" s="63"/>
      <c r="N3239" s="63"/>
      <c r="O3239" s="63"/>
      <c r="P3239" s="63"/>
      <c r="Q3239" s="63"/>
      <c r="R3239" s="63"/>
      <c r="S3239" s="63"/>
      <c r="T3239" s="63"/>
      <c r="U3239" s="63"/>
      <c r="V3239" s="63"/>
      <c r="W3239" s="63"/>
    </row>
    <row r="3240" spans="1:23" x14ac:dyDescent="0.25">
      <c r="A3240" s="108">
        <v>46130</v>
      </c>
      <c r="B3240" s="128">
        <v>69</v>
      </c>
      <c r="C3240" s="49" t="s">
        <v>19</v>
      </c>
      <c r="D3240" s="110" t="str">
        <f>IF(ISBLANK($B3240),"",IFERROR(VLOOKUP($B3240,ESTOQUE!$B$2:$D$97168,3,FALSE),"Produto não cadastrado"))</f>
        <v>CAMISA LARANJA OP. C/ FAIXA REFLETIVA TAM: M</v>
      </c>
      <c r="E3240" s="99" t="str">
        <f>_xlfn.XLOOKUP(B3240,ESTOQUE!B:B,ESTOQUE!G:G,"",0)</f>
        <v>UND</v>
      </c>
      <c r="F3240" s="99">
        <v>6</v>
      </c>
      <c r="G3240" s="63"/>
      <c r="H3240" s="63"/>
      <c r="I3240" s="63"/>
      <c r="J3240" s="63"/>
      <c r="K3240" s="63"/>
      <c r="L3240" s="63"/>
      <c r="M3240" s="63"/>
      <c r="N3240" s="63"/>
      <c r="O3240" s="63"/>
      <c r="P3240" s="63"/>
      <c r="Q3240" s="63"/>
      <c r="R3240" s="63"/>
      <c r="S3240" s="63"/>
      <c r="T3240" s="63"/>
      <c r="U3240" s="63"/>
      <c r="V3240" s="63"/>
      <c r="W3240" s="63"/>
    </row>
    <row r="3241" spans="1:23" x14ac:dyDescent="0.25">
      <c r="A3241" s="108">
        <v>46130</v>
      </c>
      <c r="B3241" s="128">
        <v>67</v>
      </c>
      <c r="C3241" s="49" t="s">
        <v>19</v>
      </c>
      <c r="D3241" s="110" t="str">
        <f>IF(ISBLANK($B3241),"",IFERROR(VLOOKUP($B3241,ESTOQUE!$B$2:$D$97168,3,FALSE),"Produto não cadastrado"))</f>
        <v>CAMISA LARANJA OP. C/ FAIXA REFLETIVA TAM: G</v>
      </c>
      <c r="E3241" s="99" t="str">
        <f>_xlfn.XLOOKUP(B3241,ESTOQUE!B:B,ESTOQUE!G:G,"",0)</f>
        <v>UND</v>
      </c>
      <c r="F3241" s="99">
        <v>5</v>
      </c>
      <c r="G3241" s="63"/>
      <c r="H3241" s="63"/>
      <c r="I3241" s="63"/>
      <c r="J3241" s="63"/>
      <c r="K3241" s="63"/>
      <c r="L3241" s="63"/>
      <c r="M3241" s="63"/>
      <c r="N3241" s="63"/>
      <c r="O3241" s="63"/>
      <c r="P3241" s="63"/>
      <c r="Q3241" s="63"/>
      <c r="R3241" s="63"/>
      <c r="S3241" s="63"/>
      <c r="T3241" s="63"/>
      <c r="U3241" s="63"/>
      <c r="V3241" s="63"/>
      <c r="W3241" s="63"/>
    </row>
    <row r="3242" spans="1:23" x14ac:dyDescent="0.25">
      <c r="A3242" s="108">
        <v>46130</v>
      </c>
      <c r="B3242" s="128">
        <v>70</v>
      </c>
      <c r="C3242" s="49" t="s">
        <v>19</v>
      </c>
      <c r="D3242" s="110" t="str">
        <f>IF(ISBLANK($B3242),"",IFERROR(VLOOKUP($B3242,ESTOQUE!$B$2:$D$97168,3,FALSE),"Produto não cadastrado"))</f>
        <v>CAMISA LARANJA OP. C/ FAIXA REFLETIVA TAM: P</v>
      </c>
      <c r="E3242" s="99" t="str">
        <f>_xlfn.XLOOKUP(B3242,ESTOQUE!B:B,ESTOQUE!G:G,"",0)</f>
        <v>UND</v>
      </c>
      <c r="F3242" s="99">
        <v>1</v>
      </c>
      <c r="G3242" s="63"/>
      <c r="H3242" s="63"/>
      <c r="I3242" s="63"/>
      <c r="J3242" s="63"/>
      <c r="K3242" s="63"/>
      <c r="L3242" s="63"/>
      <c r="M3242" s="63"/>
      <c r="N3242" s="63"/>
      <c r="O3242" s="63"/>
      <c r="P3242" s="63"/>
      <c r="Q3242" s="63"/>
      <c r="R3242" s="63"/>
      <c r="S3242" s="63"/>
      <c r="T3242" s="63"/>
      <c r="U3242" s="63"/>
      <c r="V3242" s="63"/>
      <c r="W3242" s="63"/>
    </row>
    <row r="3243" spans="1:23" x14ac:dyDescent="0.25">
      <c r="A3243" s="108">
        <v>46130</v>
      </c>
      <c r="B3243" s="128">
        <v>186</v>
      </c>
      <c r="C3243" s="49" t="s">
        <v>19</v>
      </c>
      <c r="D3243" s="110" t="str">
        <f>IF(ISBLANK($B3243),"",IFERROR(VLOOKUP($B3243,ESTOQUE!$B$2:$D$97168,3,FALSE),"Produto não cadastrado"))</f>
        <v>COLETE REFLETIVO LARANJA GG</v>
      </c>
      <c r="E3243" s="99" t="str">
        <f>_xlfn.XLOOKUP(B3243,ESTOQUE!B:B,ESTOQUE!G:G,"",0)</f>
        <v>UND</v>
      </c>
      <c r="F3243" s="99">
        <v>1</v>
      </c>
      <c r="G3243" s="63"/>
      <c r="H3243" s="63"/>
      <c r="I3243" s="63"/>
      <c r="J3243" s="63"/>
      <c r="K3243" s="63"/>
      <c r="L3243" s="63"/>
      <c r="M3243" s="63"/>
      <c r="N3243" s="63"/>
      <c r="O3243" s="63"/>
      <c r="P3243" s="63"/>
      <c r="Q3243" s="63"/>
      <c r="R3243" s="63"/>
      <c r="S3243" s="63"/>
      <c r="T3243" s="63"/>
      <c r="U3243" s="63"/>
      <c r="V3243" s="63"/>
      <c r="W3243" s="63"/>
    </row>
    <row r="3244" spans="1:23" x14ac:dyDescent="0.25">
      <c r="A3244" s="108">
        <v>46130</v>
      </c>
      <c r="B3244" s="128">
        <v>115</v>
      </c>
      <c r="C3244" s="49" t="s">
        <v>19</v>
      </c>
      <c r="D3244" s="110" t="str">
        <f>IF(ISBLANK($B3244),"",IFERROR(VLOOKUP($B3244,ESTOQUE!$B$2:$D$97168,3,FALSE),"Produto não cadastrado"))</f>
        <v>LUVA PARA SOLDADOR MIG AZUL TAM 9</v>
      </c>
      <c r="E3244" s="99" t="str">
        <f>_xlfn.XLOOKUP(B3244,ESTOQUE!B:B,ESTOQUE!G:G,"",0)</f>
        <v>PAR</v>
      </c>
      <c r="F3244" s="99">
        <v>1</v>
      </c>
      <c r="G3244" s="63"/>
      <c r="H3244" s="63"/>
      <c r="I3244" s="63"/>
      <c r="J3244" s="63"/>
      <c r="K3244" s="63"/>
      <c r="L3244" s="63"/>
      <c r="M3244" s="63"/>
      <c r="N3244" s="63"/>
      <c r="O3244" s="63"/>
      <c r="P3244" s="63"/>
      <c r="Q3244" s="63"/>
      <c r="R3244" s="63"/>
      <c r="S3244" s="63"/>
      <c r="T3244" s="63"/>
      <c r="U3244" s="63"/>
      <c r="V3244" s="63"/>
      <c r="W3244" s="63"/>
    </row>
    <row r="3245" spans="1:23" x14ac:dyDescent="0.25">
      <c r="A3245" s="108">
        <v>46130</v>
      </c>
      <c r="B3245" s="128">
        <v>267</v>
      </c>
      <c r="C3245" s="49" t="s">
        <v>19</v>
      </c>
      <c r="D3245" s="110" t="str">
        <f>IF(ISBLANK($B3245),"",IFERROR(VLOOKUP($B3245,ESTOQUE!$B$2:$D$97168,3,FALSE),"Produto não cadastrado"))</f>
        <v>LUVA POLIESTER ANTICORTE CANO LONGO</v>
      </c>
      <c r="E3245" s="99" t="str">
        <f>_xlfn.XLOOKUP(B3245,ESTOQUE!B:B,ESTOQUE!G:G,"",0)</f>
        <v>UND</v>
      </c>
      <c r="F3245" s="99">
        <v>2</v>
      </c>
      <c r="G3245" s="63"/>
      <c r="H3245" s="63"/>
      <c r="I3245" s="63"/>
      <c r="J3245" s="63"/>
      <c r="K3245" s="63"/>
      <c r="L3245" s="63"/>
      <c r="M3245" s="63"/>
      <c r="N3245" s="63"/>
      <c r="O3245" s="63"/>
      <c r="P3245" s="63"/>
      <c r="Q3245" s="63"/>
      <c r="R3245" s="63"/>
      <c r="S3245" s="63"/>
      <c r="T3245" s="63"/>
      <c r="U3245" s="63"/>
      <c r="V3245" s="63"/>
      <c r="W3245" s="63"/>
    </row>
    <row r="3246" spans="1:23" x14ac:dyDescent="0.25">
      <c r="A3246" s="108">
        <v>46130</v>
      </c>
      <c r="B3246" s="128">
        <v>118</v>
      </c>
      <c r="C3246" s="49" t="s">
        <v>19</v>
      </c>
      <c r="D3246" s="110" t="str">
        <f>IF(ISBLANK($B3246),"",IFERROR(VLOOKUP($B3246,ESTOQUE!$B$2:$D$97168,3,FALSE),"Produto não cadastrado"))</f>
        <v>MACACÃO DE PROTEÇÃO TYVEK</v>
      </c>
      <c r="E3246" s="99" t="str">
        <f>_xlfn.XLOOKUP(B3246,ESTOQUE!B:B,ESTOQUE!G:G,"",0)</f>
        <v>UND</v>
      </c>
      <c r="F3246" s="99">
        <v>2</v>
      </c>
      <c r="G3246" s="63"/>
      <c r="H3246" s="63"/>
      <c r="I3246" s="63"/>
      <c r="J3246" s="63"/>
      <c r="K3246" s="63"/>
      <c r="L3246" s="63"/>
      <c r="M3246" s="63"/>
      <c r="N3246" s="63"/>
      <c r="O3246" s="63"/>
      <c r="P3246" s="63"/>
      <c r="Q3246" s="63"/>
      <c r="R3246" s="63"/>
      <c r="S3246" s="63"/>
      <c r="T3246" s="63"/>
      <c r="U3246" s="63"/>
      <c r="V3246" s="63"/>
      <c r="W3246" s="63"/>
    </row>
    <row r="3247" spans="1:23" x14ac:dyDescent="0.25">
      <c r="A3247" s="108">
        <v>46130</v>
      </c>
      <c r="B3247" s="128">
        <v>144</v>
      </c>
      <c r="C3247" s="49" t="s">
        <v>19</v>
      </c>
      <c r="D3247" s="110" t="str">
        <f>IF(ISBLANK($B3247),"",IFERROR(VLOOKUP($B3247,ESTOQUE!$B$2:$D$97168,3,FALSE),"Produto não cadastrado"))</f>
        <v>MASCARA PFF2-S C/ FILTRO</v>
      </c>
      <c r="E3247" s="99" t="str">
        <f>_xlfn.XLOOKUP(B3247,ESTOQUE!B:B,ESTOQUE!G:G,"",0)</f>
        <v>UND</v>
      </c>
      <c r="F3247" s="99">
        <v>19</v>
      </c>
      <c r="G3247" s="63"/>
      <c r="H3247" s="63"/>
      <c r="I3247" s="63"/>
      <c r="J3247" s="63"/>
      <c r="K3247" s="63"/>
      <c r="L3247" s="63"/>
      <c r="M3247" s="63"/>
      <c r="N3247" s="63"/>
      <c r="O3247" s="63"/>
      <c r="P3247" s="63"/>
      <c r="Q3247" s="63"/>
      <c r="R3247" s="63"/>
      <c r="S3247" s="63"/>
      <c r="T3247" s="63"/>
      <c r="U3247" s="63"/>
      <c r="V3247" s="63"/>
      <c r="W3247" s="63"/>
    </row>
    <row r="3248" spans="1:23" x14ac:dyDescent="0.25">
      <c r="A3248" s="108">
        <v>46130</v>
      </c>
      <c r="B3248" s="128">
        <v>224</v>
      </c>
      <c r="C3248" s="49" t="s">
        <v>19</v>
      </c>
      <c r="D3248" s="110" t="str">
        <f>IF(ISBLANK($B3248),"",IFERROR(VLOOKUP($B3248,ESTOQUE!$B$2:$D$97168,3,FALSE),"Produto não cadastrado"))</f>
        <v>OCULOS OPERACIONAL SOBRE POR ESCURO</v>
      </c>
      <c r="E3248" s="99" t="str">
        <f>_xlfn.XLOOKUP(B3248,ESTOQUE!B:B,ESTOQUE!G:G,"",0)</f>
        <v>UND</v>
      </c>
      <c r="F3248" s="99">
        <v>1</v>
      </c>
      <c r="G3248" s="63"/>
      <c r="H3248" s="63"/>
      <c r="I3248" s="63"/>
      <c r="J3248" s="63"/>
      <c r="K3248" s="63"/>
      <c r="L3248" s="63"/>
      <c r="M3248" s="63"/>
      <c r="N3248" s="63"/>
      <c r="O3248" s="63"/>
      <c r="P3248" s="63"/>
      <c r="Q3248" s="63"/>
      <c r="R3248" s="63"/>
      <c r="S3248" s="63"/>
      <c r="T3248" s="63"/>
      <c r="U3248" s="63"/>
      <c r="V3248" s="63"/>
      <c r="W3248" s="63"/>
    </row>
    <row r="3249" spans="1:23" x14ac:dyDescent="0.25">
      <c r="A3249" s="108">
        <v>46130</v>
      </c>
      <c r="B3249" s="128">
        <v>129</v>
      </c>
      <c r="C3249" s="49" t="s">
        <v>19</v>
      </c>
      <c r="D3249" s="110" t="str">
        <f>IF(ISBLANK($B3249),"",IFERROR(VLOOKUP($B3249,ESTOQUE!$B$2:$D$97168,3,FALSE),"Produto não cadastrado"))</f>
        <v>PERNEIRA DE RASPA</v>
      </c>
      <c r="E3249" s="99" t="str">
        <f>_xlfn.XLOOKUP(B3249,ESTOQUE!B:B,ESTOQUE!G:G,"",0)</f>
        <v>PAR</v>
      </c>
      <c r="F3249" s="99">
        <v>1</v>
      </c>
      <c r="G3249" s="63"/>
      <c r="H3249" s="63"/>
      <c r="I3249" s="63"/>
      <c r="J3249" s="63"/>
      <c r="K3249" s="63"/>
      <c r="L3249" s="63"/>
      <c r="M3249" s="63"/>
      <c r="N3249" s="63"/>
      <c r="O3249" s="63"/>
      <c r="P3249" s="63"/>
      <c r="Q3249" s="63"/>
      <c r="R3249" s="63"/>
      <c r="S3249" s="63"/>
      <c r="T3249" s="63"/>
      <c r="U3249" s="63"/>
      <c r="V3249" s="63"/>
      <c r="W3249" s="63"/>
    </row>
    <row r="3250" spans="1:23" x14ac:dyDescent="0.25">
      <c r="A3250" s="108">
        <v>46130</v>
      </c>
      <c r="B3250" s="128">
        <v>139</v>
      </c>
      <c r="C3250" s="49" t="s">
        <v>19</v>
      </c>
      <c r="D3250" s="110" t="str">
        <f>IF(ISBLANK($B3250),"",IFERROR(VLOOKUP($B3250,ESTOQUE!$B$2:$D$97168,3,FALSE),"Produto não cadastrado"))</f>
        <v>PROTETOR AURICULAR TIPO PLUG</v>
      </c>
      <c r="E3250" s="99" t="str">
        <f>_xlfn.XLOOKUP(B3250,ESTOQUE!B:B,ESTOQUE!G:G,"",0)</f>
        <v>UND</v>
      </c>
      <c r="F3250" s="99">
        <v>1</v>
      </c>
      <c r="G3250" s="63"/>
      <c r="H3250" s="63"/>
      <c r="I3250" s="63"/>
      <c r="J3250" s="63"/>
      <c r="K3250" s="63"/>
      <c r="L3250" s="63"/>
      <c r="M3250" s="63"/>
      <c r="N3250" s="63"/>
      <c r="O3250" s="63"/>
      <c r="P3250" s="63"/>
      <c r="Q3250" s="63"/>
      <c r="R3250" s="63"/>
      <c r="S3250" s="63"/>
      <c r="T3250" s="63"/>
      <c r="U3250" s="63"/>
      <c r="V3250" s="63"/>
      <c r="W3250" s="63"/>
    </row>
    <row r="3251" spans="1:23" x14ac:dyDescent="0.25">
      <c r="A3251" s="108">
        <v>46130</v>
      </c>
      <c r="B3251" s="128">
        <v>137</v>
      </c>
      <c r="C3251" s="49" t="s">
        <v>19</v>
      </c>
      <c r="D3251" s="110" t="str">
        <f>IF(ISBLANK($B3251),"",IFERROR(VLOOKUP($B3251,ESTOQUE!$B$2:$D$97168,3,FALSE),"Produto não cadastrado"))</f>
        <v xml:space="preserve">TOUCA ARABE </v>
      </c>
      <c r="E3251" s="99" t="str">
        <f>_xlfn.XLOOKUP(B3251,ESTOQUE!B:B,ESTOQUE!G:G,"",0)</f>
        <v>UND</v>
      </c>
      <c r="F3251" s="99">
        <v>1</v>
      </c>
      <c r="G3251" s="63"/>
      <c r="H3251" s="63"/>
      <c r="I3251" s="63"/>
      <c r="J3251" s="63"/>
      <c r="K3251" s="63"/>
      <c r="L3251" s="63"/>
      <c r="M3251" s="63"/>
      <c r="N3251" s="63"/>
      <c r="O3251" s="63"/>
      <c r="P3251" s="63"/>
      <c r="Q3251" s="63"/>
      <c r="R3251" s="63"/>
      <c r="S3251" s="63"/>
      <c r="T3251" s="63"/>
      <c r="U3251" s="63"/>
      <c r="V3251" s="63"/>
      <c r="W3251" s="63"/>
    </row>
    <row r="3252" spans="1:23" x14ac:dyDescent="0.25">
      <c r="A3252" s="108">
        <v>46131</v>
      </c>
      <c r="B3252" s="128">
        <v>228</v>
      </c>
      <c r="C3252" s="49" t="s">
        <v>19</v>
      </c>
      <c r="D3252" s="110" t="str">
        <f>IF(ISBLANK($B3252),"",IFERROR(VLOOKUP($B3252,ESTOQUE!$B$2:$D$97168,3,FALSE),"Produto não cadastrado"))</f>
        <v xml:space="preserve">BALACLAVA  </v>
      </c>
      <c r="E3252" s="99" t="str">
        <f>_xlfn.XLOOKUP(B3252,ESTOQUE!B:B,ESTOQUE!G:G,"",0)</f>
        <v>UND</v>
      </c>
      <c r="F3252" s="99">
        <v>8</v>
      </c>
      <c r="G3252" s="63"/>
      <c r="H3252" s="63"/>
      <c r="I3252" s="63"/>
      <c r="J3252" s="63"/>
      <c r="K3252" s="63"/>
      <c r="L3252" s="63"/>
      <c r="M3252" s="63"/>
      <c r="N3252" s="63"/>
      <c r="O3252" s="63"/>
      <c r="P3252" s="63"/>
      <c r="Q3252" s="63"/>
      <c r="R3252" s="63"/>
      <c r="S3252" s="63"/>
      <c r="T3252" s="63"/>
      <c r="U3252" s="63"/>
      <c r="V3252" s="63"/>
      <c r="W3252" s="63"/>
    </row>
    <row r="3253" spans="1:23" x14ac:dyDescent="0.25">
      <c r="A3253" s="108">
        <v>46131</v>
      </c>
      <c r="B3253" s="128">
        <v>46</v>
      </c>
      <c r="C3253" s="49" t="s">
        <v>19</v>
      </c>
      <c r="D3253" s="110" t="str">
        <f>IF(ISBLANK($B3253),"",IFERROR(VLOOKUP($B3253,ESTOQUE!$B$2:$D$97168,3,FALSE),"Produto não cadastrado"))</f>
        <v>CALÇA CINZA OP. C/ FAIXA REFLETIVA TAM: G</v>
      </c>
      <c r="E3253" s="99" t="str">
        <f>_xlfn.XLOOKUP(B3253,ESTOQUE!B:B,ESTOQUE!G:G,"",0)</f>
        <v>UND</v>
      </c>
      <c r="F3253" s="99">
        <v>2</v>
      </c>
      <c r="G3253" s="63"/>
      <c r="H3253" s="63"/>
      <c r="I3253" s="63"/>
      <c r="J3253" s="63"/>
      <c r="K3253" s="63"/>
      <c r="L3253" s="63"/>
      <c r="M3253" s="63"/>
      <c r="N3253" s="63"/>
      <c r="O3253" s="63"/>
      <c r="P3253" s="63"/>
      <c r="Q3253" s="63"/>
      <c r="R3253" s="63"/>
      <c r="S3253" s="63"/>
      <c r="T3253" s="63"/>
      <c r="U3253" s="63"/>
      <c r="V3253" s="63"/>
      <c r="W3253" s="63"/>
    </row>
    <row r="3254" spans="1:23" x14ac:dyDescent="0.25">
      <c r="A3254" s="108">
        <v>46131</v>
      </c>
      <c r="B3254" s="128">
        <v>48</v>
      </c>
      <c r="C3254" s="49" t="s">
        <v>19</v>
      </c>
      <c r="D3254" s="110" t="str">
        <f>IF(ISBLANK($B3254),"",IFERROR(VLOOKUP($B3254,ESTOQUE!$B$2:$D$97168,3,FALSE),"Produto não cadastrado"))</f>
        <v>CALÇA CINZA OP. C/ FAIXA REFLETIVA TAM: M</v>
      </c>
      <c r="E3254" s="99" t="str">
        <f>_xlfn.XLOOKUP(B3254,ESTOQUE!B:B,ESTOQUE!G:G,"",0)</f>
        <v>UND</v>
      </c>
      <c r="F3254" s="99">
        <v>4</v>
      </c>
      <c r="G3254" s="63"/>
      <c r="H3254" s="63"/>
      <c r="I3254" s="63"/>
      <c r="J3254" s="63"/>
      <c r="K3254" s="63"/>
      <c r="L3254" s="63"/>
      <c r="M3254" s="63"/>
      <c r="N3254" s="63"/>
      <c r="O3254" s="63"/>
      <c r="P3254" s="63"/>
      <c r="Q3254" s="63"/>
      <c r="R3254" s="63"/>
      <c r="S3254" s="63"/>
      <c r="T3254" s="63"/>
      <c r="U3254" s="63"/>
      <c r="V3254" s="63"/>
      <c r="W3254" s="63"/>
    </row>
    <row r="3255" spans="1:23" x14ac:dyDescent="0.25">
      <c r="A3255" s="108">
        <v>46131</v>
      </c>
      <c r="B3255" s="128">
        <v>50</v>
      </c>
      <c r="C3255" s="49" t="s">
        <v>19</v>
      </c>
      <c r="D3255" s="110" t="str">
        <f>IF(ISBLANK($B3255),"",IFERROR(VLOOKUP($B3255,ESTOQUE!$B$2:$D$97168,3,FALSE),"Produto não cadastrado"))</f>
        <v>CALÇA CINZA OP. C/ FAIXA REFLETIVA TAM: XG</v>
      </c>
      <c r="E3255" s="99" t="str">
        <f>_xlfn.XLOOKUP(B3255,ESTOQUE!B:B,ESTOQUE!G:G,"",0)</f>
        <v>UND</v>
      </c>
      <c r="F3255" s="99">
        <v>1</v>
      </c>
      <c r="G3255" s="63"/>
      <c r="H3255" s="63"/>
      <c r="I3255" s="63"/>
      <c r="J3255" s="63"/>
      <c r="K3255" s="63"/>
      <c r="L3255" s="63"/>
      <c r="M3255" s="63"/>
      <c r="N3255" s="63"/>
      <c r="O3255" s="63"/>
      <c r="P3255" s="63"/>
      <c r="Q3255" s="63"/>
      <c r="R3255" s="63"/>
      <c r="S3255" s="63"/>
      <c r="T3255" s="63"/>
      <c r="U3255" s="63"/>
      <c r="V3255" s="63"/>
      <c r="W3255" s="63"/>
    </row>
    <row r="3256" spans="1:23" x14ac:dyDescent="0.25">
      <c r="A3256" s="108">
        <v>46131</v>
      </c>
      <c r="B3256" s="128">
        <v>202</v>
      </c>
      <c r="C3256" s="49" t="s">
        <v>19</v>
      </c>
      <c r="D3256" s="110" t="str">
        <f>IF(ISBLANK($B3256),"",IFERROR(VLOOKUP($B3256,ESTOQUE!$B$2:$D$97168,3,FALSE),"Produto não cadastrado"))</f>
        <v>CALÇA DE ELETRICISTA NR.10 TAM: M</v>
      </c>
      <c r="E3256" s="99" t="str">
        <f>_xlfn.XLOOKUP(B3256,ESTOQUE!B:B,ESTOQUE!G:G,"",0)</f>
        <v>UND</v>
      </c>
      <c r="F3256" s="99">
        <v>1</v>
      </c>
      <c r="G3256" s="63"/>
      <c r="H3256" s="63"/>
      <c r="I3256" s="63"/>
      <c r="J3256" s="63"/>
      <c r="K3256" s="63"/>
      <c r="L3256" s="63"/>
      <c r="M3256" s="63"/>
      <c r="N3256" s="63"/>
      <c r="O3256" s="63"/>
      <c r="P3256" s="63"/>
      <c r="Q3256" s="63"/>
      <c r="R3256" s="63"/>
      <c r="S3256" s="63"/>
      <c r="T3256" s="63"/>
      <c r="U3256" s="63"/>
      <c r="V3256" s="63"/>
      <c r="W3256" s="63"/>
    </row>
    <row r="3257" spans="1:23" x14ac:dyDescent="0.25">
      <c r="A3257" s="108">
        <v>46131</v>
      </c>
      <c r="B3257" s="128">
        <v>199</v>
      </c>
      <c r="C3257" s="49" t="s">
        <v>19</v>
      </c>
      <c r="D3257" s="110" t="str">
        <f>IF(ISBLANK($B3257),"",IFERROR(VLOOKUP($B3257,ESTOQUE!$B$2:$D$97168,3,FALSE),"Produto não cadastrado"))</f>
        <v>CAMISA LARANJA OP. C/ FAIXA REFLETIVA TAM: EXG</v>
      </c>
      <c r="E3257" s="99" t="str">
        <f>_xlfn.XLOOKUP(B3257,ESTOQUE!B:B,ESTOQUE!G:G,"",0)</f>
        <v>UND</v>
      </c>
      <c r="F3257" s="99">
        <v>1</v>
      </c>
      <c r="G3257" s="63"/>
      <c r="H3257" s="63"/>
      <c r="I3257" s="63"/>
      <c r="J3257" s="63"/>
      <c r="K3257" s="63"/>
      <c r="L3257" s="63"/>
      <c r="M3257" s="63"/>
      <c r="N3257" s="63"/>
      <c r="O3257" s="63"/>
      <c r="P3257" s="63"/>
      <c r="Q3257" s="63"/>
      <c r="R3257" s="63"/>
      <c r="S3257" s="63"/>
      <c r="T3257" s="63"/>
      <c r="U3257" s="63"/>
      <c r="V3257" s="63"/>
      <c r="W3257" s="63"/>
    </row>
    <row r="3258" spans="1:23" x14ac:dyDescent="0.25">
      <c r="A3258" s="108">
        <v>46131</v>
      </c>
      <c r="B3258" s="128">
        <v>67</v>
      </c>
      <c r="C3258" s="49" t="s">
        <v>19</v>
      </c>
      <c r="D3258" s="110" t="str">
        <f>IF(ISBLANK($B3258),"",IFERROR(VLOOKUP($B3258,ESTOQUE!$B$2:$D$97168,3,FALSE),"Produto não cadastrado"))</f>
        <v>CAMISA LARANJA OP. C/ FAIXA REFLETIVA TAM: G</v>
      </c>
      <c r="E3258" s="99" t="str">
        <f>_xlfn.XLOOKUP(B3258,ESTOQUE!B:B,ESTOQUE!G:G,"",0)</f>
        <v>UND</v>
      </c>
      <c r="F3258" s="99">
        <v>5</v>
      </c>
      <c r="G3258" s="63"/>
      <c r="H3258" s="63"/>
      <c r="I3258" s="63"/>
      <c r="J3258" s="63"/>
      <c r="K3258" s="63"/>
      <c r="L3258" s="63"/>
      <c r="M3258" s="63"/>
      <c r="N3258" s="63"/>
      <c r="O3258" s="63"/>
      <c r="P3258" s="63"/>
      <c r="Q3258" s="63"/>
      <c r="R3258" s="63"/>
      <c r="S3258" s="63"/>
      <c r="T3258" s="63"/>
      <c r="U3258" s="63"/>
      <c r="V3258" s="63"/>
      <c r="W3258" s="63"/>
    </row>
    <row r="3259" spans="1:23" x14ac:dyDescent="0.25">
      <c r="A3259" s="108">
        <v>46131</v>
      </c>
      <c r="B3259" s="128">
        <v>68</v>
      </c>
      <c r="C3259" s="49" t="s">
        <v>19</v>
      </c>
      <c r="D3259" s="110" t="str">
        <f>IF(ISBLANK($B3259),"",IFERROR(VLOOKUP($B3259,ESTOQUE!$B$2:$D$97168,3,FALSE),"Produto não cadastrado"))</f>
        <v>CAMISA LARANJA OP. C/ FAIXA REFLETIVA TAM: GG</v>
      </c>
      <c r="E3259" s="99" t="str">
        <f>_xlfn.XLOOKUP(B3259,ESTOQUE!B:B,ESTOQUE!G:G,"",0)</f>
        <v>UND</v>
      </c>
      <c r="F3259" s="99">
        <v>1</v>
      </c>
      <c r="G3259" s="63"/>
      <c r="H3259" s="63"/>
      <c r="I3259" s="63"/>
      <c r="J3259" s="63"/>
      <c r="K3259" s="63"/>
      <c r="L3259" s="63"/>
      <c r="M3259" s="63"/>
      <c r="N3259" s="63"/>
      <c r="O3259" s="63"/>
      <c r="P3259" s="63"/>
      <c r="Q3259" s="63"/>
      <c r="R3259" s="63"/>
      <c r="S3259" s="63"/>
      <c r="T3259" s="63"/>
      <c r="U3259" s="63"/>
      <c r="V3259" s="63"/>
      <c r="W3259" s="63"/>
    </row>
    <row r="3260" spans="1:23" x14ac:dyDescent="0.25">
      <c r="A3260" s="108">
        <v>46131</v>
      </c>
      <c r="B3260" s="128">
        <v>69</v>
      </c>
      <c r="C3260" s="49" t="s">
        <v>19</v>
      </c>
      <c r="D3260" s="110" t="str">
        <f>IF(ISBLANK($B3260),"",IFERROR(VLOOKUP($B3260,ESTOQUE!$B$2:$D$97168,3,FALSE),"Produto não cadastrado"))</f>
        <v>CAMISA LARANJA OP. C/ FAIXA REFLETIVA TAM: M</v>
      </c>
      <c r="E3260" s="99" t="str">
        <f>_xlfn.XLOOKUP(B3260,ESTOQUE!B:B,ESTOQUE!G:G,"",0)</f>
        <v>UND</v>
      </c>
      <c r="F3260" s="99">
        <v>2</v>
      </c>
      <c r="G3260" s="63"/>
      <c r="H3260" s="63"/>
      <c r="I3260" s="63"/>
      <c r="J3260" s="63"/>
      <c r="K3260" s="63"/>
      <c r="L3260" s="63"/>
      <c r="M3260" s="63"/>
      <c r="N3260" s="63"/>
      <c r="O3260" s="63"/>
      <c r="P3260" s="63"/>
      <c r="Q3260" s="63"/>
      <c r="R3260" s="63"/>
      <c r="S3260" s="63"/>
      <c r="T3260" s="63"/>
      <c r="U3260" s="63"/>
      <c r="V3260" s="63"/>
      <c r="W3260" s="63"/>
    </row>
    <row r="3261" spans="1:23" x14ac:dyDescent="0.25">
      <c r="A3261" s="108">
        <v>46131</v>
      </c>
      <c r="B3261" s="128">
        <v>118</v>
      </c>
      <c r="C3261" s="49" t="s">
        <v>19</v>
      </c>
      <c r="D3261" s="110" t="str">
        <f>IF(ISBLANK($B3261),"",IFERROR(VLOOKUP($B3261,ESTOQUE!$B$2:$D$97168,3,FALSE),"Produto não cadastrado"))</f>
        <v>MACACÃO DE PROTEÇÃO TYVEK</v>
      </c>
      <c r="E3261" s="99" t="str">
        <f>_xlfn.XLOOKUP(B3261,ESTOQUE!B:B,ESTOQUE!G:G,"",0)</f>
        <v>UND</v>
      </c>
      <c r="F3261" s="99">
        <v>2</v>
      </c>
      <c r="G3261" s="63"/>
      <c r="H3261" s="63"/>
      <c r="I3261" s="63"/>
      <c r="J3261" s="63"/>
      <c r="K3261" s="63"/>
      <c r="L3261" s="63"/>
      <c r="M3261" s="63"/>
      <c r="N3261" s="63"/>
      <c r="O3261" s="63"/>
      <c r="P3261" s="63"/>
      <c r="Q3261" s="63"/>
      <c r="R3261" s="63"/>
      <c r="S3261" s="63"/>
      <c r="T3261" s="63"/>
      <c r="U3261" s="63"/>
      <c r="V3261" s="63"/>
      <c r="W3261" s="63"/>
    </row>
    <row r="3262" spans="1:23" x14ac:dyDescent="0.25">
      <c r="A3262" s="108">
        <v>46131</v>
      </c>
      <c r="B3262" s="128">
        <v>144</v>
      </c>
      <c r="C3262" s="49" t="s">
        <v>19</v>
      </c>
      <c r="D3262" s="110" t="str">
        <f>IF(ISBLANK($B3262),"",IFERROR(VLOOKUP($B3262,ESTOQUE!$B$2:$D$97168,3,FALSE),"Produto não cadastrado"))</f>
        <v>MASCARA PFF2-S C/ FILTRO</v>
      </c>
      <c r="E3262" s="99" t="str">
        <f>_xlfn.XLOOKUP(B3262,ESTOQUE!B:B,ESTOQUE!G:G,"",0)</f>
        <v>UND</v>
      </c>
      <c r="F3262" s="99">
        <v>10</v>
      </c>
      <c r="G3262" s="63"/>
      <c r="H3262" s="63"/>
      <c r="I3262" s="63"/>
      <c r="J3262" s="63"/>
      <c r="K3262" s="63"/>
      <c r="L3262" s="63"/>
      <c r="M3262" s="63"/>
      <c r="N3262" s="63"/>
      <c r="O3262" s="63"/>
      <c r="P3262" s="63"/>
      <c r="Q3262" s="63"/>
      <c r="R3262" s="63"/>
      <c r="S3262" s="63"/>
      <c r="T3262" s="63"/>
      <c r="U3262" s="63"/>
      <c r="V3262" s="63"/>
      <c r="W3262" s="63"/>
    </row>
    <row r="3263" spans="1:23" x14ac:dyDescent="0.25">
      <c r="A3263" s="108">
        <v>46131</v>
      </c>
      <c r="B3263" s="128">
        <v>224</v>
      </c>
      <c r="C3263" s="49" t="s">
        <v>19</v>
      </c>
      <c r="D3263" s="110" t="str">
        <f>IF(ISBLANK($B3263),"",IFERROR(VLOOKUP($B3263,ESTOQUE!$B$2:$D$97168,3,FALSE),"Produto não cadastrado"))</f>
        <v>OCULOS OPERACIONAL SOBRE POR ESCURO</v>
      </c>
      <c r="E3263" s="99" t="str">
        <f>_xlfn.XLOOKUP(B3263,ESTOQUE!B:B,ESTOQUE!G:G,"",0)</f>
        <v>UND</v>
      </c>
      <c r="F3263" s="99">
        <v>2</v>
      </c>
      <c r="G3263" s="63"/>
      <c r="H3263" s="63"/>
      <c r="I3263" s="63"/>
      <c r="J3263" s="63"/>
      <c r="K3263" s="63"/>
      <c r="L3263" s="63"/>
      <c r="M3263" s="63"/>
      <c r="N3263" s="63"/>
      <c r="O3263" s="63"/>
      <c r="P3263" s="63"/>
      <c r="Q3263" s="63"/>
      <c r="R3263" s="63"/>
      <c r="S3263" s="63"/>
      <c r="T3263" s="63"/>
      <c r="U3263" s="63"/>
      <c r="V3263" s="63"/>
      <c r="W3263" s="63"/>
    </row>
    <row r="3264" spans="1:23" x14ac:dyDescent="0.25">
      <c r="A3264" s="108">
        <v>46133</v>
      </c>
      <c r="B3264" s="128">
        <v>228</v>
      </c>
      <c r="C3264" s="49" t="s">
        <v>19</v>
      </c>
      <c r="D3264" s="110" t="str">
        <f>IF(ISBLANK($B3264),"",IFERROR(VLOOKUP($B3264,ESTOQUE!$B$2:$D$97168,3,FALSE),"Produto não cadastrado"))</f>
        <v xml:space="preserve">BALACLAVA  </v>
      </c>
      <c r="E3264" s="99" t="str">
        <f>_xlfn.XLOOKUP(B3264,ESTOQUE!B:B,ESTOQUE!G:G,"",0)</f>
        <v>UND</v>
      </c>
      <c r="F3264" s="99">
        <v>28</v>
      </c>
      <c r="G3264" s="63"/>
      <c r="H3264" s="63"/>
      <c r="I3264" s="63"/>
      <c r="J3264" s="63"/>
      <c r="K3264" s="63"/>
      <c r="L3264" s="63"/>
      <c r="M3264" s="63"/>
      <c r="N3264" s="63"/>
      <c r="O3264" s="63"/>
      <c r="P3264" s="63"/>
      <c r="Q3264" s="63"/>
      <c r="R3264" s="63"/>
      <c r="S3264" s="63"/>
      <c r="T3264" s="63"/>
      <c r="U3264" s="63"/>
      <c r="V3264" s="63"/>
      <c r="W3264" s="63"/>
    </row>
    <row r="3265" spans="1:23" x14ac:dyDescent="0.25">
      <c r="A3265" s="108">
        <v>46133</v>
      </c>
      <c r="B3265" s="128">
        <v>38</v>
      </c>
      <c r="C3265" s="49" t="s">
        <v>19</v>
      </c>
      <c r="D3265" s="110" t="str">
        <f>IF(ISBLANK($B3265),"",IFERROR(VLOOKUP($B3265,ESTOQUE!$B$2:$D$97168,3,FALSE),"Produto não cadastrado"))</f>
        <v>BOTINA OP. BICO PVC Nº 40</v>
      </c>
      <c r="E3265" s="99" t="str">
        <f>_xlfn.XLOOKUP(B3265,ESTOQUE!B:B,ESTOQUE!G:G,"",0)</f>
        <v>PAR</v>
      </c>
      <c r="F3265" s="99">
        <v>0</v>
      </c>
      <c r="G3265" s="63"/>
      <c r="H3265" s="63"/>
      <c r="I3265" s="63"/>
      <c r="J3265" s="63"/>
      <c r="K3265" s="63"/>
      <c r="L3265" s="63"/>
      <c r="M3265" s="63"/>
      <c r="N3265" s="63"/>
      <c r="O3265" s="63"/>
      <c r="P3265" s="63"/>
      <c r="Q3265" s="63"/>
      <c r="R3265" s="63"/>
      <c r="S3265" s="63"/>
      <c r="T3265" s="63"/>
      <c r="U3265" s="63"/>
      <c r="V3265" s="63"/>
      <c r="W3265" s="63"/>
    </row>
    <row r="3266" spans="1:23" x14ac:dyDescent="0.25">
      <c r="A3266" s="108">
        <v>46133</v>
      </c>
      <c r="B3266" s="128">
        <v>39</v>
      </c>
      <c r="C3266" s="49" t="s">
        <v>19</v>
      </c>
      <c r="D3266" s="110" t="str">
        <f>IF(ISBLANK($B3266),"",IFERROR(VLOOKUP($B3266,ESTOQUE!$B$2:$D$97168,3,FALSE),"Produto não cadastrado"))</f>
        <v>BOTINA OP. BICO PVC Nº 41</v>
      </c>
      <c r="E3266" s="99" t="str">
        <f>_xlfn.XLOOKUP(B3266,ESTOQUE!B:B,ESTOQUE!G:G,"",0)</f>
        <v>PAR</v>
      </c>
      <c r="F3266" s="99">
        <v>0</v>
      </c>
      <c r="G3266" s="63"/>
      <c r="H3266" s="63"/>
      <c r="I3266" s="63"/>
      <c r="J3266" s="63"/>
      <c r="K3266" s="63"/>
      <c r="L3266" s="63"/>
      <c r="M3266" s="63"/>
      <c r="N3266" s="63"/>
      <c r="O3266" s="63"/>
      <c r="P3266" s="63"/>
      <c r="Q3266" s="63"/>
      <c r="R3266" s="63"/>
      <c r="S3266" s="63"/>
      <c r="T3266" s="63"/>
      <c r="U3266" s="63"/>
      <c r="V3266" s="63"/>
      <c r="W3266" s="63"/>
    </row>
    <row r="3267" spans="1:23" x14ac:dyDescent="0.25">
      <c r="A3267" s="108">
        <v>46133</v>
      </c>
      <c r="B3267" s="128">
        <v>216</v>
      </c>
      <c r="C3267" s="49" t="s">
        <v>19</v>
      </c>
      <c r="D3267" s="110" t="str">
        <f>IF(ISBLANK($B3267),"",IFERROR(VLOOKUP($B3267,ESTOQUE!$B$2:$D$97168,3,FALSE),"Produto não cadastrado"))</f>
        <v>BOTINA SEGURANÇA METATARSO  39</v>
      </c>
      <c r="E3267" s="99" t="str">
        <f>_xlfn.XLOOKUP(B3267,ESTOQUE!B:B,ESTOQUE!G:G,"",0)</f>
        <v>PAR</v>
      </c>
      <c r="F3267" s="99">
        <v>1</v>
      </c>
      <c r="G3267" s="63"/>
      <c r="H3267" s="63"/>
      <c r="I3267" s="63"/>
      <c r="J3267" s="63"/>
      <c r="K3267" s="63"/>
      <c r="L3267" s="63"/>
      <c r="M3267" s="63"/>
      <c r="N3267" s="63"/>
      <c r="O3267" s="63"/>
      <c r="P3267" s="63"/>
      <c r="Q3267" s="63"/>
      <c r="R3267" s="63"/>
      <c r="S3267" s="63"/>
      <c r="T3267" s="63"/>
      <c r="U3267" s="63"/>
      <c r="V3267" s="63"/>
      <c r="W3267" s="63"/>
    </row>
    <row r="3268" spans="1:23" x14ac:dyDescent="0.25">
      <c r="A3268" s="108">
        <v>46133</v>
      </c>
      <c r="B3268" s="128">
        <v>218</v>
      </c>
      <c r="C3268" s="49" t="s">
        <v>19</v>
      </c>
      <c r="D3268" s="110" t="str">
        <f>IF(ISBLANK($B3268),"",IFERROR(VLOOKUP($B3268,ESTOQUE!$B$2:$D$97168,3,FALSE),"Produto não cadastrado"))</f>
        <v>BOTINA SEGURANÇA METATARSO  41</v>
      </c>
      <c r="E3268" s="99" t="str">
        <f>_xlfn.XLOOKUP(B3268,ESTOQUE!B:B,ESTOQUE!G:G,"",0)</f>
        <v>PAR</v>
      </c>
      <c r="F3268" s="99">
        <v>1</v>
      </c>
      <c r="G3268" s="63"/>
      <c r="H3268" s="63"/>
      <c r="I3268" s="63"/>
      <c r="J3268" s="63"/>
      <c r="K3268" s="63"/>
      <c r="L3268" s="63"/>
      <c r="M3268" s="63"/>
      <c r="N3268" s="63"/>
      <c r="O3268" s="63"/>
      <c r="P3268" s="63"/>
      <c r="Q3268" s="63"/>
      <c r="R3268" s="63"/>
      <c r="S3268" s="63"/>
      <c r="T3268" s="63"/>
      <c r="U3268" s="63"/>
      <c r="V3268" s="63"/>
      <c r="W3268" s="63"/>
    </row>
    <row r="3269" spans="1:23" x14ac:dyDescent="0.25">
      <c r="A3269" s="108">
        <v>46133</v>
      </c>
      <c r="B3269" s="128">
        <v>46</v>
      </c>
      <c r="C3269" s="49" t="s">
        <v>19</v>
      </c>
      <c r="D3269" s="110" t="str">
        <f>IF(ISBLANK($B3269),"",IFERROR(VLOOKUP($B3269,ESTOQUE!$B$2:$D$97168,3,FALSE),"Produto não cadastrado"))</f>
        <v>CALÇA CINZA OP. C/ FAIXA REFLETIVA TAM: G</v>
      </c>
      <c r="E3269" s="99" t="str">
        <f>_xlfn.XLOOKUP(B3269,ESTOQUE!B:B,ESTOQUE!G:G,"",0)</f>
        <v>UND</v>
      </c>
      <c r="F3269" s="99">
        <v>6</v>
      </c>
      <c r="G3269" s="63"/>
      <c r="H3269" s="63"/>
      <c r="I3269" s="63"/>
      <c r="J3269" s="63"/>
      <c r="K3269" s="63"/>
      <c r="L3269" s="63"/>
      <c r="M3269" s="63"/>
      <c r="N3269" s="63"/>
      <c r="O3269" s="63"/>
      <c r="P3269" s="63"/>
      <c r="Q3269" s="63"/>
      <c r="R3269" s="63"/>
      <c r="S3269" s="63"/>
      <c r="T3269" s="63"/>
      <c r="U3269" s="63"/>
      <c r="V3269" s="63"/>
      <c r="W3269" s="63"/>
    </row>
    <row r="3270" spans="1:23" x14ac:dyDescent="0.25">
      <c r="A3270" s="108">
        <v>46133</v>
      </c>
      <c r="B3270" s="128">
        <v>47</v>
      </c>
      <c r="C3270" s="49" t="s">
        <v>19</v>
      </c>
      <c r="D3270" s="110" t="str">
        <f>IF(ISBLANK($B3270),"",IFERROR(VLOOKUP($B3270,ESTOQUE!$B$2:$D$97168,3,FALSE),"Produto não cadastrado"))</f>
        <v>CALÇA CINZA OP. C/ FAIXA REFLETIVA TAM: GG</v>
      </c>
      <c r="E3270" s="99" t="str">
        <f>_xlfn.XLOOKUP(B3270,ESTOQUE!B:B,ESTOQUE!G:G,"",0)</f>
        <v>UND</v>
      </c>
      <c r="F3270" s="99">
        <v>1</v>
      </c>
      <c r="G3270" s="63"/>
      <c r="H3270" s="63"/>
      <c r="I3270" s="63"/>
      <c r="J3270" s="63"/>
      <c r="K3270" s="63"/>
      <c r="L3270" s="63"/>
      <c r="M3270" s="63"/>
      <c r="N3270" s="63"/>
      <c r="O3270" s="63"/>
      <c r="P3270" s="63"/>
      <c r="Q3270" s="63"/>
      <c r="R3270" s="63"/>
      <c r="S3270" s="63"/>
      <c r="T3270" s="63"/>
      <c r="U3270" s="63"/>
      <c r="V3270" s="63"/>
      <c r="W3270" s="63"/>
    </row>
    <row r="3271" spans="1:23" x14ac:dyDescent="0.25">
      <c r="A3271" s="108">
        <v>46133</v>
      </c>
      <c r="B3271" s="128">
        <v>48</v>
      </c>
      <c r="C3271" s="49" t="s">
        <v>19</v>
      </c>
      <c r="D3271" s="110" t="str">
        <f>IF(ISBLANK($B3271),"",IFERROR(VLOOKUP($B3271,ESTOQUE!$B$2:$D$97168,3,FALSE),"Produto não cadastrado"))</f>
        <v>CALÇA CINZA OP. C/ FAIXA REFLETIVA TAM: M</v>
      </c>
      <c r="E3271" s="99" t="str">
        <f>_xlfn.XLOOKUP(B3271,ESTOQUE!B:B,ESTOQUE!G:G,"",0)</f>
        <v>UND</v>
      </c>
      <c r="F3271" s="99">
        <v>8</v>
      </c>
      <c r="G3271" s="63"/>
      <c r="H3271" s="63"/>
      <c r="I3271" s="63"/>
      <c r="J3271" s="63"/>
      <c r="K3271" s="63"/>
      <c r="L3271" s="63"/>
      <c r="M3271" s="63"/>
      <c r="N3271" s="63"/>
      <c r="O3271" s="63"/>
      <c r="P3271" s="63"/>
      <c r="Q3271" s="63"/>
      <c r="R3271" s="63"/>
      <c r="S3271" s="63"/>
      <c r="T3271" s="63"/>
      <c r="U3271" s="63"/>
      <c r="V3271" s="63"/>
      <c r="W3271" s="63"/>
    </row>
    <row r="3272" spans="1:23" x14ac:dyDescent="0.25">
      <c r="A3272" s="108">
        <v>46133</v>
      </c>
      <c r="B3272" s="128">
        <v>49</v>
      </c>
      <c r="C3272" s="49" t="s">
        <v>19</v>
      </c>
      <c r="D3272" s="110" t="str">
        <f>IF(ISBLANK($B3272),"",IFERROR(VLOOKUP($B3272,ESTOQUE!$B$2:$D$97168,3,FALSE),"Produto não cadastrado"))</f>
        <v>CALÇA CINZA OP. C/ FAIXA REFLETIVA TAM: P</v>
      </c>
      <c r="E3272" s="99" t="str">
        <f>_xlfn.XLOOKUP(B3272,ESTOQUE!B:B,ESTOQUE!G:G,"",0)</f>
        <v>UND</v>
      </c>
      <c r="F3272" s="99">
        <v>3</v>
      </c>
      <c r="G3272" s="63"/>
      <c r="H3272" s="63"/>
      <c r="I3272" s="63"/>
      <c r="J3272" s="63"/>
      <c r="K3272" s="63"/>
      <c r="L3272" s="63"/>
      <c r="M3272" s="63"/>
      <c r="N3272" s="63"/>
      <c r="O3272" s="63"/>
      <c r="P3272" s="63"/>
      <c r="Q3272" s="63"/>
      <c r="R3272" s="63"/>
      <c r="S3272" s="63"/>
      <c r="T3272" s="63"/>
      <c r="U3272" s="63"/>
      <c r="V3272" s="63"/>
      <c r="W3272" s="63"/>
    </row>
    <row r="3273" spans="1:23" x14ac:dyDescent="0.25">
      <c r="A3273" s="108">
        <v>46133</v>
      </c>
      <c r="B3273" s="128">
        <v>67</v>
      </c>
      <c r="C3273" s="49" t="s">
        <v>19</v>
      </c>
      <c r="D3273" s="110" t="str">
        <f>IF(ISBLANK($B3273),"",IFERROR(VLOOKUP($B3273,ESTOQUE!$B$2:$D$97168,3,FALSE),"Produto não cadastrado"))</f>
        <v>CAMISA LARANJA OP. C/ FAIXA REFLETIVA TAM: G</v>
      </c>
      <c r="E3273" s="99" t="str">
        <f>_xlfn.XLOOKUP(B3273,ESTOQUE!B:B,ESTOQUE!G:G,"",0)</f>
        <v>UND</v>
      </c>
      <c r="F3273" s="99">
        <v>3</v>
      </c>
      <c r="G3273" s="63"/>
      <c r="H3273" s="63"/>
      <c r="I3273" s="63"/>
      <c r="J3273" s="63"/>
      <c r="K3273" s="63"/>
      <c r="L3273" s="63"/>
      <c r="M3273" s="63"/>
      <c r="N3273" s="63"/>
      <c r="O3273" s="63"/>
      <c r="P3273" s="63"/>
      <c r="Q3273" s="63"/>
      <c r="R3273" s="63"/>
      <c r="S3273" s="63"/>
      <c r="T3273" s="63"/>
      <c r="U3273" s="63"/>
      <c r="V3273" s="63"/>
      <c r="W3273" s="63"/>
    </row>
    <row r="3274" spans="1:23" x14ac:dyDescent="0.25">
      <c r="A3274" s="108">
        <v>46133</v>
      </c>
      <c r="B3274" s="128">
        <v>69</v>
      </c>
      <c r="C3274" s="49" t="s">
        <v>19</v>
      </c>
      <c r="D3274" s="110" t="str">
        <f>IF(ISBLANK($B3274),"",IFERROR(VLOOKUP($B3274,ESTOQUE!$B$2:$D$97168,3,FALSE),"Produto não cadastrado"))</f>
        <v>CAMISA LARANJA OP. C/ FAIXA REFLETIVA TAM: M</v>
      </c>
      <c r="E3274" s="99" t="str">
        <f>_xlfn.XLOOKUP(B3274,ESTOQUE!B:B,ESTOQUE!G:G,"",0)</f>
        <v>UND</v>
      </c>
      <c r="F3274" s="99">
        <v>11</v>
      </c>
      <c r="G3274" s="63"/>
      <c r="H3274" s="63"/>
      <c r="I3274" s="63"/>
      <c r="J3274" s="63"/>
      <c r="K3274" s="63"/>
      <c r="L3274" s="63"/>
      <c r="M3274" s="63"/>
      <c r="N3274" s="63"/>
      <c r="O3274" s="63"/>
      <c r="P3274" s="63"/>
      <c r="Q3274" s="63"/>
      <c r="R3274" s="63"/>
      <c r="S3274" s="63"/>
      <c r="T3274" s="63"/>
      <c r="U3274" s="63"/>
      <c r="V3274" s="63"/>
      <c r="W3274" s="63"/>
    </row>
    <row r="3275" spans="1:23" x14ac:dyDescent="0.25">
      <c r="A3275" s="108">
        <v>46133</v>
      </c>
      <c r="B3275" s="128">
        <v>70</v>
      </c>
      <c r="C3275" s="49" t="s">
        <v>19</v>
      </c>
      <c r="D3275" s="110" t="str">
        <f>IF(ISBLANK($B3275),"",IFERROR(VLOOKUP($B3275,ESTOQUE!$B$2:$D$97168,3,FALSE),"Produto não cadastrado"))</f>
        <v>CAMISA LARANJA OP. C/ FAIXA REFLETIVA TAM: P</v>
      </c>
      <c r="E3275" s="99" t="str">
        <f>_xlfn.XLOOKUP(B3275,ESTOQUE!B:B,ESTOQUE!G:G,"",0)</f>
        <v>UND</v>
      </c>
      <c r="F3275" s="99">
        <v>2</v>
      </c>
      <c r="G3275" s="63"/>
      <c r="H3275" s="63"/>
      <c r="I3275" s="63"/>
      <c r="J3275" s="63"/>
      <c r="K3275" s="63"/>
      <c r="L3275" s="63"/>
      <c r="M3275" s="63"/>
      <c r="N3275" s="63"/>
      <c r="O3275" s="63"/>
      <c r="P3275" s="63"/>
      <c r="Q3275" s="63"/>
      <c r="R3275" s="63"/>
      <c r="S3275" s="63"/>
      <c r="T3275" s="63"/>
      <c r="U3275" s="63"/>
      <c r="V3275" s="63"/>
      <c r="W3275" s="63"/>
    </row>
    <row r="3276" spans="1:23" x14ac:dyDescent="0.25">
      <c r="A3276" s="108">
        <v>46133</v>
      </c>
      <c r="B3276" s="128">
        <v>84</v>
      </c>
      <c r="C3276" s="49" t="s">
        <v>19</v>
      </c>
      <c r="D3276" s="110" t="str">
        <f>IF(ISBLANK($B3276),"",IFERROR(VLOOKUP($B3276,ESTOQUE!$B$2:$D$97168,3,FALSE),"Produto não cadastrado"))</f>
        <v>CAPACETE LIBUS MARROM</v>
      </c>
      <c r="E3276" s="99" t="str">
        <f>_xlfn.XLOOKUP(B3276,ESTOQUE!B:B,ESTOQUE!G:G,"",0)</f>
        <v>UND</v>
      </c>
      <c r="F3276" s="99">
        <v>1</v>
      </c>
      <c r="G3276" s="63"/>
      <c r="H3276" s="63"/>
      <c r="I3276" s="63"/>
      <c r="J3276" s="63"/>
      <c r="K3276" s="63"/>
      <c r="L3276" s="63"/>
      <c r="M3276" s="63"/>
      <c r="N3276" s="63"/>
      <c r="O3276" s="63"/>
      <c r="P3276" s="63"/>
      <c r="Q3276" s="63"/>
      <c r="R3276" s="63"/>
      <c r="S3276" s="63"/>
      <c r="T3276" s="63"/>
      <c r="U3276" s="63"/>
      <c r="V3276" s="63"/>
      <c r="W3276" s="63"/>
    </row>
    <row r="3277" spans="1:23" x14ac:dyDescent="0.25">
      <c r="A3277" s="108">
        <v>46133</v>
      </c>
      <c r="B3277" s="128">
        <v>186</v>
      </c>
      <c r="C3277" s="49" t="s">
        <v>19</v>
      </c>
      <c r="D3277" s="110" t="str">
        <f>IF(ISBLANK($B3277),"",IFERROR(VLOOKUP($B3277,ESTOQUE!$B$2:$D$97168,3,FALSE),"Produto não cadastrado"))</f>
        <v>COLETE REFLETIVO LARANJA GG</v>
      </c>
      <c r="E3277" s="99" t="str">
        <f>_xlfn.XLOOKUP(B3277,ESTOQUE!B:B,ESTOQUE!G:G,"",0)</f>
        <v>UND</v>
      </c>
      <c r="F3277" s="99">
        <v>1</v>
      </c>
      <c r="G3277" s="63"/>
      <c r="H3277" s="63"/>
      <c r="I3277" s="63"/>
      <c r="J3277" s="63"/>
      <c r="K3277" s="63"/>
      <c r="L3277" s="63"/>
      <c r="M3277" s="63"/>
      <c r="N3277" s="63"/>
      <c r="O3277" s="63"/>
      <c r="P3277" s="63"/>
      <c r="Q3277" s="63"/>
      <c r="R3277" s="63"/>
      <c r="S3277" s="63"/>
      <c r="T3277" s="63"/>
      <c r="U3277" s="63"/>
      <c r="V3277" s="63"/>
      <c r="W3277" s="63"/>
    </row>
    <row r="3278" spans="1:23" x14ac:dyDescent="0.25">
      <c r="A3278" s="108">
        <v>46133</v>
      </c>
      <c r="B3278" s="128">
        <v>148</v>
      </c>
      <c r="C3278" s="49" t="s">
        <v>19</v>
      </c>
      <c r="D3278" s="110" t="str">
        <f>IF(ISBLANK($B3278),"",IFERROR(VLOOKUP($B3278,ESTOQUE!$B$2:$D$97168,3,FALSE),"Produto não cadastrado"))</f>
        <v>LUVA DE PU PRETA TAM 8</v>
      </c>
      <c r="E3278" s="99" t="str">
        <f>_xlfn.XLOOKUP(B3278,ESTOQUE!B:B,ESTOQUE!G:G,"",0)</f>
        <v>PAR</v>
      </c>
      <c r="F3278" s="99">
        <v>0</v>
      </c>
      <c r="G3278" s="63"/>
      <c r="H3278" s="63"/>
      <c r="I3278" s="63"/>
      <c r="J3278" s="63"/>
      <c r="K3278" s="63"/>
      <c r="L3278" s="63"/>
      <c r="M3278" s="63"/>
      <c r="N3278" s="63"/>
      <c r="O3278" s="63"/>
      <c r="P3278" s="63"/>
      <c r="Q3278" s="63"/>
      <c r="R3278" s="63"/>
      <c r="S3278" s="63"/>
      <c r="T3278" s="63"/>
      <c r="U3278" s="63"/>
      <c r="V3278" s="63"/>
      <c r="W3278" s="63"/>
    </row>
    <row r="3279" spans="1:23" x14ac:dyDescent="0.25">
      <c r="A3279" s="108">
        <v>46133</v>
      </c>
      <c r="B3279" s="128">
        <v>111</v>
      </c>
      <c r="C3279" s="49" t="s">
        <v>19</v>
      </c>
      <c r="D3279" s="110" t="str">
        <f>IF(ISBLANK($B3279),"",IFERROR(VLOOKUP($B3279,ESTOQUE!$B$2:$D$97168,3,FALSE),"Produto não cadastrado"))</f>
        <v>LUVA DE VAQUETA MARROM</v>
      </c>
      <c r="E3279" s="99" t="str">
        <f>_xlfn.XLOOKUP(B3279,ESTOQUE!B:B,ESTOQUE!G:G,"",0)</f>
        <v>PAR</v>
      </c>
      <c r="F3279" s="99">
        <v>5</v>
      </c>
      <c r="G3279" s="63"/>
      <c r="H3279" s="63"/>
      <c r="I3279" s="63"/>
      <c r="J3279" s="63"/>
      <c r="K3279" s="63"/>
      <c r="L3279" s="63"/>
      <c r="M3279" s="63"/>
      <c r="N3279" s="63"/>
      <c r="O3279" s="63"/>
      <c r="P3279" s="63"/>
      <c r="Q3279" s="63"/>
      <c r="R3279" s="63"/>
      <c r="S3279" s="63"/>
      <c r="T3279" s="63"/>
      <c r="U3279" s="63"/>
      <c r="V3279" s="63"/>
      <c r="W3279" s="63"/>
    </row>
    <row r="3280" spans="1:23" x14ac:dyDescent="0.25">
      <c r="A3280" s="108">
        <v>46133</v>
      </c>
      <c r="B3280" s="128">
        <v>189</v>
      </c>
      <c r="C3280" s="49" t="s">
        <v>19</v>
      </c>
      <c r="D3280" s="110" t="str">
        <f>IF(ISBLANK($B3280),"",IFERROR(VLOOKUP($B3280,ESTOQUE!$B$2:$D$97168,3,FALSE),"Produto não cadastrado"))</f>
        <v xml:space="preserve">LUVA DE VAQUETA MISTA </v>
      </c>
      <c r="E3280" s="99" t="str">
        <f>_xlfn.XLOOKUP(B3280,ESTOQUE!B:B,ESTOQUE!G:G,"",0)</f>
        <v>UND</v>
      </c>
      <c r="F3280" s="99">
        <v>2</v>
      </c>
      <c r="G3280" s="63"/>
      <c r="H3280" s="63"/>
      <c r="I3280" s="63"/>
      <c r="J3280" s="63"/>
      <c r="K3280" s="63"/>
      <c r="L3280" s="63"/>
      <c r="M3280" s="63"/>
      <c r="N3280" s="63"/>
      <c r="O3280" s="63"/>
      <c r="P3280" s="63"/>
      <c r="Q3280" s="63"/>
      <c r="R3280" s="63"/>
      <c r="S3280" s="63"/>
      <c r="T3280" s="63"/>
      <c r="U3280" s="63"/>
      <c r="V3280" s="63"/>
      <c r="W3280" s="63"/>
    </row>
    <row r="3281" spans="1:23" x14ac:dyDescent="0.25">
      <c r="A3281" s="108">
        <v>46133</v>
      </c>
      <c r="B3281" s="128">
        <v>114</v>
      </c>
      <c r="C3281" s="49" t="s">
        <v>19</v>
      </c>
      <c r="D3281" s="110" t="str">
        <f>IF(ISBLANK($B3281),"",IFERROR(VLOOKUP($B3281,ESTOQUE!$B$2:$D$97168,3,FALSE),"Produto não cadastrado"))</f>
        <v xml:space="preserve">LUVA LATEX NITRILICA </v>
      </c>
      <c r="E3281" s="99" t="str">
        <f>_xlfn.XLOOKUP(B3281,ESTOQUE!B:B,ESTOQUE!G:G,"",0)</f>
        <v>PAR</v>
      </c>
      <c r="F3281" s="99">
        <v>2</v>
      </c>
      <c r="G3281" s="63"/>
      <c r="H3281" s="63"/>
      <c r="I3281" s="63"/>
      <c r="J3281" s="63"/>
      <c r="K3281" s="63"/>
      <c r="L3281" s="63"/>
      <c r="M3281" s="63"/>
      <c r="N3281" s="63"/>
      <c r="O3281" s="63"/>
      <c r="P3281" s="63"/>
      <c r="Q3281" s="63"/>
      <c r="R3281" s="63"/>
      <c r="S3281" s="63"/>
      <c r="T3281" s="63"/>
      <c r="U3281" s="63"/>
      <c r="V3281" s="63"/>
      <c r="W3281" s="63"/>
    </row>
    <row r="3282" spans="1:23" x14ac:dyDescent="0.25">
      <c r="A3282" s="108">
        <v>46133</v>
      </c>
      <c r="B3282" s="128">
        <v>117</v>
      </c>
      <c r="C3282" s="49" t="s">
        <v>19</v>
      </c>
      <c r="D3282" s="110" t="str">
        <f>IF(ISBLANK($B3282),"",IFERROR(VLOOKUP($B3282,ESTOQUE!$B$2:$D$97168,3,FALSE),"Produto não cadastrado"))</f>
        <v>LUVA PIGMENTADA</v>
      </c>
      <c r="E3282" s="99" t="str">
        <f>_xlfn.XLOOKUP(B3282,ESTOQUE!B:B,ESTOQUE!G:G,"",0)</f>
        <v>PAR</v>
      </c>
      <c r="F3282" s="99">
        <v>86</v>
      </c>
      <c r="G3282" s="63"/>
      <c r="H3282" s="63"/>
      <c r="I3282" s="63"/>
      <c r="J3282" s="63"/>
      <c r="K3282" s="63"/>
      <c r="L3282" s="63"/>
      <c r="M3282" s="63"/>
      <c r="N3282" s="63"/>
      <c r="O3282" s="63"/>
      <c r="P3282" s="63"/>
      <c r="Q3282" s="63"/>
      <c r="R3282" s="63"/>
      <c r="S3282" s="63"/>
      <c r="T3282" s="63"/>
      <c r="U3282" s="63"/>
      <c r="V3282" s="63"/>
      <c r="W3282" s="63"/>
    </row>
    <row r="3283" spans="1:23" x14ac:dyDescent="0.25">
      <c r="A3283" s="108">
        <v>46133</v>
      </c>
      <c r="B3283" s="128">
        <v>207</v>
      </c>
      <c r="C3283" s="49" t="s">
        <v>19</v>
      </c>
      <c r="D3283" s="110" t="str">
        <f>IF(ISBLANK($B3283),"",IFERROR(VLOOKUP($B3283,ESTOQUE!$B$2:$D$97168,3,FALSE),"Produto não cadastrado"))</f>
        <v>LUVA POLIESTER ANTICORTE BANHADA PU TAM 9</v>
      </c>
      <c r="E3283" s="99" t="str">
        <f>_xlfn.XLOOKUP(B3283,ESTOQUE!B:B,ESTOQUE!G:G,"",0)</f>
        <v>PAR</v>
      </c>
      <c r="F3283" s="99">
        <v>17</v>
      </c>
      <c r="G3283" s="63"/>
      <c r="H3283" s="63"/>
      <c r="I3283" s="63"/>
      <c r="J3283" s="63"/>
      <c r="K3283" s="63"/>
      <c r="L3283" s="63"/>
      <c r="M3283" s="63"/>
      <c r="N3283" s="63"/>
      <c r="O3283" s="63"/>
      <c r="P3283" s="63"/>
      <c r="Q3283" s="63"/>
      <c r="R3283" s="63"/>
      <c r="S3283" s="63"/>
      <c r="T3283" s="63"/>
      <c r="U3283" s="63"/>
      <c r="V3283" s="63"/>
      <c r="W3283" s="63"/>
    </row>
    <row r="3284" spans="1:23" x14ac:dyDescent="0.25">
      <c r="A3284" s="108">
        <v>46133</v>
      </c>
      <c r="B3284" s="128">
        <v>118</v>
      </c>
      <c r="C3284" s="49" t="s">
        <v>19</v>
      </c>
      <c r="D3284" s="110" t="str">
        <f>IF(ISBLANK($B3284),"",IFERROR(VLOOKUP($B3284,ESTOQUE!$B$2:$D$97168,3,FALSE),"Produto não cadastrado"))</f>
        <v>MACACÃO DE PROTEÇÃO TYVEK</v>
      </c>
      <c r="E3284" s="99" t="str">
        <f>_xlfn.XLOOKUP(B3284,ESTOQUE!B:B,ESTOQUE!G:G,"",0)</f>
        <v>UND</v>
      </c>
      <c r="F3284" s="99">
        <v>78</v>
      </c>
      <c r="G3284" s="63"/>
      <c r="H3284" s="63"/>
      <c r="I3284" s="63"/>
      <c r="J3284" s="63"/>
      <c r="K3284" s="63"/>
      <c r="L3284" s="63"/>
      <c r="M3284" s="63"/>
      <c r="N3284" s="63"/>
      <c r="O3284" s="63"/>
      <c r="P3284" s="63"/>
      <c r="Q3284" s="63"/>
      <c r="R3284" s="63"/>
      <c r="S3284" s="63"/>
      <c r="T3284" s="63"/>
      <c r="U3284" s="63"/>
      <c r="V3284" s="63"/>
      <c r="W3284" s="63"/>
    </row>
    <row r="3285" spans="1:23" x14ac:dyDescent="0.25">
      <c r="A3285" s="108">
        <v>46133</v>
      </c>
      <c r="B3285" s="128">
        <v>125</v>
      </c>
      <c r="C3285" s="49" t="s">
        <v>19</v>
      </c>
      <c r="D3285" s="110" t="str">
        <f>IF(ISBLANK($B3285),"",IFERROR(VLOOKUP($B3285,ESTOQUE!$B$2:$D$97168,3,FALSE),"Produto não cadastrado"))</f>
        <v xml:space="preserve">MASCARA DE SOLDA AUTOMATICA </v>
      </c>
      <c r="E3285" s="99" t="str">
        <f>_xlfn.XLOOKUP(B3285,ESTOQUE!B:B,ESTOQUE!G:G,"",0)</f>
        <v>UND</v>
      </c>
      <c r="F3285" s="99">
        <v>1</v>
      </c>
      <c r="G3285" s="63"/>
      <c r="H3285" s="63"/>
      <c r="I3285" s="63"/>
      <c r="J3285" s="63"/>
      <c r="K3285" s="63"/>
      <c r="L3285" s="63"/>
      <c r="M3285" s="63"/>
      <c r="N3285" s="63"/>
      <c r="O3285" s="63"/>
      <c r="P3285" s="63"/>
      <c r="Q3285" s="63"/>
      <c r="R3285" s="63"/>
      <c r="S3285" s="63"/>
      <c r="T3285" s="63"/>
      <c r="U3285" s="63"/>
      <c r="V3285" s="63"/>
      <c r="W3285" s="63"/>
    </row>
    <row r="3286" spans="1:23" x14ac:dyDescent="0.25">
      <c r="A3286" s="108">
        <v>46133</v>
      </c>
      <c r="B3286" s="128">
        <v>144</v>
      </c>
      <c r="C3286" s="49" t="s">
        <v>19</v>
      </c>
      <c r="D3286" s="110" t="str">
        <f>IF(ISBLANK($B3286),"",IFERROR(VLOOKUP($B3286,ESTOQUE!$B$2:$D$97168,3,FALSE),"Produto não cadastrado"))</f>
        <v>MASCARA PFF2-S C/ FILTRO</v>
      </c>
      <c r="E3286" s="99" t="str">
        <f>_xlfn.XLOOKUP(B3286,ESTOQUE!B:B,ESTOQUE!G:G,"",0)</f>
        <v>UND</v>
      </c>
      <c r="F3286" s="99">
        <v>45</v>
      </c>
      <c r="G3286" s="63"/>
      <c r="H3286" s="63"/>
      <c r="I3286" s="63"/>
      <c r="J3286" s="63"/>
      <c r="K3286" s="63"/>
      <c r="L3286" s="63"/>
      <c r="M3286" s="63"/>
      <c r="N3286" s="63"/>
      <c r="O3286" s="63"/>
      <c r="P3286" s="63"/>
      <c r="Q3286" s="63"/>
      <c r="R3286" s="63"/>
      <c r="S3286" s="63"/>
      <c r="T3286" s="63"/>
      <c r="U3286" s="63"/>
      <c r="V3286" s="63"/>
      <c r="W3286" s="63"/>
    </row>
    <row r="3287" spans="1:23" x14ac:dyDescent="0.25">
      <c r="A3287" s="108">
        <v>46133</v>
      </c>
      <c r="B3287" s="128">
        <v>124</v>
      </c>
      <c r="C3287" s="49" t="s">
        <v>19</v>
      </c>
      <c r="D3287" s="110" t="str">
        <f>IF(ISBLANK($B3287),"",IFERROR(VLOOKUP($B3287,ESTOQUE!$B$2:$D$97168,3,FALSE),"Produto não cadastrado"))</f>
        <v xml:space="preserve">OCULOS DE PROTEÇÃO INCOLOR </v>
      </c>
      <c r="E3287" s="99" t="str">
        <f>_xlfn.XLOOKUP(B3287,ESTOQUE!B:B,ESTOQUE!G:G,"",0)</f>
        <v>UND</v>
      </c>
      <c r="F3287" s="99">
        <v>2</v>
      </c>
      <c r="G3287" s="63"/>
      <c r="H3287" s="63"/>
      <c r="I3287" s="63"/>
      <c r="J3287" s="63"/>
      <c r="K3287" s="63"/>
      <c r="L3287" s="63"/>
      <c r="M3287" s="63"/>
      <c r="N3287" s="63"/>
      <c r="O3287" s="63"/>
      <c r="P3287" s="63"/>
      <c r="Q3287" s="63"/>
      <c r="R3287" s="63"/>
      <c r="S3287" s="63"/>
      <c r="T3287" s="63"/>
      <c r="U3287" s="63"/>
      <c r="V3287" s="63"/>
      <c r="W3287" s="63"/>
    </row>
    <row r="3288" spans="1:23" x14ac:dyDescent="0.25">
      <c r="A3288" s="108">
        <v>46133</v>
      </c>
      <c r="B3288" s="128">
        <v>217</v>
      </c>
      <c r="C3288" s="49" t="s">
        <v>19</v>
      </c>
      <c r="D3288" s="110" t="str">
        <f>IF(ISBLANK($B3288),"",IFERROR(VLOOKUP($B3288,ESTOQUE!$B$2:$D$97168,3,FALSE),"Produto não cadastrado"))</f>
        <v>BOTINA SEGURANÇA METATARSO  40</v>
      </c>
      <c r="E3288" s="99" t="str">
        <f>_xlfn.XLOOKUP(B3288,ESTOQUE!B:B,ESTOQUE!G:G,"",0)</f>
        <v>PAR</v>
      </c>
      <c r="F3288" s="99">
        <v>1</v>
      </c>
      <c r="G3288" s="63"/>
      <c r="H3288" s="63"/>
      <c r="I3288" s="63"/>
      <c r="J3288" s="63"/>
      <c r="K3288" s="63"/>
      <c r="L3288" s="63"/>
      <c r="M3288" s="63"/>
      <c r="N3288" s="63"/>
      <c r="O3288" s="63"/>
      <c r="P3288" s="63"/>
      <c r="Q3288" s="63"/>
      <c r="R3288" s="63"/>
      <c r="S3288" s="63"/>
      <c r="T3288" s="63"/>
      <c r="U3288" s="63"/>
      <c r="V3288" s="63"/>
      <c r="W3288" s="63"/>
    </row>
    <row r="3289" spans="1:23" x14ac:dyDescent="0.25">
      <c r="A3289" s="108">
        <v>46134</v>
      </c>
      <c r="B3289" s="128">
        <v>228</v>
      </c>
      <c r="C3289" s="49" t="s">
        <v>19</v>
      </c>
      <c r="D3289" s="110" t="str">
        <f>IF(ISBLANK($B3289),"",IFERROR(VLOOKUP($B3289,ESTOQUE!$B$2:$D$97168,3,FALSE),"Produto não cadastrado"))</f>
        <v xml:space="preserve">BALACLAVA  </v>
      </c>
      <c r="E3289" s="99" t="str">
        <f>_xlfn.XLOOKUP(B3289,ESTOQUE!B:B,ESTOQUE!G:G,"",0)</f>
        <v>UND</v>
      </c>
      <c r="F3289" s="99">
        <v>15</v>
      </c>
      <c r="G3289" s="63"/>
      <c r="H3289" s="63"/>
      <c r="I3289" s="63"/>
      <c r="J3289" s="63"/>
      <c r="K3289" s="63"/>
      <c r="L3289" s="63"/>
      <c r="M3289" s="63"/>
      <c r="N3289" s="63"/>
      <c r="O3289" s="63"/>
      <c r="P3289" s="63"/>
      <c r="Q3289" s="63"/>
      <c r="R3289" s="63"/>
      <c r="S3289" s="63"/>
      <c r="T3289" s="63"/>
      <c r="U3289" s="63"/>
      <c r="V3289" s="63"/>
      <c r="W3289" s="63"/>
    </row>
    <row r="3290" spans="1:23" x14ac:dyDescent="0.25">
      <c r="A3290" s="108">
        <v>46134</v>
      </c>
      <c r="B3290" s="128">
        <v>173</v>
      </c>
      <c r="C3290" s="49" t="s">
        <v>19</v>
      </c>
      <c r="D3290" s="110" t="str">
        <f>IF(ISBLANK($B3290),"",IFERROR(VLOOKUP($B3290,ESTOQUE!$B$2:$D$97168,3,FALSE),"Produto não cadastrado"))</f>
        <v>BOTA PVC CANO CURTO Nº 42</v>
      </c>
      <c r="E3290" s="99" t="str">
        <f>_xlfn.XLOOKUP(B3290,ESTOQUE!B:B,ESTOQUE!G:G,"",0)</f>
        <v>PAR</v>
      </c>
      <c r="F3290" s="99">
        <v>0</v>
      </c>
      <c r="G3290" s="63"/>
      <c r="H3290" s="63"/>
      <c r="I3290" s="63"/>
      <c r="J3290" s="63"/>
      <c r="K3290" s="63"/>
      <c r="L3290" s="63"/>
      <c r="M3290" s="63"/>
      <c r="N3290" s="63"/>
      <c r="O3290" s="63"/>
      <c r="P3290" s="63"/>
      <c r="Q3290" s="63"/>
      <c r="R3290" s="63"/>
      <c r="S3290" s="63"/>
      <c r="T3290" s="63"/>
      <c r="U3290" s="63"/>
      <c r="V3290" s="63"/>
      <c r="W3290" s="63"/>
    </row>
    <row r="3291" spans="1:23" x14ac:dyDescent="0.25">
      <c r="A3291" s="108">
        <v>46134</v>
      </c>
      <c r="B3291" s="128">
        <v>46</v>
      </c>
      <c r="C3291" s="49" t="s">
        <v>19</v>
      </c>
      <c r="D3291" s="110" t="str">
        <f>IF(ISBLANK($B3291),"",IFERROR(VLOOKUP($B3291,ESTOQUE!$B$2:$D$97168,3,FALSE),"Produto não cadastrado"))</f>
        <v>CALÇA CINZA OP. C/ FAIXA REFLETIVA TAM: G</v>
      </c>
      <c r="E3291" s="99" t="str">
        <f>_xlfn.XLOOKUP(B3291,ESTOQUE!B:B,ESTOQUE!G:G,"",0)</f>
        <v>UND</v>
      </c>
      <c r="F3291" s="99">
        <v>7</v>
      </c>
      <c r="G3291" s="63"/>
      <c r="H3291" s="63"/>
      <c r="I3291" s="63"/>
      <c r="J3291" s="63"/>
      <c r="K3291" s="63"/>
      <c r="L3291" s="63"/>
      <c r="M3291" s="63"/>
      <c r="N3291" s="63"/>
      <c r="O3291" s="63"/>
      <c r="P3291" s="63"/>
      <c r="Q3291" s="63"/>
      <c r="R3291" s="63"/>
      <c r="S3291" s="63"/>
      <c r="T3291" s="63"/>
      <c r="U3291" s="63"/>
      <c r="V3291" s="63"/>
      <c r="W3291" s="63"/>
    </row>
    <row r="3292" spans="1:23" x14ac:dyDescent="0.25">
      <c r="A3292" s="108">
        <v>46134</v>
      </c>
      <c r="B3292" s="128">
        <v>47</v>
      </c>
      <c r="C3292" s="49" t="s">
        <v>19</v>
      </c>
      <c r="D3292" s="110" t="str">
        <f>IF(ISBLANK($B3292),"",IFERROR(VLOOKUP($B3292,ESTOQUE!$B$2:$D$97168,3,FALSE),"Produto não cadastrado"))</f>
        <v>CALÇA CINZA OP. C/ FAIXA REFLETIVA TAM: GG</v>
      </c>
      <c r="E3292" s="99" t="str">
        <f>_xlfn.XLOOKUP(B3292,ESTOQUE!B:B,ESTOQUE!G:G,"",0)</f>
        <v>UND</v>
      </c>
      <c r="F3292" s="99">
        <v>5</v>
      </c>
      <c r="G3292" s="63"/>
      <c r="H3292" s="63"/>
      <c r="I3292" s="63"/>
      <c r="J3292" s="63"/>
      <c r="K3292" s="63"/>
      <c r="L3292" s="63"/>
      <c r="M3292" s="63"/>
      <c r="N3292" s="63"/>
      <c r="O3292" s="63"/>
      <c r="P3292" s="63"/>
      <c r="Q3292" s="63"/>
      <c r="R3292" s="63"/>
      <c r="S3292" s="63"/>
      <c r="T3292" s="63"/>
      <c r="U3292" s="63"/>
      <c r="V3292" s="63"/>
      <c r="W3292" s="63"/>
    </row>
    <row r="3293" spans="1:23" x14ac:dyDescent="0.25">
      <c r="A3293" s="108">
        <v>46134</v>
      </c>
      <c r="B3293" s="128">
        <v>48</v>
      </c>
      <c r="C3293" s="49" t="s">
        <v>19</v>
      </c>
      <c r="D3293" s="110" t="str">
        <f>IF(ISBLANK($B3293),"",IFERROR(VLOOKUP($B3293,ESTOQUE!$B$2:$D$97168,3,FALSE),"Produto não cadastrado"))</f>
        <v>CALÇA CINZA OP. C/ FAIXA REFLETIVA TAM: M</v>
      </c>
      <c r="E3293" s="99" t="str">
        <f>_xlfn.XLOOKUP(B3293,ESTOQUE!B:B,ESTOQUE!G:G,"",0)</f>
        <v>UND</v>
      </c>
      <c r="F3293" s="99">
        <v>6</v>
      </c>
      <c r="G3293" s="63"/>
      <c r="H3293" s="63"/>
      <c r="I3293" s="63"/>
      <c r="J3293" s="63"/>
      <c r="K3293" s="63"/>
      <c r="L3293" s="63"/>
      <c r="M3293" s="63"/>
      <c r="N3293" s="63"/>
      <c r="O3293" s="63"/>
      <c r="P3293" s="63"/>
      <c r="Q3293" s="63"/>
      <c r="R3293" s="63"/>
      <c r="S3293" s="63"/>
      <c r="T3293" s="63"/>
      <c r="U3293" s="63"/>
      <c r="V3293" s="63"/>
      <c r="W3293" s="63"/>
    </row>
    <row r="3294" spans="1:23" x14ac:dyDescent="0.25">
      <c r="A3294" s="108">
        <v>46134</v>
      </c>
      <c r="B3294" s="128">
        <v>49</v>
      </c>
      <c r="C3294" s="49" t="s">
        <v>19</v>
      </c>
      <c r="D3294" s="110" t="str">
        <f>IF(ISBLANK($B3294),"",IFERROR(VLOOKUP($B3294,ESTOQUE!$B$2:$D$97168,3,FALSE),"Produto não cadastrado"))</f>
        <v>CALÇA CINZA OP. C/ FAIXA REFLETIVA TAM: P</v>
      </c>
      <c r="E3294" s="99" t="str">
        <f>_xlfn.XLOOKUP(B3294,ESTOQUE!B:B,ESTOQUE!G:G,"",0)</f>
        <v>UND</v>
      </c>
      <c r="F3294" s="99">
        <v>9</v>
      </c>
      <c r="G3294" s="63"/>
      <c r="H3294" s="63"/>
      <c r="I3294" s="63"/>
      <c r="J3294" s="63"/>
      <c r="K3294" s="63"/>
      <c r="L3294" s="63"/>
      <c r="M3294" s="63"/>
      <c r="N3294" s="63"/>
      <c r="O3294" s="63"/>
      <c r="P3294" s="63"/>
      <c r="Q3294" s="63"/>
      <c r="R3294" s="63"/>
      <c r="S3294" s="63"/>
      <c r="T3294" s="63"/>
      <c r="U3294" s="63"/>
      <c r="V3294" s="63"/>
      <c r="W3294" s="63"/>
    </row>
    <row r="3295" spans="1:23" x14ac:dyDescent="0.25">
      <c r="A3295" s="108">
        <v>46134</v>
      </c>
      <c r="B3295" s="128">
        <v>67</v>
      </c>
      <c r="C3295" s="49" t="s">
        <v>19</v>
      </c>
      <c r="D3295" s="110" t="str">
        <f>IF(ISBLANK($B3295),"",IFERROR(VLOOKUP($B3295,ESTOQUE!$B$2:$D$97168,3,FALSE),"Produto não cadastrado"))</f>
        <v>CAMISA LARANJA OP. C/ FAIXA REFLETIVA TAM: G</v>
      </c>
      <c r="E3295" s="99" t="str">
        <f>_xlfn.XLOOKUP(B3295,ESTOQUE!B:B,ESTOQUE!G:G,"",0)</f>
        <v>UND</v>
      </c>
      <c r="F3295" s="99">
        <v>6</v>
      </c>
      <c r="G3295" s="63"/>
      <c r="H3295" s="63"/>
      <c r="I3295" s="63"/>
      <c r="J3295" s="63"/>
      <c r="K3295" s="63"/>
      <c r="L3295" s="63"/>
      <c r="M3295" s="63"/>
      <c r="N3295" s="63"/>
      <c r="O3295" s="63"/>
      <c r="P3295" s="63"/>
      <c r="Q3295" s="63"/>
      <c r="R3295" s="63"/>
      <c r="S3295" s="63"/>
      <c r="T3295" s="63"/>
      <c r="U3295" s="63"/>
      <c r="V3295" s="63"/>
      <c r="W3295" s="63"/>
    </row>
    <row r="3296" spans="1:23" x14ac:dyDescent="0.25">
      <c r="A3296" s="108">
        <v>46134</v>
      </c>
      <c r="B3296" s="128">
        <v>68</v>
      </c>
      <c r="C3296" s="49" t="s">
        <v>19</v>
      </c>
      <c r="D3296" s="110" t="str">
        <f>IF(ISBLANK($B3296),"",IFERROR(VLOOKUP($B3296,ESTOQUE!$B$2:$D$97168,3,FALSE),"Produto não cadastrado"))</f>
        <v>CAMISA LARANJA OP. C/ FAIXA REFLETIVA TAM: GG</v>
      </c>
      <c r="E3296" s="99" t="str">
        <f>_xlfn.XLOOKUP(B3296,ESTOQUE!B:B,ESTOQUE!G:G,"",0)</f>
        <v>UND</v>
      </c>
      <c r="F3296" s="99">
        <v>3</v>
      </c>
      <c r="G3296" s="63"/>
      <c r="H3296" s="63"/>
      <c r="I3296" s="63"/>
      <c r="J3296" s="63"/>
      <c r="K3296" s="63"/>
      <c r="L3296" s="63"/>
      <c r="M3296" s="63"/>
      <c r="N3296" s="63"/>
      <c r="O3296" s="63"/>
      <c r="P3296" s="63"/>
      <c r="Q3296" s="63"/>
      <c r="R3296" s="63"/>
      <c r="S3296" s="63"/>
      <c r="T3296" s="63"/>
      <c r="U3296" s="63"/>
      <c r="V3296" s="63"/>
      <c r="W3296" s="63"/>
    </row>
    <row r="3297" spans="1:23" x14ac:dyDescent="0.25">
      <c r="A3297" s="108">
        <v>46134</v>
      </c>
      <c r="B3297" s="128">
        <v>69</v>
      </c>
      <c r="C3297" s="49" t="s">
        <v>19</v>
      </c>
      <c r="D3297" s="110" t="str">
        <f>IF(ISBLANK($B3297),"",IFERROR(VLOOKUP($B3297,ESTOQUE!$B$2:$D$97168,3,FALSE),"Produto não cadastrado"))</f>
        <v>CAMISA LARANJA OP. C/ FAIXA REFLETIVA TAM: M</v>
      </c>
      <c r="E3297" s="99" t="str">
        <f>_xlfn.XLOOKUP(B3297,ESTOQUE!B:B,ESTOQUE!G:G,"",0)</f>
        <v>UND</v>
      </c>
      <c r="F3297" s="99">
        <v>7</v>
      </c>
      <c r="G3297" s="63"/>
      <c r="H3297" s="63"/>
      <c r="I3297" s="63"/>
      <c r="J3297" s="63"/>
      <c r="K3297" s="63"/>
      <c r="L3297" s="63"/>
      <c r="M3297" s="63"/>
      <c r="N3297" s="63"/>
      <c r="O3297" s="63"/>
      <c r="P3297" s="63"/>
      <c r="Q3297" s="63"/>
      <c r="R3297" s="63"/>
      <c r="S3297" s="63"/>
      <c r="T3297" s="63"/>
      <c r="U3297" s="63"/>
      <c r="V3297" s="63"/>
      <c r="W3297" s="63"/>
    </row>
    <row r="3298" spans="1:23" x14ac:dyDescent="0.25">
      <c r="A3298" s="108">
        <v>46134</v>
      </c>
      <c r="B3298" s="128">
        <v>70</v>
      </c>
      <c r="C3298" s="49" t="s">
        <v>19</v>
      </c>
      <c r="D3298" s="110" t="str">
        <f>IF(ISBLANK($B3298),"",IFERROR(VLOOKUP($B3298,ESTOQUE!$B$2:$D$97168,3,FALSE),"Produto não cadastrado"))</f>
        <v>CAMISA LARANJA OP. C/ FAIXA REFLETIVA TAM: P</v>
      </c>
      <c r="E3298" s="99" t="str">
        <f>_xlfn.XLOOKUP(B3298,ESTOQUE!B:B,ESTOQUE!G:G,"",0)</f>
        <v>UND</v>
      </c>
      <c r="F3298" s="99">
        <v>2</v>
      </c>
      <c r="G3298" s="63"/>
      <c r="H3298" s="63"/>
      <c r="I3298" s="63"/>
      <c r="J3298" s="63"/>
      <c r="K3298" s="63"/>
      <c r="L3298" s="63"/>
      <c r="M3298" s="63"/>
      <c r="N3298" s="63"/>
      <c r="O3298" s="63"/>
      <c r="P3298" s="63"/>
      <c r="Q3298" s="63"/>
      <c r="R3298" s="63"/>
      <c r="S3298" s="63"/>
      <c r="T3298" s="63"/>
      <c r="U3298" s="63"/>
      <c r="V3298" s="63"/>
      <c r="W3298" s="63"/>
    </row>
    <row r="3299" spans="1:23" x14ac:dyDescent="0.25">
      <c r="A3299" s="108">
        <v>46134</v>
      </c>
      <c r="B3299" s="128">
        <v>227</v>
      </c>
      <c r="C3299" s="49" t="s">
        <v>19</v>
      </c>
      <c r="D3299" s="110" t="str">
        <f>IF(ISBLANK($B3299),"",IFERROR(VLOOKUP($B3299,ESTOQUE!$B$2:$D$97168,3,FALSE),"Produto não cadastrado"))</f>
        <v>LUVA  ALTA TENSÃO 2,5 KV  ORION CLASSE 00</v>
      </c>
      <c r="E3299" s="99" t="str">
        <f>_xlfn.XLOOKUP(B3299,ESTOQUE!B:B,ESTOQUE!G:G,"",0)</f>
        <v>UND</v>
      </c>
      <c r="F3299" s="99">
        <v>0</v>
      </c>
      <c r="G3299" s="63"/>
      <c r="H3299" s="63"/>
      <c r="I3299" s="63"/>
      <c r="J3299" s="63"/>
      <c r="K3299" s="63"/>
      <c r="L3299" s="63"/>
      <c r="M3299" s="63"/>
      <c r="N3299" s="63"/>
      <c r="O3299" s="63"/>
      <c r="P3299" s="63"/>
      <c r="Q3299" s="63"/>
      <c r="R3299" s="63"/>
      <c r="S3299" s="63"/>
      <c r="T3299" s="63"/>
      <c r="U3299" s="63"/>
      <c r="V3299" s="63"/>
      <c r="W3299" s="63"/>
    </row>
    <row r="3300" spans="1:23" x14ac:dyDescent="0.25">
      <c r="A3300" s="108">
        <v>46134</v>
      </c>
      <c r="B3300" s="128">
        <v>111</v>
      </c>
      <c r="C3300" s="49" t="s">
        <v>19</v>
      </c>
      <c r="D3300" s="110" t="str">
        <f>IF(ISBLANK($B3300),"",IFERROR(VLOOKUP($B3300,ESTOQUE!$B$2:$D$97168,3,FALSE),"Produto não cadastrado"))</f>
        <v>LUVA DE VAQUETA MARROM</v>
      </c>
      <c r="E3300" s="99" t="str">
        <f>_xlfn.XLOOKUP(B3300,ESTOQUE!B:B,ESTOQUE!G:G,"",0)</f>
        <v>PAR</v>
      </c>
      <c r="F3300" s="99">
        <v>0</v>
      </c>
      <c r="G3300" s="63"/>
      <c r="H3300" s="63"/>
      <c r="I3300" s="63"/>
      <c r="J3300" s="63"/>
      <c r="K3300" s="63"/>
      <c r="L3300" s="63"/>
      <c r="M3300" s="63"/>
      <c r="N3300" s="63"/>
      <c r="O3300" s="63"/>
      <c r="P3300" s="63"/>
      <c r="Q3300" s="63"/>
      <c r="R3300" s="63"/>
      <c r="S3300" s="63"/>
      <c r="T3300" s="63"/>
      <c r="U3300" s="63"/>
      <c r="V3300" s="63"/>
      <c r="W3300" s="63"/>
    </row>
    <row r="3301" spans="1:23" x14ac:dyDescent="0.25">
      <c r="A3301" s="108">
        <v>46134</v>
      </c>
      <c r="B3301" s="128">
        <v>114</v>
      </c>
      <c r="C3301" s="49" t="s">
        <v>19</v>
      </c>
      <c r="D3301" s="110" t="str">
        <f>IF(ISBLANK($B3301),"",IFERROR(VLOOKUP($B3301,ESTOQUE!$B$2:$D$97168,3,FALSE),"Produto não cadastrado"))</f>
        <v xml:space="preserve">LUVA LATEX NITRILICA </v>
      </c>
      <c r="E3301" s="99" t="str">
        <f>_xlfn.XLOOKUP(B3301,ESTOQUE!B:B,ESTOQUE!G:G,"",0)</f>
        <v>PAR</v>
      </c>
      <c r="F3301" s="99">
        <v>60</v>
      </c>
      <c r="G3301" s="63"/>
      <c r="H3301" s="63"/>
      <c r="I3301" s="63"/>
      <c r="J3301" s="63"/>
      <c r="K3301" s="63"/>
      <c r="L3301" s="63"/>
      <c r="M3301" s="63"/>
      <c r="N3301" s="63"/>
      <c r="O3301" s="63"/>
      <c r="P3301" s="63"/>
      <c r="Q3301" s="63"/>
      <c r="R3301" s="63"/>
      <c r="S3301" s="63"/>
      <c r="T3301" s="63"/>
      <c r="U3301" s="63"/>
      <c r="V3301" s="63"/>
      <c r="W3301" s="63"/>
    </row>
    <row r="3302" spans="1:23" x14ac:dyDescent="0.25">
      <c r="A3302" s="108">
        <v>46134</v>
      </c>
      <c r="B3302" s="128">
        <v>115</v>
      </c>
      <c r="C3302" s="136" t="s">
        <v>19</v>
      </c>
      <c r="D3302" s="110" t="str">
        <f>IF(ISBLANK($B3302),"",IFERROR(VLOOKUP($B3302,ESTOQUE!$B$2:$D$97168,3,FALSE),"Produto não cadastrado"))</f>
        <v>LUVA PARA SOLDADOR MIG AZUL TAM 9</v>
      </c>
      <c r="E3302" s="99" t="str">
        <f>_xlfn.XLOOKUP(B3302,ESTOQUE!B:B,ESTOQUE!G:G,"",0)</f>
        <v>PAR</v>
      </c>
      <c r="F3302" s="99">
        <v>1</v>
      </c>
      <c r="G3302" s="63"/>
      <c r="H3302" s="63"/>
      <c r="I3302" s="63"/>
      <c r="J3302" s="63"/>
      <c r="K3302" s="63"/>
      <c r="L3302" s="63"/>
      <c r="M3302" s="63"/>
      <c r="N3302" s="63"/>
      <c r="O3302" s="63"/>
      <c r="P3302" s="63"/>
      <c r="Q3302" s="63"/>
      <c r="R3302" s="63"/>
      <c r="S3302" s="63"/>
      <c r="T3302" s="63"/>
      <c r="U3302" s="63"/>
      <c r="V3302" s="63"/>
      <c r="W3302" s="63"/>
    </row>
    <row r="3303" spans="1:23" x14ac:dyDescent="0.25">
      <c r="A3303" s="108">
        <v>46134</v>
      </c>
      <c r="B3303" s="128">
        <v>257</v>
      </c>
      <c r="C3303" s="136" t="s">
        <v>19</v>
      </c>
      <c r="D3303" s="110" t="str">
        <f>IF(ISBLANK($B3303),"",IFERROR(VLOOKUP($B3303,ESTOQUE!$B$2:$D$97168,3,FALSE),"Produto não cadastrado"))</f>
        <v xml:space="preserve">LUVA MULTITATO </v>
      </c>
      <c r="E3303" s="99" t="str">
        <f>_xlfn.XLOOKUP(B3303,ESTOQUE!B:B,ESTOQUE!G:G,"",0)</f>
        <v>UND</v>
      </c>
      <c r="F3303" s="99">
        <v>2</v>
      </c>
      <c r="G3303" s="63"/>
      <c r="H3303" s="63"/>
      <c r="I3303" s="63"/>
      <c r="J3303" s="63"/>
      <c r="K3303" s="63"/>
      <c r="L3303" s="63"/>
      <c r="M3303" s="63"/>
      <c r="N3303" s="63"/>
      <c r="O3303" s="63"/>
      <c r="P3303" s="63"/>
      <c r="Q3303" s="63"/>
      <c r="R3303" s="63"/>
      <c r="S3303" s="63"/>
      <c r="T3303" s="63"/>
      <c r="U3303" s="63"/>
      <c r="V3303" s="63"/>
      <c r="W3303" s="63"/>
    </row>
    <row r="3304" spans="1:23" x14ac:dyDescent="0.25">
      <c r="A3304" s="108">
        <v>46134</v>
      </c>
      <c r="B3304" s="128">
        <v>207</v>
      </c>
      <c r="C3304" s="136" t="s">
        <v>19</v>
      </c>
      <c r="D3304" s="110" t="str">
        <f>IF(ISBLANK($B3304),"",IFERROR(VLOOKUP($B3304,ESTOQUE!$B$2:$D$97168,3,FALSE),"Produto não cadastrado"))</f>
        <v>LUVA POLIESTER ANTICORTE BANHADA PU TAM 9</v>
      </c>
      <c r="E3304" s="99" t="str">
        <f>_xlfn.XLOOKUP(B3304,ESTOQUE!B:B,ESTOQUE!G:G,"",0)</f>
        <v>PAR</v>
      </c>
      <c r="F3304" s="99">
        <v>30</v>
      </c>
      <c r="G3304" s="63"/>
      <c r="H3304" s="63"/>
      <c r="I3304" s="63"/>
      <c r="J3304" s="63"/>
      <c r="K3304" s="63"/>
      <c r="L3304" s="63"/>
      <c r="M3304" s="63"/>
      <c r="N3304" s="63"/>
      <c r="O3304" s="63"/>
      <c r="P3304" s="63"/>
      <c r="Q3304" s="63"/>
      <c r="R3304" s="63"/>
      <c r="S3304" s="63"/>
      <c r="T3304" s="63"/>
      <c r="U3304" s="63"/>
      <c r="V3304" s="63"/>
      <c r="W3304" s="63"/>
    </row>
    <row r="3305" spans="1:23" x14ac:dyDescent="0.25">
      <c r="A3305" s="108">
        <v>46134</v>
      </c>
      <c r="B3305" s="128">
        <v>192</v>
      </c>
      <c r="C3305" s="136" t="s">
        <v>19</v>
      </c>
      <c r="D3305" s="110" t="str">
        <f>IF(ISBLANK($B3305),"",IFERROR(VLOOKUP($B3305,ESTOQUE!$B$2:$D$97168,3,FALSE),"Produto não cadastrado"))</f>
        <v>LUVA QUIMICA ( 2 OU 3)</v>
      </c>
      <c r="E3305" s="99" t="str">
        <f>_xlfn.XLOOKUP(B3305,ESTOQUE!B:B,ESTOQUE!G:G,"",0)</f>
        <v>UND</v>
      </c>
      <c r="F3305" s="99">
        <v>1</v>
      </c>
      <c r="G3305" s="63"/>
      <c r="H3305" s="63"/>
      <c r="I3305" s="63"/>
      <c r="J3305" s="63"/>
      <c r="K3305" s="63"/>
      <c r="L3305" s="63"/>
      <c r="M3305" s="63"/>
      <c r="N3305" s="63"/>
      <c r="O3305" s="63"/>
      <c r="P3305" s="63"/>
      <c r="Q3305" s="63"/>
      <c r="R3305" s="63"/>
      <c r="S3305" s="63"/>
      <c r="T3305" s="63"/>
      <c r="U3305" s="63"/>
      <c r="V3305" s="63"/>
      <c r="W3305" s="63"/>
    </row>
    <row r="3306" spans="1:23" x14ac:dyDescent="0.25">
      <c r="A3306" s="108">
        <v>46134</v>
      </c>
      <c r="B3306" s="128">
        <v>118</v>
      </c>
      <c r="C3306" s="136" t="s">
        <v>19</v>
      </c>
      <c r="D3306" s="110" t="str">
        <f>IF(ISBLANK($B3306),"",IFERROR(VLOOKUP($B3306,ESTOQUE!$B$2:$D$97168,3,FALSE),"Produto não cadastrado"))</f>
        <v>MACACÃO DE PROTEÇÃO TYVEK</v>
      </c>
      <c r="E3306" s="99" t="str">
        <f>_xlfn.XLOOKUP(B3306,ESTOQUE!B:B,ESTOQUE!G:G,"",0)</f>
        <v>UND</v>
      </c>
      <c r="F3306" s="99">
        <v>53</v>
      </c>
      <c r="G3306" s="63"/>
      <c r="H3306" s="63"/>
      <c r="I3306" s="63"/>
      <c r="J3306" s="63"/>
      <c r="K3306" s="63"/>
      <c r="L3306" s="63"/>
      <c r="M3306" s="63"/>
      <c r="N3306" s="63"/>
      <c r="O3306" s="63"/>
      <c r="P3306" s="63"/>
      <c r="Q3306" s="63"/>
      <c r="R3306" s="63"/>
      <c r="S3306" s="63"/>
      <c r="T3306" s="63"/>
      <c r="U3306" s="63"/>
      <c r="V3306" s="63"/>
      <c r="W3306" s="63"/>
    </row>
    <row r="3307" spans="1:23" x14ac:dyDescent="0.25">
      <c r="A3307" s="108">
        <v>46134</v>
      </c>
      <c r="B3307" s="128">
        <v>144</v>
      </c>
      <c r="C3307" s="136" t="s">
        <v>19</v>
      </c>
      <c r="D3307" s="110" t="str">
        <f>IF(ISBLANK($B3307),"",IFERROR(VLOOKUP($B3307,ESTOQUE!$B$2:$D$97168,3,FALSE),"Produto não cadastrado"))</f>
        <v>MASCARA PFF2-S C/ FILTRO</v>
      </c>
      <c r="E3307" s="99" t="str">
        <f>_xlfn.XLOOKUP(B3307,ESTOQUE!B:B,ESTOQUE!G:G,"",0)</f>
        <v>UND</v>
      </c>
      <c r="F3307" s="99">
        <v>57</v>
      </c>
      <c r="G3307" s="63"/>
      <c r="H3307" s="63"/>
      <c r="I3307" s="63"/>
      <c r="J3307" s="63"/>
      <c r="K3307" s="63"/>
      <c r="L3307" s="63"/>
      <c r="M3307" s="63"/>
      <c r="N3307" s="63"/>
      <c r="O3307" s="63"/>
      <c r="P3307" s="63"/>
      <c r="Q3307" s="63"/>
      <c r="R3307" s="63"/>
      <c r="S3307" s="63"/>
      <c r="T3307" s="63"/>
      <c r="U3307" s="63"/>
      <c r="V3307" s="63"/>
      <c r="W3307" s="63"/>
    </row>
    <row r="3308" spans="1:23" x14ac:dyDescent="0.25">
      <c r="A3308" s="108">
        <v>46134</v>
      </c>
      <c r="B3308" s="128">
        <v>126</v>
      </c>
      <c r="C3308" s="136" t="s">
        <v>19</v>
      </c>
      <c r="D3308" s="110" t="str">
        <f>IF(ISBLANK($B3308),"",IFERROR(VLOOKUP($B3308,ESTOQUE!$B$2:$D$97168,3,FALSE),"Produto não cadastrado"))</f>
        <v>OCULOS DE PROTEÇÃO ESCURO</v>
      </c>
      <c r="E3308" s="99" t="str">
        <f>_xlfn.XLOOKUP(B3308,ESTOQUE!B:B,ESTOQUE!G:G,"",0)</f>
        <v>UND</v>
      </c>
      <c r="F3308" s="99">
        <v>136</v>
      </c>
      <c r="G3308" s="63"/>
      <c r="H3308" s="63"/>
      <c r="I3308" s="63"/>
      <c r="J3308" s="63"/>
      <c r="K3308" s="63"/>
      <c r="L3308" s="63"/>
      <c r="M3308" s="63"/>
      <c r="N3308" s="63"/>
      <c r="O3308" s="63"/>
      <c r="P3308" s="63"/>
      <c r="Q3308" s="63"/>
      <c r="R3308" s="63"/>
      <c r="S3308" s="63"/>
      <c r="T3308" s="63"/>
      <c r="U3308" s="63"/>
      <c r="V3308" s="63"/>
      <c r="W3308" s="63"/>
    </row>
    <row r="3309" spans="1:23" x14ac:dyDescent="0.25">
      <c r="A3309" s="108">
        <v>46134</v>
      </c>
      <c r="B3309" s="128">
        <v>129</v>
      </c>
      <c r="C3309" s="136" t="s">
        <v>19</v>
      </c>
      <c r="D3309" s="110" t="str">
        <f>IF(ISBLANK($B3309),"",IFERROR(VLOOKUP($B3309,ESTOQUE!$B$2:$D$97168,3,FALSE),"Produto não cadastrado"))</f>
        <v>PERNEIRA DE RASPA</v>
      </c>
      <c r="E3309" s="99" t="str">
        <f>_xlfn.XLOOKUP(B3309,ESTOQUE!B:B,ESTOQUE!G:G,"",0)</f>
        <v>PAR</v>
      </c>
      <c r="F3309" s="99">
        <v>1</v>
      </c>
      <c r="G3309" s="63"/>
      <c r="H3309" s="63"/>
      <c r="I3309" s="63"/>
      <c r="J3309" s="63"/>
      <c r="K3309" s="63"/>
      <c r="L3309" s="63"/>
      <c r="M3309" s="63"/>
      <c r="N3309" s="63"/>
      <c r="O3309" s="63"/>
      <c r="P3309" s="63"/>
      <c r="Q3309" s="63"/>
      <c r="R3309" s="63"/>
      <c r="S3309" s="63"/>
      <c r="T3309" s="63"/>
      <c r="U3309" s="63"/>
      <c r="V3309" s="63"/>
      <c r="W3309" s="63"/>
    </row>
    <row r="3310" spans="1:23" x14ac:dyDescent="0.25">
      <c r="A3310" s="108">
        <v>46134</v>
      </c>
      <c r="B3310" s="128">
        <v>139</v>
      </c>
      <c r="C3310" s="136" t="s">
        <v>19</v>
      </c>
      <c r="D3310" s="110" t="str">
        <f>IF(ISBLANK($B3310),"",IFERROR(VLOOKUP($B3310,ESTOQUE!$B$2:$D$97168,3,FALSE),"Produto não cadastrado"))</f>
        <v>PROTETOR AURICULAR TIPO PLUG</v>
      </c>
      <c r="E3310" s="99" t="str">
        <f>_xlfn.XLOOKUP(B3310,ESTOQUE!B:B,ESTOQUE!G:G,"",0)</f>
        <v>UND</v>
      </c>
      <c r="F3310" s="99">
        <v>1</v>
      </c>
      <c r="G3310" s="63"/>
      <c r="H3310" s="63"/>
      <c r="I3310" s="63"/>
      <c r="J3310" s="63"/>
      <c r="K3310" s="63"/>
      <c r="L3310" s="63"/>
      <c r="M3310" s="63"/>
      <c r="N3310" s="63"/>
      <c r="O3310" s="63"/>
      <c r="P3310" s="63"/>
      <c r="Q3310" s="63"/>
      <c r="R3310" s="63"/>
      <c r="S3310" s="63"/>
      <c r="T3310" s="63"/>
      <c r="U3310" s="63"/>
      <c r="V3310" s="63"/>
      <c r="W3310" s="63"/>
    </row>
    <row r="3311" spans="1:23" x14ac:dyDescent="0.25">
      <c r="A3311" s="108">
        <v>46134</v>
      </c>
      <c r="B3311" s="128">
        <v>137</v>
      </c>
      <c r="C3311" s="136" t="s">
        <v>19</v>
      </c>
      <c r="D3311" s="110" t="str">
        <f>IF(ISBLANK($B3311),"",IFERROR(VLOOKUP($B3311,ESTOQUE!$B$2:$D$97168,3,FALSE),"Produto não cadastrado"))</f>
        <v xml:space="preserve">TOUCA ARABE </v>
      </c>
      <c r="E3311" s="99" t="str">
        <f>_xlfn.XLOOKUP(B3311,ESTOQUE!B:B,ESTOQUE!G:G,"",0)</f>
        <v>UND</v>
      </c>
      <c r="F3311" s="99">
        <v>1</v>
      </c>
      <c r="G3311" s="63"/>
      <c r="H3311" s="63"/>
      <c r="I3311" s="63"/>
      <c r="J3311" s="63"/>
      <c r="K3311" s="63"/>
      <c r="L3311" s="63"/>
      <c r="M3311" s="63"/>
      <c r="N3311" s="63"/>
      <c r="O3311" s="63"/>
      <c r="P3311" s="63"/>
      <c r="Q3311" s="63"/>
      <c r="R3311" s="63"/>
      <c r="S3311" s="63"/>
      <c r="T3311" s="63"/>
      <c r="U3311" s="63"/>
      <c r="V3311" s="63"/>
      <c r="W3311" s="63"/>
    </row>
    <row r="3312" spans="1:23" x14ac:dyDescent="0.25">
      <c r="A3312" s="108">
        <v>46134</v>
      </c>
      <c r="B3312" s="128">
        <v>46</v>
      </c>
      <c r="C3312" s="136" t="s">
        <v>19</v>
      </c>
      <c r="D3312" s="110" t="str">
        <f>IF(ISBLANK($B3312),"",IFERROR(VLOOKUP($B3312,ESTOQUE!$B$2:$D$97168,3,FALSE),"Produto não cadastrado"))</f>
        <v>CALÇA CINZA OP. C/ FAIXA REFLETIVA TAM: G</v>
      </c>
      <c r="E3312" s="99" t="str">
        <f>_xlfn.XLOOKUP(B3312,ESTOQUE!B:B,ESTOQUE!G:G,"",0)</f>
        <v>UND</v>
      </c>
      <c r="F3312" s="99">
        <v>18</v>
      </c>
      <c r="G3312" s="63"/>
      <c r="H3312" s="63"/>
      <c r="I3312" s="63"/>
      <c r="J3312" s="63"/>
      <c r="K3312" s="63"/>
      <c r="L3312" s="63"/>
      <c r="M3312" s="63"/>
      <c r="N3312" s="63"/>
      <c r="O3312" s="63"/>
      <c r="P3312" s="63"/>
      <c r="Q3312" s="63"/>
      <c r="R3312" s="63"/>
      <c r="S3312" s="63"/>
      <c r="T3312" s="63"/>
      <c r="U3312" s="63"/>
      <c r="V3312" s="63"/>
      <c r="W3312" s="63"/>
    </row>
    <row r="3313" spans="1:23" x14ac:dyDescent="0.25">
      <c r="A3313" s="108">
        <v>46134</v>
      </c>
      <c r="B3313" s="128">
        <v>48</v>
      </c>
      <c r="C3313" s="136" t="s">
        <v>19</v>
      </c>
      <c r="D3313" s="110" t="str">
        <f>IF(ISBLANK($B3313),"",IFERROR(VLOOKUP($B3313,ESTOQUE!$B$2:$D$97168,3,FALSE),"Produto não cadastrado"))</f>
        <v>CALÇA CINZA OP. C/ FAIXA REFLETIVA TAM: M</v>
      </c>
      <c r="E3313" s="99" t="str">
        <f>_xlfn.XLOOKUP(B3313,ESTOQUE!B:B,ESTOQUE!G:G,"",0)</f>
        <v>UND</v>
      </c>
      <c r="F3313" s="158">
        <v>4</v>
      </c>
      <c r="G3313" s="63"/>
      <c r="H3313" s="63"/>
      <c r="I3313" s="63"/>
      <c r="J3313" s="63"/>
      <c r="K3313" s="63"/>
      <c r="L3313" s="63"/>
      <c r="M3313" s="63"/>
      <c r="N3313" s="63"/>
      <c r="O3313" s="63"/>
      <c r="P3313" s="63"/>
      <c r="Q3313" s="63"/>
      <c r="R3313" s="63"/>
      <c r="S3313" s="63"/>
      <c r="T3313" s="63"/>
      <c r="U3313" s="63"/>
      <c r="V3313" s="63"/>
      <c r="W3313" s="63"/>
    </row>
    <row r="3314" spans="1:23" x14ac:dyDescent="0.25">
      <c r="A3314" s="108">
        <v>46134</v>
      </c>
      <c r="B3314" s="128">
        <v>49</v>
      </c>
      <c r="C3314" s="136" t="s">
        <v>19</v>
      </c>
      <c r="D3314" s="110" t="str">
        <f>IF(ISBLANK($B3314),"",IFERROR(VLOOKUP($B3314,ESTOQUE!$B$2:$D$97168,3,FALSE),"Produto não cadastrado"))</f>
        <v>CALÇA CINZA OP. C/ FAIXA REFLETIVA TAM: P</v>
      </c>
      <c r="E3314" s="99" t="str">
        <f>_xlfn.XLOOKUP(B3314,ESTOQUE!B:B,ESTOQUE!G:G,"",0)</f>
        <v>UND</v>
      </c>
      <c r="F3314" s="158">
        <v>10</v>
      </c>
      <c r="G3314" s="63"/>
      <c r="H3314" s="63"/>
      <c r="I3314" s="63"/>
      <c r="J3314" s="63"/>
      <c r="K3314" s="63"/>
      <c r="L3314" s="63"/>
      <c r="M3314" s="63"/>
      <c r="N3314" s="63"/>
      <c r="O3314" s="63"/>
      <c r="P3314" s="63"/>
      <c r="Q3314" s="63"/>
      <c r="R3314" s="63"/>
      <c r="S3314" s="63"/>
      <c r="T3314" s="63"/>
      <c r="U3314" s="63"/>
      <c r="V3314" s="63"/>
      <c r="W3314" s="63"/>
    </row>
    <row r="3315" spans="1:23" x14ac:dyDescent="0.25">
      <c r="A3315" s="108">
        <v>46134</v>
      </c>
      <c r="B3315" s="128">
        <v>125</v>
      </c>
      <c r="C3315" s="136" t="s">
        <v>19</v>
      </c>
      <c r="D3315" s="110" t="str">
        <f>IF(ISBLANK($B3315),"",IFERROR(VLOOKUP($B3315,ESTOQUE!$B$2:$D$97168,3,FALSE),"Produto não cadastrado"))</f>
        <v xml:space="preserve">MASCARA DE SOLDA AUTOMATICA </v>
      </c>
      <c r="E3315" s="99" t="str">
        <f>_xlfn.XLOOKUP(B3315,ESTOQUE!B:B,ESTOQUE!G:G,"",0)</f>
        <v>UND</v>
      </c>
      <c r="F3315" s="99">
        <v>1</v>
      </c>
      <c r="G3315" s="63"/>
      <c r="H3315" s="63"/>
      <c r="I3315" s="63"/>
      <c r="J3315" s="63"/>
      <c r="K3315" s="63"/>
      <c r="L3315" s="63"/>
      <c r="M3315" s="63"/>
      <c r="N3315" s="63"/>
      <c r="O3315" s="63"/>
      <c r="P3315" s="63"/>
      <c r="Q3315" s="63"/>
      <c r="R3315" s="63"/>
      <c r="S3315" s="63"/>
      <c r="T3315" s="63"/>
      <c r="U3315" s="63"/>
      <c r="V3315" s="63"/>
      <c r="W3315" s="63"/>
    </row>
    <row r="3316" spans="1:23" x14ac:dyDescent="0.25">
      <c r="A3316" s="108">
        <v>46135</v>
      </c>
      <c r="B3316" s="128">
        <v>228</v>
      </c>
      <c r="C3316" s="136" t="s">
        <v>19</v>
      </c>
      <c r="D3316" s="110" t="str">
        <f>IF(ISBLANK($B3316),"",IFERROR(VLOOKUP($B3316,ESTOQUE!$B$2:$D$97168,3,FALSE),"Produto não cadastrado"))</f>
        <v xml:space="preserve">BALACLAVA  </v>
      </c>
      <c r="E3316" s="99" t="str">
        <f>_xlfn.XLOOKUP(B3316,ESTOQUE!B:B,ESTOQUE!G:G,"",0)</f>
        <v>UND</v>
      </c>
      <c r="F3316" s="158">
        <v>11</v>
      </c>
      <c r="G3316" s="63"/>
      <c r="H3316" s="63"/>
      <c r="I3316" s="63"/>
      <c r="J3316" s="63"/>
      <c r="K3316" s="63"/>
      <c r="L3316" s="63"/>
      <c r="M3316" s="63"/>
      <c r="N3316" s="63"/>
      <c r="O3316" s="63"/>
      <c r="P3316" s="63"/>
      <c r="Q3316" s="63"/>
      <c r="R3316" s="63"/>
      <c r="S3316" s="63"/>
      <c r="T3316" s="63"/>
      <c r="U3316" s="63"/>
      <c r="V3316" s="63"/>
      <c r="W3316" s="63"/>
    </row>
    <row r="3317" spans="1:23" x14ac:dyDescent="0.25">
      <c r="A3317" s="108">
        <v>46135</v>
      </c>
      <c r="B3317" s="128">
        <v>172</v>
      </c>
      <c r="C3317" s="136" t="s">
        <v>19</v>
      </c>
      <c r="D3317" s="110" t="str">
        <f>IF(ISBLANK($B3317),"",IFERROR(VLOOKUP($B3317,ESTOQUE!$B$2:$D$97168,3,FALSE),"Produto não cadastrado"))</f>
        <v>BOTA PVC CANO CURTO Nº 41</v>
      </c>
      <c r="E3317" s="99" t="str">
        <f>_xlfn.XLOOKUP(B3317,ESTOQUE!B:B,ESTOQUE!G:G,"",0)</f>
        <v>PAR</v>
      </c>
      <c r="F3317" s="158">
        <v>0</v>
      </c>
      <c r="G3317" s="63"/>
      <c r="H3317" s="63"/>
      <c r="I3317" s="63"/>
      <c r="J3317" s="63"/>
      <c r="K3317" s="63"/>
      <c r="L3317" s="63"/>
      <c r="M3317" s="63"/>
      <c r="N3317" s="63"/>
      <c r="O3317" s="63"/>
      <c r="P3317" s="63"/>
      <c r="Q3317" s="63"/>
      <c r="R3317" s="63"/>
      <c r="S3317" s="63"/>
      <c r="T3317" s="63"/>
      <c r="U3317" s="63"/>
      <c r="V3317" s="63"/>
      <c r="W3317" s="63"/>
    </row>
    <row r="3318" spans="1:23" x14ac:dyDescent="0.25">
      <c r="A3318" s="108">
        <v>46135</v>
      </c>
      <c r="B3318" s="128">
        <v>39</v>
      </c>
      <c r="C3318" s="136" t="s">
        <v>19</v>
      </c>
      <c r="D3318" s="110" t="str">
        <f>IF(ISBLANK($B3318),"",IFERROR(VLOOKUP($B3318,ESTOQUE!$B$2:$D$97168,3,FALSE),"Produto não cadastrado"))</f>
        <v>BOTINA OP. BICO PVC Nº 41</v>
      </c>
      <c r="E3318" s="99" t="str">
        <f>_xlfn.XLOOKUP(B3318,ESTOQUE!B:B,ESTOQUE!G:G,"",0)</f>
        <v>PAR</v>
      </c>
      <c r="F3318" s="158">
        <v>0</v>
      </c>
      <c r="G3318" s="63"/>
      <c r="H3318" s="63"/>
      <c r="I3318" s="63"/>
      <c r="J3318" s="63"/>
      <c r="K3318" s="63"/>
      <c r="L3318" s="63"/>
      <c r="M3318" s="63"/>
      <c r="N3318" s="63"/>
      <c r="O3318" s="63"/>
      <c r="P3318" s="63"/>
      <c r="Q3318" s="63"/>
      <c r="R3318" s="63"/>
      <c r="S3318" s="63"/>
      <c r="T3318" s="63"/>
      <c r="U3318" s="63"/>
      <c r="V3318" s="63"/>
      <c r="W3318" s="63"/>
    </row>
    <row r="3319" spans="1:23" x14ac:dyDescent="0.25">
      <c r="A3319" s="108">
        <v>46135</v>
      </c>
      <c r="B3319" s="128">
        <v>42</v>
      </c>
      <c r="C3319" s="136" t="s">
        <v>19</v>
      </c>
      <c r="D3319" s="110" t="str">
        <f>IF(ISBLANK($B3319),"",IFERROR(VLOOKUP($B3319,ESTOQUE!$B$2:$D$97168,3,FALSE),"Produto não cadastrado"))</f>
        <v>BOTINA OP. BICO PVC Nº 44</v>
      </c>
      <c r="E3319" s="99" t="str">
        <f>_xlfn.XLOOKUP(B3319,ESTOQUE!B:B,ESTOQUE!G:G,"",0)</f>
        <v>PAR</v>
      </c>
      <c r="F3319" s="158">
        <v>1</v>
      </c>
      <c r="G3319" s="63"/>
      <c r="H3319" s="63"/>
      <c r="I3319" s="63"/>
      <c r="J3319" s="63"/>
      <c r="K3319" s="63"/>
      <c r="L3319" s="63"/>
      <c r="M3319" s="63"/>
      <c r="N3319" s="63"/>
      <c r="O3319" s="63"/>
      <c r="P3319" s="63"/>
      <c r="Q3319" s="63"/>
      <c r="R3319" s="63"/>
      <c r="S3319" s="63"/>
      <c r="T3319" s="63"/>
      <c r="U3319" s="63"/>
      <c r="V3319" s="63"/>
      <c r="W3319" s="63"/>
    </row>
    <row r="3320" spans="1:23" x14ac:dyDescent="0.25">
      <c r="A3320" s="108">
        <v>46135</v>
      </c>
      <c r="B3320" s="128">
        <v>46</v>
      </c>
      <c r="C3320" s="136" t="s">
        <v>19</v>
      </c>
      <c r="D3320" s="110" t="str">
        <f>IF(ISBLANK($B3320),"",IFERROR(VLOOKUP($B3320,ESTOQUE!$B$2:$D$97168,3,FALSE),"Produto não cadastrado"))</f>
        <v>CALÇA CINZA OP. C/ FAIXA REFLETIVA TAM: G</v>
      </c>
      <c r="E3320" s="99" t="str">
        <f>_xlfn.XLOOKUP(B3320,ESTOQUE!B:B,ESTOQUE!G:G,"",0)</f>
        <v>UND</v>
      </c>
      <c r="F3320" s="158">
        <v>11</v>
      </c>
      <c r="G3320" s="63"/>
      <c r="H3320" s="63"/>
      <c r="I3320" s="63"/>
      <c r="J3320" s="63"/>
      <c r="K3320" s="63"/>
      <c r="L3320" s="63"/>
      <c r="M3320" s="63"/>
      <c r="N3320" s="63"/>
      <c r="O3320" s="63"/>
      <c r="P3320" s="63"/>
      <c r="Q3320" s="63"/>
      <c r="R3320" s="63"/>
      <c r="S3320" s="63"/>
      <c r="T3320" s="63"/>
      <c r="U3320" s="63"/>
      <c r="V3320" s="63"/>
      <c r="W3320" s="63"/>
    </row>
    <row r="3321" spans="1:23" x14ac:dyDescent="0.25">
      <c r="A3321" s="108">
        <v>46135</v>
      </c>
      <c r="B3321" s="128">
        <v>47</v>
      </c>
      <c r="C3321" s="136" t="s">
        <v>19</v>
      </c>
      <c r="D3321" s="110" t="str">
        <f>IF(ISBLANK($B3321),"",IFERROR(VLOOKUP($B3321,ESTOQUE!$B$2:$D$97168,3,FALSE),"Produto não cadastrado"))</f>
        <v>CALÇA CINZA OP. C/ FAIXA REFLETIVA TAM: GG</v>
      </c>
      <c r="E3321" s="99" t="str">
        <f>_xlfn.XLOOKUP(B3321,ESTOQUE!B:B,ESTOQUE!G:G,"",0)</f>
        <v>UND</v>
      </c>
      <c r="F3321" s="158">
        <v>5</v>
      </c>
      <c r="G3321" s="63"/>
      <c r="H3321" s="63"/>
      <c r="I3321" s="63"/>
      <c r="J3321" s="63"/>
      <c r="K3321" s="63"/>
      <c r="L3321" s="63"/>
      <c r="M3321" s="63"/>
      <c r="N3321" s="63"/>
      <c r="O3321" s="63"/>
      <c r="P3321" s="63"/>
      <c r="Q3321" s="63"/>
      <c r="R3321" s="63"/>
      <c r="S3321" s="63"/>
      <c r="T3321" s="63"/>
      <c r="U3321" s="63"/>
      <c r="V3321" s="63"/>
      <c r="W3321" s="63"/>
    </row>
    <row r="3322" spans="1:23" x14ac:dyDescent="0.25">
      <c r="A3322" s="108">
        <v>46135</v>
      </c>
      <c r="B3322" s="128">
        <v>49</v>
      </c>
      <c r="C3322" s="136" t="s">
        <v>19</v>
      </c>
      <c r="D3322" s="110" t="str">
        <f>IF(ISBLANK($B3322),"",IFERROR(VLOOKUP($B3322,ESTOQUE!$B$2:$D$97168,3,FALSE),"Produto não cadastrado"))</f>
        <v>CALÇA CINZA OP. C/ FAIXA REFLETIVA TAM: P</v>
      </c>
      <c r="E3322" s="99" t="str">
        <f>_xlfn.XLOOKUP(B3322,ESTOQUE!B:B,ESTOQUE!G:G,"",0)</f>
        <v>UND</v>
      </c>
      <c r="F3322" s="158">
        <v>10</v>
      </c>
      <c r="G3322" s="63"/>
      <c r="H3322" s="63"/>
      <c r="I3322" s="63"/>
      <c r="J3322" s="63"/>
      <c r="K3322" s="63"/>
      <c r="L3322" s="63"/>
      <c r="M3322" s="63"/>
      <c r="N3322" s="63"/>
      <c r="O3322" s="63"/>
      <c r="P3322" s="63"/>
      <c r="Q3322" s="63"/>
      <c r="R3322" s="63"/>
      <c r="S3322" s="63"/>
      <c r="T3322" s="63"/>
      <c r="U3322" s="63"/>
      <c r="V3322" s="63"/>
      <c r="W3322" s="63"/>
    </row>
    <row r="3323" spans="1:23" x14ac:dyDescent="0.25">
      <c r="A3323" s="108">
        <v>46135</v>
      </c>
      <c r="B3323" s="128">
        <v>67</v>
      </c>
      <c r="C3323" s="136" t="s">
        <v>19</v>
      </c>
      <c r="D3323" s="110" t="str">
        <f>IF(ISBLANK($B3323),"",IFERROR(VLOOKUP($B3323,ESTOQUE!$B$2:$D$97168,3,FALSE),"Produto não cadastrado"))</f>
        <v>CAMISA LARANJA OP. C/ FAIXA REFLETIVA TAM: G</v>
      </c>
      <c r="E3323" s="99" t="str">
        <f>_xlfn.XLOOKUP(B3323,ESTOQUE!B:B,ESTOQUE!G:G,"",0)</f>
        <v>UND</v>
      </c>
      <c r="F3323" s="158">
        <v>9</v>
      </c>
      <c r="G3323" s="63"/>
      <c r="H3323" s="63"/>
      <c r="I3323" s="63"/>
      <c r="J3323" s="63"/>
      <c r="K3323" s="63"/>
      <c r="L3323" s="63"/>
      <c r="M3323" s="63"/>
      <c r="N3323" s="63"/>
      <c r="O3323" s="63"/>
      <c r="P3323" s="63"/>
      <c r="Q3323" s="63"/>
      <c r="R3323" s="63"/>
      <c r="S3323" s="63"/>
      <c r="T3323" s="63"/>
      <c r="U3323" s="63"/>
      <c r="V3323" s="63"/>
      <c r="W3323" s="63"/>
    </row>
    <row r="3324" spans="1:23" x14ac:dyDescent="0.25">
      <c r="A3324" s="108">
        <v>46135</v>
      </c>
      <c r="B3324" s="128">
        <v>68</v>
      </c>
      <c r="C3324" s="136" t="s">
        <v>19</v>
      </c>
      <c r="D3324" s="110" t="str">
        <f>IF(ISBLANK($B3324),"",IFERROR(VLOOKUP($B3324,ESTOQUE!$B$2:$D$97168,3,FALSE),"Produto não cadastrado"))</f>
        <v>CAMISA LARANJA OP. C/ FAIXA REFLETIVA TAM: GG</v>
      </c>
      <c r="E3324" s="99" t="str">
        <f>_xlfn.XLOOKUP(B3324,ESTOQUE!B:B,ESTOQUE!G:G,"",0)</f>
        <v>UND</v>
      </c>
      <c r="F3324" s="158">
        <v>4</v>
      </c>
      <c r="G3324" s="63"/>
      <c r="H3324" s="63"/>
      <c r="I3324" s="63"/>
      <c r="J3324" s="63"/>
      <c r="K3324" s="63"/>
      <c r="L3324" s="63"/>
      <c r="M3324" s="63"/>
      <c r="N3324" s="63"/>
      <c r="O3324" s="63"/>
      <c r="P3324" s="63"/>
      <c r="Q3324" s="63"/>
      <c r="R3324" s="63"/>
      <c r="S3324" s="63"/>
      <c r="T3324" s="63"/>
      <c r="U3324" s="63"/>
      <c r="V3324" s="63"/>
      <c r="W3324" s="63"/>
    </row>
    <row r="3325" spans="1:23" x14ac:dyDescent="0.25">
      <c r="A3325" s="108">
        <v>46135</v>
      </c>
      <c r="B3325" s="128">
        <v>69</v>
      </c>
      <c r="C3325" s="136" t="s">
        <v>19</v>
      </c>
      <c r="D3325" s="110" t="str">
        <f>IF(ISBLANK($B3325),"",IFERROR(VLOOKUP($B3325,ESTOQUE!$B$2:$D$97168,3,FALSE),"Produto não cadastrado"))</f>
        <v>CAMISA LARANJA OP. C/ FAIXA REFLETIVA TAM: M</v>
      </c>
      <c r="E3325" s="99" t="str">
        <f>_xlfn.XLOOKUP(B3325,ESTOQUE!B:B,ESTOQUE!G:G,"",0)</f>
        <v>UND</v>
      </c>
      <c r="F3325" s="158">
        <v>4</v>
      </c>
      <c r="G3325" s="63"/>
      <c r="H3325" s="63"/>
      <c r="I3325" s="63"/>
      <c r="J3325" s="63"/>
      <c r="K3325" s="63"/>
      <c r="L3325" s="63"/>
      <c r="M3325" s="63"/>
      <c r="N3325" s="63"/>
      <c r="O3325" s="63"/>
      <c r="P3325" s="63"/>
      <c r="Q3325" s="63"/>
      <c r="R3325" s="63"/>
      <c r="S3325" s="63"/>
      <c r="T3325" s="63"/>
      <c r="U3325" s="63"/>
      <c r="V3325" s="63"/>
      <c r="W3325" s="63"/>
    </row>
    <row r="3326" spans="1:23" x14ac:dyDescent="0.25">
      <c r="A3326" s="108">
        <v>46135</v>
      </c>
      <c r="B3326" s="128">
        <v>186</v>
      </c>
      <c r="C3326" s="136" t="s">
        <v>19</v>
      </c>
      <c r="D3326" s="110" t="str">
        <f>IF(ISBLANK($B3326),"",IFERROR(VLOOKUP($B3326,ESTOQUE!$B$2:$D$97168,3,FALSE),"Produto não cadastrado"))</f>
        <v>COLETE REFLETIVO LARANJA GG</v>
      </c>
      <c r="E3326" s="99" t="str">
        <f>_xlfn.XLOOKUP(B3326,ESTOQUE!B:B,ESTOQUE!G:G,"",0)</f>
        <v>UND</v>
      </c>
      <c r="F3326" s="158">
        <v>6</v>
      </c>
      <c r="G3326" s="63"/>
      <c r="H3326" s="63"/>
      <c r="I3326" s="63"/>
      <c r="J3326" s="63"/>
      <c r="K3326" s="63"/>
      <c r="L3326" s="63"/>
      <c r="M3326" s="63"/>
      <c r="N3326" s="63"/>
      <c r="O3326" s="63"/>
      <c r="P3326" s="63"/>
      <c r="Q3326" s="63"/>
      <c r="R3326" s="63"/>
      <c r="S3326" s="63"/>
      <c r="T3326" s="63"/>
      <c r="U3326" s="63"/>
      <c r="V3326" s="63"/>
      <c r="W3326" s="63"/>
    </row>
    <row r="3327" spans="1:23" x14ac:dyDescent="0.25">
      <c r="A3327" s="108">
        <v>46135</v>
      </c>
      <c r="B3327" s="128">
        <v>110</v>
      </c>
      <c r="C3327" s="136" t="s">
        <v>19</v>
      </c>
      <c r="D3327" s="110" t="str">
        <f>IF(ISBLANK($B3327),"",IFERROR(VLOOKUP($B3327,ESTOQUE!$B$2:$D$97168,3,FALSE),"Produto não cadastrado"))</f>
        <v>LUVA DE RASPA CANO LONGO</v>
      </c>
      <c r="E3327" s="99" t="str">
        <f>_xlfn.XLOOKUP(B3327,ESTOQUE!B:B,ESTOQUE!G:G,"",0)</f>
        <v>PAR</v>
      </c>
      <c r="F3327" s="158">
        <v>1</v>
      </c>
      <c r="G3327" s="63"/>
      <c r="H3327" s="63"/>
      <c r="I3327" s="63"/>
      <c r="J3327" s="63"/>
      <c r="K3327" s="63"/>
      <c r="L3327" s="63"/>
      <c r="M3327" s="63"/>
      <c r="N3327" s="63"/>
      <c r="O3327" s="63"/>
      <c r="P3327" s="63"/>
      <c r="Q3327" s="63"/>
      <c r="R3327" s="63"/>
      <c r="S3327" s="63"/>
      <c r="T3327" s="63"/>
      <c r="U3327" s="63"/>
      <c r="V3327" s="63"/>
      <c r="W3327" s="63"/>
    </row>
    <row r="3328" spans="1:23" x14ac:dyDescent="0.25">
      <c r="A3328" s="108">
        <v>46135</v>
      </c>
      <c r="B3328" s="128">
        <v>141</v>
      </c>
      <c r="C3328" s="136" t="s">
        <v>19</v>
      </c>
      <c r="D3328" s="110" t="str">
        <f>IF(ISBLANK($B3328),"",IFERROR(VLOOKUP($B3328,ESTOQUE!$B$2:$D$97168,3,FALSE),"Produto não cadastrado"))</f>
        <v xml:space="preserve">LUVA DE VAQUETA </v>
      </c>
      <c r="E3328" s="99" t="str">
        <f>_xlfn.XLOOKUP(B3328,ESTOQUE!B:B,ESTOQUE!G:G,"",0)</f>
        <v>PAR</v>
      </c>
      <c r="F3328" s="158">
        <v>1</v>
      </c>
      <c r="G3328" s="63"/>
      <c r="H3328" s="63"/>
      <c r="I3328" s="63"/>
      <c r="J3328" s="63"/>
      <c r="K3328" s="63"/>
      <c r="L3328" s="63"/>
      <c r="M3328" s="63"/>
      <c r="N3328" s="63"/>
      <c r="O3328" s="63"/>
      <c r="P3328" s="63"/>
      <c r="Q3328" s="63"/>
      <c r="R3328" s="63"/>
      <c r="S3328" s="63"/>
      <c r="T3328" s="63"/>
      <c r="U3328" s="63"/>
      <c r="V3328" s="63"/>
      <c r="W3328" s="63"/>
    </row>
    <row r="3329" spans="1:23" x14ac:dyDescent="0.25">
      <c r="A3329" s="108">
        <v>46135</v>
      </c>
      <c r="B3329" s="128">
        <v>189</v>
      </c>
      <c r="C3329" s="136" t="s">
        <v>19</v>
      </c>
      <c r="D3329" s="110" t="str">
        <f>IF(ISBLANK($B3329),"",IFERROR(VLOOKUP($B3329,ESTOQUE!$B$2:$D$97168,3,FALSE),"Produto não cadastrado"))</f>
        <v xml:space="preserve">LUVA DE VAQUETA MISTA </v>
      </c>
      <c r="E3329" s="99" t="str">
        <f>_xlfn.XLOOKUP(B3329,ESTOQUE!B:B,ESTOQUE!G:G,"",0)</f>
        <v>UND</v>
      </c>
      <c r="F3329" s="158">
        <v>1</v>
      </c>
      <c r="G3329" s="63"/>
      <c r="H3329" s="63"/>
      <c r="I3329" s="63"/>
      <c r="J3329" s="63"/>
      <c r="K3329" s="63"/>
      <c r="L3329" s="63"/>
      <c r="M3329" s="63"/>
      <c r="N3329" s="63"/>
      <c r="O3329" s="63"/>
      <c r="P3329" s="63"/>
      <c r="Q3329" s="63"/>
      <c r="R3329" s="63"/>
      <c r="S3329" s="63"/>
      <c r="T3329" s="63"/>
      <c r="U3329" s="63"/>
      <c r="V3329" s="63"/>
      <c r="W3329" s="63"/>
    </row>
    <row r="3330" spans="1:23" x14ac:dyDescent="0.25">
      <c r="A3330" s="108">
        <v>46135</v>
      </c>
      <c r="B3330" s="128">
        <v>117</v>
      </c>
      <c r="C3330" s="136" t="s">
        <v>19</v>
      </c>
      <c r="D3330" s="110" t="str">
        <f>IF(ISBLANK($B3330),"",IFERROR(VLOOKUP($B3330,ESTOQUE!$B$2:$D$97168,3,FALSE),"Produto não cadastrado"))</f>
        <v>LUVA PIGMENTADA</v>
      </c>
      <c r="E3330" s="99" t="str">
        <f>_xlfn.XLOOKUP(B3330,ESTOQUE!B:B,ESTOQUE!G:G,"",0)</f>
        <v>PAR</v>
      </c>
      <c r="F3330" s="158">
        <v>1</v>
      </c>
      <c r="G3330" s="63"/>
      <c r="H3330" s="63"/>
      <c r="I3330" s="63"/>
      <c r="J3330" s="63"/>
      <c r="K3330" s="63"/>
      <c r="L3330" s="63"/>
      <c r="M3330" s="63"/>
      <c r="N3330" s="63"/>
      <c r="O3330" s="63"/>
      <c r="P3330" s="63"/>
      <c r="Q3330" s="63"/>
      <c r="R3330" s="63"/>
      <c r="S3330" s="63"/>
      <c r="T3330" s="63"/>
      <c r="U3330" s="63"/>
      <c r="V3330" s="63"/>
      <c r="W3330" s="63"/>
    </row>
    <row r="3331" spans="1:23" x14ac:dyDescent="0.25">
      <c r="A3331" s="108">
        <v>46135</v>
      </c>
      <c r="B3331" s="128">
        <v>207</v>
      </c>
      <c r="C3331" s="136" t="s">
        <v>19</v>
      </c>
      <c r="D3331" s="110" t="str">
        <f>IF(ISBLANK($B3331),"",IFERROR(VLOOKUP($B3331,ESTOQUE!$B$2:$D$97168,3,FALSE),"Produto não cadastrado"))</f>
        <v>LUVA POLIESTER ANTICORTE BANHADA PU TAM 9</v>
      </c>
      <c r="E3331" s="99" t="str">
        <f>_xlfn.XLOOKUP(B3331,ESTOQUE!B:B,ESTOQUE!G:G,"",0)</f>
        <v>PAR</v>
      </c>
      <c r="F3331" s="158">
        <v>241</v>
      </c>
      <c r="G3331" s="63"/>
      <c r="H3331" s="63"/>
      <c r="I3331" s="63"/>
      <c r="J3331" s="63"/>
      <c r="K3331" s="63"/>
      <c r="L3331" s="63"/>
      <c r="M3331" s="63"/>
      <c r="N3331" s="63"/>
      <c r="O3331" s="63"/>
      <c r="P3331" s="63"/>
      <c r="Q3331" s="63"/>
      <c r="R3331" s="63"/>
      <c r="S3331" s="63"/>
      <c r="T3331" s="63"/>
      <c r="U3331" s="63"/>
      <c r="V3331" s="63"/>
      <c r="W3331" s="63"/>
    </row>
    <row r="3332" spans="1:23" x14ac:dyDescent="0.25">
      <c r="A3332" s="108">
        <v>46135</v>
      </c>
      <c r="B3332" s="128">
        <v>118</v>
      </c>
      <c r="C3332" s="136" t="s">
        <v>19</v>
      </c>
      <c r="D3332" s="110" t="str">
        <f>IF(ISBLANK($B3332),"",IFERROR(VLOOKUP($B3332,ESTOQUE!$B$2:$D$97168,3,FALSE),"Produto não cadastrado"))</f>
        <v>MACACÃO DE PROTEÇÃO TYVEK</v>
      </c>
      <c r="E3332" s="99" t="str">
        <f>_xlfn.XLOOKUP(B3332,ESTOQUE!B:B,ESTOQUE!G:G,"",0)</f>
        <v>UND</v>
      </c>
      <c r="F3332" s="158">
        <v>1</v>
      </c>
      <c r="G3332" s="63"/>
      <c r="H3332" s="63"/>
      <c r="I3332" s="63"/>
      <c r="J3332" s="63"/>
      <c r="K3332" s="63"/>
      <c r="L3332" s="63"/>
      <c r="M3332" s="63"/>
      <c r="N3332" s="63"/>
      <c r="O3332" s="63"/>
      <c r="P3332" s="63"/>
      <c r="Q3332" s="63"/>
      <c r="R3332" s="63"/>
      <c r="S3332" s="63"/>
      <c r="T3332" s="63"/>
      <c r="U3332" s="63"/>
      <c r="V3332" s="63"/>
      <c r="W3332" s="63"/>
    </row>
    <row r="3333" spans="1:23" x14ac:dyDescent="0.25">
      <c r="A3333" s="108">
        <v>46135</v>
      </c>
      <c r="B3333" s="128">
        <v>144</v>
      </c>
      <c r="C3333" s="136" t="s">
        <v>19</v>
      </c>
      <c r="D3333" s="110" t="str">
        <f>IF(ISBLANK($B3333),"",IFERROR(VLOOKUP($B3333,ESTOQUE!$B$2:$D$97168,3,FALSE),"Produto não cadastrado"))</f>
        <v>MASCARA PFF2-S C/ FILTRO</v>
      </c>
      <c r="E3333" s="99" t="str">
        <f>_xlfn.XLOOKUP(B3333,ESTOQUE!B:B,ESTOQUE!G:G,"",0)</f>
        <v>UND</v>
      </c>
      <c r="F3333" s="158">
        <v>4</v>
      </c>
      <c r="G3333" s="63"/>
      <c r="H3333" s="63"/>
      <c r="I3333" s="63"/>
      <c r="J3333" s="63"/>
      <c r="K3333" s="63"/>
      <c r="L3333" s="63"/>
      <c r="M3333" s="63"/>
      <c r="N3333" s="63"/>
      <c r="O3333" s="63"/>
      <c r="P3333" s="63"/>
      <c r="Q3333" s="63"/>
      <c r="R3333" s="63"/>
      <c r="S3333" s="63"/>
      <c r="T3333" s="63"/>
      <c r="U3333" s="63"/>
      <c r="V3333" s="63"/>
      <c r="W3333" s="63"/>
    </row>
    <row r="3334" spans="1:23" x14ac:dyDescent="0.25">
      <c r="A3334" s="108">
        <v>46135</v>
      </c>
      <c r="B3334" s="128">
        <v>126</v>
      </c>
      <c r="C3334" s="136" t="s">
        <v>19</v>
      </c>
      <c r="D3334" s="110" t="str">
        <f>IF(ISBLANK($B3334),"",IFERROR(VLOOKUP($B3334,ESTOQUE!$B$2:$D$97168,3,FALSE),"Produto não cadastrado"))</f>
        <v>OCULOS DE PROTEÇÃO ESCURO</v>
      </c>
      <c r="E3334" s="99" t="str">
        <f>_xlfn.XLOOKUP(B3334,ESTOQUE!B:B,ESTOQUE!G:G,"",0)</f>
        <v>UND</v>
      </c>
      <c r="F3334" s="158">
        <v>4</v>
      </c>
      <c r="G3334" s="63"/>
      <c r="H3334" s="63"/>
      <c r="I3334" s="63"/>
      <c r="J3334" s="63"/>
      <c r="K3334" s="63"/>
      <c r="L3334" s="63"/>
      <c r="M3334" s="63"/>
      <c r="N3334" s="63"/>
      <c r="O3334" s="63"/>
      <c r="P3334" s="63"/>
      <c r="Q3334" s="63"/>
      <c r="R3334" s="63"/>
      <c r="S3334" s="63"/>
      <c r="T3334" s="63"/>
      <c r="U3334" s="63"/>
      <c r="V3334" s="63"/>
      <c r="W3334" s="63"/>
    </row>
    <row r="3335" spans="1:23" x14ac:dyDescent="0.25">
      <c r="A3335" s="108">
        <v>46135</v>
      </c>
      <c r="B3335" s="128">
        <v>139</v>
      </c>
      <c r="C3335" s="136" t="s">
        <v>19</v>
      </c>
      <c r="D3335" s="110" t="str">
        <f>IF(ISBLANK($B3335),"",IFERROR(VLOOKUP($B3335,ESTOQUE!$B$2:$D$97168,3,FALSE),"Produto não cadastrado"))</f>
        <v>PROTETOR AURICULAR TIPO PLUG</v>
      </c>
      <c r="E3335" s="99" t="str">
        <f>_xlfn.XLOOKUP(B3335,ESTOQUE!B:B,ESTOQUE!G:G,"",0)</f>
        <v>UND</v>
      </c>
      <c r="F3335" s="158">
        <v>1</v>
      </c>
      <c r="G3335" s="63"/>
      <c r="H3335" s="63"/>
      <c r="I3335" s="63"/>
      <c r="J3335" s="63"/>
      <c r="K3335" s="63"/>
      <c r="L3335" s="63"/>
      <c r="M3335" s="63"/>
      <c r="N3335" s="63"/>
      <c r="O3335" s="63"/>
      <c r="P3335" s="63"/>
      <c r="Q3335" s="63"/>
      <c r="R3335" s="63"/>
      <c r="S3335" s="63"/>
      <c r="T3335" s="63"/>
      <c r="U3335" s="63"/>
      <c r="V3335" s="63"/>
      <c r="W3335" s="63"/>
    </row>
    <row r="3336" spans="1:23" x14ac:dyDescent="0.25">
      <c r="A3336" s="108">
        <v>46136</v>
      </c>
      <c r="B3336" s="128">
        <v>158</v>
      </c>
      <c r="C3336" s="136" t="s">
        <v>19</v>
      </c>
      <c r="D3336" s="110" t="str">
        <f>IF(ISBLANK($B3336),"",IFERROR(VLOOKUP($B3336,ESTOQUE!$B$2:$D$97168,3,FALSE),"Produto não cadastrado"))</f>
        <v>AVENTAL DE PVC</v>
      </c>
      <c r="E3336" s="99" t="str">
        <f>_xlfn.XLOOKUP(B3336,ESTOQUE!B:B,ESTOQUE!G:G,"",0)</f>
        <v>UND</v>
      </c>
      <c r="F3336" s="158">
        <v>0</v>
      </c>
      <c r="G3336" s="63"/>
      <c r="H3336" s="63"/>
      <c r="I3336" s="63"/>
      <c r="J3336" s="63"/>
      <c r="K3336" s="63"/>
      <c r="L3336" s="63"/>
      <c r="M3336" s="63"/>
      <c r="N3336" s="63"/>
      <c r="O3336" s="63"/>
      <c r="P3336" s="63"/>
      <c r="Q3336" s="63"/>
      <c r="R3336" s="63"/>
      <c r="S3336" s="63"/>
      <c r="T3336" s="63"/>
      <c r="U3336" s="63"/>
      <c r="V3336" s="63"/>
      <c r="W3336" s="63"/>
    </row>
    <row r="3337" spans="1:23" x14ac:dyDescent="0.25">
      <c r="A3337" s="108">
        <v>46136</v>
      </c>
      <c r="B3337" s="128">
        <v>228</v>
      </c>
      <c r="C3337" s="136" t="s">
        <v>19</v>
      </c>
      <c r="D3337" s="110" t="str">
        <f>IF(ISBLANK($B3337),"",IFERROR(VLOOKUP($B3337,ESTOQUE!$B$2:$D$97168,3,FALSE),"Produto não cadastrado"))</f>
        <v xml:space="preserve">BALACLAVA  </v>
      </c>
      <c r="E3337" s="99" t="str">
        <f>_xlfn.XLOOKUP(B3337,ESTOQUE!B:B,ESTOQUE!G:G,"",0)</f>
        <v>UND</v>
      </c>
      <c r="F3337" s="158">
        <v>19</v>
      </c>
      <c r="G3337" s="63"/>
      <c r="H3337" s="63"/>
      <c r="I3337" s="63"/>
      <c r="J3337" s="63"/>
      <c r="K3337" s="63"/>
      <c r="L3337" s="63"/>
      <c r="M3337" s="63"/>
      <c r="N3337" s="63"/>
      <c r="O3337" s="63"/>
      <c r="P3337" s="63"/>
      <c r="Q3337" s="63"/>
      <c r="R3337" s="63"/>
      <c r="S3337" s="63"/>
      <c r="T3337" s="63"/>
      <c r="U3337" s="63"/>
      <c r="V3337" s="63"/>
      <c r="W3337" s="63"/>
    </row>
    <row r="3338" spans="1:23" x14ac:dyDescent="0.25">
      <c r="A3338" s="108">
        <v>46136</v>
      </c>
      <c r="B3338" s="128">
        <v>173</v>
      </c>
      <c r="C3338" s="136" t="s">
        <v>19</v>
      </c>
      <c r="D3338" s="110" t="str">
        <f>IF(ISBLANK($B3338),"",IFERROR(VLOOKUP($B3338,ESTOQUE!$B$2:$D$97168,3,FALSE),"Produto não cadastrado"))</f>
        <v>BOTA PVC CANO CURTO Nº 42</v>
      </c>
      <c r="E3338" s="99" t="str">
        <f>_xlfn.XLOOKUP(B3338,ESTOQUE!B:B,ESTOQUE!G:G,"",0)</f>
        <v>PAR</v>
      </c>
      <c r="F3338" s="158">
        <v>0</v>
      </c>
      <c r="G3338" s="63"/>
      <c r="H3338" s="63"/>
      <c r="I3338" s="63"/>
      <c r="J3338" s="63"/>
      <c r="K3338" s="63"/>
      <c r="L3338" s="63"/>
      <c r="M3338" s="63"/>
      <c r="N3338" s="63"/>
      <c r="O3338" s="63"/>
      <c r="P3338" s="63"/>
      <c r="Q3338" s="63"/>
      <c r="R3338" s="63"/>
      <c r="S3338" s="63"/>
      <c r="T3338" s="63"/>
      <c r="U3338" s="63"/>
      <c r="V3338" s="63"/>
      <c r="W3338" s="63"/>
    </row>
    <row r="3339" spans="1:23" x14ac:dyDescent="0.25">
      <c r="A3339" s="108">
        <v>46136</v>
      </c>
      <c r="B3339" s="128">
        <v>37</v>
      </c>
      <c r="C3339" s="136" t="s">
        <v>19</v>
      </c>
      <c r="D3339" s="110" t="str">
        <f>IF(ISBLANK($B3339),"",IFERROR(VLOOKUP($B3339,ESTOQUE!$B$2:$D$97168,3,FALSE),"Produto não cadastrado"))</f>
        <v>BOTINA OP. BICO PVC Nº 39</v>
      </c>
      <c r="E3339" s="99" t="str">
        <f>_xlfn.XLOOKUP(B3339,ESTOQUE!B:B,ESTOQUE!G:G,"",0)</f>
        <v>PAR</v>
      </c>
      <c r="F3339" s="158">
        <v>0</v>
      </c>
      <c r="G3339" s="63"/>
      <c r="H3339" s="63"/>
      <c r="I3339" s="63"/>
      <c r="J3339" s="63"/>
      <c r="K3339" s="63"/>
      <c r="L3339" s="63"/>
      <c r="M3339" s="63"/>
      <c r="N3339" s="63"/>
      <c r="O3339" s="63"/>
      <c r="P3339" s="63"/>
      <c r="Q3339" s="63"/>
      <c r="R3339" s="63"/>
      <c r="S3339" s="63"/>
      <c r="T3339" s="63"/>
      <c r="U3339" s="63"/>
      <c r="V3339" s="63"/>
      <c r="W3339" s="63"/>
    </row>
    <row r="3340" spans="1:23" x14ac:dyDescent="0.25">
      <c r="A3340" s="108">
        <v>46136</v>
      </c>
      <c r="B3340" s="128">
        <v>38</v>
      </c>
      <c r="C3340" s="108" t="s">
        <v>19</v>
      </c>
      <c r="D3340" s="110" t="str">
        <f>IF(ISBLANK($B3340),"",IFERROR(VLOOKUP($B3340,ESTOQUE!$B$2:$D$97168,3,FALSE),"Produto não cadastrado"))</f>
        <v>BOTINA OP. BICO PVC Nº 40</v>
      </c>
      <c r="E3340" s="99" t="str">
        <f>_xlfn.XLOOKUP(B3340,ESTOQUE!B:B,ESTOQUE!G:G,"",0)</f>
        <v>PAR</v>
      </c>
      <c r="F3340" s="158">
        <v>0</v>
      </c>
      <c r="G3340" s="63"/>
      <c r="H3340" s="63"/>
      <c r="I3340" s="63"/>
      <c r="J3340" s="63"/>
      <c r="K3340" s="63"/>
      <c r="L3340" s="63"/>
      <c r="M3340" s="63"/>
      <c r="N3340" s="63"/>
      <c r="O3340" s="63"/>
      <c r="P3340" s="63"/>
      <c r="Q3340" s="63"/>
      <c r="R3340" s="63"/>
      <c r="S3340" s="63"/>
      <c r="T3340" s="63"/>
      <c r="U3340" s="63"/>
      <c r="V3340" s="63"/>
      <c r="W3340" s="63"/>
    </row>
    <row r="3341" spans="1:23" x14ac:dyDescent="0.25">
      <c r="A3341" s="108">
        <v>46136</v>
      </c>
      <c r="B3341" s="128">
        <v>217</v>
      </c>
      <c r="C3341" s="108" t="s">
        <v>19</v>
      </c>
      <c r="D3341" s="110" t="str">
        <f>IF(ISBLANK($B3341),"",IFERROR(VLOOKUP($B3341,ESTOQUE!$B$2:$D$97168,3,FALSE),"Produto não cadastrado"))</f>
        <v>BOTINA SEGURANÇA METATARSO  40</v>
      </c>
      <c r="E3341" s="99" t="str">
        <f>_xlfn.XLOOKUP(B3341,ESTOQUE!B:B,ESTOQUE!G:G,"",0)</f>
        <v>PAR</v>
      </c>
      <c r="F3341" s="158">
        <v>1</v>
      </c>
      <c r="G3341" s="63"/>
      <c r="H3341" s="63"/>
      <c r="I3341" s="63"/>
      <c r="J3341" s="63"/>
      <c r="K3341" s="63"/>
      <c r="L3341" s="63"/>
      <c r="M3341" s="63"/>
      <c r="N3341" s="63"/>
      <c r="O3341" s="63"/>
      <c r="P3341" s="63"/>
      <c r="Q3341" s="63"/>
      <c r="R3341" s="63"/>
      <c r="S3341" s="63"/>
      <c r="T3341" s="63"/>
      <c r="U3341" s="63"/>
      <c r="V3341" s="63"/>
      <c r="W3341" s="63"/>
    </row>
    <row r="3342" spans="1:23" x14ac:dyDescent="0.25">
      <c r="A3342" s="108">
        <v>46136</v>
      </c>
      <c r="B3342" s="128">
        <v>48</v>
      </c>
      <c r="C3342" s="108" t="s">
        <v>19</v>
      </c>
      <c r="D3342" s="110" t="str">
        <f>IF(ISBLANK($B3342),"",IFERROR(VLOOKUP($B3342,ESTOQUE!$B$2:$D$97168,3,FALSE),"Produto não cadastrado"))</f>
        <v>CALÇA CINZA OP. C/ FAIXA REFLETIVA TAM: M</v>
      </c>
      <c r="E3342" s="99" t="str">
        <f>_xlfn.XLOOKUP(B3342,ESTOQUE!B:B,ESTOQUE!G:G,"",0)</f>
        <v>UND</v>
      </c>
      <c r="F3342" s="158">
        <v>0</v>
      </c>
      <c r="G3342" s="63"/>
      <c r="H3342" s="63"/>
      <c r="I3342" s="63"/>
      <c r="J3342" s="63"/>
      <c r="K3342" s="63"/>
      <c r="L3342" s="63"/>
      <c r="M3342" s="63"/>
      <c r="N3342" s="63"/>
      <c r="O3342" s="63"/>
      <c r="P3342" s="63"/>
      <c r="Q3342" s="63"/>
      <c r="R3342" s="63"/>
      <c r="S3342" s="63"/>
      <c r="T3342" s="63"/>
      <c r="U3342" s="63"/>
      <c r="V3342" s="63"/>
      <c r="W3342" s="63"/>
    </row>
    <row r="3343" spans="1:23" x14ac:dyDescent="0.25">
      <c r="A3343" s="108">
        <v>46136</v>
      </c>
      <c r="B3343" s="128">
        <v>47</v>
      </c>
      <c r="C3343" s="108" t="s">
        <v>19</v>
      </c>
      <c r="D3343" s="110" t="str">
        <f>IF(ISBLANK($B3343),"",IFERROR(VLOOKUP($B3343,ESTOQUE!$B$2:$D$97168,3,FALSE),"Produto não cadastrado"))</f>
        <v>CALÇA CINZA OP. C/ FAIXA REFLETIVA TAM: GG</v>
      </c>
      <c r="E3343" s="99" t="str">
        <f>_xlfn.XLOOKUP(B3343,ESTOQUE!B:B,ESTOQUE!G:G,"",0)</f>
        <v>UND</v>
      </c>
      <c r="F3343" s="158">
        <v>2</v>
      </c>
      <c r="G3343" s="63"/>
      <c r="H3343" s="63"/>
      <c r="I3343" s="63"/>
      <c r="J3343" s="63"/>
      <c r="K3343" s="63"/>
      <c r="L3343" s="63"/>
      <c r="M3343" s="63"/>
      <c r="N3343" s="63"/>
      <c r="O3343" s="63"/>
      <c r="P3343" s="63"/>
      <c r="Q3343" s="63"/>
      <c r="R3343" s="63"/>
      <c r="S3343" s="63"/>
      <c r="T3343" s="63"/>
      <c r="U3343" s="63"/>
      <c r="V3343" s="63"/>
      <c r="W3343" s="63"/>
    </row>
    <row r="3344" spans="1:23" x14ac:dyDescent="0.25">
      <c r="A3344" s="108">
        <v>46136</v>
      </c>
      <c r="B3344" s="128">
        <v>49</v>
      </c>
      <c r="C3344" s="108" t="s">
        <v>19</v>
      </c>
      <c r="D3344" s="110" t="str">
        <f>IF(ISBLANK($B3344),"",IFERROR(VLOOKUP($B3344,ESTOQUE!$B$2:$D$97168,3,FALSE),"Produto não cadastrado"))</f>
        <v>CALÇA CINZA OP. C/ FAIXA REFLETIVA TAM: P</v>
      </c>
      <c r="E3344" s="99" t="str">
        <f>_xlfn.XLOOKUP(B3344,ESTOQUE!B:B,ESTOQUE!G:G,"",0)</f>
        <v>UND</v>
      </c>
      <c r="F3344" s="158">
        <v>10</v>
      </c>
      <c r="G3344" s="63"/>
      <c r="H3344" s="63"/>
      <c r="I3344" s="63"/>
      <c r="J3344" s="63"/>
      <c r="K3344" s="63"/>
      <c r="L3344" s="63"/>
      <c r="M3344" s="63"/>
      <c r="N3344" s="63"/>
      <c r="O3344" s="63"/>
      <c r="P3344" s="63"/>
      <c r="Q3344" s="63"/>
      <c r="R3344" s="63"/>
      <c r="S3344" s="63"/>
      <c r="T3344" s="63"/>
      <c r="U3344" s="63"/>
      <c r="V3344" s="63"/>
      <c r="W3344" s="63"/>
    </row>
    <row r="3345" spans="1:23" x14ac:dyDescent="0.25">
      <c r="A3345" s="108">
        <v>46136</v>
      </c>
      <c r="B3345" s="128">
        <v>53</v>
      </c>
      <c r="C3345" s="108" t="s">
        <v>19</v>
      </c>
      <c r="D3345" s="110" t="str">
        <f>IF(ISBLANK($B3345),"",IFERROR(VLOOKUP($B3345,ESTOQUE!$B$2:$D$97168,3,FALSE),"Produto não cadastrado"))</f>
        <v>CALÇA DE ELETRICISTA NR.10 TAM: P</v>
      </c>
      <c r="E3345" s="99" t="str">
        <f>_xlfn.XLOOKUP(B3345,ESTOQUE!B:B,ESTOQUE!G:G,"",0)</f>
        <v>UND</v>
      </c>
      <c r="F3345" s="158">
        <v>1</v>
      </c>
      <c r="G3345" s="63"/>
      <c r="H3345" s="63"/>
      <c r="I3345" s="63"/>
      <c r="J3345" s="63"/>
      <c r="K3345" s="63"/>
      <c r="L3345" s="63"/>
      <c r="M3345" s="63"/>
      <c r="N3345" s="63"/>
      <c r="O3345" s="63"/>
      <c r="P3345" s="63"/>
      <c r="Q3345" s="63"/>
      <c r="R3345" s="63"/>
      <c r="S3345" s="63"/>
      <c r="T3345" s="63"/>
      <c r="U3345" s="63"/>
      <c r="V3345" s="63"/>
      <c r="W3345" s="63"/>
    </row>
    <row r="3346" spans="1:23" x14ac:dyDescent="0.25">
      <c r="A3346" s="108">
        <v>46136</v>
      </c>
      <c r="B3346" s="128">
        <v>67</v>
      </c>
      <c r="C3346" s="108" t="s">
        <v>19</v>
      </c>
      <c r="D3346" s="110" t="str">
        <f>IF(ISBLANK($B3346),"",IFERROR(VLOOKUP($B3346,ESTOQUE!$B$2:$D$97168,3,FALSE),"Produto não cadastrado"))</f>
        <v>CAMISA LARANJA OP. C/ FAIXA REFLETIVA TAM: G</v>
      </c>
      <c r="E3346" s="99" t="str">
        <f>_xlfn.XLOOKUP(B3346,ESTOQUE!B:B,ESTOQUE!G:G,"",0)</f>
        <v>UND</v>
      </c>
      <c r="F3346" s="158">
        <v>7</v>
      </c>
      <c r="G3346" s="63"/>
      <c r="H3346" s="63"/>
      <c r="I3346" s="63"/>
      <c r="J3346" s="63"/>
      <c r="K3346" s="63"/>
      <c r="L3346" s="63"/>
      <c r="M3346" s="63"/>
      <c r="N3346" s="63"/>
      <c r="O3346" s="63"/>
      <c r="P3346" s="63"/>
      <c r="Q3346" s="63"/>
      <c r="R3346" s="63"/>
      <c r="S3346" s="63"/>
      <c r="T3346" s="63"/>
      <c r="U3346" s="63"/>
      <c r="V3346" s="63"/>
      <c r="W3346" s="63"/>
    </row>
    <row r="3347" spans="1:23" x14ac:dyDescent="0.25">
      <c r="A3347" s="108">
        <v>46136</v>
      </c>
      <c r="B3347" s="128">
        <v>70</v>
      </c>
      <c r="C3347" s="108" t="s">
        <v>19</v>
      </c>
      <c r="D3347" s="110" t="str">
        <f>IF(ISBLANK($B3347),"",IFERROR(VLOOKUP($B3347,ESTOQUE!$B$2:$D$97168,3,FALSE),"Produto não cadastrado"))</f>
        <v>CAMISA LARANJA OP. C/ FAIXA REFLETIVA TAM: P</v>
      </c>
      <c r="E3347" s="99" t="str">
        <f>_xlfn.XLOOKUP(B3347,ESTOQUE!B:B,ESTOQUE!G:G,"",0)</f>
        <v>UND</v>
      </c>
      <c r="F3347" s="158">
        <v>2</v>
      </c>
      <c r="G3347" s="63"/>
      <c r="H3347" s="63"/>
      <c r="I3347" s="63"/>
      <c r="J3347" s="63"/>
      <c r="K3347" s="63"/>
      <c r="L3347" s="63"/>
      <c r="M3347" s="63"/>
      <c r="N3347" s="63"/>
      <c r="O3347" s="63"/>
      <c r="P3347" s="63"/>
      <c r="Q3347" s="63"/>
      <c r="R3347" s="63"/>
      <c r="S3347" s="63"/>
      <c r="T3347" s="63"/>
      <c r="U3347" s="63"/>
      <c r="V3347" s="63"/>
      <c r="W3347" s="63"/>
    </row>
    <row r="3348" spans="1:23" x14ac:dyDescent="0.25">
      <c r="A3348" s="108">
        <v>46136</v>
      </c>
      <c r="B3348" s="128">
        <v>95</v>
      </c>
      <c r="C3348" s="108" t="s">
        <v>19</v>
      </c>
      <c r="D3348" s="110" t="str">
        <f>IF(ISBLANK($B3348),"",IFERROR(VLOOKUP($B3348,ESTOQUE!$B$2:$D$97168,3,FALSE),"Produto não cadastrado"))</f>
        <v>CARNEIRA P/ CAPACETE LIBUS</v>
      </c>
      <c r="E3348" s="99" t="str">
        <f>_xlfn.XLOOKUP(B3348,ESTOQUE!B:B,ESTOQUE!G:G,"",0)</f>
        <v>UND</v>
      </c>
      <c r="F3348" s="158">
        <v>1</v>
      </c>
      <c r="G3348" s="63"/>
      <c r="H3348" s="63"/>
      <c r="I3348" s="63"/>
      <c r="J3348" s="63"/>
      <c r="K3348" s="63"/>
      <c r="L3348" s="63"/>
      <c r="M3348" s="63"/>
      <c r="N3348" s="63"/>
      <c r="O3348" s="63"/>
      <c r="P3348" s="63"/>
      <c r="Q3348" s="63"/>
      <c r="R3348" s="63"/>
      <c r="S3348" s="63"/>
      <c r="T3348" s="63"/>
      <c r="U3348" s="63"/>
      <c r="V3348" s="63"/>
      <c r="W3348" s="63"/>
    </row>
    <row r="3349" spans="1:23" x14ac:dyDescent="0.25">
      <c r="A3349" s="108">
        <v>46136</v>
      </c>
      <c r="B3349" s="128">
        <v>186</v>
      </c>
      <c r="C3349" s="108" t="s">
        <v>19</v>
      </c>
      <c r="D3349" s="110" t="str">
        <f>IF(ISBLANK($B3349),"",IFERROR(VLOOKUP($B3349,ESTOQUE!$B$2:$D$97168,3,FALSE),"Produto não cadastrado"))</f>
        <v>COLETE REFLETIVO LARANJA GG</v>
      </c>
      <c r="E3349" s="99" t="str">
        <f>_xlfn.XLOOKUP(B3349,ESTOQUE!B:B,ESTOQUE!G:G,"",0)</f>
        <v>UND</v>
      </c>
      <c r="F3349" s="158">
        <v>1</v>
      </c>
      <c r="G3349" s="63"/>
      <c r="H3349" s="63"/>
      <c r="I3349" s="63"/>
      <c r="J3349" s="63"/>
      <c r="K3349" s="63"/>
      <c r="L3349" s="63"/>
      <c r="M3349" s="63"/>
      <c r="N3349" s="63"/>
      <c r="O3349" s="63"/>
      <c r="P3349" s="63"/>
      <c r="Q3349" s="63"/>
      <c r="R3349" s="63"/>
      <c r="S3349" s="63"/>
      <c r="T3349" s="63"/>
      <c r="U3349" s="63"/>
      <c r="V3349" s="63"/>
      <c r="W3349" s="63"/>
    </row>
    <row r="3350" spans="1:23" x14ac:dyDescent="0.25">
      <c r="A3350" s="108">
        <v>46136</v>
      </c>
      <c r="B3350" s="128">
        <v>97</v>
      </c>
      <c r="C3350" s="108" t="s">
        <v>19</v>
      </c>
      <c r="D3350" s="110" t="str">
        <f>IF(ISBLANK($B3350),"",IFERROR(VLOOKUP($B3350,ESTOQUE!$B$2:$D$97168,3,FALSE),"Produto não cadastrado"))</f>
        <v>COLETE REFLETIVO LARANJA M</v>
      </c>
      <c r="E3350" s="99" t="str">
        <f>_xlfn.XLOOKUP(B3350,ESTOQUE!B:B,ESTOQUE!G:G,"",0)</f>
        <v>UND</v>
      </c>
      <c r="F3350" s="158">
        <v>0</v>
      </c>
      <c r="G3350" s="63"/>
      <c r="H3350" s="63"/>
      <c r="I3350" s="63"/>
      <c r="J3350" s="63"/>
      <c r="K3350" s="63"/>
      <c r="L3350" s="63"/>
      <c r="M3350" s="63"/>
      <c r="N3350" s="63"/>
      <c r="O3350" s="63"/>
      <c r="P3350" s="63"/>
      <c r="Q3350" s="63"/>
      <c r="R3350" s="63"/>
      <c r="S3350" s="63"/>
      <c r="T3350" s="63"/>
      <c r="U3350" s="63"/>
      <c r="V3350" s="63"/>
      <c r="W3350" s="63"/>
    </row>
    <row r="3351" spans="1:23" x14ac:dyDescent="0.25">
      <c r="A3351" s="108">
        <v>46136</v>
      </c>
      <c r="B3351" s="128">
        <v>227</v>
      </c>
      <c r="C3351" s="108" t="s">
        <v>19</v>
      </c>
      <c r="D3351" s="110" t="str">
        <f>IF(ISBLANK($B3351),"",IFERROR(VLOOKUP($B3351,ESTOQUE!$B$2:$D$97168,3,FALSE),"Produto não cadastrado"))</f>
        <v>LUVA  ALTA TENSÃO 2,5 KV  ORION CLASSE 00</v>
      </c>
      <c r="E3351" s="99" t="str">
        <f>_xlfn.XLOOKUP(B3351,ESTOQUE!B:B,ESTOQUE!G:G,"",0)</f>
        <v>UND</v>
      </c>
      <c r="F3351" s="158">
        <v>0</v>
      </c>
      <c r="G3351" s="63"/>
      <c r="H3351" s="63"/>
      <c r="I3351" s="63"/>
      <c r="J3351" s="63"/>
      <c r="K3351" s="63"/>
      <c r="L3351" s="63"/>
      <c r="M3351" s="63"/>
      <c r="N3351" s="63"/>
      <c r="O3351" s="63"/>
      <c r="P3351" s="63"/>
      <c r="Q3351" s="63"/>
      <c r="R3351" s="63"/>
      <c r="S3351" s="63"/>
      <c r="T3351" s="63"/>
      <c r="U3351" s="63"/>
      <c r="V3351" s="63"/>
      <c r="W3351" s="63"/>
    </row>
    <row r="3352" spans="1:23" x14ac:dyDescent="0.25">
      <c r="A3352" s="108">
        <v>46136</v>
      </c>
      <c r="B3352" s="128">
        <v>189</v>
      </c>
      <c r="C3352" s="108" t="s">
        <v>19</v>
      </c>
      <c r="D3352" s="110" t="str">
        <f>IF(ISBLANK($B3352),"",IFERROR(VLOOKUP($B3352,ESTOQUE!$B$2:$D$97168,3,FALSE),"Produto não cadastrado"))</f>
        <v xml:space="preserve">LUVA DE VAQUETA MISTA </v>
      </c>
      <c r="E3352" s="99" t="str">
        <f>_xlfn.XLOOKUP(B3352,ESTOQUE!B:B,ESTOQUE!G:G,"",0)</f>
        <v>UND</v>
      </c>
      <c r="F3352" s="152">
        <v>22</v>
      </c>
      <c r="G3352" s="63"/>
      <c r="H3352" s="63"/>
      <c r="I3352" s="63"/>
      <c r="J3352" s="63"/>
      <c r="K3352" s="63"/>
      <c r="L3352" s="63"/>
      <c r="M3352" s="63"/>
      <c r="N3352" s="63"/>
      <c r="O3352" s="63"/>
      <c r="P3352" s="63"/>
      <c r="Q3352" s="63"/>
      <c r="R3352" s="63"/>
      <c r="S3352" s="63"/>
      <c r="T3352" s="63"/>
      <c r="U3352" s="63"/>
      <c r="V3352" s="63"/>
      <c r="W3352" s="63"/>
    </row>
    <row r="3353" spans="1:23" x14ac:dyDescent="0.25">
      <c r="A3353" s="108">
        <v>46136</v>
      </c>
      <c r="B3353" s="128">
        <v>114</v>
      </c>
      <c r="C3353" s="108" t="s">
        <v>19</v>
      </c>
      <c r="D3353" s="110" t="str">
        <f>IF(ISBLANK($B3353),"",IFERROR(VLOOKUP($B3353,ESTOQUE!$B$2:$D$97168,3,FALSE),"Produto não cadastrado"))</f>
        <v xml:space="preserve">LUVA LATEX NITRILICA </v>
      </c>
      <c r="E3353" s="99" t="str">
        <f>_xlfn.XLOOKUP(B3353,ESTOQUE!B:B,ESTOQUE!G:G,"",0)</f>
        <v>PAR</v>
      </c>
      <c r="F3353" s="152">
        <v>1</v>
      </c>
      <c r="G3353" s="63"/>
      <c r="H3353" s="63"/>
      <c r="I3353" s="63"/>
      <c r="J3353" s="63"/>
      <c r="K3353" s="63"/>
      <c r="L3353" s="63"/>
      <c r="M3353" s="63"/>
      <c r="N3353" s="63"/>
      <c r="O3353" s="63"/>
      <c r="P3353" s="63"/>
      <c r="Q3353" s="63"/>
      <c r="R3353" s="63"/>
      <c r="S3353" s="63"/>
      <c r="T3353" s="63"/>
      <c r="U3353" s="63"/>
      <c r="V3353" s="63"/>
      <c r="W3353" s="63"/>
    </row>
    <row r="3354" spans="1:23" x14ac:dyDescent="0.25">
      <c r="A3354" s="108">
        <v>46136</v>
      </c>
      <c r="B3354" s="128">
        <v>117</v>
      </c>
      <c r="C3354" s="108" t="s">
        <v>19</v>
      </c>
      <c r="D3354" s="110" t="str">
        <f>IF(ISBLANK($B3354),"",IFERROR(VLOOKUP($B3354,ESTOQUE!$B$2:$D$97168,3,FALSE),"Produto não cadastrado"))</f>
        <v>LUVA PIGMENTADA</v>
      </c>
      <c r="E3354" s="99" t="str">
        <f>_xlfn.XLOOKUP(B3354,ESTOQUE!B:B,ESTOQUE!G:G,"",0)</f>
        <v>PAR</v>
      </c>
      <c r="F3354" s="152">
        <v>50</v>
      </c>
      <c r="G3354" s="63"/>
      <c r="H3354" s="63"/>
      <c r="I3354" s="63"/>
      <c r="J3354" s="63"/>
      <c r="K3354" s="63"/>
      <c r="L3354" s="63"/>
      <c r="M3354" s="63"/>
      <c r="N3354" s="63"/>
      <c r="O3354" s="63"/>
      <c r="P3354" s="63"/>
      <c r="Q3354" s="63"/>
      <c r="R3354" s="63"/>
      <c r="S3354" s="63"/>
      <c r="T3354" s="63"/>
      <c r="U3354" s="63"/>
      <c r="V3354" s="63"/>
      <c r="W3354" s="63"/>
    </row>
    <row r="3355" spans="1:23" x14ac:dyDescent="0.25">
      <c r="A3355" s="108">
        <v>46136</v>
      </c>
      <c r="B3355" s="128">
        <v>207</v>
      </c>
      <c r="C3355" s="108" t="s">
        <v>19</v>
      </c>
      <c r="D3355" s="110" t="str">
        <f>IF(ISBLANK($B3355),"",IFERROR(VLOOKUP($B3355,ESTOQUE!$B$2:$D$97168,3,FALSE),"Produto não cadastrado"))</f>
        <v>LUVA POLIESTER ANTICORTE BANHADA PU TAM 9</v>
      </c>
      <c r="E3355" s="99" t="str">
        <f>_xlfn.XLOOKUP(B3355,ESTOQUE!B:B,ESTOQUE!G:G,"",0)</f>
        <v>PAR</v>
      </c>
      <c r="F3355" s="152">
        <v>0</v>
      </c>
      <c r="G3355" s="63"/>
      <c r="H3355" s="63"/>
      <c r="I3355" s="63"/>
      <c r="J3355" s="63"/>
      <c r="K3355" s="63"/>
      <c r="L3355" s="63"/>
      <c r="M3355" s="63"/>
      <c r="N3355" s="63"/>
      <c r="O3355" s="63"/>
      <c r="P3355" s="63"/>
      <c r="Q3355" s="63"/>
      <c r="R3355" s="63"/>
      <c r="S3355" s="63"/>
      <c r="T3355" s="63"/>
      <c r="U3355" s="63"/>
      <c r="V3355" s="63"/>
      <c r="W3355" s="63"/>
    </row>
    <row r="3356" spans="1:23" x14ac:dyDescent="0.25">
      <c r="A3356" s="108">
        <v>46136</v>
      </c>
      <c r="B3356" s="128">
        <v>118</v>
      </c>
      <c r="C3356" s="108" t="s">
        <v>19</v>
      </c>
      <c r="D3356" s="110" t="str">
        <f>IF(ISBLANK($B3356),"",IFERROR(VLOOKUP($B3356,ESTOQUE!$B$2:$D$97168,3,FALSE),"Produto não cadastrado"))</f>
        <v>MACACÃO DE PROTEÇÃO TYVEK</v>
      </c>
      <c r="E3356" s="99" t="str">
        <f>_xlfn.XLOOKUP(B3356,ESTOQUE!B:B,ESTOQUE!G:G,"",0)</f>
        <v>UND</v>
      </c>
      <c r="F3356" s="152">
        <v>1</v>
      </c>
      <c r="G3356" s="63"/>
      <c r="H3356" s="63"/>
      <c r="I3356" s="63"/>
      <c r="J3356" s="63"/>
      <c r="K3356" s="63"/>
      <c r="L3356" s="63"/>
      <c r="M3356" s="63"/>
      <c r="N3356" s="63"/>
      <c r="O3356" s="63"/>
      <c r="P3356" s="63"/>
      <c r="Q3356" s="63"/>
      <c r="R3356" s="63"/>
      <c r="S3356" s="63"/>
      <c r="T3356" s="63"/>
      <c r="U3356" s="63"/>
      <c r="V3356" s="63"/>
      <c r="W3356" s="63"/>
    </row>
    <row r="3357" spans="1:23" x14ac:dyDescent="0.25">
      <c r="A3357" s="108">
        <v>46136</v>
      </c>
      <c r="B3357" s="128">
        <v>144</v>
      </c>
      <c r="C3357" s="108" t="s">
        <v>19</v>
      </c>
      <c r="D3357" s="110" t="str">
        <f>IF(ISBLANK($B3357),"",IFERROR(VLOOKUP($B3357,ESTOQUE!$B$2:$D$97168,3,FALSE),"Produto não cadastrado"))</f>
        <v>MASCARA PFF2-S C/ FILTRO</v>
      </c>
      <c r="E3357" s="99" t="str">
        <f>_xlfn.XLOOKUP(B3357,ESTOQUE!B:B,ESTOQUE!G:G,"",0)</f>
        <v>UND</v>
      </c>
      <c r="F3357" s="152">
        <v>67</v>
      </c>
      <c r="G3357" s="63"/>
      <c r="H3357" s="63"/>
      <c r="I3357" s="63"/>
      <c r="J3357" s="63"/>
      <c r="K3357" s="63"/>
      <c r="L3357" s="63"/>
      <c r="M3357" s="63"/>
      <c r="N3357" s="63"/>
      <c r="O3357" s="63"/>
      <c r="P3357" s="63"/>
      <c r="Q3357" s="63"/>
      <c r="R3357" s="63"/>
      <c r="S3357" s="63"/>
      <c r="T3357" s="63"/>
      <c r="U3357" s="63"/>
      <c r="V3357" s="63"/>
      <c r="W3357" s="63"/>
    </row>
    <row r="3358" spans="1:23" x14ac:dyDescent="0.25">
      <c r="A3358" s="108">
        <v>46136</v>
      </c>
      <c r="B3358" s="128">
        <v>126</v>
      </c>
      <c r="C3358" s="108" t="s">
        <v>19</v>
      </c>
      <c r="D3358" s="110" t="str">
        <f>IF(ISBLANK($B3358),"",IFERROR(VLOOKUP($B3358,ESTOQUE!$B$2:$D$97168,3,FALSE),"Produto não cadastrado"))</f>
        <v>OCULOS DE PROTEÇÃO ESCURO</v>
      </c>
      <c r="E3358" s="99" t="str">
        <f>_xlfn.XLOOKUP(B3358,ESTOQUE!B:B,ESTOQUE!G:G,"",0)</f>
        <v>UND</v>
      </c>
      <c r="F3358" s="152">
        <v>5</v>
      </c>
      <c r="G3358" s="63"/>
      <c r="H3358" s="63"/>
      <c r="I3358" s="63"/>
      <c r="J3358" s="63"/>
      <c r="K3358" s="63"/>
      <c r="L3358" s="63"/>
      <c r="M3358" s="63"/>
      <c r="N3358" s="63"/>
      <c r="O3358" s="63"/>
      <c r="P3358" s="63"/>
      <c r="Q3358" s="63"/>
      <c r="R3358" s="63"/>
      <c r="S3358" s="63"/>
      <c r="T3358" s="63"/>
      <c r="U3358" s="63"/>
      <c r="V3358" s="63"/>
      <c r="W3358" s="63"/>
    </row>
    <row r="3359" spans="1:23" x14ac:dyDescent="0.25">
      <c r="A3359" s="108">
        <v>46136</v>
      </c>
      <c r="B3359" s="128">
        <v>129</v>
      </c>
      <c r="C3359" s="108" t="s">
        <v>19</v>
      </c>
      <c r="D3359" s="110" t="str">
        <f>IF(ISBLANK($B3359),"",IFERROR(VLOOKUP($B3359,ESTOQUE!$B$2:$D$97168,3,FALSE),"Produto não cadastrado"))</f>
        <v>PERNEIRA DE RASPA</v>
      </c>
      <c r="E3359" s="99" t="str">
        <f>_xlfn.XLOOKUP(B3359,ESTOQUE!B:B,ESTOQUE!G:G,"",0)</f>
        <v>PAR</v>
      </c>
      <c r="F3359" s="152">
        <v>1</v>
      </c>
      <c r="G3359" s="63"/>
      <c r="H3359" s="63"/>
      <c r="I3359" s="63"/>
      <c r="J3359" s="63"/>
      <c r="K3359" s="63"/>
      <c r="L3359" s="63"/>
      <c r="M3359" s="63"/>
      <c r="N3359" s="63"/>
      <c r="O3359" s="63"/>
      <c r="P3359" s="63"/>
      <c r="Q3359" s="63"/>
      <c r="R3359" s="63"/>
      <c r="S3359" s="63"/>
      <c r="T3359" s="63"/>
      <c r="U3359" s="63"/>
      <c r="V3359" s="63"/>
      <c r="W3359" s="63"/>
    </row>
    <row r="3360" spans="1:23" x14ac:dyDescent="0.25">
      <c r="A3360" s="108">
        <v>46136</v>
      </c>
      <c r="B3360" s="128">
        <v>139</v>
      </c>
      <c r="C3360" s="108" t="s">
        <v>19</v>
      </c>
      <c r="D3360" s="110" t="str">
        <f>IF(ISBLANK($B3360),"",IFERROR(VLOOKUP($B3360,ESTOQUE!$B$2:$D$97168,3,FALSE),"Produto não cadastrado"))</f>
        <v>PROTETOR AURICULAR TIPO PLUG</v>
      </c>
      <c r="E3360" s="99" t="str">
        <f>_xlfn.XLOOKUP(B3360,ESTOQUE!B:B,ESTOQUE!G:G,"",0)</f>
        <v>UND</v>
      </c>
      <c r="F3360" s="152">
        <v>2</v>
      </c>
      <c r="G3360" s="63"/>
      <c r="H3360" s="63"/>
      <c r="I3360" s="63"/>
      <c r="J3360" s="63"/>
      <c r="K3360" s="63"/>
      <c r="L3360" s="63"/>
      <c r="M3360" s="63"/>
      <c r="N3360" s="63"/>
      <c r="O3360" s="63"/>
      <c r="P3360" s="63"/>
      <c r="Q3360" s="63"/>
      <c r="R3360" s="63"/>
      <c r="S3360" s="63"/>
      <c r="T3360" s="63"/>
      <c r="U3360" s="63"/>
      <c r="V3360" s="63"/>
      <c r="W3360" s="63"/>
    </row>
    <row r="3361" spans="1:23" x14ac:dyDescent="0.25">
      <c r="A3361" s="108">
        <v>46137</v>
      </c>
      <c r="B3361" s="128">
        <v>228</v>
      </c>
      <c r="C3361" s="108" t="s">
        <v>19</v>
      </c>
      <c r="D3361" s="110" t="str">
        <f>IF(ISBLANK($B3361),"",IFERROR(VLOOKUP($B3361,ESTOQUE!$B$2:$D$97168,3,FALSE),"Produto não cadastrado"))</f>
        <v xml:space="preserve">BALACLAVA  </v>
      </c>
      <c r="E3361" s="99" t="str">
        <f>_xlfn.XLOOKUP(B3361,ESTOQUE!B:B,ESTOQUE!G:G,"",0)</f>
        <v>UND</v>
      </c>
      <c r="F3361" s="152">
        <v>25</v>
      </c>
      <c r="G3361" s="63"/>
      <c r="H3361" s="63"/>
      <c r="I3361" s="63"/>
      <c r="J3361" s="63"/>
      <c r="K3361" s="63"/>
      <c r="L3361" s="63"/>
      <c r="M3361" s="63"/>
      <c r="N3361" s="63"/>
      <c r="O3361" s="63"/>
      <c r="P3361" s="63"/>
      <c r="Q3361" s="63"/>
      <c r="R3361" s="63"/>
      <c r="S3361" s="63"/>
      <c r="T3361" s="63"/>
      <c r="U3361" s="63"/>
      <c r="V3361" s="63"/>
      <c r="W3361" s="63"/>
    </row>
    <row r="3362" spans="1:23" x14ac:dyDescent="0.25">
      <c r="A3362" s="108">
        <v>46137</v>
      </c>
      <c r="B3362" s="128">
        <v>36</v>
      </c>
      <c r="C3362" s="108" t="s">
        <v>19</v>
      </c>
      <c r="D3362" s="110" t="str">
        <f>IF(ISBLANK($B3362),"",IFERROR(VLOOKUP($B3362,ESTOQUE!$B$2:$D$97168,3,FALSE),"Produto não cadastrado"))</f>
        <v>BOTINA OP. BICO PVC Nº 38</v>
      </c>
      <c r="E3362" s="99" t="str">
        <f>_xlfn.XLOOKUP(B3362,ESTOQUE!B:B,ESTOQUE!G:G,"",0)</f>
        <v>PAR</v>
      </c>
      <c r="F3362" s="152">
        <v>1</v>
      </c>
      <c r="G3362" s="63"/>
      <c r="H3362" s="63"/>
      <c r="I3362" s="63"/>
      <c r="J3362" s="63"/>
      <c r="K3362" s="63"/>
      <c r="L3362" s="63"/>
      <c r="M3362" s="63"/>
      <c r="N3362" s="63"/>
      <c r="O3362" s="63"/>
      <c r="P3362" s="63"/>
      <c r="Q3362" s="63"/>
      <c r="R3362" s="63"/>
      <c r="S3362" s="63"/>
      <c r="T3362" s="63"/>
      <c r="U3362" s="63"/>
      <c r="V3362" s="63"/>
      <c r="W3362" s="63"/>
    </row>
    <row r="3363" spans="1:23" x14ac:dyDescent="0.25">
      <c r="A3363" s="108">
        <v>46137</v>
      </c>
      <c r="B3363" s="128">
        <v>37</v>
      </c>
      <c r="C3363" s="108" t="s">
        <v>19</v>
      </c>
      <c r="D3363" s="110" t="str">
        <f>IF(ISBLANK($B3363),"",IFERROR(VLOOKUP($B3363,ESTOQUE!$B$2:$D$97168,3,FALSE),"Produto não cadastrado"))</f>
        <v>BOTINA OP. BICO PVC Nº 39</v>
      </c>
      <c r="E3363" s="99" t="str">
        <f>_xlfn.XLOOKUP(B3363,ESTOQUE!B:B,ESTOQUE!G:G,"",0)</f>
        <v>PAR</v>
      </c>
      <c r="F3363" s="152">
        <v>0</v>
      </c>
      <c r="G3363" s="63"/>
      <c r="H3363" s="63"/>
      <c r="I3363" s="63"/>
      <c r="J3363" s="63"/>
      <c r="K3363" s="63"/>
      <c r="L3363" s="63"/>
      <c r="M3363" s="63"/>
      <c r="N3363" s="63"/>
      <c r="O3363" s="63"/>
      <c r="P3363" s="63"/>
      <c r="Q3363" s="63"/>
      <c r="R3363" s="63"/>
      <c r="S3363" s="63"/>
      <c r="T3363" s="63"/>
      <c r="U3363" s="63"/>
      <c r="V3363" s="63"/>
      <c r="W3363" s="63"/>
    </row>
    <row r="3364" spans="1:23" x14ac:dyDescent="0.25">
      <c r="A3364" s="108">
        <v>46137</v>
      </c>
      <c r="B3364" s="128">
        <v>39</v>
      </c>
      <c r="C3364" s="108" t="s">
        <v>19</v>
      </c>
      <c r="D3364" s="110" t="str">
        <f>IF(ISBLANK($B3364),"",IFERROR(VLOOKUP($B3364,ESTOQUE!$B$2:$D$97168,3,FALSE),"Produto não cadastrado"))</f>
        <v>BOTINA OP. BICO PVC Nº 41</v>
      </c>
      <c r="E3364" s="99" t="str">
        <f>_xlfn.XLOOKUP(B3364,ESTOQUE!B:B,ESTOQUE!G:G,"",0)</f>
        <v>PAR</v>
      </c>
      <c r="F3364" s="152">
        <v>0</v>
      </c>
      <c r="G3364" s="63"/>
      <c r="H3364" s="63"/>
      <c r="I3364" s="63"/>
      <c r="J3364" s="63"/>
      <c r="K3364" s="63"/>
      <c r="L3364" s="63"/>
      <c r="M3364" s="63"/>
      <c r="N3364" s="63"/>
      <c r="O3364" s="63"/>
      <c r="P3364" s="63"/>
      <c r="Q3364" s="63"/>
      <c r="R3364" s="63"/>
      <c r="S3364" s="63"/>
      <c r="T3364" s="63"/>
      <c r="U3364" s="63"/>
      <c r="V3364" s="63"/>
      <c r="W3364" s="63"/>
    </row>
    <row r="3365" spans="1:23" x14ac:dyDescent="0.25">
      <c r="A3365" s="108">
        <v>46137</v>
      </c>
      <c r="B3365" s="128">
        <v>216</v>
      </c>
      <c r="C3365" s="108" t="s">
        <v>19</v>
      </c>
      <c r="D3365" s="110" t="str">
        <f>IF(ISBLANK($B3365),"",IFERROR(VLOOKUP($B3365,ESTOQUE!$B$2:$D$97168,3,FALSE),"Produto não cadastrado"))</f>
        <v>BOTINA SEGURANÇA METATARSO  39</v>
      </c>
      <c r="E3365" s="99" t="str">
        <f>_xlfn.XLOOKUP(B3365,ESTOQUE!B:B,ESTOQUE!G:G,"",0)</f>
        <v>PAR</v>
      </c>
      <c r="F3365" s="152">
        <v>1</v>
      </c>
      <c r="G3365" s="63"/>
      <c r="H3365" s="63"/>
      <c r="I3365" s="63"/>
      <c r="J3365" s="63"/>
      <c r="K3365" s="63"/>
      <c r="L3365" s="63"/>
      <c r="M3365" s="63"/>
      <c r="N3365" s="63"/>
      <c r="O3365" s="63"/>
      <c r="P3365" s="63"/>
      <c r="Q3365" s="63"/>
      <c r="R3365" s="63"/>
      <c r="S3365" s="63"/>
      <c r="T3365" s="63"/>
      <c r="U3365" s="63"/>
      <c r="V3365" s="63"/>
      <c r="W3365" s="63"/>
    </row>
    <row r="3366" spans="1:23" x14ac:dyDescent="0.25">
      <c r="A3366" s="108">
        <v>46137</v>
      </c>
      <c r="B3366" s="128">
        <v>46</v>
      </c>
      <c r="C3366" s="108" t="s">
        <v>19</v>
      </c>
      <c r="D3366" s="110" t="str">
        <f>IF(ISBLANK($B3366),"",IFERROR(VLOOKUP($B3366,ESTOQUE!$B$2:$D$97168,3,FALSE),"Produto não cadastrado"))</f>
        <v>CALÇA CINZA OP. C/ FAIXA REFLETIVA TAM: G</v>
      </c>
      <c r="E3366" s="99" t="str">
        <f>_xlfn.XLOOKUP(B3366,ESTOQUE!B:B,ESTOQUE!G:G,"",0)</f>
        <v>UND</v>
      </c>
      <c r="F3366" s="152">
        <v>10</v>
      </c>
      <c r="G3366" s="63"/>
      <c r="H3366" s="63"/>
      <c r="I3366" s="63"/>
      <c r="J3366" s="63"/>
      <c r="K3366" s="63"/>
      <c r="L3366" s="63"/>
      <c r="M3366" s="63"/>
      <c r="N3366" s="63"/>
      <c r="O3366" s="63"/>
      <c r="P3366" s="63"/>
      <c r="Q3366" s="63"/>
      <c r="R3366" s="63"/>
      <c r="S3366" s="63"/>
      <c r="T3366" s="63"/>
      <c r="U3366" s="63"/>
      <c r="V3366" s="63"/>
      <c r="W3366" s="63"/>
    </row>
    <row r="3367" spans="1:23" x14ac:dyDescent="0.25">
      <c r="A3367" s="108">
        <v>46137</v>
      </c>
      <c r="B3367" s="128">
        <v>47</v>
      </c>
      <c r="C3367" s="108" t="s">
        <v>19</v>
      </c>
      <c r="D3367" s="110" t="str">
        <f>IF(ISBLANK($B3367),"",IFERROR(VLOOKUP($B3367,ESTOQUE!$B$2:$D$97168,3,FALSE),"Produto não cadastrado"))</f>
        <v>CALÇA CINZA OP. C/ FAIXA REFLETIVA TAM: GG</v>
      </c>
      <c r="E3367" s="99" t="str">
        <f>_xlfn.XLOOKUP(B3367,ESTOQUE!B:B,ESTOQUE!G:G,"",0)</f>
        <v>UND</v>
      </c>
      <c r="F3367" s="152">
        <v>4</v>
      </c>
      <c r="G3367" s="63"/>
      <c r="H3367" s="63"/>
      <c r="I3367" s="63"/>
      <c r="J3367" s="63"/>
      <c r="K3367" s="63"/>
      <c r="L3367" s="63"/>
      <c r="M3367" s="63"/>
      <c r="N3367" s="63"/>
      <c r="O3367" s="63"/>
      <c r="P3367" s="63"/>
      <c r="Q3367" s="63"/>
      <c r="R3367" s="63"/>
      <c r="S3367" s="63"/>
      <c r="T3367" s="63"/>
      <c r="U3367" s="63"/>
      <c r="V3367" s="63"/>
      <c r="W3367" s="63"/>
    </row>
    <row r="3368" spans="1:23" x14ac:dyDescent="0.25">
      <c r="A3368" s="108">
        <v>46137</v>
      </c>
      <c r="B3368" s="128">
        <v>48</v>
      </c>
      <c r="C3368" s="108" t="s">
        <v>19</v>
      </c>
      <c r="D3368" s="110" t="str">
        <f>IF(ISBLANK($B3368),"",IFERROR(VLOOKUP($B3368,ESTOQUE!$B$2:$D$97168,3,FALSE),"Produto não cadastrado"))</f>
        <v>CALÇA CINZA OP. C/ FAIXA REFLETIVA TAM: M</v>
      </c>
      <c r="E3368" s="99" t="str">
        <f>_xlfn.XLOOKUP(B3368,ESTOQUE!B:B,ESTOQUE!G:G,"",0)</f>
        <v>UND</v>
      </c>
      <c r="F3368" s="152">
        <v>1</v>
      </c>
      <c r="L3368" s="63"/>
      <c r="M3368" s="63"/>
      <c r="N3368" s="63"/>
      <c r="O3368" s="63"/>
      <c r="P3368" s="63"/>
      <c r="Q3368" s="63"/>
      <c r="R3368" s="63"/>
      <c r="S3368" s="63"/>
      <c r="T3368" s="63"/>
      <c r="U3368" s="63"/>
      <c r="V3368" s="63"/>
      <c r="W3368" s="63"/>
    </row>
    <row r="3369" spans="1:23" x14ac:dyDescent="0.25">
      <c r="A3369" s="108">
        <v>46137</v>
      </c>
      <c r="B3369" s="128">
        <v>49</v>
      </c>
      <c r="C3369" s="108" t="s">
        <v>19</v>
      </c>
      <c r="D3369" s="110" t="str">
        <f>IF(ISBLANK($B3369),"",IFERROR(VLOOKUP($B3369,ESTOQUE!$B$2:$D$97168,3,FALSE),"Produto não cadastrado"))</f>
        <v>CALÇA CINZA OP. C/ FAIXA REFLETIVA TAM: P</v>
      </c>
      <c r="E3369" s="99" t="str">
        <f>_xlfn.XLOOKUP(B3369,ESTOQUE!B:B,ESTOQUE!G:G,"",0)</f>
        <v>UND</v>
      </c>
      <c r="F3369" s="152">
        <v>5</v>
      </c>
      <c r="L3369" s="63"/>
      <c r="M3369" s="63"/>
      <c r="N3369" s="63"/>
      <c r="O3369" s="63"/>
      <c r="P3369" s="63"/>
      <c r="Q3369" s="63"/>
      <c r="R3369" s="63"/>
      <c r="S3369" s="63"/>
      <c r="T3369" s="63"/>
      <c r="U3369" s="63"/>
      <c r="V3369" s="63"/>
      <c r="W3369" s="63"/>
    </row>
    <row r="3370" spans="1:23" x14ac:dyDescent="0.25">
      <c r="A3370" s="108">
        <v>46137</v>
      </c>
      <c r="B3370" s="128">
        <v>67</v>
      </c>
      <c r="C3370" s="108" t="s">
        <v>19</v>
      </c>
      <c r="D3370" s="110" t="str">
        <f>IF(ISBLANK($B3370),"",IFERROR(VLOOKUP($B3370,ESTOQUE!$B$2:$D$97168,3,FALSE),"Produto não cadastrado"))</f>
        <v>CAMISA LARANJA OP. C/ FAIXA REFLETIVA TAM: G</v>
      </c>
      <c r="E3370" s="99" t="str">
        <f>_xlfn.XLOOKUP(B3370,ESTOQUE!B:B,ESTOQUE!G:G,"",0)</f>
        <v>UND</v>
      </c>
      <c r="F3370" s="152">
        <v>4</v>
      </c>
      <c r="L3370" s="63"/>
      <c r="M3370" s="63"/>
      <c r="N3370" s="63"/>
      <c r="O3370" s="63"/>
      <c r="P3370" s="63"/>
      <c r="Q3370" s="63"/>
      <c r="R3370" s="63"/>
      <c r="S3370" s="63"/>
      <c r="T3370" s="63"/>
      <c r="U3370" s="63"/>
      <c r="V3370" s="63"/>
      <c r="W3370" s="63"/>
    </row>
    <row r="3371" spans="1:23" x14ac:dyDescent="0.25">
      <c r="A3371" s="108">
        <v>46137</v>
      </c>
      <c r="B3371" s="128">
        <v>68</v>
      </c>
      <c r="C3371" s="108" t="s">
        <v>19</v>
      </c>
      <c r="D3371" s="110" t="str">
        <f>IF(ISBLANK($B3371),"",IFERROR(VLOOKUP($B3371,ESTOQUE!$B$2:$D$97168,3,FALSE),"Produto não cadastrado"))</f>
        <v>CAMISA LARANJA OP. C/ FAIXA REFLETIVA TAM: GG</v>
      </c>
      <c r="E3371" s="99" t="str">
        <f>_xlfn.XLOOKUP(B3371,ESTOQUE!B:B,ESTOQUE!G:G,"",0)</f>
        <v>UND</v>
      </c>
      <c r="F3371" s="152">
        <v>1</v>
      </c>
      <c r="L3371" s="63"/>
      <c r="M3371" s="63"/>
      <c r="N3371" s="63"/>
      <c r="O3371" s="63"/>
      <c r="P3371" s="63"/>
      <c r="Q3371" s="63"/>
      <c r="R3371" s="63"/>
      <c r="S3371" s="63"/>
      <c r="T3371" s="63"/>
      <c r="U3371" s="63"/>
      <c r="V3371" s="63"/>
      <c r="W3371" s="63"/>
    </row>
    <row r="3372" spans="1:23" x14ac:dyDescent="0.25">
      <c r="A3372" s="108">
        <v>46137</v>
      </c>
      <c r="B3372" s="128">
        <v>69</v>
      </c>
      <c r="C3372" s="108" t="s">
        <v>19</v>
      </c>
      <c r="D3372" s="110" t="str">
        <f>IF(ISBLANK($B3372),"",IFERROR(VLOOKUP($B3372,ESTOQUE!$B$2:$D$97168,3,FALSE),"Produto não cadastrado"))</f>
        <v>CAMISA LARANJA OP. C/ FAIXA REFLETIVA TAM: M</v>
      </c>
      <c r="E3372" s="99" t="str">
        <f>_xlfn.XLOOKUP(B3372,ESTOQUE!B:B,ESTOQUE!G:G,"",0)</f>
        <v>UND</v>
      </c>
      <c r="F3372" s="152">
        <v>0</v>
      </c>
      <c r="L3372" s="63"/>
      <c r="M3372" s="63"/>
      <c r="N3372" s="63"/>
      <c r="O3372" s="63"/>
      <c r="P3372" s="63"/>
      <c r="Q3372" s="63"/>
      <c r="R3372" s="63"/>
      <c r="S3372" s="63"/>
      <c r="T3372" s="63"/>
      <c r="U3372" s="63"/>
      <c r="V3372" s="63"/>
      <c r="W3372" s="63"/>
    </row>
    <row r="3373" spans="1:23" x14ac:dyDescent="0.25">
      <c r="A3373" s="108">
        <v>46137</v>
      </c>
      <c r="B3373" s="128">
        <v>70</v>
      </c>
      <c r="C3373" s="108" t="s">
        <v>19</v>
      </c>
      <c r="D3373" s="110" t="str">
        <f>IF(ISBLANK($B3373),"",IFERROR(VLOOKUP($B3373,ESTOQUE!$B$2:$D$97168,3,FALSE),"Produto não cadastrado"))</f>
        <v>CAMISA LARANJA OP. C/ FAIXA REFLETIVA TAM: P</v>
      </c>
      <c r="E3373" s="99" t="str">
        <f>_xlfn.XLOOKUP(B3373,ESTOQUE!B:B,ESTOQUE!G:G,"",0)</f>
        <v>UND</v>
      </c>
      <c r="F3373" s="152">
        <v>4</v>
      </c>
      <c r="L3373" s="63"/>
      <c r="M3373" s="63"/>
      <c r="N3373" s="63"/>
      <c r="O3373" s="63"/>
      <c r="P3373" s="63"/>
      <c r="Q3373" s="63"/>
      <c r="R3373" s="63"/>
      <c r="S3373" s="63"/>
      <c r="T3373" s="63"/>
      <c r="U3373" s="63"/>
      <c r="V3373" s="63"/>
      <c r="W3373" s="63"/>
    </row>
    <row r="3374" spans="1:23" x14ac:dyDescent="0.25">
      <c r="A3374" s="108">
        <v>46137</v>
      </c>
      <c r="B3374" s="128">
        <v>95</v>
      </c>
      <c r="C3374" s="108" t="s">
        <v>19</v>
      </c>
      <c r="D3374" s="110" t="str">
        <f>IF(ISBLANK($B3374),"",IFERROR(VLOOKUP($B3374,ESTOQUE!$B$2:$D$97168,3,FALSE),"Produto não cadastrado"))</f>
        <v>CARNEIRA P/ CAPACETE LIBUS</v>
      </c>
      <c r="E3374" s="99" t="str">
        <f>_xlfn.XLOOKUP(B3374,ESTOQUE!B:B,ESTOQUE!G:G,"",0)</f>
        <v>UND</v>
      </c>
      <c r="F3374" s="152">
        <v>1</v>
      </c>
      <c r="L3374" s="63"/>
      <c r="M3374" s="63"/>
      <c r="N3374" s="63"/>
      <c r="O3374" s="63"/>
      <c r="P3374" s="63"/>
      <c r="Q3374" s="63"/>
      <c r="R3374" s="63"/>
      <c r="S3374" s="63"/>
      <c r="T3374" s="63"/>
      <c r="U3374" s="63"/>
      <c r="V3374" s="63"/>
      <c r="W3374" s="63"/>
    </row>
    <row r="3375" spans="1:23" x14ac:dyDescent="0.25">
      <c r="A3375" s="108">
        <v>46137</v>
      </c>
      <c r="B3375" s="128">
        <v>189</v>
      </c>
      <c r="C3375" s="108" t="s">
        <v>19</v>
      </c>
      <c r="D3375" s="110" t="str">
        <f>IF(ISBLANK($B3375),"",IFERROR(VLOOKUP($B3375,ESTOQUE!$B$2:$D$97168,3,FALSE),"Produto não cadastrado"))</f>
        <v xml:space="preserve">LUVA DE VAQUETA MISTA </v>
      </c>
      <c r="E3375" s="99" t="str">
        <f>_xlfn.XLOOKUP(B3375,ESTOQUE!B:B,ESTOQUE!G:G,"",0)</f>
        <v>UND</v>
      </c>
      <c r="F3375" s="152">
        <v>0</v>
      </c>
      <c r="L3375" s="63"/>
      <c r="M3375" s="63"/>
      <c r="N3375" s="63"/>
      <c r="O3375" s="63"/>
      <c r="P3375" s="63"/>
      <c r="Q3375" s="63"/>
      <c r="R3375" s="63"/>
      <c r="S3375" s="63"/>
      <c r="T3375" s="63"/>
      <c r="U3375" s="63"/>
      <c r="V3375" s="63"/>
      <c r="W3375" s="63"/>
    </row>
    <row r="3376" spans="1:23" x14ac:dyDescent="0.25">
      <c r="A3376" s="108">
        <v>46137</v>
      </c>
      <c r="B3376" s="128">
        <v>114</v>
      </c>
      <c r="C3376" s="108" t="s">
        <v>19</v>
      </c>
      <c r="D3376" s="110" t="str">
        <f>IF(ISBLANK($B3376),"",IFERROR(VLOOKUP($B3376,ESTOQUE!$B$2:$D$97168,3,FALSE),"Produto não cadastrado"))</f>
        <v xml:space="preserve">LUVA LATEX NITRILICA </v>
      </c>
      <c r="E3376" s="99" t="str">
        <f>_xlfn.XLOOKUP(B3376,ESTOQUE!B:B,ESTOQUE!G:G,"",0)</f>
        <v>PAR</v>
      </c>
      <c r="F3376" s="152">
        <v>2</v>
      </c>
      <c r="L3376" s="63"/>
      <c r="M3376" s="63"/>
      <c r="N3376" s="63"/>
      <c r="O3376" s="63"/>
      <c r="P3376" s="63"/>
      <c r="Q3376" s="63"/>
      <c r="R3376" s="63"/>
      <c r="S3376" s="63"/>
      <c r="T3376" s="63"/>
      <c r="U3376" s="63"/>
      <c r="V3376" s="63"/>
      <c r="W3376" s="63"/>
    </row>
    <row r="3377" spans="1:23" x14ac:dyDescent="0.25">
      <c r="A3377" s="108">
        <v>46137</v>
      </c>
      <c r="B3377" s="128">
        <v>117</v>
      </c>
      <c r="C3377" s="108" t="s">
        <v>19</v>
      </c>
      <c r="D3377" s="110" t="str">
        <f>IF(ISBLANK($B3377),"",IFERROR(VLOOKUP($B3377,ESTOQUE!$B$2:$D$97168,3,FALSE),"Produto não cadastrado"))</f>
        <v>LUVA PIGMENTADA</v>
      </c>
      <c r="E3377" s="99" t="str">
        <f>_xlfn.XLOOKUP(B3377,ESTOQUE!B:B,ESTOQUE!G:G,"",0)</f>
        <v>PAR</v>
      </c>
      <c r="F3377" s="152">
        <v>2</v>
      </c>
      <c r="L3377" s="63"/>
      <c r="M3377" s="63"/>
      <c r="N3377" s="63"/>
      <c r="O3377" s="63"/>
      <c r="P3377" s="63"/>
      <c r="Q3377" s="63"/>
      <c r="R3377" s="63"/>
      <c r="S3377" s="63"/>
      <c r="T3377" s="63"/>
      <c r="U3377" s="63"/>
      <c r="V3377" s="63"/>
      <c r="W3377" s="63"/>
    </row>
    <row r="3378" spans="1:23" x14ac:dyDescent="0.25">
      <c r="A3378" s="108">
        <v>46137</v>
      </c>
      <c r="B3378" s="128">
        <v>207</v>
      </c>
      <c r="C3378" s="108" t="s">
        <v>19</v>
      </c>
      <c r="D3378" s="110" t="str">
        <f>IF(ISBLANK($B3378),"",IFERROR(VLOOKUP($B3378,ESTOQUE!$B$2:$D$97168,3,FALSE),"Produto não cadastrado"))</f>
        <v>LUVA POLIESTER ANTICORTE BANHADA PU TAM 9</v>
      </c>
      <c r="E3378" s="99" t="str">
        <f>_xlfn.XLOOKUP(B3378,ESTOQUE!B:B,ESTOQUE!G:G,"",0)</f>
        <v>PAR</v>
      </c>
      <c r="F3378" s="152">
        <v>0</v>
      </c>
      <c r="L3378" s="63"/>
      <c r="M3378" s="63"/>
      <c r="N3378" s="63"/>
      <c r="O3378" s="63"/>
      <c r="P3378" s="63"/>
      <c r="Q3378" s="63"/>
      <c r="R3378" s="63"/>
      <c r="S3378" s="63"/>
      <c r="T3378" s="63"/>
      <c r="U3378" s="63"/>
      <c r="V3378" s="63"/>
      <c r="W3378" s="63"/>
    </row>
    <row r="3379" spans="1:23" x14ac:dyDescent="0.25">
      <c r="A3379" s="108">
        <v>46137</v>
      </c>
      <c r="B3379" s="128">
        <v>118</v>
      </c>
      <c r="C3379" s="108" t="s">
        <v>19</v>
      </c>
      <c r="D3379" s="110" t="str">
        <f>IF(ISBLANK($B3379),"",IFERROR(VLOOKUP($B3379,ESTOQUE!$B$2:$D$97168,3,FALSE),"Produto não cadastrado"))</f>
        <v>MACACÃO DE PROTEÇÃO TYVEK</v>
      </c>
      <c r="E3379" s="99" t="str">
        <f>_xlfn.XLOOKUP(B3379,ESTOQUE!B:B,ESTOQUE!G:G,"",0)</f>
        <v>UND</v>
      </c>
      <c r="F3379" s="152">
        <v>3</v>
      </c>
      <c r="L3379" s="63"/>
      <c r="M3379" s="63"/>
      <c r="N3379" s="63"/>
      <c r="O3379" s="63"/>
      <c r="P3379" s="63"/>
      <c r="Q3379" s="63"/>
      <c r="R3379" s="63"/>
      <c r="S3379" s="63"/>
      <c r="T3379" s="63"/>
      <c r="U3379" s="63"/>
      <c r="V3379" s="63"/>
      <c r="W3379" s="63"/>
    </row>
    <row r="3380" spans="1:23" x14ac:dyDescent="0.25">
      <c r="A3380" s="108">
        <v>46137</v>
      </c>
      <c r="B3380" s="128">
        <v>144</v>
      </c>
      <c r="C3380" s="108" t="s">
        <v>19</v>
      </c>
      <c r="D3380" s="110" t="str">
        <f>IF(ISBLANK($B3380),"",IFERROR(VLOOKUP($B3380,ESTOQUE!$B$2:$D$97168,3,FALSE),"Produto não cadastrado"))</f>
        <v>MASCARA PFF2-S C/ FILTRO</v>
      </c>
      <c r="E3380" s="99" t="str">
        <f>_xlfn.XLOOKUP(B3380,ESTOQUE!B:B,ESTOQUE!G:G,"",0)</f>
        <v>UND</v>
      </c>
      <c r="F3380" s="152">
        <v>35</v>
      </c>
      <c r="L3380" s="63"/>
      <c r="M3380" s="63"/>
      <c r="N3380" s="63"/>
      <c r="O3380" s="63"/>
      <c r="P3380" s="63"/>
      <c r="Q3380" s="63"/>
      <c r="R3380" s="63"/>
      <c r="S3380" s="63"/>
      <c r="T3380" s="63"/>
      <c r="U3380" s="63"/>
      <c r="V3380" s="63"/>
      <c r="W3380" s="63"/>
    </row>
    <row r="3381" spans="1:23" x14ac:dyDescent="0.25">
      <c r="A3381" s="108">
        <v>46137</v>
      </c>
      <c r="B3381" s="128">
        <v>126</v>
      </c>
      <c r="C3381" s="108" t="s">
        <v>19</v>
      </c>
      <c r="D3381" s="110" t="str">
        <f>IF(ISBLANK($B3381),"",IFERROR(VLOOKUP($B3381,ESTOQUE!$B$2:$D$97168,3,FALSE),"Produto não cadastrado"))</f>
        <v>OCULOS DE PROTEÇÃO ESCURO</v>
      </c>
      <c r="E3381" s="99" t="str">
        <f>_xlfn.XLOOKUP(B3381,ESTOQUE!B:B,ESTOQUE!G:G,"",0)</f>
        <v>UND</v>
      </c>
      <c r="F3381" s="152">
        <v>10</v>
      </c>
      <c r="L3381" s="63"/>
      <c r="M3381" s="63"/>
      <c r="N3381" s="63"/>
      <c r="O3381" s="63"/>
      <c r="P3381" s="63"/>
      <c r="Q3381" s="63"/>
      <c r="R3381" s="63"/>
      <c r="S3381" s="63"/>
      <c r="T3381" s="63"/>
      <c r="U3381" s="63"/>
      <c r="V3381" s="63"/>
      <c r="W3381" s="63"/>
    </row>
    <row r="3382" spans="1:23" x14ac:dyDescent="0.25">
      <c r="A3382" s="108">
        <v>46137</v>
      </c>
      <c r="B3382" s="128">
        <v>130</v>
      </c>
      <c r="C3382" s="108" t="s">
        <v>19</v>
      </c>
      <c r="D3382" s="110" t="str">
        <f>IF(ISBLANK($B3382),"",IFERROR(VLOOKUP($B3382,ESTOQUE!$B$2:$D$97168,3,FALSE),"Produto não cadastrado"))</f>
        <v>PROTETOR AUDITIVO TIPO CONCHA L-300</v>
      </c>
      <c r="E3382" s="99" t="str">
        <f>_xlfn.XLOOKUP(B3382,ESTOQUE!B:B,ESTOQUE!G:G,"",0)</f>
        <v>UND</v>
      </c>
      <c r="F3382" s="152">
        <v>2</v>
      </c>
      <c r="L3382" s="63"/>
      <c r="M3382" s="63"/>
      <c r="N3382" s="63"/>
      <c r="O3382" s="63"/>
      <c r="P3382" s="63"/>
      <c r="Q3382" s="63"/>
      <c r="R3382" s="63"/>
      <c r="S3382" s="63"/>
      <c r="T3382" s="63"/>
      <c r="U3382" s="63"/>
      <c r="V3382" s="63"/>
      <c r="W3382" s="63"/>
    </row>
    <row r="3383" spans="1:23" x14ac:dyDescent="0.25">
      <c r="A3383" s="108">
        <v>46137</v>
      </c>
      <c r="B3383" s="128">
        <v>139</v>
      </c>
      <c r="C3383" s="108" t="s">
        <v>19</v>
      </c>
      <c r="D3383" s="110" t="str">
        <f>IF(ISBLANK($B3383),"",IFERROR(VLOOKUP($B3383,ESTOQUE!$B$2:$D$97168,3,FALSE),"Produto não cadastrado"))</f>
        <v>PROTETOR AURICULAR TIPO PLUG</v>
      </c>
      <c r="E3383" s="99" t="str">
        <f>_xlfn.XLOOKUP(B3383,ESTOQUE!B:B,ESTOQUE!G:G,"",0)</f>
        <v>UND</v>
      </c>
      <c r="F3383" s="152">
        <v>3</v>
      </c>
      <c r="L3383" s="63"/>
      <c r="M3383" s="63"/>
      <c r="N3383" s="63"/>
      <c r="O3383" s="63"/>
      <c r="P3383" s="63"/>
      <c r="Q3383" s="63"/>
      <c r="R3383" s="63"/>
      <c r="S3383" s="63"/>
      <c r="T3383" s="63"/>
      <c r="U3383" s="63"/>
      <c r="V3383" s="63"/>
      <c r="W3383" s="63"/>
    </row>
    <row r="3384" spans="1:23" x14ac:dyDescent="0.25">
      <c r="A3384" s="108">
        <v>46137</v>
      </c>
      <c r="B3384" s="128">
        <v>228</v>
      </c>
      <c r="C3384" s="108" t="s">
        <v>19</v>
      </c>
      <c r="D3384" s="110" t="str">
        <f>IF(ISBLANK($B3384),"",IFERROR(VLOOKUP($B3384,ESTOQUE!$B$2:$D$97168,3,FALSE),"Produto não cadastrado"))</f>
        <v xml:space="preserve">BALACLAVA  </v>
      </c>
      <c r="E3384" s="99" t="str">
        <f>_xlfn.XLOOKUP(B3384,ESTOQUE!B:B,ESTOQUE!G:G,"",0)</f>
        <v>UND</v>
      </c>
      <c r="F3384" s="152">
        <v>11</v>
      </c>
      <c r="L3384" s="63"/>
      <c r="M3384" s="63"/>
      <c r="N3384" s="63"/>
      <c r="O3384" s="63"/>
      <c r="P3384" s="63"/>
      <c r="Q3384" s="63"/>
      <c r="R3384" s="63"/>
      <c r="S3384" s="63"/>
      <c r="T3384" s="63"/>
      <c r="U3384" s="63"/>
      <c r="V3384" s="63"/>
      <c r="W3384" s="63"/>
    </row>
    <row r="3385" spans="1:23" x14ac:dyDescent="0.25">
      <c r="A3385" s="108">
        <v>46137</v>
      </c>
      <c r="B3385" s="128">
        <v>171</v>
      </c>
      <c r="C3385" s="108" t="s">
        <v>19</v>
      </c>
      <c r="D3385" s="110" t="str">
        <f>IF(ISBLANK($B3385),"",IFERROR(VLOOKUP($B3385,ESTOQUE!$B$2:$D$97168,3,FALSE),"Produto não cadastrado"))</f>
        <v>BOTA PVC CANO CURTO Nº 40</v>
      </c>
      <c r="E3385" s="99" t="str">
        <f>_xlfn.XLOOKUP(B3385,ESTOQUE!B:B,ESTOQUE!G:G,"",0)</f>
        <v>PAR</v>
      </c>
      <c r="F3385" s="152">
        <v>1</v>
      </c>
      <c r="L3385" s="63"/>
      <c r="M3385" s="63"/>
      <c r="N3385" s="63"/>
      <c r="O3385" s="63"/>
      <c r="P3385" s="63"/>
      <c r="Q3385" s="63"/>
      <c r="R3385" s="63"/>
      <c r="S3385" s="63"/>
      <c r="T3385" s="63"/>
      <c r="U3385" s="63"/>
      <c r="V3385" s="63"/>
      <c r="W3385" s="63"/>
    </row>
    <row r="3386" spans="1:23" x14ac:dyDescent="0.25">
      <c r="A3386" s="108">
        <v>46137</v>
      </c>
      <c r="B3386" s="128">
        <v>39</v>
      </c>
      <c r="C3386" s="108" t="s">
        <v>19</v>
      </c>
      <c r="D3386" s="110" t="str">
        <f>IF(ISBLANK($B3386),"",IFERROR(VLOOKUP($B3386,ESTOQUE!$B$2:$D$97168,3,FALSE),"Produto não cadastrado"))</f>
        <v>BOTINA OP. BICO PVC Nº 41</v>
      </c>
      <c r="E3386" s="99" t="str">
        <f>_xlfn.XLOOKUP(B3386,ESTOQUE!B:B,ESTOQUE!G:G,"",0)</f>
        <v>PAR</v>
      </c>
      <c r="F3386" s="152">
        <v>0</v>
      </c>
      <c r="L3386" s="63"/>
      <c r="M3386" s="63"/>
      <c r="N3386" s="63"/>
      <c r="O3386" s="63"/>
      <c r="P3386" s="63"/>
      <c r="Q3386" s="63"/>
      <c r="R3386" s="63"/>
      <c r="S3386" s="63"/>
      <c r="T3386" s="63"/>
      <c r="U3386" s="63"/>
      <c r="V3386" s="63"/>
      <c r="W3386" s="63"/>
    </row>
    <row r="3387" spans="1:23" x14ac:dyDescent="0.25">
      <c r="A3387" s="108">
        <v>46137</v>
      </c>
      <c r="B3387" s="128">
        <v>216</v>
      </c>
      <c r="C3387" s="108" t="s">
        <v>19</v>
      </c>
      <c r="D3387" s="110" t="str">
        <f>IF(ISBLANK($B3387),"",IFERROR(VLOOKUP($B3387,ESTOQUE!$B$2:$D$97168,3,FALSE),"Produto não cadastrado"))</f>
        <v>BOTINA SEGURANÇA METATARSO  39</v>
      </c>
      <c r="E3387" s="99" t="str">
        <f>_xlfn.XLOOKUP(B3387,ESTOQUE!B:B,ESTOQUE!G:G,"",0)</f>
        <v>PAR</v>
      </c>
      <c r="F3387" s="152">
        <v>1</v>
      </c>
      <c r="L3387" s="63"/>
      <c r="M3387" s="63"/>
      <c r="N3387" s="63"/>
      <c r="O3387" s="63"/>
      <c r="P3387" s="63"/>
      <c r="Q3387" s="63"/>
      <c r="R3387" s="63"/>
      <c r="S3387" s="63"/>
      <c r="T3387" s="63"/>
      <c r="U3387" s="63"/>
      <c r="V3387" s="63"/>
      <c r="W3387" s="63"/>
    </row>
    <row r="3388" spans="1:23" x14ac:dyDescent="0.25">
      <c r="A3388" s="108">
        <v>46137</v>
      </c>
      <c r="B3388" s="128">
        <v>217</v>
      </c>
      <c r="C3388" s="108" t="s">
        <v>19</v>
      </c>
      <c r="D3388" s="110" t="str">
        <f>IF(ISBLANK($B3388),"",IFERROR(VLOOKUP($B3388,ESTOQUE!$B$2:$D$97168,3,FALSE),"Produto não cadastrado"))</f>
        <v>BOTINA SEGURANÇA METATARSO  40</v>
      </c>
      <c r="E3388" s="99" t="str">
        <f>_xlfn.XLOOKUP(B3388,ESTOQUE!B:B,ESTOQUE!G:G,"",0)</f>
        <v>PAR</v>
      </c>
      <c r="F3388" s="152">
        <v>1</v>
      </c>
      <c r="L3388" s="63"/>
      <c r="M3388" s="63"/>
      <c r="N3388" s="63"/>
      <c r="O3388" s="63"/>
      <c r="P3388" s="63"/>
      <c r="Q3388" s="63"/>
      <c r="R3388" s="63"/>
      <c r="S3388" s="63"/>
      <c r="T3388" s="63"/>
      <c r="U3388" s="63"/>
      <c r="V3388" s="63"/>
      <c r="W3388" s="63"/>
    </row>
    <row r="3389" spans="1:23" x14ac:dyDescent="0.25">
      <c r="A3389" s="108">
        <v>46137</v>
      </c>
      <c r="B3389" s="128">
        <v>218</v>
      </c>
      <c r="C3389" s="108" t="s">
        <v>19</v>
      </c>
      <c r="D3389" s="110" t="str">
        <f>IF(ISBLANK($B3389),"",IFERROR(VLOOKUP($B3389,ESTOQUE!$B$2:$D$97168,3,FALSE),"Produto não cadastrado"))</f>
        <v>BOTINA SEGURANÇA METATARSO  41</v>
      </c>
      <c r="E3389" s="99" t="str">
        <f>_xlfn.XLOOKUP(B3389,ESTOQUE!B:B,ESTOQUE!G:G,"",0)</f>
        <v>PAR</v>
      </c>
      <c r="F3389" s="152">
        <v>1</v>
      </c>
      <c r="L3389" s="63"/>
      <c r="M3389" s="63"/>
      <c r="N3389" s="63"/>
      <c r="O3389" s="63"/>
      <c r="P3389" s="63"/>
      <c r="Q3389" s="63"/>
      <c r="R3389" s="63"/>
      <c r="S3389" s="63"/>
      <c r="T3389" s="63"/>
      <c r="U3389" s="63"/>
      <c r="V3389" s="63"/>
      <c r="W3389" s="63"/>
    </row>
    <row r="3390" spans="1:23" x14ac:dyDescent="0.25">
      <c r="A3390" s="108">
        <v>46137</v>
      </c>
      <c r="B3390" s="128">
        <v>46</v>
      </c>
      <c r="C3390" s="108" t="s">
        <v>19</v>
      </c>
      <c r="D3390" s="110" t="str">
        <f>IF(ISBLANK($B3390),"",IFERROR(VLOOKUP($B3390,ESTOQUE!$B$2:$D$97168,3,FALSE),"Produto não cadastrado"))</f>
        <v>CALÇA CINZA OP. C/ FAIXA REFLETIVA TAM: G</v>
      </c>
      <c r="E3390" s="99" t="str">
        <f>_xlfn.XLOOKUP(B3390,ESTOQUE!B:B,ESTOQUE!G:G,"",0)</f>
        <v>UND</v>
      </c>
      <c r="F3390" s="152">
        <v>4</v>
      </c>
      <c r="L3390" s="63"/>
      <c r="M3390" s="63"/>
      <c r="N3390" s="63"/>
      <c r="O3390" s="63"/>
      <c r="P3390" s="63"/>
      <c r="Q3390" s="63"/>
      <c r="R3390" s="63"/>
      <c r="S3390" s="63"/>
      <c r="T3390" s="63"/>
      <c r="U3390" s="63"/>
      <c r="V3390" s="63"/>
      <c r="W3390" s="63"/>
    </row>
    <row r="3391" spans="1:23" x14ac:dyDescent="0.25">
      <c r="A3391" s="108">
        <v>46137</v>
      </c>
      <c r="B3391" s="128">
        <v>47</v>
      </c>
      <c r="C3391" s="108" t="s">
        <v>19</v>
      </c>
      <c r="D3391" s="110" t="str">
        <f>IF(ISBLANK($B3391),"",IFERROR(VLOOKUP($B3391,ESTOQUE!$B$2:$D$97168,3,FALSE),"Produto não cadastrado"))</f>
        <v>CALÇA CINZA OP. C/ FAIXA REFLETIVA TAM: GG</v>
      </c>
      <c r="E3391" s="99" t="str">
        <f>_xlfn.XLOOKUP(B3391,ESTOQUE!B:B,ESTOQUE!G:G,"",0)</f>
        <v>UND</v>
      </c>
      <c r="F3391" s="152">
        <v>1</v>
      </c>
      <c r="L3391" s="63"/>
      <c r="M3391" s="63"/>
      <c r="N3391" s="63"/>
      <c r="O3391" s="63"/>
      <c r="P3391" s="63"/>
      <c r="Q3391" s="63"/>
      <c r="R3391" s="63"/>
      <c r="S3391" s="63"/>
      <c r="T3391" s="63"/>
      <c r="U3391" s="63"/>
      <c r="V3391" s="63"/>
      <c r="W3391" s="63"/>
    </row>
    <row r="3392" spans="1:23" x14ac:dyDescent="0.25">
      <c r="A3392" s="108">
        <v>46137</v>
      </c>
      <c r="B3392" s="128">
        <v>49</v>
      </c>
      <c r="C3392" s="108" t="s">
        <v>19</v>
      </c>
      <c r="D3392" s="110" t="str">
        <f>IF(ISBLANK($B3392),"",IFERROR(VLOOKUP($B3392,ESTOQUE!$B$2:$D$97168,3,FALSE),"Produto não cadastrado"))</f>
        <v>CALÇA CINZA OP. C/ FAIXA REFLETIVA TAM: P</v>
      </c>
      <c r="E3392" s="99" t="str">
        <f>_xlfn.XLOOKUP(B3392,ESTOQUE!B:B,ESTOQUE!G:G,"",0)</f>
        <v>UND</v>
      </c>
      <c r="F3392" s="152">
        <v>4</v>
      </c>
      <c r="L3392" s="63"/>
      <c r="M3392" s="63"/>
      <c r="N3392" s="63"/>
      <c r="O3392" s="63"/>
      <c r="P3392" s="63"/>
      <c r="Q3392" s="63"/>
      <c r="R3392" s="63"/>
      <c r="S3392" s="63"/>
      <c r="T3392" s="63"/>
      <c r="U3392" s="63"/>
      <c r="V3392" s="63"/>
      <c r="W3392" s="63"/>
    </row>
    <row r="3393" spans="1:23" x14ac:dyDescent="0.25">
      <c r="A3393" s="108">
        <v>46137</v>
      </c>
      <c r="B3393" s="128">
        <v>67</v>
      </c>
      <c r="C3393" s="108" t="s">
        <v>19</v>
      </c>
      <c r="D3393" s="110" t="str">
        <f>IF(ISBLANK($B3393),"",IFERROR(VLOOKUP($B3393,ESTOQUE!$B$2:$D$97168,3,FALSE),"Produto não cadastrado"))</f>
        <v>CAMISA LARANJA OP. C/ FAIXA REFLETIVA TAM: G</v>
      </c>
      <c r="E3393" s="99" t="str">
        <f>_xlfn.XLOOKUP(B3393,ESTOQUE!B:B,ESTOQUE!G:G,"",0)</f>
        <v>UND</v>
      </c>
      <c r="F3393" s="152">
        <v>4</v>
      </c>
      <c r="L3393" s="63"/>
      <c r="M3393" s="63"/>
      <c r="N3393" s="63"/>
      <c r="O3393" s="63"/>
      <c r="P3393" s="63"/>
      <c r="Q3393" s="63"/>
      <c r="R3393" s="63"/>
      <c r="S3393" s="63"/>
      <c r="T3393" s="63"/>
      <c r="U3393" s="63"/>
      <c r="V3393" s="63"/>
      <c r="W3393" s="63"/>
    </row>
    <row r="3394" spans="1:23" x14ac:dyDescent="0.25">
      <c r="A3394" s="108">
        <v>46137</v>
      </c>
      <c r="B3394" s="128">
        <v>69</v>
      </c>
      <c r="C3394" s="108" t="s">
        <v>19</v>
      </c>
      <c r="D3394" s="110" t="str">
        <f>IF(ISBLANK($B3394),"",IFERROR(VLOOKUP($B3394,ESTOQUE!$B$2:$D$97168,3,FALSE),"Produto não cadastrado"))</f>
        <v>CAMISA LARANJA OP. C/ FAIXA REFLETIVA TAM: M</v>
      </c>
      <c r="E3394" s="99" t="str">
        <f>_xlfn.XLOOKUP(B3394,ESTOQUE!B:B,ESTOQUE!G:G,"",0)</f>
        <v>UND</v>
      </c>
      <c r="F3394" s="152">
        <v>0</v>
      </c>
      <c r="L3394" s="63"/>
      <c r="M3394" s="63"/>
      <c r="N3394" s="63"/>
      <c r="O3394" s="63"/>
      <c r="P3394" s="63"/>
      <c r="Q3394" s="63"/>
      <c r="R3394" s="63"/>
      <c r="S3394" s="63"/>
      <c r="T3394" s="63"/>
      <c r="U3394" s="63"/>
      <c r="V3394" s="63"/>
      <c r="W3394" s="63"/>
    </row>
    <row r="3395" spans="1:23" x14ac:dyDescent="0.25">
      <c r="A3395" s="108">
        <v>46137</v>
      </c>
      <c r="B3395" s="128">
        <v>70</v>
      </c>
      <c r="C3395" s="108" t="s">
        <v>19</v>
      </c>
      <c r="D3395" s="110" t="str">
        <f>IF(ISBLANK($B3395),"",IFERROR(VLOOKUP($B3395,ESTOQUE!$B$2:$D$97168,3,FALSE),"Produto não cadastrado"))</f>
        <v>CAMISA LARANJA OP. C/ FAIXA REFLETIVA TAM: P</v>
      </c>
      <c r="E3395" s="99" t="str">
        <f>_xlfn.XLOOKUP(B3395,ESTOQUE!B:B,ESTOQUE!G:G,"",0)</f>
        <v>UND</v>
      </c>
      <c r="F3395" s="152">
        <v>1</v>
      </c>
      <c r="L3395" s="63"/>
      <c r="M3395" s="63"/>
      <c r="N3395" s="63"/>
      <c r="O3395" s="63"/>
      <c r="P3395" s="63"/>
      <c r="Q3395" s="63"/>
      <c r="R3395" s="63"/>
      <c r="S3395" s="63"/>
      <c r="T3395" s="63"/>
      <c r="U3395" s="63"/>
      <c r="V3395" s="63"/>
      <c r="W3395" s="63"/>
    </row>
    <row r="3396" spans="1:23" x14ac:dyDescent="0.25">
      <c r="A3396" s="108">
        <v>46137</v>
      </c>
      <c r="B3396" s="128">
        <v>188</v>
      </c>
      <c r="C3396" s="108" t="s">
        <v>19</v>
      </c>
      <c r="D3396" s="110" t="str">
        <f>IF(ISBLANK($B3396),"",IFERROR(VLOOKUP($B3396,ESTOQUE!$B$2:$D$97168,3,FALSE),"Produto não cadastrado"))</f>
        <v>COLETE REFLETIVO LARANJA XG</v>
      </c>
      <c r="E3396" s="99" t="str">
        <f>_xlfn.XLOOKUP(B3396,ESTOQUE!B:B,ESTOQUE!G:G,"",0)</f>
        <v>UND</v>
      </c>
      <c r="F3396" s="152">
        <v>0</v>
      </c>
      <c r="L3396" s="63"/>
      <c r="M3396" s="63"/>
      <c r="N3396" s="63"/>
      <c r="O3396" s="63"/>
      <c r="P3396" s="63"/>
      <c r="Q3396" s="63"/>
      <c r="R3396" s="63"/>
      <c r="S3396" s="63"/>
      <c r="T3396" s="63"/>
      <c r="U3396" s="63"/>
      <c r="V3396" s="63"/>
      <c r="W3396" s="63"/>
    </row>
    <row r="3397" spans="1:23" x14ac:dyDescent="0.25">
      <c r="A3397" s="108">
        <v>46137</v>
      </c>
      <c r="B3397" s="128">
        <v>141</v>
      </c>
      <c r="C3397" s="108" t="s">
        <v>19</v>
      </c>
      <c r="D3397" s="110" t="str">
        <f>IF(ISBLANK($B3397),"",IFERROR(VLOOKUP($B3397,ESTOQUE!$B$2:$D$97168,3,FALSE),"Produto não cadastrado"))</f>
        <v xml:space="preserve">LUVA DE VAQUETA </v>
      </c>
      <c r="E3397" s="99" t="str">
        <f>_xlfn.XLOOKUP(B3397,ESTOQUE!B:B,ESTOQUE!G:G,"",0)</f>
        <v>PAR</v>
      </c>
      <c r="F3397" s="152">
        <v>29</v>
      </c>
      <c r="L3397" s="63"/>
      <c r="M3397" s="63"/>
      <c r="N3397" s="63"/>
      <c r="O3397" s="63"/>
      <c r="P3397" s="63"/>
      <c r="Q3397" s="63"/>
      <c r="R3397" s="63"/>
      <c r="S3397" s="63"/>
      <c r="T3397" s="63"/>
      <c r="U3397" s="63"/>
      <c r="V3397" s="63"/>
      <c r="W3397" s="63"/>
    </row>
    <row r="3398" spans="1:23" x14ac:dyDescent="0.25">
      <c r="A3398" s="108">
        <v>46137</v>
      </c>
      <c r="B3398" s="128">
        <v>111</v>
      </c>
      <c r="C3398" s="108" t="s">
        <v>19</v>
      </c>
      <c r="D3398" s="110" t="str">
        <f>IF(ISBLANK($B3398),"",IFERROR(VLOOKUP($B3398,ESTOQUE!$B$2:$D$97168,3,FALSE),"Produto não cadastrado"))</f>
        <v>LUVA DE VAQUETA MARROM</v>
      </c>
      <c r="E3398" s="99" t="str">
        <f>_xlfn.XLOOKUP(B3398,ESTOQUE!B:B,ESTOQUE!G:G,"",0)</f>
        <v>PAR</v>
      </c>
      <c r="F3398" s="152">
        <v>0</v>
      </c>
      <c r="L3398" s="63"/>
      <c r="M3398" s="63"/>
      <c r="N3398" s="63"/>
      <c r="O3398" s="63"/>
      <c r="P3398" s="63"/>
      <c r="Q3398" s="63"/>
      <c r="R3398" s="63"/>
      <c r="S3398" s="63"/>
      <c r="T3398" s="63"/>
      <c r="U3398" s="63"/>
      <c r="V3398" s="63"/>
      <c r="W3398" s="63"/>
    </row>
    <row r="3399" spans="1:23" x14ac:dyDescent="0.25">
      <c r="A3399" s="108">
        <v>46137</v>
      </c>
      <c r="B3399" s="128">
        <v>189</v>
      </c>
      <c r="C3399" s="108" t="s">
        <v>19</v>
      </c>
      <c r="D3399" s="110" t="str">
        <f>IF(ISBLANK($B3399),"",IFERROR(VLOOKUP($B3399,ESTOQUE!$B$2:$D$97168,3,FALSE),"Produto não cadastrado"))</f>
        <v xml:space="preserve">LUVA DE VAQUETA MISTA </v>
      </c>
      <c r="E3399" s="99" t="str">
        <f>_xlfn.XLOOKUP(B3399,ESTOQUE!B:B,ESTOQUE!G:G,"",0)</f>
        <v>UND</v>
      </c>
      <c r="F3399" s="152">
        <v>0</v>
      </c>
      <c r="L3399" s="63"/>
      <c r="M3399" s="63"/>
      <c r="N3399" s="63"/>
      <c r="O3399" s="63"/>
      <c r="P3399" s="63"/>
      <c r="Q3399" s="63"/>
      <c r="R3399" s="63"/>
      <c r="S3399" s="63"/>
      <c r="T3399" s="63"/>
      <c r="U3399" s="63"/>
      <c r="V3399" s="63"/>
      <c r="W3399" s="63"/>
    </row>
    <row r="3400" spans="1:23" x14ac:dyDescent="0.25">
      <c r="A3400" s="108">
        <v>46137</v>
      </c>
      <c r="B3400" s="128">
        <v>114</v>
      </c>
      <c r="C3400" s="108" t="s">
        <v>19</v>
      </c>
      <c r="D3400" s="110" t="str">
        <f>IF(ISBLANK($B3400),"",IFERROR(VLOOKUP($B3400,ESTOQUE!$B$2:$D$97168,3,FALSE),"Produto não cadastrado"))</f>
        <v xml:space="preserve">LUVA LATEX NITRILICA </v>
      </c>
      <c r="E3400" s="99" t="str">
        <f>_xlfn.XLOOKUP(B3400,ESTOQUE!B:B,ESTOQUE!G:G,"",0)</f>
        <v>PAR</v>
      </c>
      <c r="F3400" s="152">
        <v>25</v>
      </c>
      <c r="L3400" s="63"/>
      <c r="M3400" s="63"/>
      <c r="N3400" s="63"/>
      <c r="O3400" s="63"/>
      <c r="P3400" s="63"/>
      <c r="Q3400" s="63"/>
      <c r="R3400" s="63"/>
      <c r="S3400" s="63"/>
      <c r="T3400" s="63"/>
      <c r="U3400" s="63"/>
      <c r="V3400" s="63"/>
      <c r="W3400" s="63"/>
    </row>
    <row r="3401" spans="1:23" x14ac:dyDescent="0.25">
      <c r="A3401" s="108">
        <v>46137</v>
      </c>
      <c r="B3401" s="128">
        <v>117</v>
      </c>
      <c r="C3401" s="108" t="s">
        <v>19</v>
      </c>
      <c r="D3401" s="110" t="str">
        <f>IF(ISBLANK($B3401),"",IFERROR(VLOOKUP($B3401,ESTOQUE!$B$2:$D$97168,3,FALSE),"Produto não cadastrado"))</f>
        <v>LUVA PIGMENTADA</v>
      </c>
      <c r="E3401" s="99" t="str">
        <f>_xlfn.XLOOKUP(B3401,ESTOQUE!B:B,ESTOQUE!G:G,"",0)</f>
        <v>PAR</v>
      </c>
      <c r="F3401" s="152">
        <v>22</v>
      </c>
      <c r="L3401" s="63"/>
      <c r="M3401" s="63"/>
      <c r="N3401" s="63"/>
      <c r="O3401" s="63"/>
      <c r="P3401" s="63"/>
      <c r="Q3401" s="63"/>
      <c r="R3401" s="63"/>
      <c r="S3401" s="63"/>
      <c r="T3401" s="63"/>
      <c r="U3401" s="63"/>
      <c r="V3401" s="63"/>
      <c r="W3401" s="63"/>
    </row>
    <row r="3402" spans="1:23" x14ac:dyDescent="0.25">
      <c r="A3402" s="108">
        <v>46137</v>
      </c>
      <c r="B3402" s="128">
        <v>207</v>
      </c>
      <c r="C3402" s="108" t="s">
        <v>19</v>
      </c>
      <c r="D3402" s="110" t="str">
        <f>IF(ISBLANK($B3402),"",IFERROR(VLOOKUP($B3402,ESTOQUE!$B$2:$D$97168,3,FALSE),"Produto não cadastrado"))</f>
        <v>LUVA POLIESTER ANTICORTE BANHADA PU TAM 9</v>
      </c>
      <c r="E3402" s="99" t="str">
        <f>_xlfn.XLOOKUP(B3402,ESTOQUE!B:B,ESTOQUE!G:G,"",0)</f>
        <v>PAR</v>
      </c>
      <c r="F3402" s="152">
        <v>0</v>
      </c>
      <c r="L3402" s="63"/>
      <c r="M3402" s="63"/>
      <c r="N3402" s="63"/>
      <c r="O3402" s="63"/>
      <c r="P3402" s="63"/>
      <c r="Q3402" s="63"/>
      <c r="R3402" s="63"/>
      <c r="S3402" s="63"/>
      <c r="T3402" s="63"/>
      <c r="U3402" s="63"/>
      <c r="V3402" s="63"/>
      <c r="W3402" s="63"/>
    </row>
    <row r="3403" spans="1:23" x14ac:dyDescent="0.25">
      <c r="A3403" s="108">
        <v>46137</v>
      </c>
      <c r="B3403" s="128">
        <v>118</v>
      </c>
      <c r="C3403" s="108" t="s">
        <v>19</v>
      </c>
      <c r="D3403" s="110" t="str">
        <f>IF(ISBLANK($B3403),"",IFERROR(VLOOKUP($B3403,ESTOQUE!$B$2:$D$97168,3,FALSE),"Produto não cadastrado"))</f>
        <v>MACACÃO DE PROTEÇÃO TYVEK</v>
      </c>
      <c r="E3403" s="99" t="str">
        <f>_xlfn.XLOOKUP(B3403,ESTOQUE!B:B,ESTOQUE!G:G,"",0)</f>
        <v>UND</v>
      </c>
      <c r="F3403" s="152">
        <v>50</v>
      </c>
      <c r="L3403" s="63"/>
      <c r="M3403" s="63"/>
      <c r="N3403" s="63"/>
      <c r="O3403" s="63"/>
      <c r="P3403" s="63"/>
      <c r="Q3403" s="63"/>
      <c r="R3403" s="63"/>
      <c r="S3403" s="63"/>
      <c r="T3403" s="63"/>
      <c r="U3403" s="63"/>
      <c r="V3403" s="63"/>
      <c r="W3403" s="63"/>
    </row>
    <row r="3404" spans="1:23" x14ac:dyDescent="0.25">
      <c r="A3404" s="108">
        <v>46137</v>
      </c>
      <c r="B3404" s="128">
        <v>125</v>
      </c>
      <c r="C3404" s="108" t="s">
        <v>19</v>
      </c>
      <c r="D3404" s="110" t="str">
        <f>IF(ISBLANK($B3404),"",IFERROR(VLOOKUP($B3404,ESTOQUE!$B$2:$D$97168,3,FALSE),"Produto não cadastrado"))</f>
        <v xml:space="preserve">MASCARA DE SOLDA AUTOMATICA </v>
      </c>
      <c r="E3404" s="99" t="str">
        <f>_xlfn.XLOOKUP(B3404,ESTOQUE!B:B,ESTOQUE!G:G,"",0)</f>
        <v>UND</v>
      </c>
      <c r="F3404" s="152">
        <v>1</v>
      </c>
      <c r="L3404" s="63"/>
      <c r="M3404" s="63"/>
      <c r="N3404" s="63"/>
      <c r="O3404" s="63"/>
      <c r="P3404" s="63"/>
      <c r="Q3404" s="63"/>
      <c r="R3404" s="63"/>
      <c r="S3404" s="63"/>
      <c r="T3404" s="63"/>
      <c r="U3404" s="63"/>
      <c r="V3404" s="63"/>
      <c r="W3404" s="63"/>
    </row>
    <row r="3405" spans="1:23" x14ac:dyDescent="0.25">
      <c r="A3405" s="108">
        <v>46137</v>
      </c>
      <c r="B3405" s="128">
        <v>144</v>
      </c>
      <c r="C3405" s="108" t="s">
        <v>19</v>
      </c>
      <c r="D3405" s="110" t="str">
        <f>IF(ISBLANK($B3405),"",IFERROR(VLOOKUP($B3405,ESTOQUE!$B$2:$D$97168,3,FALSE),"Produto não cadastrado"))</f>
        <v>MASCARA PFF2-S C/ FILTRO</v>
      </c>
      <c r="E3405" s="99" t="str">
        <f>_xlfn.XLOOKUP(B3405,ESTOQUE!B:B,ESTOQUE!G:G,"",0)</f>
        <v>UND</v>
      </c>
      <c r="F3405" s="152">
        <v>46</v>
      </c>
      <c r="L3405" s="63"/>
      <c r="M3405" s="63"/>
      <c r="N3405" s="63"/>
      <c r="O3405" s="63"/>
      <c r="P3405" s="63"/>
      <c r="Q3405" s="63"/>
      <c r="R3405" s="63"/>
      <c r="S3405" s="63"/>
      <c r="T3405" s="63"/>
      <c r="U3405" s="63"/>
      <c r="V3405" s="63"/>
      <c r="W3405" s="63"/>
    </row>
    <row r="3406" spans="1:23" x14ac:dyDescent="0.25">
      <c r="A3406" s="108">
        <v>46137</v>
      </c>
      <c r="B3406" s="128">
        <v>126</v>
      </c>
      <c r="C3406" s="108" t="s">
        <v>19</v>
      </c>
      <c r="D3406" s="110" t="str">
        <f>IF(ISBLANK($B3406),"",IFERROR(VLOOKUP($B3406,ESTOQUE!$B$2:$D$97168,3,FALSE),"Produto não cadastrado"))</f>
        <v>OCULOS DE PROTEÇÃO ESCURO</v>
      </c>
      <c r="E3406" s="99" t="str">
        <f>_xlfn.XLOOKUP(B3406,ESTOQUE!B:B,ESTOQUE!G:G,"",0)</f>
        <v>UND</v>
      </c>
      <c r="F3406" s="152">
        <v>2</v>
      </c>
    </row>
    <row r="3407" spans="1:23" x14ac:dyDescent="0.25">
      <c r="A3407" s="108">
        <v>46137</v>
      </c>
      <c r="B3407" s="128">
        <v>124</v>
      </c>
      <c r="C3407" s="108" t="s">
        <v>19</v>
      </c>
      <c r="D3407" s="110" t="str">
        <f>IF(ISBLANK($B3407),"",IFERROR(VLOOKUP($B3407,ESTOQUE!$B$2:$D$97168,3,FALSE),"Produto não cadastrado"))</f>
        <v xml:space="preserve">OCULOS DE PROTEÇÃO INCOLOR </v>
      </c>
      <c r="E3407" s="99" t="str">
        <f>_xlfn.XLOOKUP(B3407,ESTOQUE!B:B,ESTOQUE!G:G,"",0)</f>
        <v>UND</v>
      </c>
      <c r="F3407" s="152">
        <v>31</v>
      </c>
    </row>
    <row r="3408" spans="1:23" x14ac:dyDescent="0.25">
      <c r="A3408" s="108">
        <v>46137</v>
      </c>
      <c r="B3408" s="128">
        <v>139</v>
      </c>
      <c r="C3408" s="108" t="s">
        <v>19</v>
      </c>
      <c r="D3408" s="110" t="str">
        <f>IF(ISBLANK($B3408),"",IFERROR(VLOOKUP($B3408,ESTOQUE!$B$2:$D$97168,3,FALSE),"Produto não cadastrado"))</f>
        <v>PROTETOR AURICULAR TIPO PLUG</v>
      </c>
      <c r="E3408" s="99" t="str">
        <f>_xlfn.XLOOKUP(B3408,ESTOQUE!B:B,ESTOQUE!G:G,"",0)</f>
        <v>UND</v>
      </c>
      <c r="F3408" s="152">
        <v>31</v>
      </c>
    </row>
    <row r="3409" spans="1:6" x14ac:dyDescent="0.25">
      <c r="A3409" s="108">
        <v>46138</v>
      </c>
      <c r="B3409" s="128">
        <v>228</v>
      </c>
      <c r="C3409" s="108" t="s">
        <v>19</v>
      </c>
      <c r="D3409" s="110" t="str">
        <f>IF(ISBLANK($B3409),"",IFERROR(VLOOKUP($B3409,ESTOQUE!$B$2:$D$97168,3,FALSE),"Produto não cadastrado"))</f>
        <v xml:space="preserve">BALACLAVA  </v>
      </c>
      <c r="E3409" s="99" t="str">
        <f>_xlfn.XLOOKUP(B3409,ESTOQUE!B:B,ESTOQUE!G:G,"",0)</f>
        <v>UND</v>
      </c>
      <c r="F3409" s="152">
        <v>6</v>
      </c>
    </row>
    <row r="3410" spans="1:6" x14ac:dyDescent="0.25">
      <c r="A3410" s="108">
        <v>46138</v>
      </c>
      <c r="B3410" s="128">
        <v>216</v>
      </c>
      <c r="C3410" s="108" t="s">
        <v>19</v>
      </c>
      <c r="D3410" s="110" t="str">
        <f>IF(ISBLANK($B3410),"",IFERROR(VLOOKUP($B3410,ESTOQUE!$B$2:$D$97168,3,FALSE),"Produto não cadastrado"))</f>
        <v>BOTINA SEGURANÇA METATARSO  39</v>
      </c>
      <c r="E3410" s="99" t="str">
        <f>_xlfn.XLOOKUP(B3410,ESTOQUE!B:B,ESTOQUE!G:G,"",0)</f>
        <v>PAR</v>
      </c>
      <c r="F3410" s="152">
        <v>1</v>
      </c>
    </row>
    <row r="3411" spans="1:6" x14ac:dyDescent="0.25">
      <c r="A3411" s="108">
        <v>46138</v>
      </c>
      <c r="B3411" s="128">
        <v>217</v>
      </c>
      <c r="C3411" s="108" t="s">
        <v>19</v>
      </c>
      <c r="D3411" s="110" t="str">
        <f>IF(ISBLANK($B3411),"",IFERROR(VLOOKUP($B3411,ESTOQUE!$B$2:$D$97168,3,FALSE),"Produto não cadastrado"))</f>
        <v>BOTINA SEGURANÇA METATARSO  40</v>
      </c>
      <c r="E3411" s="99" t="str">
        <f>_xlfn.XLOOKUP(B3411,ESTOQUE!B:B,ESTOQUE!G:G,"",0)</f>
        <v>PAR</v>
      </c>
      <c r="F3411" s="152">
        <v>1</v>
      </c>
    </row>
    <row r="3412" spans="1:6" x14ac:dyDescent="0.25">
      <c r="A3412" s="108">
        <v>46138</v>
      </c>
      <c r="B3412" s="128">
        <v>218</v>
      </c>
      <c r="C3412" s="108" t="s">
        <v>19</v>
      </c>
      <c r="D3412" s="110" t="str">
        <f>IF(ISBLANK($B3412),"",IFERROR(VLOOKUP($B3412,ESTOQUE!$B$2:$D$97168,3,FALSE),"Produto não cadastrado"))</f>
        <v>BOTINA SEGURANÇA METATARSO  41</v>
      </c>
      <c r="E3412" s="99" t="str">
        <f>_xlfn.XLOOKUP(B3412,ESTOQUE!B:B,ESTOQUE!G:G,"",0)</f>
        <v>PAR</v>
      </c>
      <c r="F3412" s="152">
        <v>1</v>
      </c>
    </row>
    <row r="3413" spans="1:6" x14ac:dyDescent="0.25">
      <c r="A3413" s="108">
        <v>46138</v>
      </c>
      <c r="B3413" s="128">
        <v>223</v>
      </c>
      <c r="C3413" s="108" t="s">
        <v>19</v>
      </c>
      <c r="D3413" s="110" t="str">
        <f>IF(ISBLANK($B3413),"",IFERROR(VLOOKUP($B3413,ESTOQUE!$B$2:$D$97168,3,FALSE),"Produto não cadastrado"))</f>
        <v>BOTINA SEGURANÇA METATARSO  46</v>
      </c>
      <c r="E3413" s="99" t="str">
        <f>_xlfn.XLOOKUP(B3413,ESTOQUE!B:B,ESTOQUE!G:G,"",0)</f>
        <v>PAR</v>
      </c>
      <c r="F3413" s="152">
        <v>1</v>
      </c>
    </row>
    <row r="3414" spans="1:6" x14ac:dyDescent="0.25">
      <c r="A3414" s="108">
        <v>46138</v>
      </c>
      <c r="B3414" s="128">
        <v>46</v>
      </c>
      <c r="C3414" s="108" t="s">
        <v>19</v>
      </c>
      <c r="D3414" s="110" t="str">
        <f>IF(ISBLANK($B3414),"",IFERROR(VLOOKUP($B3414,ESTOQUE!$B$2:$D$97168,3,FALSE),"Produto não cadastrado"))</f>
        <v>CALÇA CINZA OP. C/ FAIXA REFLETIVA TAM: G</v>
      </c>
      <c r="E3414" s="99" t="str">
        <f>_xlfn.XLOOKUP(B3414,ESTOQUE!B:B,ESTOQUE!G:G,"",0)</f>
        <v>UND</v>
      </c>
      <c r="F3414" s="152">
        <v>3</v>
      </c>
    </row>
    <row r="3415" spans="1:6" x14ac:dyDescent="0.25">
      <c r="A3415" s="108">
        <v>46138</v>
      </c>
      <c r="B3415" s="128">
        <v>49</v>
      </c>
      <c r="C3415" s="108" t="s">
        <v>19</v>
      </c>
      <c r="D3415" s="110" t="str">
        <f>IF(ISBLANK($B3415),"",IFERROR(VLOOKUP($B3415,ESTOQUE!$B$2:$D$97168,3,FALSE),"Produto não cadastrado"))</f>
        <v>CALÇA CINZA OP. C/ FAIXA REFLETIVA TAM: P</v>
      </c>
      <c r="E3415" s="99" t="str">
        <f>_xlfn.XLOOKUP(B3415,ESTOQUE!B:B,ESTOQUE!G:G,"",0)</f>
        <v>UND</v>
      </c>
      <c r="F3415" s="152">
        <v>4</v>
      </c>
    </row>
    <row r="3416" spans="1:6" x14ac:dyDescent="0.25">
      <c r="A3416" s="108">
        <v>46138</v>
      </c>
      <c r="B3416" s="128">
        <v>67</v>
      </c>
      <c r="C3416" s="108" t="s">
        <v>19</v>
      </c>
      <c r="D3416" s="110" t="str">
        <f>IF(ISBLANK($B3416),"",IFERROR(VLOOKUP($B3416,ESTOQUE!$B$2:$D$97168,3,FALSE),"Produto não cadastrado"))</f>
        <v>CAMISA LARANJA OP. C/ FAIXA REFLETIVA TAM: G</v>
      </c>
      <c r="E3416" s="99" t="str">
        <f>_xlfn.XLOOKUP(B3416,ESTOQUE!B:B,ESTOQUE!G:G,"",0)</f>
        <v>UND</v>
      </c>
      <c r="F3416" s="152">
        <v>4</v>
      </c>
    </row>
    <row r="3417" spans="1:6" x14ac:dyDescent="0.25">
      <c r="A3417" s="108">
        <v>46138</v>
      </c>
      <c r="B3417" s="128">
        <v>69</v>
      </c>
      <c r="C3417" s="108" t="s">
        <v>19</v>
      </c>
      <c r="D3417" s="110" t="str">
        <f>IF(ISBLANK($B3417),"",IFERROR(VLOOKUP($B3417,ESTOQUE!$B$2:$D$97168,3,FALSE),"Produto não cadastrado"))</f>
        <v>CAMISA LARANJA OP. C/ FAIXA REFLETIVA TAM: M</v>
      </c>
      <c r="E3417" s="99" t="str">
        <f>_xlfn.XLOOKUP(B3417,ESTOQUE!B:B,ESTOQUE!G:G,"",0)</f>
        <v>UND</v>
      </c>
      <c r="F3417" s="152">
        <v>7</v>
      </c>
    </row>
    <row r="3418" spans="1:6" x14ac:dyDescent="0.25">
      <c r="A3418" s="108">
        <v>46138</v>
      </c>
      <c r="B3418" s="128">
        <v>70</v>
      </c>
      <c r="C3418" s="108" t="s">
        <v>19</v>
      </c>
      <c r="D3418" s="110" t="str">
        <f>IF(ISBLANK($B3418),"",IFERROR(VLOOKUP($B3418,ESTOQUE!$B$2:$D$97168,3,FALSE),"Produto não cadastrado"))</f>
        <v>CAMISA LARANJA OP. C/ FAIXA REFLETIVA TAM: P</v>
      </c>
      <c r="E3418" s="99" t="str">
        <f>_xlfn.XLOOKUP(B3418,ESTOQUE!B:B,ESTOQUE!G:G,"",0)</f>
        <v>UND</v>
      </c>
      <c r="F3418" s="152">
        <v>1</v>
      </c>
    </row>
    <row r="3419" spans="1:6" x14ac:dyDescent="0.25">
      <c r="A3419" s="108">
        <v>46138</v>
      </c>
      <c r="B3419" s="128">
        <v>71</v>
      </c>
      <c r="C3419" s="108" t="s">
        <v>19</v>
      </c>
      <c r="D3419" s="110" t="str">
        <f>IF(ISBLANK($B3419),"",IFERROR(VLOOKUP($B3419,ESTOQUE!$B$2:$D$97168,3,FALSE),"Produto não cadastrado"))</f>
        <v>CAMISA LARANJA OP. C/ FAIXA REFLETIVA TAM: XG</v>
      </c>
      <c r="E3419" s="99" t="str">
        <f>_xlfn.XLOOKUP(B3419,ESTOQUE!B:B,ESTOQUE!G:G,"",0)</f>
        <v>UND</v>
      </c>
      <c r="F3419" s="152">
        <v>1</v>
      </c>
    </row>
    <row r="3420" spans="1:6" x14ac:dyDescent="0.25">
      <c r="A3420" s="108">
        <v>46138</v>
      </c>
      <c r="B3420" s="128">
        <v>95</v>
      </c>
      <c r="C3420" s="108" t="s">
        <v>19</v>
      </c>
      <c r="D3420" s="110" t="str">
        <f>IF(ISBLANK($B3420),"",IFERROR(VLOOKUP($B3420,ESTOQUE!$B$2:$D$97168,3,FALSE),"Produto não cadastrado"))</f>
        <v>CARNEIRA P/ CAPACETE LIBUS</v>
      </c>
      <c r="E3420" s="99" t="str">
        <f>_xlfn.XLOOKUP(B3420,ESTOQUE!B:B,ESTOQUE!G:G,"",0)</f>
        <v>UND</v>
      </c>
      <c r="F3420" s="152">
        <v>1</v>
      </c>
    </row>
    <row r="3421" spans="1:6" x14ac:dyDescent="0.25">
      <c r="A3421" s="108">
        <v>46138</v>
      </c>
      <c r="B3421" s="128">
        <v>144</v>
      </c>
      <c r="C3421" s="108" t="s">
        <v>19</v>
      </c>
      <c r="D3421" s="110" t="str">
        <f>IF(ISBLANK($B3421),"",IFERROR(VLOOKUP($B3421,ESTOQUE!$B$2:$D$97168,3,FALSE),"Produto não cadastrado"))</f>
        <v>MASCARA PFF2-S C/ FILTRO</v>
      </c>
      <c r="E3421" s="99" t="str">
        <f>_xlfn.XLOOKUP(B3421,ESTOQUE!B:B,ESTOQUE!G:G,"",0)</f>
        <v>UND</v>
      </c>
      <c r="F3421" s="152">
        <v>1</v>
      </c>
    </row>
    <row r="3422" spans="1:6" x14ac:dyDescent="0.25">
      <c r="A3422" s="108">
        <v>46138</v>
      </c>
      <c r="B3422" s="128">
        <v>126</v>
      </c>
      <c r="C3422" s="108" t="s">
        <v>19</v>
      </c>
      <c r="D3422" s="110" t="str">
        <f>IF(ISBLANK($B3422),"",IFERROR(VLOOKUP($B3422,ESTOQUE!$B$2:$D$97168,3,FALSE),"Produto não cadastrado"))</f>
        <v>OCULOS DE PROTEÇÃO ESCURO</v>
      </c>
      <c r="E3422" s="99" t="str">
        <f>_xlfn.XLOOKUP(B3422,ESTOQUE!B:B,ESTOQUE!G:G,"",0)</f>
        <v>UND</v>
      </c>
      <c r="F3422" s="152">
        <v>2</v>
      </c>
    </row>
    <row r="3423" spans="1:6" x14ac:dyDescent="0.25">
      <c r="A3423" s="108">
        <v>46139</v>
      </c>
      <c r="B3423" s="128">
        <v>228</v>
      </c>
      <c r="C3423" s="108" t="s">
        <v>19</v>
      </c>
      <c r="D3423" s="110" t="str">
        <f>IF(ISBLANK($B3423),"",IFERROR(VLOOKUP($B3423,ESTOQUE!$B$2:$D$97168,3,FALSE),"Produto não cadastrado"))</f>
        <v xml:space="preserve">BALACLAVA  </v>
      </c>
      <c r="E3423" s="99" t="str">
        <f>_xlfn.XLOOKUP(B3423,ESTOQUE!B:B,ESTOQUE!G:G,"",0)</f>
        <v>UND</v>
      </c>
      <c r="F3423" s="152">
        <v>5</v>
      </c>
    </row>
    <row r="3424" spans="1:6" x14ac:dyDescent="0.25">
      <c r="A3424" s="108">
        <v>46139</v>
      </c>
      <c r="B3424" s="128">
        <v>21</v>
      </c>
      <c r="C3424" s="108" t="s">
        <v>19</v>
      </c>
      <c r="D3424" s="110" t="str">
        <f>IF(ISBLANK($B3424),"",IFERROR(VLOOKUP($B3424,ESTOQUE!$B$2:$D$97168,3,FALSE),"Produto não cadastrado"))</f>
        <v>BOTA PVC CANO MEDIO Nº 42</v>
      </c>
      <c r="E3424" s="99" t="str">
        <f>_xlfn.XLOOKUP(B3424,ESTOQUE!B:B,ESTOQUE!G:G,"",0)</f>
        <v>PAR</v>
      </c>
      <c r="F3424" s="152">
        <v>1</v>
      </c>
    </row>
    <row r="3425" spans="1:6" x14ac:dyDescent="0.25">
      <c r="A3425" s="108">
        <v>46139</v>
      </c>
      <c r="B3425" s="128">
        <v>14</v>
      </c>
      <c r="C3425" s="108" t="s">
        <v>19</v>
      </c>
      <c r="D3425" s="110" t="str">
        <f>IF(ISBLANK($B3425),"",IFERROR(VLOOKUP($B3425,ESTOQUE!$B$2:$D$97168,3,FALSE),"Produto não cadastrado"))</f>
        <v>BOTA PVC CANO LONGO Nº 46</v>
      </c>
      <c r="E3425" s="99" t="str">
        <f>_xlfn.XLOOKUP(B3425,ESTOQUE!B:B,ESTOQUE!G:G,"",0)</f>
        <v>PAR</v>
      </c>
      <c r="F3425" s="152">
        <v>2</v>
      </c>
    </row>
    <row r="3426" spans="1:6" x14ac:dyDescent="0.25">
      <c r="A3426" s="108">
        <v>46139</v>
      </c>
      <c r="B3426" s="128">
        <v>42</v>
      </c>
      <c r="C3426" s="108" t="s">
        <v>19</v>
      </c>
      <c r="D3426" s="110" t="str">
        <f>IF(ISBLANK($B3426),"",IFERROR(VLOOKUP($B3426,ESTOQUE!$B$2:$D$97168,3,FALSE),"Produto não cadastrado"))</f>
        <v>BOTINA OP. BICO PVC Nº 44</v>
      </c>
      <c r="E3426" s="99" t="str">
        <f>_xlfn.XLOOKUP(B3426,ESTOQUE!B:B,ESTOQUE!G:G,"",0)</f>
        <v>PAR</v>
      </c>
      <c r="F3426" s="152">
        <v>2</v>
      </c>
    </row>
    <row r="3427" spans="1:6" x14ac:dyDescent="0.25">
      <c r="A3427" s="108">
        <v>46139</v>
      </c>
      <c r="B3427" s="128">
        <v>216</v>
      </c>
      <c r="C3427" s="108" t="s">
        <v>19</v>
      </c>
      <c r="D3427" s="110" t="str">
        <f>IF(ISBLANK($B3427),"",IFERROR(VLOOKUP($B3427,ESTOQUE!$B$2:$D$97168,3,FALSE),"Produto não cadastrado"))</f>
        <v>BOTINA SEGURANÇA METATARSO  39</v>
      </c>
      <c r="E3427" s="99" t="str">
        <f>_xlfn.XLOOKUP(B3427,ESTOQUE!B:B,ESTOQUE!G:G,"",0)</f>
        <v>PAR</v>
      </c>
      <c r="F3427" s="152">
        <v>2</v>
      </c>
    </row>
    <row r="3428" spans="1:6" x14ac:dyDescent="0.25">
      <c r="A3428" s="108">
        <v>46139</v>
      </c>
      <c r="B3428" s="128">
        <v>217</v>
      </c>
      <c r="C3428" s="108" t="s">
        <v>19</v>
      </c>
      <c r="D3428" s="110" t="str">
        <f>IF(ISBLANK($B3428),"",IFERROR(VLOOKUP($B3428,ESTOQUE!$B$2:$D$97168,3,FALSE),"Produto não cadastrado"))</f>
        <v>BOTINA SEGURANÇA METATARSO  40</v>
      </c>
      <c r="E3428" s="99" t="str">
        <f>_xlfn.XLOOKUP(B3428,ESTOQUE!B:B,ESTOQUE!G:G,"",0)</f>
        <v>PAR</v>
      </c>
      <c r="F3428" s="152">
        <v>3</v>
      </c>
    </row>
    <row r="3429" spans="1:6" x14ac:dyDescent="0.25">
      <c r="A3429" s="108">
        <v>46139</v>
      </c>
      <c r="B3429" s="128">
        <v>218</v>
      </c>
      <c r="C3429" s="108" t="s">
        <v>19</v>
      </c>
      <c r="D3429" s="110" t="str">
        <f>IF(ISBLANK($B3429),"",IFERROR(VLOOKUP($B3429,ESTOQUE!$B$2:$D$97168,3,FALSE),"Produto não cadastrado"))</f>
        <v>BOTINA SEGURANÇA METATARSO  41</v>
      </c>
      <c r="E3429" s="99" t="str">
        <f>_xlfn.XLOOKUP(B3429,ESTOQUE!B:B,ESTOQUE!G:G,"",0)</f>
        <v>PAR</v>
      </c>
      <c r="F3429" s="152">
        <v>3</v>
      </c>
    </row>
    <row r="3430" spans="1:6" x14ac:dyDescent="0.25">
      <c r="A3430" s="108">
        <v>46139</v>
      </c>
      <c r="B3430" s="128">
        <v>46</v>
      </c>
      <c r="C3430" s="108" t="s">
        <v>19</v>
      </c>
      <c r="D3430" s="110" t="str">
        <f>IF(ISBLANK($B3430),"",IFERROR(VLOOKUP($B3430,ESTOQUE!$B$2:$D$97168,3,FALSE),"Produto não cadastrado"))</f>
        <v>CALÇA CINZA OP. C/ FAIXA REFLETIVA TAM: G</v>
      </c>
      <c r="E3430" s="99" t="str">
        <f>_xlfn.XLOOKUP(B3430,ESTOQUE!B:B,ESTOQUE!G:G,"",0)</f>
        <v>UND</v>
      </c>
      <c r="F3430" s="152">
        <v>9</v>
      </c>
    </row>
    <row r="3431" spans="1:6" x14ac:dyDescent="0.25">
      <c r="A3431" s="108">
        <v>46139</v>
      </c>
      <c r="B3431" s="128">
        <v>47</v>
      </c>
      <c r="C3431" s="108" t="s">
        <v>19</v>
      </c>
      <c r="D3431" s="110" t="str">
        <f>IF(ISBLANK($B3431),"",IFERROR(VLOOKUP($B3431,ESTOQUE!$B$2:$D$97168,3,FALSE),"Produto não cadastrado"))</f>
        <v>CALÇA CINZA OP. C/ FAIXA REFLETIVA TAM: GG</v>
      </c>
      <c r="E3431" s="99" t="str">
        <f>_xlfn.XLOOKUP(B3431,ESTOQUE!B:B,ESTOQUE!G:G,"",0)</f>
        <v>UND</v>
      </c>
      <c r="F3431" s="152">
        <v>2</v>
      </c>
    </row>
    <row r="3432" spans="1:6" x14ac:dyDescent="0.25">
      <c r="A3432" s="108">
        <v>46139</v>
      </c>
      <c r="B3432" s="128">
        <v>49</v>
      </c>
      <c r="C3432" s="108" t="s">
        <v>19</v>
      </c>
      <c r="D3432" s="110" t="str">
        <f>IF(ISBLANK($B3432),"",IFERROR(VLOOKUP($B3432,ESTOQUE!$B$2:$D$97168,3,FALSE),"Produto não cadastrado"))</f>
        <v>CALÇA CINZA OP. C/ FAIXA REFLETIVA TAM: P</v>
      </c>
      <c r="E3432" s="99" t="str">
        <f>_xlfn.XLOOKUP(B3432,ESTOQUE!B:B,ESTOQUE!G:G,"",0)</f>
        <v>UND</v>
      </c>
      <c r="F3432" s="152">
        <v>6</v>
      </c>
    </row>
    <row r="3433" spans="1:6" x14ac:dyDescent="0.25">
      <c r="A3433" s="108">
        <v>46139</v>
      </c>
      <c r="B3433" s="128">
        <v>67</v>
      </c>
      <c r="C3433" s="108" t="s">
        <v>19</v>
      </c>
      <c r="D3433" s="110" t="str">
        <f>IF(ISBLANK($B3433),"",IFERROR(VLOOKUP($B3433,ESTOQUE!$B$2:$D$97168,3,FALSE),"Produto não cadastrado"))</f>
        <v>CAMISA LARANJA OP. C/ FAIXA REFLETIVA TAM: G</v>
      </c>
      <c r="E3433" s="99" t="str">
        <f>_xlfn.XLOOKUP(B3433,ESTOQUE!B:B,ESTOQUE!G:G,"",0)</f>
        <v>UND</v>
      </c>
      <c r="F3433" s="152">
        <v>5</v>
      </c>
    </row>
    <row r="3434" spans="1:6" x14ac:dyDescent="0.25">
      <c r="A3434" s="108">
        <v>46139</v>
      </c>
      <c r="B3434" s="128">
        <v>68</v>
      </c>
      <c r="C3434" s="108" t="s">
        <v>19</v>
      </c>
      <c r="D3434" s="110" t="str">
        <f>IF(ISBLANK($B3434),"",IFERROR(VLOOKUP($B3434,ESTOQUE!$B$2:$D$97168,3,FALSE),"Produto não cadastrado"))</f>
        <v>CAMISA LARANJA OP. C/ FAIXA REFLETIVA TAM: GG</v>
      </c>
      <c r="E3434" s="99" t="str">
        <f>_xlfn.XLOOKUP(B3434,ESTOQUE!B:B,ESTOQUE!G:G,"",0)</f>
        <v>UND</v>
      </c>
      <c r="F3434" s="152">
        <v>1</v>
      </c>
    </row>
    <row r="3435" spans="1:6" x14ac:dyDescent="0.25">
      <c r="A3435" s="108">
        <v>46139</v>
      </c>
      <c r="B3435" s="128">
        <v>69</v>
      </c>
      <c r="C3435" s="108" t="s">
        <v>19</v>
      </c>
      <c r="D3435" s="110" t="str">
        <f>IF(ISBLANK($B3435),"",IFERROR(VLOOKUP($B3435,ESTOQUE!$B$2:$D$97168,3,FALSE),"Produto não cadastrado"))</f>
        <v>CAMISA LARANJA OP. C/ FAIXA REFLETIVA TAM: M</v>
      </c>
      <c r="E3435" s="99" t="str">
        <f>_xlfn.XLOOKUP(B3435,ESTOQUE!B:B,ESTOQUE!G:G,"",0)</f>
        <v>UND</v>
      </c>
      <c r="F3435" s="152">
        <v>3</v>
      </c>
    </row>
    <row r="3436" spans="1:6" x14ac:dyDescent="0.25">
      <c r="A3436" s="108">
        <v>46139</v>
      </c>
      <c r="B3436" s="128">
        <v>70</v>
      </c>
      <c r="C3436" s="108" t="s">
        <v>19</v>
      </c>
      <c r="D3436" s="110" t="str">
        <f>IF(ISBLANK($B3436),"",IFERROR(VLOOKUP($B3436,ESTOQUE!$B$2:$D$97168,3,FALSE),"Produto não cadastrado"))</f>
        <v>CAMISA LARANJA OP. C/ FAIXA REFLETIVA TAM: P</v>
      </c>
      <c r="E3436" s="99" t="str">
        <f>_xlfn.XLOOKUP(B3436,ESTOQUE!B:B,ESTOQUE!G:G,"",0)</f>
        <v>UND</v>
      </c>
      <c r="F3436" s="152">
        <v>2</v>
      </c>
    </row>
    <row r="3437" spans="1:6" x14ac:dyDescent="0.25">
      <c r="A3437" s="108">
        <v>46139</v>
      </c>
      <c r="B3437" s="128">
        <v>186</v>
      </c>
      <c r="C3437" s="108" t="s">
        <v>19</v>
      </c>
      <c r="D3437" s="110" t="str">
        <f>IF(ISBLANK($B3437),"",IFERROR(VLOOKUP($B3437,ESTOQUE!$B$2:$D$97168,3,FALSE),"Produto não cadastrado"))</f>
        <v>COLETE REFLETIVO LARANJA GG</v>
      </c>
      <c r="E3437" s="99" t="str">
        <f>_xlfn.XLOOKUP(B3437,ESTOQUE!B:B,ESTOQUE!G:G,"",0)</f>
        <v>UND</v>
      </c>
      <c r="F3437" s="152">
        <v>1</v>
      </c>
    </row>
    <row r="3438" spans="1:6" x14ac:dyDescent="0.25">
      <c r="A3438" s="108">
        <v>46139</v>
      </c>
      <c r="B3438" s="128">
        <v>257</v>
      </c>
      <c r="C3438" s="108" t="s">
        <v>19</v>
      </c>
      <c r="D3438" s="110" t="str">
        <f>IF(ISBLANK($B3438),"",IFERROR(VLOOKUP($B3438,ESTOQUE!$B$2:$D$97168,3,FALSE),"Produto não cadastrado"))</f>
        <v xml:space="preserve">LUVA MULTITATO </v>
      </c>
      <c r="E3438" s="99" t="str">
        <f>_xlfn.XLOOKUP(B3438,ESTOQUE!B:B,ESTOQUE!G:G,"",0)</f>
        <v>UND</v>
      </c>
      <c r="F3438" s="152">
        <v>2</v>
      </c>
    </row>
    <row r="3439" spans="1:6" x14ac:dyDescent="0.25">
      <c r="A3439" s="108">
        <v>46139</v>
      </c>
      <c r="B3439" s="128">
        <v>263</v>
      </c>
      <c r="C3439" s="108" t="s">
        <v>19</v>
      </c>
      <c r="D3439" s="110" t="str">
        <f>IF(ISBLANK($B3439),"",IFERROR(VLOOKUP($B3439,ESTOQUE!$B$2:$D$97168,3,FALSE),"Produto não cadastrado"))</f>
        <v>LUVA DE VAUQETA CINZA</v>
      </c>
      <c r="E3439" s="99" t="str">
        <f>_xlfn.XLOOKUP(B3439,ESTOQUE!B:B,ESTOQUE!G:G,"",0)</f>
        <v>UND</v>
      </c>
      <c r="F3439" s="152">
        <v>4</v>
      </c>
    </row>
    <row r="3440" spans="1:6" x14ac:dyDescent="0.25">
      <c r="A3440" s="108">
        <v>46139</v>
      </c>
      <c r="B3440" s="128">
        <v>117</v>
      </c>
      <c r="C3440" s="108" t="s">
        <v>19</v>
      </c>
      <c r="D3440" s="110" t="str">
        <f>IF(ISBLANK($B3440),"",IFERROR(VLOOKUP($B3440,ESTOQUE!$B$2:$D$97168,3,FALSE),"Produto não cadastrado"))</f>
        <v>LUVA PIGMENTADA</v>
      </c>
      <c r="E3440" s="99" t="str">
        <f>_xlfn.XLOOKUP(B3440,ESTOQUE!B:B,ESTOQUE!G:G,"",0)</f>
        <v>PAR</v>
      </c>
      <c r="F3440" s="152">
        <v>38</v>
      </c>
    </row>
    <row r="3441" spans="1:6" x14ac:dyDescent="0.25">
      <c r="A3441" s="108">
        <v>46139</v>
      </c>
      <c r="B3441" s="128">
        <v>267</v>
      </c>
      <c r="C3441" s="108" t="s">
        <v>19</v>
      </c>
      <c r="D3441" s="110" t="str">
        <f>IF(ISBLANK($B3441),"",IFERROR(VLOOKUP($B3441,ESTOQUE!$B$2:$D$97168,3,FALSE),"Produto não cadastrado"))</f>
        <v>LUVA POLIESTER ANTICORTE CANO LONGO</v>
      </c>
      <c r="E3441" s="99" t="str">
        <f>_xlfn.XLOOKUP(B3441,ESTOQUE!B:B,ESTOQUE!G:G,"",0)</f>
        <v>UND</v>
      </c>
      <c r="F3441" s="152">
        <v>2</v>
      </c>
    </row>
    <row r="3442" spans="1:6" x14ac:dyDescent="0.25">
      <c r="A3442" s="108">
        <v>46139</v>
      </c>
      <c r="B3442" s="128">
        <v>118</v>
      </c>
      <c r="C3442" s="108" t="s">
        <v>19</v>
      </c>
      <c r="D3442" s="110" t="str">
        <f>IF(ISBLANK($B3442),"",IFERROR(VLOOKUP($B3442,ESTOQUE!$B$2:$D$97168,3,FALSE),"Produto não cadastrado"))</f>
        <v>MACACÃO DE PROTEÇÃO TYVEK</v>
      </c>
      <c r="E3442" s="99" t="str">
        <f>_xlfn.XLOOKUP(B3442,ESTOQUE!B:B,ESTOQUE!G:G,"",0)</f>
        <v>UND</v>
      </c>
      <c r="F3442" s="152">
        <v>2</v>
      </c>
    </row>
    <row r="3443" spans="1:6" x14ac:dyDescent="0.25">
      <c r="A3443" s="108">
        <v>46139</v>
      </c>
      <c r="B3443" s="128">
        <v>125</v>
      </c>
      <c r="C3443" s="108" t="s">
        <v>19</v>
      </c>
      <c r="D3443" s="110" t="str">
        <f>IF(ISBLANK($B3443),"",IFERROR(VLOOKUP($B3443,ESTOQUE!$B$2:$D$97168,3,FALSE),"Produto não cadastrado"))</f>
        <v xml:space="preserve">MASCARA DE SOLDA AUTOMATICA </v>
      </c>
      <c r="E3443" s="99" t="str">
        <f>_xlfn.XLOOKUP(B3443,ESTOQUE!B:B,ESTOQUE!G:G,"",0)</f>
        <v>UND</v>
      </c>
      <c r="F3443" s="152">
        <v>3</v>
      </c>
    </row>
    <row r="3444" spans="1:6" x14ac:dyDescent="0.25">
      <c r="A3444" s="108">
        <v>46139</v>
      </c>
      <c r="B3444" s="128">
        <v>144</v>
      </c>
      <c r="C3444" s="108" t="s">
        <v>19</v>
      </c>
      <c r="D3444" s="110" t="str">
        <f>IF(ISBLANK($B3444),"",IFERROR(VLOOKUP($B3444,ESTOQUE!$B$2:$D$97168,3,FALSE),"Produto não cadastrado"))</f>
        <v>MASCARA PFF2-S C/ FILTRO</v>
      </c>
      <c r="E3444" s="99" t="str">
        <f>_xlfn.XLOOKUP(B3444,ESTOQUE!B:B,ESTOQUE!G:G,"",0)</f>
        <v>UND</v>
      </c>
      <c r="F3444" s="152">
        <v>17</v>
      </c>
    </row>
    <row r="3445" spans="1:6" x14ac:dyDescent="0.25">
      <c r="A3445" s="108">
        <v>46139</v>
      </c>
      <c r="B3445" s="128">
        <v>126</v>
      </c>
      <c r="C3445" s="108" t="s">
        <v>19</v>
      </c>
      <c r="D3445" s="110" t="str">
        <f>IF(ISBLANK($B3445),"",IFERROR(VLOOKUP($B3445,ESTOQUE!$B$2:$D$97168,3,FALSE),"Produto não cadastrado"))</f>
        <v>OCULOS DE PROTEÇÃO ESCURO</v>
      </c>
      <c r="E3445" s="99" t="str">
        <f>_xlfn.XLOOKUP(B3445,ESTOQUE!B:B,ESTOQUE!G:G,"",0)</f>
        <v>UND</v>
      </c>
      <c r="F3445" s="152">
        <v>6</v>
      </c>
    </row>
    <row r="3446" spans="1:6" x14ac:dyDescent="0.25">
      <c r="A3446" s="108">
        <v>46139</v>
      </c>
      <c r="B3446" s="128">
        <v>130</v>
      </c>
      <c r="C3446" s="108" t="s">
        <v>19</v>
      </c>
      <c r="D3446" s="110" t="str">
        <f>IF(ISBLANK($B3446),"",IFERROR(VLOOKUP($B3446,ESTOQUE!$B$2:$D$97168,3,FALSE),"Produto não cadastrado"))</f>
        <v>PROTETOR AUDITIVO TIPO CONCHA L-300</v>
      </c>
      <c r="E3446" s="99" t="str">
        <f>_xlfn.XLOOKUP(B3446,ESTOQUE!B:B,ESTOQUE!G:G,"",0)</f>
        <v>UND</v>
      </c>
      <c r="F3446" s="152">
        <v>1</v>
      </c>
    </row>
    <row r="3447" spans="1:6" x14ac:dyDescent="0.25">
      <c r="A3447" s="108">
        <v>46139</v>
      </c>
      <c r="B3447" s="128">
        <v>139</v>
      </c>
      <c r="C3447" s="108" t="s">
        <v>19</v>
      </c>
      <c r="D3447" s="110" t="str">
        <f>IF(ISBLANK($B3447),"",IFERROR(VLOOKUP($B3447,ESTOQUE!$B$2:$D$97168,3,FALSE),"Produto não cadastrado"))</f>
        <v>PROTETOR AURICULAR TIPO PLUG</v>
      </c>
      <c r="E3447" s="99" t="str">
        <f>_xlfn.XLOOKUP(B3447,ESTOQUE!B:B,ESTOQUE!G:G,"",0)</f>
        <v>UND</v>
      </c>
      <c r="F3447" s="152">
        <v>1</v>
      </c>
    </row>
    <row r="3448" spans="1:6" x14ac:dyDescent="0.25">
      <c r="A3448" s="108">
        <v>46140</v>
      </c>
      <c r="B3448" s="128">
        <v>228</v>
      </c>
      <c r="C3448" s="108" t="s">
        <v>19</v>
      </c>
      <c r="D3448" s="110" t="str">
        <f>IF(ISBLANK($B3448),"",IFERROR(VLOOKUP($B3448,ESTOQUE!$B$2:$D$97168,3,FALSE),"Produto não cadastrado"))</f>
        <v xml:space="preserve">BALACLAVA  </v>
      </c>
      <c r="E3448" s="99" t="str">
        <f>_xlfn.XLOOKUP(B3448,ESTOQUE!B:B,ESTOQUE!G:G,"",0)</f>
        <v>UND</v>
      </c>
      <c r="F3448" s="152">
        <v>4</v>
      </c>
    </row>
    <row r="3449" spans="1:6" x14ac:dyDescent="0.25">
      <c r="A3449" s="108">
        <v>46140</v>
      </c>
      <c r="B3449" s="128">
        <v>21</v>
      </c>
      <c r="C3449" s="108" t="s">
        <v>19</v>
      </c>
      <c r="D3449" s="110" t="str">
        <f>IF(ISBLANK($B3449),"",IFERROR(VLOOKUP($B3449,ESTOQUE!$B$2:$D$97168,3,FALSE),"Produto não cadastrado"))</f>
        <v>BOTA PVC CANO MEDIO Nº 42</v>
      </c>
      <c r="E3449" s="99" t="str">
        <f>_xlfn.XLOOKUP(B3449,ESTOQUE!B:B,ESTOQUE!G:G,"",0)</f>
        <v>PAR</v>
      </c>
      <c r="F3449" s="152">
        <v>1</v>
      </c>
    </row>
    <row r="3450" spans="1:6" x14ac:dyDescent="0.25">
      <c r="A3450" s="108">
        <v>46140</v>
      </c>
      <c r="B3450" s="128">
        <v>216</v>
      </c>
      <c r="C3450" s="108" t="s">
        <v>19</v>
      </c>
      <c r="D3450" s="110" t="str">
        <f>IF(ISBLANK($B3450),"",IFERROR(VLOOKUP($B3450,ESTOQUE!$B$2:$D$97168,3,FALSE),"Produto não cadastrado"))</f>
        <v>BOTINA SEGURANÇA METATARSO  39</v>
      </c>
      <c r="E3450" s="99" t="str">
        <f>_xlfn.XLOOKUP(B3450,ESTOQUE!B:B,ESTOQUE!G:G,"",0)</f>
        <v>PAR</v>
      </c>
      <c r="F3450" s="152">
        <v>1</v>
      </c>
    </row>
    <row r="3451" spans="1:6" x14ac:dyDescent="0.25">
      <c r="A3451" s="108">
        <v>46140</v>
      </c>
      <c r="B3451" s="128">
        <v>217</v>
      </c>
      <c r="C3451" s="108" t="s">
        <v>19</v>
      </c>
      <c r="D3451" s="110" t="str">
        <f>IF(ISBLANK($B3451),"",IFERROR(VLOOKUP($B3451,ESTOQUE!$B$2:$D$97168,3,FALSE),"Produto não cadastrado"))</f>
        <v>BOTINA SEGURANÇA METATARSO  40</v>
      </c>
      <c r="E3451" s="99" t="str">
        <f>_xlfn.XLOOKUP(B3451,ESTOQUE!B:B,ESTOQUE!G:G,"",0)</f>
        <v>PAR</v>
      </c>
      <c r="F3451" s="152">
        <v>2</v>
      </c>
    </row>
    <row r="3452" spans="1:6" x14ac:dyDescent="0.25">
      <c r="A3452" s="108">
        <v>46140</v>
      </c>
      <c r="B3452" s="128">
        <v>218</v>
      </c>
      <c r="C3452" s="108" t="s">
        <v>19</v>
      </c>
      <c r="D3452" s="110" t="str">
        <f>IF(ISBLANK($B3452),"",IFERROR(VLOOKUP($B3452,ESTOQUE!$B$2:$D$97168,3,FALSE),"Produto não cadastrado"))</f>
        <v>BOTINA SEGURANÇA METATARSO  41</v>
      </c>
      <c r="E3452" s="99" t="str">
        <f>_xlfn.XLOOKUP(B3452,ESTOQUE!B:B,ESTOQUE!G:G,"",0)</f>
        <v>PAR</v>
      </c>
      <c r="F3452" s="152">
        <v>4</v>
      </c>
    </row>
    <row r="3453" spans="1:6" x14ac:dyDescent="0.25">
      <c r="A3453" s="108">
        <v>46140</v>
      </c>
      <c r="B3453" s="128">
        <v>46</v>
      </c>
      <c r="C3453" s="108" t="s">
        <v>19</v>
      </c>
      <c r="D3453" s="110" t="str">
        <f>IF(ISBLANK($B3453),"",IFERROR(VLOOKUP($B3453,ESTOQUE!$B$2:$D$97168,3,FALSE),"Produto não cadastrado"))</f>
        <v>CALÇA CINZA OP. C/ FAIXA REFLETIVA TAM: G</v>
      </c>
      <c r="E3453" s="99" t="str">
        <f>_xlfn.XLOOKUP(B3453,ESTOQUE!B:B,ESTOQUE!G:G,"",0)</f>
        <v>UND</v>
      </c>
      <c r="F3453" s="152">
        <v>15</v>
      </c>
    </row>
    <row r="3454" spans="1:6" x14ac:dyDescent="0.25">
      <c r="A3454" s="108">
        <v>46140</v>
      </c>
      <c r="B3454" s="128">
        <v>49</v>
      </c>
      <c r="C3454" s="108" t="s">
        <v>19</v>
      </c>
      <c r="D3454" s="110" t="str">
        <f>IF(ISBLANK($B3454),"",IFERROR(VLOOKUP($B3454,ESTOQUE!$B$2:$D$97168,3,FALSE),"Produto não cadastrado"))</f>
        <v>CALÇA CINZA OP. C/ FAIXA REFLETIVA TAM: P</v>
      </c>
      <c r="E3454" s="99" t="str">
        <f>_xlfn.XLOOKUP(B3454,ESTOQUE!B:B,ESTOQUE!G:G,"",0)</f>
        <v>UND</v>
      </c>
      <c r="F3454" s="152">
        <v>8</v>
      </c>
    </row>
    <row r="3455" spans="1:6" x14ac:dyDescent="0.25">
      <c r="A3455" s="108">
        <v>46140</v>
      </c>
      <c r="B3455" s="128">
        <v>53</v>
      </c>
      <c r="C3455" s="108" t="s">
        <v>19</v>
      </c>
      <c r="D3455" s="110" t="str">
        <f>IF(ISBLANK($B3455),"",IFERROR(VLOOKUP($B3455,ESTOQUE!$B$2:$D$97168,3,FALSE),"Produto não cadastrado"))</f>
        <v>CALÇA DE ELETRICISTA NR.10 TAM: P</v>
      </c>
      <c r="E3455" s="99" t="str">
        <f>_xlfn.XLOOKUP(B3455,ESTOQUE!B:B,ESTOQUE!G:G,"",0)</f>
        <v>UND</v>
      </c>
      <c r="F3455" s="152">
        <v>1</v>
      </c>
    </row>
    <row r="3456" spans="1:6" x14ac:dyDescent="0.25">
      <c r="A3456" s="108">
        <v>46140</v>
      </c>
      <c r="B3456" s="128">
        <v>65</v>
      </c>
      <c r="C3456" s="108" t="s">
        <v>19</v>
      </c>
      <c r="D3456" s="110" t="str">
        <f>IF(ISBLANK($B3456),"",IFERROR(VLOOKUP($B3456,ESTOQUE!$B$2:$D$97168,3,FALSE),"Produto não cadastrado"))</f>
        <v>CAMISA DE ELETRICISTA NR.10 TAM: P</v>
      </c>
      <c r="E3456" s="99" t="str">
        <f>_xlfn.XLOOKUP(B3456,ESTOQUE!B:B,ESTOQUE!G:G,"",0)</f>
        <v>UND</v>
      </c>
      <c r="F3456" s="152">
        <v>1</v>
      </c>
    </row>
    <row r="3457" spans="1:6" x14ac:dyDescent="0.25">
      <c r="A3457" s="108">
        <v>46140</v>
      </c>
      <c r="B3457" s="128">
        <v>67</v>
      </c>
      <c r="C3457" s="108" t="s">
        <v>19</v>
      </c>
      <c r="D3457" s="110" t="str">
        <f>IF(ISBLANK($B3457),"",IFERROR(VLOOKUP($B3457,ESTOQUE!$B$2:$D$97168,3,FALSE),"Produto não cadastrado"))</f>
        <v>CAMISA LARANJA OP. C/ FAIXA REFLETIVA TAM: G</v>
      </c>
      <c r="E3457" s="99" t="str">
        <f>_xlfn.XLOOKUP(B3457,ESTOQUE!B:B,ESTOQUE!G:G,"",0)</f>
        <v>UND</v>
      </c>
      <c r="F3457" s="152">
        <v>8</v>
      </c>
    </row>
    <row r="3458" spans="1:6" x14ac:dyDescent="0.25">
      <c r="A3458" s="108">
        <v>46140</v>
      </c>
      <c r="B3458" s="128">
        <v>68</v>
      </c>
      <c r="C3458" s="108" t="s">
        <v>19</v>
      </c>
      <c r="D3458" s="110" t="str">
        <f>IF(ISBLANK($B3458),"",IFERROR(VLOOKUP($B3458,ESTOQUE!$B$2:$D$97168,3,FALSE),"Produto não cadastrado"))</f>
        <v>CAMISA LARANJA OP. C/ FAIXA REFLETIVA TAM: GG</v>
      </c>
      <c r="E3458" s="99" t="str">
        <f>_xlfn.XLOOKUP(B3458,ESTOQUE!B:B,ESTOQUE!G:G,"",0)</f>
        <v>UND</v>
      </c>
      <c r="F3458" s="152">
        <v>1</v>
      </c>
    </row>
    <row r="3459" spans="1:6" x14ac:dyDescent="0.25">
      <c r="A3459" s="108">
        <v>46140</v>
      </c>
      <c r="B3459" s="128">
        <v>69</v>
      </c>
      <c r="C3459" s="108" t="s">
        <v>19</v>
      </c>
      <c r="D3459" s="110" t="str">
        <f>IF(ISBLANK($B3459),"",IFERROR(VLOOKUP($B3459,ESTOQUE!$B$2:$D$97168,3,FALSE),"Produto não cadastrado"))</f>
        <v>CAMISA LARANJA OP. C/ FAIXA REFLETIVA TAM: M</v>
      </c>
      <c r="E3459" s="99" t="str">
        <f>_xlfn.XLOOKUP(B3459,ESTOQUE!B:B,ESTOQUE!G:G,"",0)</f>
        <v>UND</v>
      </c>
      <c r="F3459" s="152">
        <v>8</v>
      </c>
    </row>
    <row r="3460" spans="1:6" x14ac:dyDescent="0.25">
      <c r="A3460" s="108">
        <v>46140</v>
      </c>
      <c r="B3460" s="128">
        <v>70</v>
      </c>
      <c r="C3460" s="108" t="s">
        <v>19</v>
      </c>
      <c r="D3460" s="110" t="str">
        <f>IF(ISBLANK($B3460),"",IFERROR(VLOOKUP($B3460,ESTOQUE!$B$2:$D$97168,3,FALSE),"Produto não cadastrado"))</f>
        <v>CAMISA LARANJA OP. C/ FAIXA REFLETIVA TAM: P</v>
      </c>
      <c r="E3460" s="99" t="str">
        <f>_xlfn.XLOOKUP(B3460,ESTOQUE!B:B,ESTOQUE!G:G,"",0)</f>
        <v>UND</v>
      </c>
      <c r="F3460" s="152">
        <v>8</v>
      </c>
    </row>
    <row r="3461" spans="1:6" x14ac:dyDescent="0.25">
      <c r="A3461" s="108">
        <v>46140</v>
      </c>
      <c r="B3461" s="128">
        <v>71</v>
      </c>
      <c r="C3461" s="108" t="s">
        <v>19</v>
      </c>
      <c r="D3461" s="110" t="str">
        <f>IF(ISBLANK($B3461),"",IFERROR(VLOOKUP($B3461,ESTOQUE!$B$2:$D$97168,3,FALSE),"Produto não cadastrado"))</f>
        <v>CAMISA LARANJA OP. C/ FAIXA REFLETIVA TAM: XG</v>
      </c>
      <c r="E3461" s="99" t="str">
        <f>_xlfn.XLOOKUP(B3461,ESTOQUE!B:B,ESTOQUE!G:G,"",0)</f>
        <v>UND</v>
      </c>
      <c r="F3461" s="152">
        <v>1</v>
      </c>
    </row>
    <row r="3462" spans="1:6" x14ac:dyDescent="0.25">
      <c r="A3462" s="108">
        <v>46140</v>
      </c>
      <c r="B3462" s="128">
        <v>186</v>
      </c>
      <c r="C3462" s="108" t="s">
        <v>19</v>
      </c>
      <c r="D3462" s="110" t="str">
        <f>IF(ISBLANK($B3462),"",IFERROR(VLOOKUP($B3462,ESTOQUE!$B$2:$D$97168,3,FALSE),"Produto não cadastrado"))</f>
        <v>COLETE REFLETIVO LARANJA GG</v>
      </c>
      <c r="E3462" s="99" t="str">
        <f>_xlfn.XLOOKUP(B3462,ESTOQUE!B:B,ESTOQUE!G:G,"",0)</f>
        <v>UND</v>
      </c>
      <c r="F3462" s="152">
        <v>1</v>
      </c>
    </row>
    <row r="3463" spans="1:6" x14ac:dyDescent="0.25">
      <c r="A3463" s="108">
        <v>46140</v>
      </c>
      <c r="B3463" s="128">
        <v>161</v>
      </c>
      <c r="C3463" s="108" t="s">
        <v>19</v>
      </c>
      <c r="D3463" s="110" t="str">
        <f>IF(ISBLANK($B3463),"",IFERROR(VLOOKUP($B3463,ESTOQUE!$B$2:$D$97168,3,FALSE),"Produto não cadastrado"))</f>
        <v>JUGULAR</v>
      </c>
      <c r="E3463" s="99" t="str">
        <f>_xlfn.XLOOKUP(B3463,ESTOQUE!B:B,ESTOQUE!G:G,"",0)</f>
        <v>UND</v>
      </c>
      <c r="F3463" s="152">
        <v>1</v>
      </c>
    </row>
    <row r="3464" spans="1:6" x14ac:dyDescent="0.25">
      <c r="A3464" s="108">
        <v>46140</v>
      </c>
      <c r="B3464" s="128">
        <v>114</v>
      </c>
      <c r="C3464" s="108" t="s">
        <v>19</v>
      </c>
      <c r="D3464" s="110" t="str">
        <f>IF(ISBLANK($B3464),"",IFERROR(VLOOKUP($B3464,ESTOQUE!$B$2:$D$97168,3,FALSE),"Produto não cadastrado"))</f>
        <v xml:space="preserve">LUVA LATEX NITRILICA </v>
      </c>
      <c r="E3464" s="99" t="str">
        <f>_xlfn.XLOOKUP(B3464,ESTOQUE!B:B,ESTOQUE!G:G,"",0)</f>
        <v>PAR</v>
      </c>
      <c r="F3464" s="152">
        <v>1</v>
      </c>
    </row>
    <row r="3465" spans="1:6" x14ac:dyDescent="0.25">
      <c r="A3465" s="108">
        <v>46140</v>
      </c>
      <c r="B3465" s="128">
        <v>117</v>
      </c>
      <c r="C3465" s="108" t="s">
        <v>19</v>
      </c>
      <c r="D3465" s="110" t="str">
        <f>IF(ISBLANK($B3465),"",IFERROR(VLOOKUP($B3465,ESTOQUE!$B$2:$D$97168,3,FALSE),"Produto não cadastrado"))</f>
        <v>LUVA PIGMENTADA</v>
      </c>
      <c r="E3465" s="99" t="str">
        <f>_xlfn.XLOOKUP(B3465,ESTOQUE!B:B,ESTOQUE!G:G,"",0)</f>
        <v>PAR</v>
      </c>
      <c r="F3465" s="152">
        <v>1</v>
      </c>
    </row>
    <row r="3466" spans="1:6" x14ac:dyDescent="0.25">
      <c r="A3466" s="108">
        <v>46140</v>
      </c>
      <c r="B3466" s="128">
        <v>267</v>
      </c>
      <c r="C3466" s="108" t="s">
        <v>19</v>
      </c>
      <c r="D3466" s="110" t="str">
        <f>IF(ISBLANK($B3466),"",IFERROR(VLOOKUP($B3466,ESTOQUE!$B$2:$D$97168,3,FALSE),"Produto não cadastrado"))</f>
        <v>LUVA POLIESTER ANTICORTE CANO LONGO</v>
      </c>
      <c r="E3466" s="99" t="str">
        <f>_xlfn.XLOOKUP(B3466,ESTOQUE!B:B,ESTOQUE!G:G,"",0)</f>
        <v>UND</v>
      </c>
      <c r="F3466" s="152">
        <v>2</v>
      </c>
    </row>
    <row r="3467" spans="1:6" x14ac:dyDescent="0.25">
      <c r="A3467" s="108">
        <v>46140</v>
      </c>
      <c r="B3467" s="128">
        <v>118</v>
      </c>
      <c r="C3467" s="108" t="s">
        <v>19</v>
      </c>
      <c r="D3467" s="110" t="str">
        <f>IF(ISBLANK($B3467),"",IFERROR(VLOOKUP($B3467,ESTOQUE!$B$2:$D$97168,3,FALSE),"Produto não cadastrado"))</f>
        <v>MACACÃO DE PROTEÇÃO TYVEK</v>
      </c>
      <c r="E3467" s="99" t="str">
        <f>_xlfn.XLOOKUP(B3467,ESTOQUE!B:B,ESTOQUE!G:G,"",0)</f>
        <v>UND</v>
      </c>
      <c r="F3467" s="152">
        <v>53</v>
      </c>
    </row>
    <row r="3468" spans="1:6" x14ac:dyDescent="0.25">
      <c r="A3468" s="108">
        <v>46140</v>
      </c>
      <c r="B3468" s="128">
        <v>144</v>
      </c>
      <c r="C3468" s="108" t="s">
        <v>19</v>
      </c>
      <c r="D3468" s="110" t="str">
        <f>IF(ISBLANK($B3468),"",IFERROR(VLOOKUP($B3468,ESTOQUE!$B$2:$D$97168,3,FALSE),"Produto não cadastrado"))</f>
        <v>MASCARA PFF2-S C/ FILTRO</v>
      </c>
      <c r="E3468" s="99" t="str">
        <f>_xlfn.XLOOKUP(B3468,ESTOQUE!B:B,ESTOQUE!G:G,"",0)</f>
        <v>UND</v>
      </c>
      <c r="F3468" s="152">
        <v>153</v>
      </c>
    </row>
    <row r="3469" spans="1:6" x14ac:dyDescent="0.25">
      <c r="A3469" s="108">
        <v>46140</v>
      </c>
      <c r="B3469" s="128">
        <v>126</v>
      </c>
      <c r="C3469" s="108" t="s">
        <v>19</v>
      </c>
      <c r="D3469" s="110" t="str">
        <f>IF(ISBLANK($B3469),"",IFERROR(VLOOKUP($B3469,ESTOQUE!$B$2:$D$97168,3,FALSE),"Produto não cadastrado"))</f>
        <v>OCULOS DE PROTEÇÃO ESCURO</v>
      </c>
      <c r="E3469" s="99" t="str">
        <f>_xlfn.XLOOKUP(B3469,ESTOQUE!B:B,ESTOQUE!G:G,"",0)</f>
        <v>UND</v>
      </c>
      <c r="F3469" s="152">
        <v>3</v>
      </c>
    </row>
    <row r="3470" spans="1:6" x14ac:dyDescent="0.25">
      <c r="A3470" s="108">
        <v>46140</v>
      </c>
      <c r="B3470" s="128">
        <v>139</v>
      </c>
      <c r="C3470" s="108" t="s">
        <v>19</v>
      </c>
      <c r="D3470" s="110" t="str">
        <f>IF(ISBLANK($B3470),"",IFERROR(VLOOKUP($B3470,ESTOQUE!$B$2:$D$97168,3,FALSE),"Produto não cadastrado"))</f>
        <v>PROTETOR AURICULAR TIPO PLUG</v>
      </c>
      <c r="E3470" s="99" t="str">
        <f>_xlfn.XLOOKUP(B3470,ESTOQUE!B:B,ESTOQUE!G:G,"",0)</f>
        <v>UND</v>
      </c>
      <c r="F3470" s="152">
        <v>1</v>
      </c>
    </row>
    <row r="3471" spans="1:6" x14ac:dyDescent="0.25">
      <c r="A3471" s="108">
        <v>46140</v>
      </c>
      <c r="B3471" s="128">
        <v>135</v>
      </c>
      <c r="C3471" s="108" t="s">
        <v>19</v>
      </c>
      <c r="D3471" s="110" t="str">
        <f>IF(ISBLANK($B3471),"",IFERROR(VLOOKUP($B3471,ESTOQUE!$B$2:$D$97168,3,FALSE),"Produto não cadastrado"))</f>
        <v>TALABARTE DUPLO TIPO Y</v>
      </c>
      <c r="E3471" s="99" t="str">
        <f>_xlfn.XLOOKUP(B3471,ESTOQUE!B:B,ESTOQUE!G:G,"",0)</f>
        <v>UND</v>
      </c>
      <c r="F3471" s="152">
        <v>1</v>
      </c>
    </row>
    <row r="3472" spans="1:6" x14ac:dyDescent="0.25">
      <c r="A3472" s="108">
        <v>46140</v>
      </c>
      <c r="B3472" s="128">
        <v>228</v>
      </c>
      <c r="C3472" s="108" t="s">
        <v>19</v>
      </c>
      <c r="D3472" s="110" t="str">
        <f>IF(ISBLANK($B3472),"",IFERROR(VLOOKUP($B3472,ESTOQUE!$B$2:$D$97168,3,FALSE),"Produto não cadastrado"))</f>
        <v xml:space="preserve">BALACLAVA  </v>
      </c>
      <c r="E3472" s="99" t="str">
        <f>_xlfn.XLOOKUP(B3472,ESTOQUE!B:B,ESTOQUE!G:G,"",0)</f>
        <v>UND</v>
      </c>
      <c r="F3472" s="152">
        <v>5</v>
      </c>
    </row>
    <row r="3473" spans="1:6" x14ac:dyDescent="0.25">
      <c r="A3473" s="108">
        <v>46141</v>
      </c>
      <c r="B3473" s="128">
        <v>41</v>
      </c>
      <c r="C3473" s="108" t="s">
        <v>19</v>
      </c>
      <c r="D3473" s="110" t="str">
        <f>IF(ISBLANK($B3473),"",IFERROR(VLOOKUP($B3473,ESTOQUE!$B$2:$D$97168,3,FALSE),"Produto não cadastrado"))</f>
        <v>BOTINA OP. BICO PVC Nº 43</v>
      </c>
      <c r="E3473" s="99" t="str">
        <f>_xlfn.XLOOKUP(B3473,ESTOQUE!B:B,ESTOQUE!G:G,"",0)</f>
        <v>PAR</v>
      </c>
      <c r="F3473" s="152">
        <v>1</v>
      </c>
    </row>
    <row r="3474" spans="1:6" x14ac:dyDescent="0.25">
      <c r="A3474" s="108">
        <v>46141</v>
      </c>
      <c r="B3474" s="128">
        <v>36</v>
      </c>
      <c r="C3474" s="108" t="s">
        <v>19</v>
      </c>
      <c r="D3474" s="110" t="str">
        <f>IF(ISBLANK($B3474),"",IFERROR(VLOOKUP($B3474,ESTOQUE!$B$2:$D$97168,3,FALSE),"Produto não cadastrado"))</f>
        <v>BOTINA OP. BICO PVC Nº 38</v>
      </c>
      <c r="E3474" s="99" t="str">
        <f>_xlfn.XLOOKUP(B3474,ESTOQUE!B:B,ESTOQUE!G:G,"",0)</f>
        <v>PAR</v>
      </c>
      <c r="F3474" s="152">
        <v>1</v>
      </c>
    </row>
    <row r="3475" spans="1:6" x14ac:dyDescent="0.25">
      <c r="A3475" s="108">
        <v>46141</v>
      </c>
      <c r="B3475" s="128">
        <v>216</v>
      </c>
      <c r="C3475" s="108" t="s">
        <v>19</v>
      </c>
      <c r="D3475" s="110" t="str">
        <f>IF(ISBLANK($B3475),"",IFERROR(VLOOKUP($B3475,ESTOQUE!$B$2:$D$97168,3,FALSE),"Produto não cadastrado"))</f>
        <v>BOTINA SEGURANÇA METATARSO  39</v>
      </c>
      <c r="E3475" s="99" t="str">
        <f>_xlfn.XLOOKUP(B3475,ESTOQUE!B:B,ESTOQUE!G:G,"",0)</f>
        <v>PAR</v>
      </c>
      <c r="F3475" s="152">
        <v>1</v>
      </c>
    </row>
    <row r="3476" spans="1:6" x14ac:dyDescent="0.25">
      <c r="A3476" s="108">
        <v>46141</v>
      </c>
      <c r="B3476" s="128">
        <v>217</v>
      </c>
      <c r="C3476" s="108" t="s">
        <v>19</v>
      </c>
      <c r="D3476" s="110" t="str">
        <f>IF(ISBLANK($B3476),"",IFERROR(VLOOKUP($B3476,ESTOQUE!$B$2:$D$97168,3,FALSE),"Produto não cadastrado"))</f>
        <v>BOTINA SEGURANÇA METATARSO  40</v>
      </c>
      <c r="E3476" s="99" t="str">
        <f>_xlfn.XLOOKUP(B3476,ESTOQUE!B:B,ESTOQUE!G:G,"",0)</f>
        <v>PAR</v>
      </c>
      <c r="F3476" s="152">
        <v>3</v>
      </c>
    </row>
    <row r="3477" spans="1:6" x14ac:dyDescent="0.25">
      <c r="A3477" s="108">
        <v>46141</v>
      </c>
      <c r="B3477" s="128">
        <v>218</v>
      </c>
      <c r="C3477" s="108" t="s">
        <v>19</v>
      </c>
      <c r="D3477" s="110" t="str">
        <f>IF(ISBLANK($B3477),"",IFERROR(VLOOKUP($B3477,ESTOQUE!$B$2:$D$97168,3,FALSE),"Produto não cadastrado"))</f>
        <v>BOTINA SEGURANÇA METATARSO  41</v>
      </c>
      <c r="E3477" s="99" t="str">
        <f>_xlfn.XLOOKUP(B3477,ESTOQUE!B:B,ESTOQUE!G:G,"",0)</f>
        <v>PAR</v>
      </c>
      <c r="F3477" s="152">
        <v>1</v>
      </c>
    </row>
    <row r="3478" spans="1:6" x14ac:dyDescent="0.25">
      <c r="A3478" s="108">
        <v>46141</v>
      </c>
      <c r="B3478" s="128">
        <v>219</v>
      </c>
      <c r="C3478" s="108" t="s">
        <v>19</v>
      </c>
      <c r="D3478" s="110" t="str">
        <f>IF(ISBLANK($B3478),"",IFERROR(VLOOKUP($B3478,ESTOQUE!$B$2:$D$97168,3,FALSE),"Produto não cadastrado"))</f>
        <v>BOTINA SEGURANÇA METATARSO  42</v>
      </c>
      <c r="E3478" s="99" t="str">
        <f>_xlfn.XLOOKUP(B3478,ESTOQUE!B:B,ESTOQUE!G:G,"",0)</f>
        <v>PAR</v>
      </c>
      <c r="F3478" s="152">
        <v>3</v>
      </c>
    </row>
    <row r="3479" spans="1:6" x14ac:dyDescent="0.25">
      <c r="A3479" s="108">
        <v>46141</v>
      </c>
      <c r="B3479" s="128">
        <v>46</v>
      </c>
      <c r="C3479" s="108" t="s">
        <v>19</v>
      </c>
      <c r="D3479" s="110" t="str">
        <f>IF(ISBLANK($B3479),"",IFERROR(VLOOKUP($B3479,ESTOQUE!$B$2:$D$97168,3,FALSE),"Produto não cadastrado"))</f>
        <v>CALÇA CINZA OP. C/ FAIXA REFLETIVA TAM: G</v>
      </c>
      <c r="E3479" s="99" t="str">
        <f>_xlfn.XLOOKUP(B3479,ESTOQUE!B:B,ESTOQUE!G:G,"",0)</f>
        <v>UND</v>
      </c>
      <c r="F3479" s="152">
        <v>9</v>
      </c>
    </row>
    <row r="3480" spans="1:6" x14ac:dyDescent="0.25">
      <c r="A3480" s="108">
        <v>46141</v>
      </c>
      <c r="B3480" s="128">
        <v>47</v>
      </c>
      <c r="C3480" s="108" t="s">
        <v>19</v>
      </c>
      <c r="D3480" s="110" t="str">
        <f>IF(ISBLANK($B3480),"",IFERROR(VLOOKUP($B3480,ESTOQUE!$B$2:$D$97168,3,FALSE),"Produto não cadastrado"))</f>
        <v>CALÇA CINZA OP. C/ FAIXA REFLETIVA TAM: GG</v>
      </c>
      <c r="E3480" s="99" t="str">
        <f>_xlfn.XLOOKUP(B3480,ESTOQUE!B:B,ESTOQUE!G:G,"",0)</f>
        <v>UND</v>
      </c>
      <c r="F3480" s="152">
        <v>3</v>
      </c>
    </row>
    <row r="3481" spans="1:6" x14ac:dyDescent="0.25">
      <c r="A3481" s="108">
        <v>46141</v>
      </c>
      <c r="B3481" s="128">
        <v>49</v>
      </c>
      <c r="C3481" s="108" t="s">
        <v>19</v>
      </c>
      <c r="D3481" s="110" t="str">
        <f>IF(ISBLANK($B3481),"",IFERROR(VLOOKUP($B3481,ESTOQUE!$B$2:$D$97168,3,FALSE),"Produto não cadastrado"))</f>
        <v>CALÇA CINZA OP. C/ FAIXA REFLETIVA TAM: P</v>
      </c>
      <c r="E3481" s="99" t="str">
        <f>_xlfn.XLOOKUP(B3481,ESTOQUE!B:B,ESTOQUE!G:G,"",0)</f>
        <v>UND</v>
      </c>
      <c r="F3481" s="152">
        <v>8</v>
      </c>
    </row>
    <row r="3482" spans="1:6" x14ac:dyDescent="0.25">
      <c r="A3482" s="108">
        <v>46141</v>
      </c>
      <c r="B3482" s="128">
        <v>52</v>
      </c>
      <c r="C3482" s="108" t="s">
        <v>19</v>
      </c>
      <c r="D3482" s="110" t="str">
        <f>IF(ISBLANK($B3482),"",IFERROR(VLOOKUP($B3482,ESTOQUE!$B$2:$D$97168,3,FALSE),"Produto não cadastrado"))</f>
        <v>CALÇA DE ELETRICISTA NR.10 TAM: GG</v>
      </c>
      <c r="E3482" s="99" t="str">
        <f>_xlfn.XLOOKUP(B3482,ESTOQUE!B:B,ESTOQUE!G:G,"",0)</f>
        <v>UND</v>
      </c>
      <c r="F3482" s="152">
        <v>1</v>
      </c>
    </row>
    <row r="3483" spans="1:6" x14ac:dyDescent="0.25">
      <c r="A3483" s="108">
        <v>46141</v>
      </c>
      <c r="B3483" s="128">
        <v>68</v>
      </c>
      <c r="C3483" s="108" t="s">
        <v>19</v>
      </c>
      <c r="D3483" s="110" t="str">
        <f>IF(ISBLANK($B3483),"",IFERROR(VLOOKUP($B3483,ESTOQUE!$B$2:$D$97168,3,FALSE),"Produto não cadastrado"))</f>
        <v>CAMISA LARANJA OP. C/ FAIXA REFLETIVA TAM: GG</v>
      </c>
      <c r="E3483" s="99" t="str">
        <f>_xlfn.XLOOKUP(B3483,ESTOQUE!B:B,ESTOQUE!G:G,"",0)</f>
        <v>UND</v>
      </c>
      <c r="F3483" s="152">
        <v>3</v>
      </c>
    </row>
    <row r="3484" spans="1:6" x14ac:dyDescent="0.25">
      <c r="A3484" s="108">
        <v>46141</v>
      </c>
      <c r="B3484" s="128">
        <v>69</v>
      </c>
      <c r="C3484" s="108" t="s">
        <v>19</v>
      </c>
      <c r="D3484" s="110" t="str">
        <f>IF(ISBLANK($B3484),"",IFERROR(VLOOKUP($B3484,ESTOQUE!$B$2:$D$97168,3,FALSE),"Produto não cadastrado"))</f>
        <v>CAMISA LARANJA OP. C/ FAIXA REFLETIVA TAM: M</v>
      </c>
      <c r="E3484" s="99" t="str">
        <f>_xlfn.XLOOKUP(B3484,ESTOQUE!B:B,ESTOQUE!G:G,"",0)</f>
        <v>UND</v>
      </c>
      <c r="F3484" s="152">
        <v>6</v>
      </c>
    </row>
    <row r="3485" spans="1:6" x14ac:dyDescent="0.25">
      <c r="A3485" s="108">
        <v>46141</v>
      </c>
      <c r="B3485" s="128">
        <v>70</v>
      </c>
      <c r="C3485" s="108" t="s">
        <v>19</v>
      </c>
      <c r="D3485" s="110" t="str">
        <f>IF(ISBLANK($B3485),"",IFERROR(VLOOKUP($B3485,ESTOQUE!$B$2:$D$97168,3,FALSE),"Produto não cadastrado"))</f>
        <v>CAMISA LARANJA OP. C/ FAIXA REFLETIVA TAM: P</v>
      </c>
      <c r="E3485" s="99" t="str">
        <f>_xlfn.XLOOKUP(B3485,ESTOQUE!B:B,ESTOQUE!G:G,"",0)</f>
        <v>UND</v>
      </c>
      <c r="F3485" s="152">
        <v>5</v>
      </c>
    </row>
    <row r="3486" spans="1:6" x14ac:dyDescent="0.25">
      <c r="A3486" s="108">
        <v>46141</v>
      </c>
      <c r="B3486" s="128">
        <v>71</v>
      </c>
      <c r="C3486" s="108" t="s">
        <v>19</v>
      </c>
      <c r="D3486" s="110" t="str">
        <f>IF(ISBLANK($B3486),"",IFERROR(VLOOKUP($B3486,ESTOQUE!$B$2:$D$97168,3,FALSE),"Produto não cadastrado"))</f>
        <v>CAMISA LARANJA OP. C/ FAIXA REFLETIVA TAM: XG</v>
      </c>
      <c r="E3486" s="99" t="str">
        <f>_xlfn.XLOOKUP(B3486,ESTOQUE!B:B,ESTOQUE!G:G,"",0)</f>
        <v>UND</v>
      </c>
      <c r="F3486" s="152">
        <v>2</v>
      </c>
    </row>
    <row r="3487" spans="1:6" x14ac:dyDescent="0.25">
      <c r="A3487" s="108">
        <v>46141</v>
      </c>
      <c r="B3487" s="128">
        <v>84</v>
      </c>
      <c r="C3487" s="108" t="s">
        <v>19</v>
      </c>
      <c r="D3487" s="110" t="str">
        <f>IF(ISBLANK($B3487),"",IFERROR(VLOOKUP($B3487,ESTOQUE!$B$2:$D$97168,3,FALSE),"Produto não cadastrado"))</f>
        <v>CAPACETE LIBUS MARROM</v>
      </c>
      <c r="E3487" s="99" t="str">
        <f>_xlfn.XLOOKUP(B3487,ESTOQUE!B:B,ESTOQUE!G:G,"",0)</f>
        <v>UND</v>
      </c>
      <c r="F3487" s="152">
        <v>1</v>
      </c>
    </row>
    <row r="3488" spans="1:6" x14ac:dyDescent="0.25">
      <c r="A3488" s="108">
        <v>46141</v>
      </c>
      <c r="B3488" s="128">
        <v>95</v>
      </c>
      <c r="C3488" s="108" t="s">
        <v>19</v>
      </c>
      <c r="D3488" s="110" t="str">
        <f>IF(ISBLANK($B3488),"",IFERROR(VLOOKUP($B3488,ESTOQUE!$B$2:$D$97168,3,FALSE),"Produto não cadastrado"))</f>
        <v>CARNEIRA P/ CAPACETE LIBUS</v>
      </c>
      <c r="E3488" s="99" t="str">
        <f>_xlfn.XLOOKUP(B3488,ESTOQUE!B:B,ESTOQUE!G:G,"",0)</f>
        <v>UND</v>
      </c>
      <c r="F3488" s="152">
        <v>1</v>
      </c>
    </row>
    <row r="3489" spans="1:6" x14ac:dyDescent="0.25">
      <c r="A3489" s="108">
        <v>46141</v>
      </c>
      <c r="B3489" s="128">
        <v>186</v>
      </c>
      <c r="C3489" s="108" t="s">
        <v>19</v>
      </c>
      <c r="D3489" s="110" t="str">
        <f>IF(ISBLANK($B3489),"",IFERROR(VLOOKUP($B3489,ESTOQUE!$B$2:$D$97168,3,FALSE),"Produto não cadastrado"))</f>
        <v>COLETE REFLETIVO LARANJA GG</v>
      </c>
      <c r="E3489" s="99" t="str">
        <f>_xlfn.XLOOKUP(B3489,ESTOQUE!B:B,ESTOQUE!G:G,"",0)</f>
        <v>UND</v>
      </c>
      <c r="F3489" s="152">
        <v>2</v>
      </c>
    </row>
    <row r="3490" spans="1:6" x14ac:dyDescent="0.25">
      <c r="A3490" s="108">
        <v>46141</v>
      </c>
      <c r="B3490" s="153">
        <v>161</v>
      </c>
      <c r="C3490" s="108" t="s">
        <v>19</v>
      </c>
      <c r="D3490" s="110" t="str">
        <f>IF(ISBLANK($B3490),"",IFERROR(VLOOKUP($B3490,ESTOQUE!$B$2:$D$97168,3,FALSE),"Produto não cadastrado"))</f>
        <v>JUGULAR</v>
      </c>
      <c r="E3490" s="99" t="str">
        <f>_xlfn.XLOOKUP(B3490,ESTOQUE!B:B,ESTOQUE!G:G,"",0)</f>
        <v>UND</v>
      </c>
      <c r="F3490" s="152">
        <v>1</v>
      </c>
    </row>
    <row r="3491" spans="1:6" x14ac:dyDescent="0.25">
      <c r="A3491" s="108">
        <v>46141</v>
      </c>
      <c r="B3491" s="153">
        <v>110</v>
      </c>
      <c r="C3491" s="108" t="s">
        <v>19</v>
      </c>
      <c r="D3491" s="110" t="str">
        <f>IF(ISBLANK($B3491),"",IFERROR(VLOOKUP($B3491,ESTOQUE!$B$2:$D$97168,3,FALSE),"Produto não cadastrado"))</f>
        <v>LUVA DE RASPA CANO LONGO</v>
      </c>
      <c r="E3491" s="99" t="str">
        <f>_xlfn.XLOOKUP(B3491,ESTOQUE!B:B,ESTOQUE!G:G,"",0)</f>
        <v>PAR</v>
      </c>
      <c r="F3491" s="152">
        <v>2</v>
      </c>
    </row>
    <row r="3492" spans="1:6" x14ac:dyDescent="0.25">
      <c r="A3492" s="108">
        <v>46141</v>
      </c>
      <c r="B3492" s="153">
        <v>114</v>
      </c>
      <c r="C3492" s="108" t="s">
        <v>19</v>
      </c>
      <c r="D3492" s="110" t="str">
        <f>IF(ISBLANK($B3492),"",IFERROR(VLOOKUP($B3492,ESTOQUE!$B$2:$D$97168,3,FALSE),"Produto não cadastrado"))</f>
        <v xml:space="preserve">LUVA LATEX NITRILICA </v>
      </c>
      <c r="E3492" s="99" t="str">
        <f>_xlfn.XLOOKUP(B3492,ESTOQUE!B:B,ESTOQUE!G:G,"",0)</f>
        <v>PAR</v>
      </c>
      <c r="F3492" s="152">
        <v>86</v>
      </c>
    </row>
    <row r="3493" spans="1:6" x14ac:dyDescent="0.25">
      <c r="A3493" s="108">
        <v>46141</v>
      </c>
      <c r="B3493" s="153">
        <v>117</v>
      </c>
      <c r="C3493" s="108" t="s">
        <v>19</v>
      </c>
      <c r="D3493" s="110" t="str">
        <f>IF(ISBLANK($B3493),"",IFERROR(VLOOKUP($B3493,ESTOQUE!$B$2:$D$97168,3,FALSE),"Produto não cadastrado"))</f>
        <v>LUVA PIGMENTADA</v>
      </c>
      <c r="E3493" s="99" t="str">
        <f>_xlfn.XLOOKUP(B3493,ESTOQUE!B:B,ESTOQUE!G:G,"",0)</f>
        <v>PAR</v>
      </c>
      <c r="F3493" s="152">
        <v>50</v>
      </c>
    </row>
    <row r="3494" spans="1:6" x14ac:dyDescent="0.25">
      <c r="A3494" s="108">
        <v>46141</v>
      </c>
      <c r="B3494" s="153">
        <v>267</v>
      </c>
      <c r="C3494" s="108" t="s">
        <v>19</v>
      </c>
      <c r="D3494" s="110" t="str">
        <f>IF(ISBLANK($B3494),"",IFERROR(VLOOKUP($B3494,ESTOQUE!$B$2:$D$97168,3,FALSE),"Produto não cadastrado"))</f>
        <v>LUVA POLIESTER ANTICORTE CANO LONGO</v>
      </c>
      <c r="E3494" s="99" t="str">
        <f>_xlfn.XLOOKUP(B3494,ESTOQUE!B:B,ESTOQUE!G:G,"",0)</f>
        <v>UND</v>
      </c>
      <c r="F3494" s="152">
        <v>4</v>
      </c>
    </row>
    <row r="3495" spans="1:6" x14ac:dyDescent="0.25">
      <c r="A3495" s="108">
        <v>46141</v>
      </c>
      <c r="B3495" s="153">
        <v>144</v>
      </c>
      <c r="C3495" s="108" t="s">
        <v>19</v>
      </c>
      <c r="D3495" s="110" t="str">
        <f>IF(ISBLANK($B3495),"",IFERROR(VLOOKUP($B3495,ESTOQUE!$B$2:$D$97168,3,FALSE),"Produto não cadastrado"))</f>
        <v>MASCARA PFF2-S C/ FILTRO</v>
      </c>
      <c r="E3495" s="99" t="str">
        <f>_xlfn.XLOOKUP(B3495,ESTOQUE!B:B,ESTOQUE!G:G,"",0)</f>
        <v>UND</v>
      </c>
      <c r="F3495" s="152">
        <v>6</v>
      </c>
    </row>
    <row r="3496" spans="1:6" x14ac:dyDescent="0.25">
      <c r="A3496" s="108">
        <v>46141</v>
      </c>
      <c r="B3496" s="153">
        <v>126</v>
      </c>
      <c r="C3496" s="108" t="s">
        <v>19</v>
      </c>
      <c r="D3496" s="110" t="str">
        <f>IF(ISBLANK($B3496),"",IFERROR(VLOOKUP($B3496,ESTOQUE!$B$2:$D$97168,3,FALSE),"Produto não cadastrado"))</f>
        <v>OCULOS DE PROTEÇÃO ESCURO</v>
      </c>
      <c r="E3496" s="99" t="str">
        <f>_xlfn.XLOOKUP(B3496,ESTOQUE!B:B,ESTOQUE!G:G,"",0)</f>
        <v>UND</v>
      </c>
      <c r="F3496" s="152">
        <v>127</v>
      </c>
    </row>
    <row r="3497" spans="1:6" x14ac:dyDescent="0.25">
      <c r="A3497" s="108">
        <v>46141</v>
      </c>
      <c r="B3497" s="153">
        <v>224</v>
      </c>
      <c r="C3497" s="108" t="s">
        <v>19</v>
      </c>
      <c r="D3497" s="110" t="str">
        <f>IF(ISBLANK($B3497),"",IFERROR(VLOOKUP($B3497,ESTOQUE!$B$2:$D$97168,3,FALSE),"Produto não cadastrado"))</f>
        <v>OCULOS OPERACIONAL SOBRE POR ESCURO</v>
      </c>
      <c r="E3497" s="99" t="str">
        <f>_xlfn.XLOOKUP(B3497,ESTOQUE!B:B,ESTOQUE!G:G,"",0)</f>
        <v>UND</v>
      </c>
      <c r="F3497" s="152">
        <v>3</v>
      </c>
    </row>
    <row r="3498" spans="1:6" x14ac:dyDescent="0.25">
      <c r="A3498" s="108">
        <v>46141</v>
      </c>
      <c r="B3498" s="153">
        <v>211</v>
      </c>
      <c r="C3498" s="108" t="s">
        <v>19</v>
      </c>
      <c r="D3498" s="110" t="str">
        <f>IF(ISBLANK($B3498),"",IFERROR(VLOOKUP($B3498,ESTOQUE!$B$2:$D$97168,3,FALSE),"Produto não cadastrado"))</f>
        <v>RESPIRADOR SEMIFACIAL T 9500</v>
      </c>
      <c r="E3498" s="99" t="str">
        <f>_xlfn.XLOOKUP(B3498,ESTOQUE!B:B,ESTOQUE!G:G,"",0)</f>
        <v>UND</v>
      </c>
      <c r="F3498" s="152">
        <v>2</v>
      </c>
    </row>
    <row r="3499" spans="1:6" x14ac:dyDescent="0.25">
      <c r="A3499" s="108">
        <v>46141</v>
      </c>
      <c r="B3499" s="153">
        <v>139</v>
      </c>
      <c r="C3499" s="108" t="s">
        <v>19</v>
      </c>
      <c r="D3499" s="110" t="str">
        <f>IF(ISBLANK($B3499),"",IFERROR(VLOOKUP($B3499,ESTOQUE!$B$2:$D$97168,3,FALSE),"Produto não cadastrado"))</f>
        <v>PROTETOR AURICULAR TIPO PLUG</v>
      </c>
      <c r="E3499" s="99" t="str">
        <f>_xlfn.XLOOKUP(B3499,ESTOQUE!B:B,ESTOQUE!G:G,"",0)</f>
        <v>UND</v>
      </c>
      <c r="F3499" s="152">
        <v>1</v>
      </c>
    </row>
    <row r="3500" spans="1:6" x14ac:dyDescent="0.25">
      <c r="A3500" s="108">
        <v>46141</v>
      </c>
      <c r="B3500" s="153">
        <v>119</v>
      </c>
      <c r="C3500" s="108" t="s">
        <v>19</v>
      </c>
      <c r="D3500" s="110" t="str">
        <f>IF(ISBLANK($B3500),"",IFERROR(VLOOKUP($B3500,ESTOQUE!$B$2:$D$97168,3,FALSE),"Produto não cadastrado"))</f>
        <v>SUPORTE P/ ACOPLAR PROTETOR FACIAL PRETO</v>
      </c>
      <c r="E3500" s="99" t="str">
        <f>_xlfn.XLOOKUP(B3500,ESTOQUE!B:B,ESTOQUE!G:G,"",0)</f>
        <v>UND</v>
      </c>
      <c r="F3500" s="152">
        <v>1</v>
      </c>
    </row>
    <row r="3501" spans="1:6" x14ac:dyDescent="0.25">
      <c r="A3501" s="108">
        <v>46141</v>
      </c>
      <c r="B3501" s="153">
        <v>136</v>
      </c>
      <c r="C3501" s="108" t="s">
        <v>19</v>
      </c>
      <c r="D3501" s="110" t="str">
        <f>IF(ISBLANK($B3501),"",IFERROR(VLOOKUP($B3501,ESTOQUE!$B$2:$D$97168,3,FALSE),"Produto não cadastrado"))</f>
        <v>TAYCO CARTUCHO P/ GASES TGV-500 - MASCARA</v>
      </c>
      <c r="E3501" s="99" t="str">
        <f>_xlfn.XLOOKUP(B3501,ESTOQUE!B:B,ESTOQUE!G:G,"",0)</f>
        <v>UND</v>
      </c>
      <c r="F3501" s="152">
        <v>1</v>
      </c>
    </row>
    <row r="3502" spans="1:6" x14ac:dyDescent="0.25">
      <c r="A3502" s="108">
        <v>46142</v>
      </c>
      <c r="B3502" s="153">
        <v>128</v>
      </c>
      <c r="C3502" s="108" t="s">
        <v>19</v>
      </c>
      <c r="D3502" s="110" t="str">
        <f>IF(ISBLANK($B3502),"",IFERROR(VLOOKUP($B3502,ESTOQUE!$B$2:$D$97168,3,FALSE),"Produto não cadastrado"))</f>
        <v>PERNEIRA PVC C/ VELCRO</v>
      </c>
      <c r="E3502" s="99" t="str">
        <f>_xlfn.XLOOKUP(B3502,ESTOQUE!B:B,ESTOQUE!G:G,"",0)</f>
        <v>PAR</v>
      </c>
      <c r="F3502" s="152">
        <v>2</v>
      </c>
    </row>
    <row r="3503" spans="1:6" x14ac:dyDescent="0.25">
      <c r="A3503" s="108">
        <v>46142</v>
      </c>
      <c r="B3503" s="153">
        <v>228</v>
      </c>
      <c r="C3503" s="108" t="s">
        <v>19</v>
      </c>
      <c r="D3503" s="110" t="str">
        <f>IF(ISBLANK($B3503),"",IFERROR(VLOOKUP($B3503,ESTOQUE!$B$2:$D$97168,3,FALSE),"Produto não cadastrado"))</f>
        <v xml:space="preserve">BALACLAVA  </v>
      </c>
      <c r="E3503" s="99" t="str">
        <f>_xlfn.XLOOKUP(B3503,ESTOQUE!B:B,ESTOQUE!G:G,"",0)</f>
        <v>UND</v>
      </c>
      <c r="F3503" s="152">
        <v>7</v>
      </c>
    </row>
    <row r="3504" spans="1:6" x14ac:dyDescent="0.25">
      <c r="A3504" s="108">
        <v>46142</v>
      </c>
      <c r="B3504" s="153">
        <v>217</v>
      </c>
      <c r="C3504" s="108" t="s">
        <v>19</v>
      </c>
      <c r="D3504" s="110" t="str">
        <f>IF(ISBLANK($B3504),"",IFERROR(VLOOKUP($B3504,ESTOQUE!$B$2:$D$97168,3,FALSE),"Produto não cadastrado"))</f>
        <v>BOTINA SEGURANÇA METATARSO  40</v>
      </c>
      <c r="E3504" s="99" t="str">
        <f>_xlfn.XLOOKUP(B3504,ESTOQUE!B:B,ESTOQUE!G:G,"",0)</f>
        <v>PAR</v>
      </c>
      <c r="F3504" s="152">
        <v>4</v>
      </c>
    </row>
    <row r="3505" spans="1:6" x14ac:dyDescent="0.25">
      <c r="A3505" s="108">
        <v>46142</v>
      </c>
      <c r="B3505" s="153">
        <v>218</v>
      </c>
      <c r="C3505" s="108" t="s">
        <v>19</v>
      </c>
      <c r="D3505" s="110" t="str">
        <f>IF(ISBLANK($B3505),"",IFERROR(VLOOKUP($B3505,ESTOQUE!$B$2:$D$97168,3,FALSE),"Produto não cadastrado"))</f>
        <v>BOTINA SEGURANÇA METATARSO  41</v>
      </c>
      <c r="E3505" s="99" t="str">
        <f>_xlfn.XLOOKUP(B3505,ESTOQUE!B:B,ESTOQUE!G:G,"",0)</f>
        <v>PAR</v>
      </c>
      <c r="F3505" s="152">
        <v>2</v>
      </c>
    </row>
    <row r="3506" spans="1:6" x14ac:dyDescent="0.25">
      <c r="A3506" s="108">
        <v>46142</v>
      </c>
      <c r="B3506" s="153">
        <v>219</v>
      </c>
      <c r="C3506" s="108" t="s">
        <v>19</v>
      </c>
      <c r="D3506" s="110" t="str">
        <f>IF(ISBLANK($B3506),"",IFERROR(VLOOKUP($B3506,ESTOQUE!$B$2:$D$97168,3,FALSE),"Produto não cadastrado"))</f>
        <v>BOTINA SEGURANÇA METATARSO  42</v>
      </c>
      <c r="E3506" s="99" t="str">
        <f>_xlfn.XLOOKUP(B3506,ESTOQUE!B:B,ESTOQUE!G:G,"",0)</f>
        <v>PAR</v>
      </c>
      <c r="F3506" s="152">
        <v>2</v>
      </c>
    </row>
    <row r="3507" spans="1:6" x14ac:dyDescent="0.25">
      <c r="A3507" s="108">
        <v>46142</v>
      </c>
      <c r="B3507" s="153">
        <v>41</v>
      </c>
      <c r="C3507" s="108" t="s">
        <v>19</v>
      </c>
      <c r="D3507" s="110" t="str">
        <f>IF(ISBLANK($B3507),"",IFERROR(VLOOKUP($B3507,ESTOQUE!$B$2:$D$97168,3,FALSE),"Produto não cadastrado"))</f>
        <v>BOTINA OP. BICO PVC Nº 43</v>
      </c>
      <c r="E3507" s="99" t="str">
        <f>_xlfn.XLOOKUP(B3507,ESTOQUE!B:B,ESTOQUE!G:G,"",0)</f>
        <v>PAR</v>
      </c>
      <c r="F3507" s="152">
        <v>1</v>
      </c>
    </row>
    <row r="3508" spans="1:6" x14ac:dyDescent="0.25">
      <c r="A3508" s="108">
        <v>46142</v>
      </c>
      <c r="B3508" s="153">
        <v>46</v>
      </c>
      <c r="C3508" s="108" t="s">
        <v>19</v>
      </c>
      <c r="D3508" s="110" t="str">
        <f>IF(ISBLANK($B3508),"",IFERROR(VLOOKUP($B3508,ESTOQUE!$B$2:$D$97168,3,FALSE),"Produto não cadastrado"))</f>
        <v>CALÇA CINZA OP. C/ FAIXA REFLETIVA TAM: G</v>
      </c>
      <c r="E3508" s="99" t="str">
        <f>_xlfn.XLOOKUP(B3508,ESTOQUE!B:B,ESTOQUE!G:G,"",0)</f>
        <v>UND</v>
      </c>
      <c r="F3508" s="152">
        <v>4</v>
      </c>
    </row>
    <row r="3509" spans="1:6" x14ac:dyDescent="0.25">
      <c r="A3509" s="108">
        <v>46142</v>
      </c>
      <c r="B3509" s="153">
        <v>48</v>
      </c>
      <c r="C3509" s="108" t="s">
        <v>19</v>
      </c>
      <c r="D3509" s="110" t="str">
        <f>IF(ISBLANK($B3509),"",IFERROR(VLOOKUP($B3509,ESTOQUE!$B$2:$D$97168,3,FALSE),"Produto não cadastrado"))</f>
        <v>CALÇA CINZA OP. C/ FAIXA REFLETIVA TAM: M</v>
      </c>
      <c r="E3509" s="99" t="str">
        <f>_xlfn.XLOOKUP(B3509,ESTOQUE!B:B,ESTOQUE!G:G,"",0)</f>
        <v>UND</v>
      </c>
      <c r="F3509" s="152">
        <v>8</v>
      </c>
    </row>
    <row r="3510" spans="1:6" x14ac:dyDescent="0.25">
      <c r="A3510" s="108">
        <v>46142</v>
      </c>
      <c r="B3510" s="153">
        <v>49</v>
      </c>
      <c r="C3510" s="108" t="s">
        <v>19</v>
      </c>
      <c r="D3510" s="110" t="str">
        <f>IF(ISBLANK($B3510),"",IFERROR(VLOOKUP($B3510,ESTOQUE!$B$2:$D$97168,3,FALSE),"Produto não cadastrado"))</f>
        <v>CALÇA CINZA OP. C/ FAIXA REFLETIVA TAM: P</v>
      </c>
      <c r="E3510" s="99" t="str">
        <f>_xlfn.XLOOKUP(B3510,ESTOQUE!B:B,ESTOQUE!G:G,"",0)</f>
        <v>UND</v>
      </c>
      <c r="F3510" s="152">
        <v>4</v>
      </c>
    </row>
    <row r="3511" spans="1:6" x14ac:dyDescent="0.25">
      <c r="A3511" s="108">
        <v>46142</v>
      </c>
      <c r="B3511" s="153">
        <v>67</v>
      </c>
      <c r="C3511" s="108" t="s">
        <v>19</v>
      </c>
      <c r="D3511" s="110" t="str">
        <f>IF(ISBLANK($B3511),"",IFERROR(VLOOKUP($B3511,ESTOQUE!$B$2:$D$97168,3,FALSE),"Produto não cadastrado"))</f>
        <v>CAMISA LARANJA OP. C/ FAIXA REFLETIVA TAM: G</v>
      </c>
      <c r="E3511" s="99" t="str">
        <f>_xlfn.XLOOKUP(B3511,ESTOQUE!B:B,ESTOQUE!G:G,"",0)</f>
        <v>UND</v>
      </c>
      <c r="F3511" s="152">
        <v>3</v>
      </c>
    </row>
    <row r="3512" spans="1:6" x14ac:dyDescent="0.25">
      <c r="A3512" s="108">
        <v>46142</v>
      </c>
      <c r="B3512" s="153">
        <v>69</v>
      </c>
      <c r="C3512" s="108" t="s">
        <v>19</v>
      </c>
      <c r="D3512" s="110" t="str">
        <f>IF(ISBLANK($B3512),"",IFERROR(VLOOKUP($B3512,ESTOQUE!$B$2:$D$97168,3,FALSE),"Produto não cadastrado"))</f>
        <v>CAMISA LARANJA OP. C/ FAIXA REFLETIVA TAM: M</v>
      </c>
      <c r="E3512" s="99" t="str">
        <f>_xlfn.XLOOKUP(B3512,ESTOQUE!B:B,ESTOQUE!G:G,"",0)</f>
        <v>UND</v>
      </c>
      <c r="F3512" s="152">
        <v>7</v>
      </c>
    </row>
    <row r="3513" spans="1:6" x14ac:dyDescent="0.25">
      <c r="A3513" s="108">
        <v>46142</v>
      </c>
      <c r="B3513" s="153">
        <v>70</v>
      </c>
      <c r="C3513" s="108" t="s">
        <v>19</v>
      </c>
      <c r="D3513" s="110" t="str">
        <f>IF(ISBLANK($B3513),"",IFERROR(VLOOKUP($B3513,ESTOQUE!$B$2:$D$97168,3,FALSE),"Produto não cadastrado"))</f>
        <v>CAMISA LARANJA OP. C/ FAIXA REFLETIVA TAM: P</v>
      </c>
      <c r="E3513" s="99" t="str">
        <f>_xlfn.XLOOKUP(B3513,ESTOQUE!B:B,ESTOQUE!G:G,"",0)</f>
        <v>UND</v>
      </c>
      <c r="F3513" s="152">
        <v>3</v>
      </c>
    </row>
    <row r="3514" spans="1:6" x14ac:dyDescent="0.25">
      <c r="A3514" s="108">
        <v>46142</v>
      </c>
      <c r="B3514" s="153">
        <v>110</v>
      </c>
      <c r="C3514" s="108" t="s">
        <v>19</v>
      </c>
      <c r="D3514" s="110" t="str">
        <f>IF(ISBLANK($B3514),"",IFERROR(VLOOKUP($B3514,ESTOQUE!$B$2:$D$97168,3,FALSE),"Produto não cadastrado"))</f>
        <v>LUVA DE RASPA CANO LONGO</v>
      </c>
      <c r="E3514" s="99" t="str">
        <f>_xlfn.XLOOKUP(B3514,ESTOQUE!B:B,ESTOQUE!G:G,"",0)</f>
        <v>PAR</v>
      </c>
      <c r="F3514" s="152">
        <v>1</v>
      </c>
    </row>
    <row r="3515" spans="1:6" x14ac:dyDescent="0.25">
      <c r="A3515" s="108">
        <v>46142</v>
      </c>
      <c r="B3515" s="153">
        <v>141</v>
      </c>
      <c r="C3515" s="108" t="s">
        <v>19</v>
      </c>
      <c r="D3515" s="110" t="str">
        <f>IF(ISBLANK($B3515),"",IFERROR(VLOOKUP($B3515,ESTOQUE!$B$2:$D$97168,3,FALSE),"Produto não cadastrado"))</f>
        <v xml:space="preserve">LUVA DE VAQUETA </v>
      </c>
      <c r="E3515" s="99" t="str">
        <f>_xlfn.XLOOKUP(B3515,ESTOQUE!B:B,ESTOQUE!G:G,"",0)</f>
        <v>PAR</v>
      </c>
      <c r="F3515" s="152">
        <v>1</v>
      </c>
    </row>
    <row r="3516" spans="1:6" x14ac:dyDescent="0.25">
      <c r="A3516" s="108">
        <v>46142</v>
      </c>
      <c r="B3516" s="153">
        <v>114</v>
      </c>
      <c r="C3516" s="108" t="s">
        <v>19</v>
      </c>
      <c r="D3516" s="110" t="str">
        <f>IF(ISBLANK($B3516),"",IFERROR(VLOOKUP($B3516,ESTOQUE!$B$2:$D$97168,3,FALSE),"Produto não cadastrado"))</f>
        <v xml:space="preserve">LUVA LATEX NITRILICA </v>
      </c>
      <c r="E3516" s="99" t="str">
        <f>_xlfn.XLOOKUP(B3516,ESTOQUE!B:B,ESTOQUE!G:G,"",0)</f>
        <v>PAR</v>
      </c>
      <c r="F3516" s="152">
        <v>1</v>
      </c>
    </row>
    <row r="3517" spans="1:6" x14ac:dyDescent="0.25">
      <c r="A3517" s="108">
        <v>46142</v>
      </c>
      <c r="B3517" s="153">
        <v>117</v>
      </c>
      <c r="C3517" s="108" t="s">
        <v>19</v>
      </c>
      <c r="D3517" s="110" t="str">
        <f>IF(ISBLANK($B3517),"",IFERROR(VLOOKUP($B3517,ESTOQUE!$B$2:$D$97168,3,FALSE),"Produto não cadastrado"))</f>
        <v>LUVA PIGMENTADA</v>
      </c>
      <c r="E3517" s="99" t="str">
        <f>_xlfn.XLOOKUP(B3517,ESTOQUE!B:B,ESTOQUE!G:G,"",0)</f>
        <v>PAR</v>
      </c>
      <c r="F3517" s="152">
        <v>1</v>
      </c>
    </row>
    <row r="3518" spans="1:6" x14ac:dyDescent="0.25">
      <c r="A3518" s="108">
        <v>46142</v>
      </c>
      <c r="B3518" s="153">
        <v>267</v>
      </c>
      <c r="C3518" s="108" t="s">
        <v>19</v>
      </c>
      <c r="D3518" s="110" t="str">
        <f>IF(ISBLANK($B3518),"",IFERROR(VLOOKUP($B3518,ESTOQUE!$B$2:$D$97168,3,FALSE),"Produto não cadastrado"))</f>
        <v>LUVA POLIESTER ANTICORTE CANO LONGO</v>
      </c>
      <c r="E3518" s="99" t="str">
        <f>_xlfn.XLOOKUP(B3518,ESTOQUE!B:B,ESTOQUE!G:G,"",0)</f>
        <v>UND</v>
      </c>
      <c r="F3518" s="152">
        <v>1</v>
      </c>
    </row>
    <row r="3519" spans="1:6" x14ac:dyDescent="0.25">
      <c r="A3519" s="108">
        <v>46142</v>
      </c>
      <c r="B3519" s="153">
        <v>257</v>
      </c>
      <c r="C3519" s="108" t="s">
        <v>19</v>
      </c>
      <c r="D3519" s="110" t="str">
        <f>IF(ISBLANK($B3519),"",IFERROR(VLOOKUP($B3519,ESTOQUE!$B$2:$D$97168,3,FALSE),"Produto não cadastrado"))</f>
        <v xml:space="preserve">LUVA MULTITATO </v>
      </c>
      <c r="E3519" s="99" t="str">
        <f>_xlfn.XLOOKUP(B3519,ESTOQUE!B:B,ESTOQUE!G:G,"",0)</f>
        <v>UND</v>
      </c>
      <c r="F3519" s="152">
        <v>1</v>
      </c>
    </row>
    <row r="3520" spans="1:6" x14ac:dyDescent="0.25">
      <c r="A3520" s="108">
        <v>46142</v>
      </c>
      <c r="B3520" s="153">
        <v>118</v>
      </c>
      <c r="C3520" s="108" t="s">
        <v>19</v>
      </c>
      <c r="D3520" s="110" t="str">
        <f>IF(ISBLANK($B3520),"",IFERROR(VLOOKUP($B3520,ESTOQUE!$B$2:$D$97168,3,FALSE),"Produto não cadastrado"))</f>
        <v>MACACÃO DE PROTEÇÃO TYVEK</v>
      </c>
      <c r="E3520" s="99" t="str">
        <f>_xlfn.XLOOKUP(B3520,ESTOQUE!B:B,ESTOQUE!G:G,"",0)</f>
        <v>UND</v>
      </c>
      <c r="F3520" s="152">
        <v>77</v>
      </c>
    </row>
    <row r="3521" spans="1:6" x14ac:dyDescent="0.25">
      <c r="A3521" s="108">
        <v>46142</v>
      </c>
      <c r="B3521" s="153">
        <v>144</v>
      </c>
      <c r="C3521" s="108" t="s">
        <v>19</v>
      </c>
      <c r="D3521" s="110" t="str">
        <f>IF(ISBLANK($B3521),"",IFERROR(VLOOKUP($B3521,ESTOQUE!$B$2:$D$97168,3,FALSE),"Produto não cadastrado"))</f>
        <v>MASCARA PFF2-S C/ FILTRO</v>
      </c>
      <c r="E3521" s="99" t="str">
        <f>_xlfn.XLOOKUP(B3521,ESTOQUE!B:B,ESTOQUE!G:G,"",0)</f>
        <v>UND</v>
      </c>
      <c r="F3521" s="152">
        <v>9</v>
      </c>
    </row>
    <row r="3522" spans="1:6" x14ac:dyDescent="0.25">
      <c r="A3522" s="108">
        <v>46142</v>
      </c>
      <c r="B3522" s="153">
        <v>126</v>
      </c>
      <c r="C3522" s="108" t="s">
        <v>19</v>
      </c>
      <c r="D3522" s="110" t="str">
        <f>IF(ISBLANK($B3522),"",IFERROR(VLOOKUP($B3522,ESTOQUE!$B$2:$D$97168,3,FALSE),"Produto não cadastrado"))</f>
        <v>OCULOS DE PROTEÇÃO ESCURO</v>
      </c>
      <c r="E3522" s="99" t="str">
        <f>_xlfn.XLOOKUP(B3522,ESTOQUE!B:B,ESTOQUE!G:G,"",0)</f>
        <v>UND</v>
      </c>
      <c r="F3522" s="152">
        <v>3</v>
      </c>
    </row>
    <row r="3523" spans="1:6" x14ac:dyDescent="0.25">
      <c r="A3523" s="108">
        <v>46142</v>
      </c>
      <c r="B3523" s="153">
        <v>130</v>
      </c>
      <c r="C3523" s="108" t="s">
        <v>19</v>
      </c>
      <c r="D3523" s="110" t="str">
        <f>IF(ISBLANK($B3523),"",IFERROR(VLOOKUP($B3523,ESTOQUE!$B$2:$D$97168,3,FALSE),"Produto não cadastrado"))</f>
        <v>PROTETOR AUDITIVO TIPO CONCHA L-300</v>
      </c>
      <c r="E3523" s="99" t="str">
        <f>_xlfn.XLOOKUP(B3523,ESTOQUE!B:B,ESTOQUE!G:G,"",0)</f>
        <v>UND</v>
      </c>
      <c r="F3523" s="152">
        <v>2</v>
      </c>
    </row>
    <row r="3524" spans="1:6" x14ac:dyDescent="0.25">
      <c r="A3524" s="108">
        <v>46142</v>
      </c>
      <c r="B3524" s="153">
        <v>139</v>
      </c>
      <c r="C3524" s="108" t="s">
        <v>19</v>
      </c>
      <c r="D3524" s="110" t="str">
        <f>IF(ISBLANK($B3524),"",IFERROR(VLOOKUP($B3524,ESTOQUE!$B$2:$D$97168,3,FALSE),"Produto não cadastrado"))</f>
        <v>PROTETOR AURICULAR TIPO PLUG</v>
      </c>
      <c r="E3524" s="99" t="str">
        <f>_xlfn.XLOOKUP(B3524,ESTOQUE!B:B,ESTOQUE!G:G,"",0)</f>
        <v>UND</v>
      </c>
      <c r="F3524" s="152">
        <v>1</v>
      </c>
    </row>
    <row r="3525" spans="1:6" x14ac:dyDescent="0.25">
      <c r="A3525" s="108">
        <v>46146</v>
      </c>
      <c r="B3525" s="153">
        <v>228</v>
      </c>
      <c r="C3525" s="108" t="s">
        <v>19</v>
      </c>
      <c r="D3525" s="110" t="str">
        <f>IF(ISBLANK($B3525),"",IFERROR(VLOOKUP($B3525,ESTOQUE!$B$2:$D$97168,3,FALSE),"Produto não cadastrado"))</f>
        <v xml:space="preserve">BALACLAVA  </v>
      </c>
      <c r="E3525" s="99" t="str">
        <f>_xlfn.XLOOKUP(B3525,ESTOQUE!B:B,ESTOQUE!G:G,"",0)</f>
        <v>UND</v>
      </c>
      <c r="F3525" s="152">
        <v>6</v>
      </c>
    </row>
    <row r="3526" spans="1:6" x14ac:dyDescent="0.25">
      <c r="A3526" s="108">
        <v>46146</v>
      </c>
      <c r="B3526" s="153">
        <v>6</v>
      </c>
      <c r="C3526" s="108" t="s">
        <v>19</v>
      </c>
      <c r="D3526" s="110" t="str">
        <f>IF(ISBLANK($B3526),"",IFERROR(VLOOKUP($B3526,ESTOQUE!$B$2:$D$97168,3,FALSE),"Produto não cadastrado"))</f>
        <v>BOTA PVC CANO LONGO Nº 38</v>
      </c>
      <c r="E3526" s="99" t="str">
        <f>_xlfn.XLOOKUP(B3526,ESTOQUE!B:B,ESTOQUE!G:G,"",0)</f>
        <v>PAR</v>
      </c>
      <c r="F3526" s="152">
        <v>1</v>
      </c>
    </row>
    <row r="3527" spans="1:6" x14ac:dyDescent="0.25">
      <c r="A3527" s="108">
        <v>46146</v>
      </c>
      <c r="B3527" s="153">
        <v>42</v>
      </c>
      <c r="C3527" s="108" t="s">
        <v>19</v>
      </c>
      <c r="D3527" s="110" t="str">
        <f>IF(ISBLANK($B3527),"",IFERROR(VLOOKUP($B3527,ESTOQUE!$B$2:$D$97168,3,FALSE),"Produto não cadastrado"))</f>
        <v>BOTINA OP. BICO PVC Nº 44</v>
      </c>
      <c r="E3527" s="99" t="str">
        <f>_xlfn.XLOOKUP(B3527,ESTOQUE!B:B,ESTOQUE!G:G,"",0)</f>
        <v>PAR</v>
      </c>
      <c r="F3527" s="152">
        <v>1</v>
      </c>
    </row>
    <row r="3528" spans="1:6" x14ac:dyDescent="0.25">
      <c r="A3528" s="108">
        <v>46146</v>
      </c>
      <c r="B3528" s="153">
        <v>36</v>
      </c>
      <c r="C3528" s="108" t="s">
        <v>19</v>
      </c>
      <c r="D3528" s="110" t="str">
        <f>IF(ISBLANK($B3528),"",IFERROR(VLOOKUP($B3528,ESTOQUE!$B$2:$D$97168,3,FALSE),"Produto não cadastrado"))</f>
        <v>BOTINA OP. BICO PVC Nº 38</v>
      </c>
      <c r="E3528" s="99" t="str">
        <f>_xlfn.XLOOKUP(B3528,ESTOQUE!B:B,ESTOQUE!G:G,"",0)</f>
        <v>PAR</v>
      </c>
      <c r="F3528" s="152">
        <v>1</v>
      </c>
    </row>
    <row r="3529" spans="1:6" x14ac:dyDescent="0.25">
      <c r="A3529" s="108">
        <v>46146</v>
      </c>
      <c r="B3529" s="152">
        <v>217</v>
      </c>
      <c r="C3529" s="108" t="s">
        <v>19</v>
      </c>
      <c r="D3529" s="110" t="str">
        <f>IF(ISBLANK($B3529),"",IFERROR(VLOOKUP($B3529,ESTOQUE!$B$2:$D$97168,3,FALSE),"Produto não cadastrado"))</f>
        <v>BOTINA SEGURANÇA METATARSO  40</v>
      </c>
      <c r="E3529" s="99" t="str">
        <f>_xlfn.XLOOKUP(B3529,ESTOQUE!B:B,ESTOQUE!G:G,"",0)</f>
        <v>PAR</v>
      </c>
      <c r="F3529" s="152">
        <v>3</v>
      </c>
    </row>
    <row r="3530" spans="1:6" x14ac:dyDescent="0.25">
      <c r="A3530" s="108">
        <v>46146</v>
      </c>
      <c r="B3530" s="152">
        <v>219</v>
      </c>
      <c r="C3530" s="108" t="s">
        <v>19</v>
      </c>
      <c r="D3530" s="110" t="str">
        <f>IF(ISBLANK($B3530),"",IFERROR(VLOOKUP($B3530,ESTOQUE!$B$2:$D$97168,3,FALSE),"Produto não cadastrado"))</f>
        <v>BOTINA SEGURANÇA METATARSO  42</v>
      </c>
      <c r="E3530" s="99" t="str">
        <f>_xlfn.XLOOKUP(B3530,ESTOQUE!B:B,ESTOQUE!G:G,"",0)</f>
        <v>PAR</v>
      </c>
      <c r="F3530" s="152">
        <v>2</v>
      </c>
    </row>
    <row r="3531" spans="1:6" x14ac:dyDescent="0.25">
      <c r="A3531" s="108">
        <v>46146</v>
      </c>
      <c r="B3531" s="152">
        <v>41</v>
      </c>
      <c r="C3531" s="108" t="s">
        <v>19</v>
      </c>
      <c r="D3531" s="110" t="str">
        <f>IF(ISBLANK($B3531),"",IFERROR(VLOOKUP($B3531,ESTOQUE!$B$2:$D$97168,3,FALSE),"Produto não cadastrado"))</f>
        <v>BOTINA OP. BICO PVC Nº 43</v>
      </c>
      <c r="E3531" s="99" t="str">
        <f>_xlfn.XLOOKUP(B3531,ESTOQUE!B:B,ESTOQUE!G:G,"",0)</f>
        <v>PAR</v>
      </c>
      <c r="F3531" s="152">
        <v>1</v>
      </c>
    </row>
    <row r="3532" spans="1:6" x14ac:dyDescent="0.25">
      <c r="A3532" s="108">
        <v>46146</v>
      </c>
      <c r="B3532" s="152">
        <v>46</v>
      </c>
      <c r="C3532" s="108" t="s">
        <v>19</v>
      </c>
      <c r="D3532" s="110" t="str">
        <f>IF(ISBLANK($B3532),"",IFERROR(VLOOKUP($B3532,ESTOQUE!$B$2:$D$97168,3,FALSE),"Produto não cadastrado"))</f>
        <v>CALÇA CINZA OP. C/ FAIXA REFLETIVA TAM: G</v>
      </c>
      <c r="E3532" s="99" t="str">
        <f>_xlfn.XLOOKUP(B3532,ESTOQUE!B:B,ESTOQUE!G:G,"",0)</f>
        <v>UND</v>
      </c>
      <c r="F3532" s="152">
        <v>5</v>
      </c>
    </row>
    <row r="3533" spans="1:6" x14ac:dyDescent="0.25">
      <c r="A3533" s="108">
        <v>46146</v>
      </c>
      <c r="B3533" s="152">
        <v>47</v>
      </c>
      <c r="C3533" s="108" t="s">
        <v>19</v>
      </c>
      <c r="D3533" s="110" t="str">
        <f>IF(ISBLANK($B3533),"",IFERROR(VLOOKUP($B3533,ESTOQUE!$B$2:$D$97168,3,FALSE),"Produto não cadastrado"))</f>
        <v>CALÇA CINZA OP. C/ FAIXA REFLETIVA TAM: GG</v>
      </c>
      <c r="E3533" s="99" t="str">
        <f>_xlfn.XLOOKUP(B3533,ESTOQUE!B:B,ESTOQUE!G:G,"",0)</f>
        <v>UND</v>
      </c>
      <c r="F3533" s="152">
        <v>1</v>
      </c>
    </row>
    <row r="3534" spans="1:6" x14ac:dyDescent="0.25">
      <c r="A3534" s="108">
        <v>46146</v>
      </c>
      <c r="B3534" s="152">
        <v>48</v>
      </c>
      <c r="C3534" s="108" t="s">
        <v>19</v>
      </c>
      <c r="D3534" s="110" t="str">
        <f>IF(ISBLANK($B3534),"",IFERROR(VLOOKUP($B3534,ESTOQUE!$B$2:$D$97168,3,FALSE),"Produto não cadastrado"))</f>
        <v>CALÇA CINZA OP. C/ FAIXA REFLETIVA TAM: M</v>
      </c>
      <c r="E3534" s="99" t="str">
        <f>_xlfn.XLOOKUP(B3534,ESTOQUE!B:B,ESTOQUE!G:G,"",0)</f>
        <v>UND</v>
      </c>
      <c r="F3534" s="152">
        <v>8</v>
      </c>
    </row>
    <row r="3535" spans="1:6" x14ac:dyDescent="0.25">
      <c r="A3535" s="108">
        <v>46146</v>
      </c>
      <c r="B3535" s="152">
        <v>49</v>
      </c>
      <c r="C3535" s="108" t="s">
        <v>19</v>
      </c>
      <c r="D3535" s="110" t="str">
        <f>IF(ISBLANK($B3535),"",IFERROR(VLOOKUP($B3535,ESTOQUE!$B$2:$D$97168,3,FALSE),"Produto não cadastrado"))</f>
        <v>CALÇA CINZA OP. C/ FAIXA REFLETIVA TAM: P</v>
      </c>
      <c r="E3535" s="99" t="str">
        <f>_xlfn.XLOOKUP(B3535,ESTOQUE!B:B,ESTOQUE!G:G,"",0)</f>
        <v>UND</v>
      </c>
      <c r="F3535" s="152">
        <v>1</v>
      </c>
    </row>
    <row r="3536" spans="1:6" x14ac:dyDescent="0.25">
      <c r="A3536" s="108">
        <v>46146</v>
      </c>
      <c r="B3536" s="152">
        <v>67</v>
      </c>
      <c r="C3536" s="108" t="s">
        <v>19</v>
      </c>
      <c r="D3536" s="110" t="str">
        <f>IF(ISBLANK($B3536),"",IFERROR(VLOOKUP($B3536,ESTOQUE!$B$2:$D$97168,3,FALSE),"Produto não cadastrado"))</f>
        <v>CAMISA LARANJA OP. C/ FAIXA REFLETIVA TAM: G</v>
      </c>
      <c r="E3536" s="99" t="str">
        <f>_xlfn.XLOOKUP(B3536,ESTOQUE!B:B,ESTOQUE!G:G,"",0)</f>
        <v>UND</v>
      </c>
      <c r="F3536" s="152">
        <v>3</v>
      </c>
    </row>
    <row r="3537" spans="1:6" x14ac:dyDescent="0.25">
      <c r="A3537" s="108">
        <v>46146</v>
      </c>
      <c r="B3537" s="152">
        <v>69</v>
      </c>
      <c r="C3537" s="108" t="s">
        <v>19</v>
      </c>
      <c r="D3537" s="110" t="str">
        <f>IF(ISBLANK($B3537),"",IFERROR(VLOOKUP($B3537,ESTOQUE!$B$2:$D$97168,3,FALSE),"Produto não cadastrado"))</f>
        <v>CAMISA LARANJA OP. C/ FAIXA REFLETIVA TAM: M</v>
      </c>
      <c r="E3537" s="99" t="str">
        <f>_xlfn.XLOOKUP(B3537,ESTOQUE!B:B,ESTOQUE!G:G,"",0)</f>
        <v>UND</v>
      </c>
      <c r="F3537" s="152">
        <v>6</v>
      </c>
    </row>
    <row r="3538" spans="1:6" x14ac:dyDescent="0.25">
      <c r="A3538" s="108">
        <v>46146</v>
      </c>
      <c r="B3538" s="152">
        <v>70</v>
      </c>
      <c r="C3538" s="108" t="s">
        <v>19</v>
      </c>
      <c r="D3538" s="110" t="str">
        <f>IF(ISBLANK($B3538),"",IFERROR(VLOOKUP($B3538,ESTOQUE!$B$2:$D$97168,3,FALSE),"Produto não cadastrado"))</f>
        <v>CAMISA LARANJA OP. C/ FAIXA REFLETIVA TAM: P</v>
      </c>
      <c r="E3538" s="99" t="str">
        <f>_xlfn.XLOOKUP(B3538,ESTOQUE!B:B,ESTOQUE!G:G,"",0)</f>
        <v>UND</v>
      </c>
      <c r="F3538" s="152">
        <v>2</v>
      </c>
    </row>
    <row r="3539" spans="1:6" x14ac:dyDescent="0.25">
      <c r="A3539" s="108">
        <v>46146</v>
      </c>
      <c r="B3539" s="152">
        <v>110</v>
      </c>
      <c r="C3539" s="108" t="s">
        <v>19</v>
      </c>
      <c r="D3539" s="110" t="str">
        <f>IF(ISBLANK($B3539),"",IFERROR(VLOOKUP($B3539,ESTOQUE!$B$2:$D$97168,3,FALSE),"Produto não cadastrado"))</f>
        <v>LUVA DE RASPA CANO LONGO</v>
      </c>
      <c r="E3539" s="99" t="str">
        <f>_xlfn.XLOOKUP(B3539,ESTOQUE!B:B,ESTOQUE!G:G,"",0)</f>
        <v>PAR</v>
      </c>
      <c r="F3539" s="152">
        <v>2</v>
      </c>
    </row>
    <row r="3540" spans="1:6" x14ac:dyDescent="0.25">
      <c r="A3540" s="108">
        <v>46146</v>
      </c>
      <c r="B3540" s="152">
        <v>141</v>
      </c>
      <c r="C3540" s="108" t="s">
        <v>19</v>
      </c>
      <c r="D3540" s="110" t="str">
        <f>IF(ISBLANK($B3540),"",IFERROR(VLOOKUP($B3540,ESTOQUE!$B$2:$D$97168,3,FALSE),"Produto não cadastrado"))</f>
        <v xml:space="preserve">LUVA DE VAQUETA </v>
      </c>
      <c r="E3540" s="99" t="str">
        <f>_xlfn.XLOOKUP(B3540,ESTOQUE!B:B,ESTOQUE!G:G,"",0)</f>
        <v>PAR</v>
      </c>
      <c r="F3540" s="152">
        <v>1</v>
      </c>
    </row>
    <row r="3541" spans="1:6" x14ac:dyDescent="0.25">
      <c r="A3541" s="108">
        <v>46146</v>
      </c>
      <c r="B3541" s="152">
        <v>267</v>
      </c>
      <c r="C3541" s="108" t="s">
        <v>19</v>
      </c>
      <c r="D3541" s="110" t="str">
        <f>IF(ISBLANK($B3541),"",IFERROR(VLOOKUP($B3541,ESTOQUE!$B$2:$D$97168,3,FALSE),"Produto não cadastrado"))</f>
        <v>LUVA POLIESTER ANTICORTE CANO LONGO</v>
      </c>
      <c r="E3541" s="99" t="str">
        <f>_xlfn.XLOOKUP(B3541,ESTOQUE!B:B,ESTOQUE!G:G,"",0)</f>
        <v>UND</v>
      </c>
      <c r="F3541" s="152">
        <v>2</v>
      </c>
    </row>
    <row r="3542" spans="1:6" x14ac:dyDescent="0.25">
      <c r="A3542" s="108">
        <v>46146</v>
      </c>
      <c r="B3542" s="152">
        <v>144</v>
      </c>
      <c r="C3542" s="108" t="s">
        <v>19</v>
      </c>
      <c r="D3542" s="110" t="str">
        <f>IF(ISBLANK($B3542),"",IFERROR(VLOOKUP($B3542,ESTOQUE!$B$2:$D$97168,3,FALSE),"Produto não cadastrado"))</f>
        <v>MASCARA PFF2-S C/ FILTRO</v>
      </c>
      <c r="E3542" s="99" t="str">
        <f>_xlfn.XLOOKUP(B3542,ESTOQUE!B:B,ESTOQUE!G:G,"",0)</f>
        <v>UND</v>
      </c>
      <c r="F3542" s="152">
        <v>60</v>
      </c>
    </row>
    <row r="3543" spans="1:6" x14ac:dyDescent="0.25">
      <c r="A3543" s="108">
        <v>46146</v>
      </c>
      <c r="B3543" s="152">
        <v>126</v>
      </c>
      <c r="C3543" s="108" t="s">
        <v>19</v>
      </c>
      <c r="D3543" s="110" t="str">
        <f>IF(ISBLANK($B3543),"",IFERROR(VLOOKUP($B3543,ESTOQUE!$B$2:$D$97168,3,FALSE),"Produto não cadastrado"))</f>
        <v>OCULOS DE PROTEÇÃO ESCURO</v>
      </c>
      <c r="E3543" s="99" t="str">
        <f>_xlfn.XLOOKUP(B3543,ESTOQUE!B:B,ESTOQUE!G:G,"",0)</f>
        <v>UND</v>
      </c>
      <c r="F3543" s="152">
        <v>5</v>
      </c>
    </row>
    <row r="3544" spans="1:6" x14ac:dyDescent="0.25">
      <c r="A3544" s="108">
        <v>46146</v>
      </c>
      <c r="B3544" s="152">
        <v>124</v>
      </c>
      <c r="C3544" s="108" t="s">
        <v>19</v>
      </c>
      <c r="D3544" s="110" t="str">
        <f>IF(ISBLANK($B3544),"",IFERROR(VLOOKUP($B3544,ESTOQUE!$B$2:$D$97168,3,FALSE),"Produto não cadastrado"))</f>
        <v xml:space="preserve">OCULOS DE PROTEÇÃO INCOLOR </v>
      </c>
      <c r="E3544" s="99" t="str">
        <f>_xlfn.XLOOKUP(B3544,ESTOQUE!B:B,ESTOQUE!G:G,"",0)</f>
        <v>UND</v>
      </c>
      <c r="F3544" s="152">
        <v>1</v>
      </c>
    </row>
    <row r="3545" spans="1:6" x14ac:dyDescent="0.25">
      <c r="A3545" s="108">
        <v>46146</v>
      </c>
      <c r="B3545" s="152">
        <v>224</v>
      </c>
      <c r="C3545" s="108" t="s">
        <v>19</v>
      </c>
      <c r="D3545" s="110" t="str">
        <f>IF(ISBLANK($B3545),"",IFERROR(VLOOKUP($B3545,ESTOQUE!$B$2:$D$97168,3,FALSE),"Produto não cadastrado"))</f>
        <v>OCULOS OPERACIONAL SOBRE POR ESCURO</v>
      </c>
      <c r="E3545" s="99" t="str">
        <f>_xlfn.XLOOKUP(B3545,ESTOQUE!B:B,ESTOQUE!G:G,"",0)</f>
        <v>UND</v>
      </c>
      <c r="F3545" s="152">
        <v>1</v>
      </c>
    </row>
    <row r="3546" spans="1:6" x14ac:dyDescent="0.25">
      <c r="A3546" s="108">
        <v>46146</v>
      </c>
      <c r="B3546" s="152">
        <v>236</v>
      </c>
      <c r="C3546" s="108" t="s">
        <v>19</v>
      </c>
      <c r="D3546" s="110" t="str">
        <f>IF(ISBLANK($B3546),"",IFERROR(VLOOKUP($B3546,ESTOQUE!$B$2:$D$97168,3,FALSE),"Produto não cadastrado"))</f>
        <v>TALABARTE DUPLO Y SOLDADOR</v>
      </c>
      <c r="E3546" s="99" t="str">
        <f>_xlfn.XLOOKUP(B3546,ESTOQUE!B:B,ESTOQUE!G:G,"",0)</f>
        <v>UND</v>
      </c>
      <c r="F3546" s="152">
        <v>1</v>
      </c>
    </row>
    <row r="3547" spans="1:6" x14ac:dyDescent="0.25">
      <c r="A3547" s="108">
        <v>46147</v>
      </c>
      <c r="B3547" s="152">
        <v>228</v>
      </c>
      <c r="C3547" s="108" t="s">
        <v>19</v>
      </c>
      <c r="D3547" s="110" t="str">
        <f>IF(ISBLANK($B3547),"",IFERROR(VLOOKUP($B3547,ESTOQUE!$B$2:$D$97168,3,FALSE),"Produto não cadastrado"))</f>
        <v xml:space="preserve">BALACLAVA  </v>
      </c>
      <c r="E3547" s="99" t="str">
        <f>_xlfn.XLOOKUP(B3547,ESTOQUE!B:B,ESTOQUE!G:G,"",0)</f>
        <v>UND</v>
      </c>
      <c r="F3547" s="152">
        <v>3</v>
      </c>
    </row>
    <row r="3548" spans="1:6" x14ac:dyDescent="0.25">
      <c r="A3548" s="108">
        <v>46147</v>
      </c>
      <c r="B3548" s="152">
        <v>35</v>
      </c>
      <c r="C3548" s="108" t="s">
        <v>19</v>
      </c>
      <c r="D3548" s="110" t="str">
        <f>IF(ISBLANK($B3548),"",IFERROR(VLOOKUP($B3548,ESTOQUE!$B$2:$D$97168,3,FALSE),"Produto não cadastrado"))</f>
        <v>BOTINA OP. BICO PVC Nº 37</v>
      </c>
      <c r="E3548" s="99" t="str">
        <f>_xlfn.XLOOKUP(B3548,ESTOQUE!B:B,ESTOQUE!G:G,"",0)</f>
        <v>PAR</v>
      </c>
      <c r="F3548" s="152">
        <v>1</v>
      </c>
    </row>
    <row r="3549" spans="1:6" x14ac:dyDescent="0.25">
      <c r="A3549" s="108">
        <v>46147</v>
      </c>
      <c r="B3549" s="152">
        <v>36</v>
      </c>
      <c r="C3549" s="108" t="s">
        <v>19</v>
      </c>
      <c r="D3549" s="110" t="str">
        <f>IF(ISBLANK($B3549),"",IFERROR(VLOOKUP($B3549,ESTOQUE!$B$2:$D$97168,3,FALSE),"Produto não cadastrado"))</f>
        <v>BOTINA OP. BICO PVC Nº 38</v>
      </c>
      <c r="E3549" s="99" t="str">
        <f>_xlfn.XLOOKUP(B3549,ESTOQUE!B:B,ESTOQUE!G:G,"",0)</f>
        <v>PAR</v>
      </c>
      <c r="F3549" s="152">
        <v>1</v>
      </c>
    </row>
    <row r="3550" spans="1:6" x14ac:dyDescent="0.25">
      <c r="A3550" s="108">
        <v>46147</v>
      </c>
      <c r="B3550" s="152">
        <v>216</v>
      </c>
      <c r="C3550" s="108" t="s">
        <v>19</v>
      </c>
      <c r="D3550" s="110" t="str">
        <f>IF(ISBLANK($B3550),"",IFERROR(VLOOKUP($B3550,ESTOQUE!$B$2:$D$97168,3,FALSE),"Produto não cadastrado"))</f>
        <v>BOTINA SEGURANÇA METATARSO  39</v>
      </c>
      <c r="E3550" s="99" t="str">
        <f>_xlfn.XLOOKUP(B3550,ESTOQUE!B:B,ESTOQUE!G:G,"",0)</f>
        <v>PAR</v>
      </c>
      <c r="F3550" s="152">
        <v>2</v>
      </c>
    </row>
    <row r="3551" spans="1:6" x14ac:dyDescent="0.25">
      <c r="A3551" s="108">
        <v>46147</v>
      </c>
      <c r="B3551" s="152">
        <v>41</v>
      </c>
      <c r="C3551" s="108" t="s">
        <v>19</v>
      </c>
      <c r="D3551" s="110" t="str">
        <f>IF(ISBLANK($B3551),"",IFERROR(VLOOKUP($B3551,ESTOQUE!$B$2:$D$97168,3,FALSE),"Produto não cadastrado"))</f>
        <v>BOTINA OP. BICO PVC Nº 43</v>
      </c>
      <c r="E3551" s="99" t="str">
        <f>_xlfn.XLOOKUP(B3551,ESTOQUE!B:B,ESTOQUE!G:G,"",0)</f>
        <v>PAR</v>
      </c>
      <c r="F3551" s="152">
        <v>1</v>
      </c>
    </row>
    <row r="3552" spans="1:6" x14ac:dyDescent="0.25">
      <c r="A3552" s="108">
        <v>46147</v>
      </c>
      <c r="B3552" s="152">
        <v>219</v>
      </c>
      <c r="C3552" s="108" t="s">
        <v>19</v>
      </c>
      <c r="D3552" s="110" t="str">
        <f>IF(ISBLANK($B3552),"",IFERROR(VLOOKUP($B3552,ESTOQUE!$B$2:$D$97168,3,FALSE),"Produto não cadastrado"))</f>
        <v>BOTINA SEGURANÇA METATARSO  42</v>
      </c>
      <c r="E3552" s="99" t="str">
        <f>_xlfn.XLOOKUP(B3552,ESTOQUE!B:B,ESTOQUE!G:G,"",0)</f>
        <v>PAR</v>
      </c>
      <c r="F3552" s="152">
        <v>1</v>
      </c>
    </row>
    <row r="3553" spans="1:6" x14ac:dyDescent="0.25">
      <c r="A3553" s="108">
        <v>46147</v>
      </c>
      <c r="B3553" s="152">
        <v>46</v>
      </c>
      <c r="C3553" s="108" t="s">
        <v>19</v>
      </c>
      <c r="D3553" s="110" t="str">
        <f>IF(ISBLANK($B3553),"",IFERROR(VLOOKUP($B3553,ESTOQUE!$B$2:$D$97168,3,FALSE),"Produto não cadastrado"))</f>
        <v>CALÇA CINZA OP. C/ FAIXA REFLETIVA TAM: G</v>
      </c>
      <c r="E3553" s="99" t="str">
        <f>_xlfn.XLOOKUP(B3553,ESTOQUE!B:B,ESTOQUE!G:G,"",0)</f>
        <v>UND</v>
      </c>
      <c r="F3553" s="152">
        <v>6</v>
      </c>
    </row>
    <row r="3554" spans="1:6" x14ac:dyDescent="0.25">
      <c r="A3554" s="108">
        <v>46147</v>
      </c>
      <c r="B3554" s="152">
        <v>47</v>
      </c>
      <c r="C3554" s="108" t="s">
        <v>19</v>
      </c>
      <c r="D3554" s="110" t="str">
        <f>IF(ISBLANK($B3554),"",IFERROR(VLOOKUP($B3554,ESTOQUE!$B$2:$D$97168,3,FALSE),"Produto não cadastrado"))</f>
        <v>CALÇA CINZA OP. C/ FAIXA REFLETIVA TAM: GG</v>
      </c>
      <c r="E3554" s="99" t="str">
        <f>_xlfn.XLOOKUP(B3554,ESTOQUE!B:B,ESTOQUE!G:G,"",0)</f>
        <v>UND</v>
      </c>
      <c r="F3554" s="152">
        <v>5</v>
      </c>
    </row>
    <row r="3555" spans="1:6" x14ac:dyDescent="0.25">
      <c r="A3555" s="108">
        <v>46147</v>
      </c>
      <c r="B3555" s="152">
        <v>48</v>
      </c>
      <c r="C3555" s="108" t="s">
        <v>19</v>
      </c>
      <c r="D3555" s="110" t="str">
        <f>IF(ISBLANK($B3555),"",IFERROR(VLOOKUP($B3555,ESTOQUE!$B$2:$D$97168,3,FALSE),"Produto não cadastrado"))</f>
        <v>CALÇA CINZA OP. C/ FAIXA REFLETIVA TAM: M</v>
      </c>
      <c r="E3555" s="99" t="str">
        <f>_xlfn.XLOOKUP(B3555,ESTOQUE!B:B,ESTOQUE!G:G,"",0)</f>
        <v>UND</v>
      </c>
      <c r="F3555" s="152">
        <v>12</v>
      </c>
    </row>
    <row r="3556" spans="1:6" x14ac:dyDescent="0.25">
      <c r="A3556" s="108">
        <v>46147</v>
      </c>
      <c r="B3556" s="152">
        <v>49</v>
      </c>
      <c r="C3556" s="108" t="s">
        <v>19</v>
      </c>
      <c r="D3556" s="110" t="str">
        <f>IF(ISBLANK($B3556),"",IFERROR(VLOOKUP($B3556,ESTOQUE!$B$2:$D$97168,3,FALSE),"Produto não cadastrado"))</f>
        <v>CALÇA CINZA OP. C/ FAIXA REFLETIVA TAM: P</v>
      </c>
      <c r="E3556" s="99" t="str">
        <f>_xlfn.XLOOKUP(B3556,ESTOQUE!B:B,ESTOQUE!G:G,"",0)</f>
        <v>UND</v>
      </c>
      <c r="F3556" s="152">
        <v>2</v>
      </c>
    </row>
    <row r="3557" spans="1:6" x14ac:dyDescent="0.25">
      <c r="A3557" s="108">
        <v>46147</v>
      </c>
      <c r="B3557" s="152">
        <v>67</v>
      </c>
      <c r="C3557" s="108" t="s">
        <v>19</v>
      </c>
      <c r="D3557" s="110" t="str">
        <f>IF(ISBLANK($B3557),"",IFERROR(VLOOKUP($B3557,ESTOQUE!$B$2:$D$97168,3,FALSE),"Produto não cadastrado"))</f>
        <v>CAMISA LARANJA OP. C/ FAIXA REFLETIVA TAM: G</v>
      </c>
      <c r="E3557" s="99" t="str">
        <f>_xlfn.XLOOKUP(B3557,ESTOQUE!B:B,ESTOQUE!G:G,"",0)</f>
        <v>UND</v>
      </c>
      <c r="F3557" s="152">
        <v>5</v>
      </c>
    </row>
    <row r="3558" spans="1:6" x14ac:dyDescent="0.25">
      <c r="A3558" s="108">
        <v>46147</v>
      </c>
      <c r="B3558" s="152">
        <v>69</v>
      </c>
      <c r="C3558" s="108" t="s">
        <v>19</v>
      </c>
      <c r="D3558" s="110" t="str">
        <f>IF(ISBLANK($B3558),"",IFERROR(VLOOKUP($B3558,ESTOQUE!$B$2:$D$97168,3,FALSE),"Produto não cadastrado"))</f>
        <v>CAMISA LARANJA OP. C/ FAIXA REFLETIVA TAM: M</v>
      </c>
      <c r="E3558" s="99" t="str">
        <f>_xlfn.XLOOKUP(B3558,ESTOQUE!B:B,ESTOQUE!G:G,"",0)</f>
        <v>UND</v>
      </c>
      <c r="F3558" s="152">
        <v>10</v>
      </c>
    </row>
    <row r="3559" spans="1:6" x14ac:dyDescent="0.25">
      <c r="A3559" s="108">
        <v>46147</v>
      </c>
      <c r="B3559" s="152">
        <v>70</v>
      </c>
      <c r="C3559" s="108" t="s">
        <v>19</v>
      </c>
      <c r="D3559" s="110" t="str">
        <f>IF(ISBLANK($B3559),"",IFERROR(VLOOKUP($B3559,ESTOQUE!$B$2:$D$97168,3,FALSE),"Produto não cadastrado"))</f>
        <v>CAMISA LARANJA OP. C/ FAIXA REFLETIVA TAM: P</v>
      </c>
      <c r="E3559" s="99" t="str">
        <f>_xlfn.XLOOKUP(B3559,ESTOQUE!B:B,ESTOQUE!G:G,"",0)</f>
        <v>UND</v>
      </c>
      <c r="F3559" s="152">
        <v>2</v>
      </c>
    </row>
    <row r="3560" spans="1:6" x14ac:dyDescent="0.25">
      <c r="A3560" s="108">
        <v>46147</v>
      </c>
      <c r="B3560" s="152">
        <v>141</v>
      </c>
      <c r="C3560" s="108" t="s">
        <v>19</v>
      </c>
      <c r="D3560" s="110" t="str">
        <f>IF(ISBLANK($B3560),"",IFERROR(VLOOKUP($B3560,ESTOQUE!$B$2:$D$97168,3,FALSE),"Produto não cadastrado"))</f>
        <v xml:space="preserve">LUVA DE VAQUETA </v>
      </c>
      <c r="E3560" s="99" t="str">
        <f>_xlfn.XLOOKUP(B3560,ESTOQUE!B:B,ESTOQUE!G:G,"",0)</f>
        <v>PAR</v>
      </c>
      <c r="F3560" s="152">
        <v>2</v>
      </c>
    </row>
    <row r="3561" spans="1:6" x14ac:dyDescent="0.25">
      <c r="A3561" s="108">
        <v>46147</v>
      </c>
      <c r="B3561" s="152">
        <v>257</v>
      </c>
      <c r="C3561" s="108" t="s">
        <v>19</v>
      </c>
      <c r="D3561" s="110" t="str">
        <f>IF(ISBLANK($B3561),"",IFERROR(VLOOKUP($B3561,ESTOQUE!$B$2:$D$97168,3,FALSE),"Produto não cadastrado"))</f>
        <v xml:space="preserve">LUVA MULTITATO </v>
      </c>
      <c r="E3561" s="99" t="str">
        <f>_xlfn.XLOOKUP(B3561,ESTOQUE!B:B,ESTOQUE!G:G,"",0)</f>
        <v>UND</v>
      </c>
      <c r="F3561" s="152">
        <v>1</v>
      </c>
    </row>
    <row r="3562" spans="1:6" x14ac:dyDescent="0.25">
      <c r="A3562" s="108">
        <v>46147</v>
      </c>
      <c r="B3562" s="152">
        <v>116</v>
      </c>
      <c r="C3562" s="108" t="s">
        <v>19</v>
      </c>
      <c r="D3562" s="110" t="str">
        <f>IF(ISBLANK($B3562),"",IFERROR(VLOOKUP($B3562,ESTOQUE!$B$2:$D$97168,3,FALSE),"Produto não cadastrado"))</f>
        <v>LUVA PVC LINEA - CANO LONGO</v>
      </c>
      <c r="E3562" s="99" t="str">
        <f>_xlfn.XLOOKUP(B3562,ESTOQUE!B:B,ESTOQUE!G:G,"",0)</f>
        <v>PAR</v>
      </c>
      <c r="F3562" s="152">
        <v>1</v>
      </c>
    </row>
    <row r="3563" spans="1:6" x14ac:dyDescent="0.25">
      <c r="A3563" s="108">
        <v>46147</v>
      </c>
      <c r="B3563" s="152">
        <v>267</v>
      </c>
      <c r="C3563" s="108" t="s">
        <v>19</v>
      </c>
      <c r="D3563" s="110" t="str">
        <f>IF(ISBLANK($B3563),"",IFERROR(VLOOKUP($B3563,ESTOQUE!$B$2:$D$97168,3,FALSE),"Produto não cadastrado"))</f>
        <v>LUVA POLIESTER ANTICORTE CANO LONGO</v>
      </c>
      <c r="E3563" s="99" t="str">
        <f>_xlfn.XLOOKUP(B3563,ESTOQUE!B:B,ESTOQUE!G:G,"",0)</f>
        <v>UND</v>
      </c>
      <c r="F3563" s="152">
        <v>2</v>
      </c>
    </row>
    <row r="3564" spans="1:6" x14ac:dyDescent="0.25">
      <c r="A3564" s="108">
        <v>46147</v>
      </c>
      <c r="B3564" s="152">
        <v>118</v>
      </c>
      <c r="C3564" s="108" t="s">
        <v>19</v>
      </c>
      <c r="D3564" s="110" t="str">
        <f>IF(ISBLANK($B3564),"",IFERROR(VLOOKUP($B3564,ESTOQUE!$B$2:$D$97168,3,FALSE),"Produto não cadastrado"))</f>
        <v>MACACÃO DE PROTEÇÃO TYVEK</v>
      </c>
      <c r="E3564" s="99" t="str">
        <f>_xlfn.XLOOKUP(B3564,ESTOQUE!B:B,ESTOQUE!G:G,"",0)</f>
        <v>UND</v>
      </c>
      <c r="F3564" s="152">
        <v>3</v>
      </c>
    </row>
    <row r="3565" spans="1:6" x14ac:dyDescent="0.25">
      <c r="A3565" s="108">
        <v>46147</v>
      </c>
      <c r="B3565" s="152">
        <v>144</v>
      </c>
      <c r="C3565" s="108" t="s">
        <v>19</v>
      </c>
      <c r="D3565" s="110" t="str">
        <f>IF(ISBLANK($B3565),"",IFERROR(VLOOKUP($B3565,ESTOQUE!$B$2:$D$97168,3,FALSE),"Produto não cadastrado"))</f>
        <v>MASCARA PFF2-S C/ FILTRO</v>
      </c>
      <c r="E3565" s="99" t="str">
        <f>_xlfn.XLOOKUP(B3565,ESTOQUE!B:B,ESTOQUE!G:G,"",0)</f>
        <v>UND</v>
      </c>
      <c r="F3565" s="152">
        <v>38</v>
      </c>
    </row>
    <row r="3566" spans="1:6" x14ac:dyDescent="0.25">
      <c r="A3566" s="108">
        <v>46147</v>
      </c>
      <c r="B3566" s="152">
        <v>126</v>
      </c>
      <c r="C3566" s="108" t="s">
        <v>19</v>
      </c>
      <c r="D3566" s="110" t="str">
        <f>IF(ISBLANK($B3566),"",IFERROR(VLOOKUP($B3566,ESTOQUE!$B$2:$D$97168,3,FALSE),"Produto não cadastrado"))</f>
        <v>OCULOS DE PROTEÇÃO ESCURO</v>
      </c>
      <c r="E3566" s="99" t="str">
        <f>_xlfn.XLOOKUP(B3566,ESTOQUE!B:B,ESTOQUE!G:G,"",0)</f>
        <v>UND</v>
      </c>
      <c r="F3566" s="152">
        <v>4</v>
      </c>
    </row>
    <row r="3567" spans="1:6" x14ac:dyDescent="0.25">
      <c r="A3567" s="108">
        <v>46147</v>
      </c>
      <c r="B3567" s="152">
        <v>224</v>
      </c>
      <c r="C3567" s="108" t="s">
        <v>19</v>
      </c>
      <c r="D3567" s="110" t="str">
        <f>IF(ISBLANK($B3567),"",IFERROR(VLOOKUP($B3567,ESTOQUE!$B$2:$D$97168,3,FALSE),"Produto não cadastrado"))</f>
        <v>OCULOS OPERACIONAL SOBRE POR ESCURO</v>
      </c>
      <c r="E3567" s="99" t="str">
        <f>_xlfn.XLOOKUP(B3567,ESTOQUE!B:B,ESTOQUE!G:G,"",0)</f>
        <v>UND</v>
      </c>
      <c r="F3567" s="152">
        <v>1</v>
      </c>
    </row>
    <row r="3568" spans="1:6" x14ac:dyDescent="0.25">
      <c r="A3568" s="108">
        <v>46148</v>
      </c>
      <c r="B3568" s="152">
        <v>228</v>
      </c>
      <c r="C3568" s="108" t="s">
        <v>19</v>
      </c>
      <c r="D3568" s="110" t="str">
        <f>IF(ISBLANK($B3568),"",IFERROR(VLOOKUP($B3568,ESTOQUE!$B$2:$D$97168,3,FALSE),"Produto não cadastrado"))</f>
        <v xml:space="preserve">BALACLAVA  </v>
      </c>
      <c r="E3568" s="99" t="str">
        <f>_xlfn.XLOOKUP(B3568,ESTOQUE!B:B,ESTOQUE!G:G,"",0)</f>
        <v>UND</v>
      </c>
      <c r="F3568" s="152">
        <v>9</v>
      </c>
    </row>
    <row r="3569" spans="1:6" x14ac:dyDescent="0.25">
      <c r="A3569" s="108">
        <v>46148</v>
      </c>
      <c r="B3569" s="152">
        <v>20</v>
      </c>
      <c r="C3569" s="108" t="s">
        <v>19</v>
      </c>
      <c r="D3569" s="110" t="str">
        <f>IF(ISBLANK($B3569),"",IFERROR(VLOOKUP($B3569,ESTOQUE!$B$2:$D$97168,3,FALSE),"Produto não cadastrado"))</f>
        <v>BOTA PVC CANO MEDIO Nº 41</v>
      </c>
      <c r="E3569" s="99" t="str">
        <f>_xlfn.XLOOKUP(B3569,ESTOQUE!B:B,ESTOQUE!G:G,"",0)</f>
        <v>PAR</v>
      </c>
      <c r="F3569" s="152">
        <v>1</v>
      </c>
    </row>
    <row r="3570" spans="1:6" x14ac:dyDescent="0.25">
      <c r="A3570" s="108">
        <v>46148</v>
      </c>
      <c r="B3570" s="152">
        <v>21</v>
      </c>
      <c r="C3570" s="108" t="s">
        <v>19</v>
      </c>
      <c r="D3570" s="110" t="str">
        <f>IF(ISBLANK($B3570),"",IFERROR(VLOOKUP($B3570,ESTOQUE!$B$2:$D$97168,3,FALSE),"Produto não cadastrado"))</f>
        <v>BOTA PVC CANO MEDIO Nº 42</v>
      </c>
      <c r="E3570" s="99" t="str">
        <f>_xlfn.XLOOKUP(B3570,ESTOQUE!B:B,ESTOQUE!G:G,"",0)</f>
        <v>PAR</v>
      </c>
      <c r="F3570" s="152">
        <v>2</v>
      </c>
    </row>
    <row r="3571" spans="1:6" x14ac:dyDescent="0.25">
      <c r="A3571" s="108">
        <v>46148</v>
      </c>
      <c r="B3571" s="152">
        <v>216</v>
      </c>
      <c r="C3571" s="108" t="s">
        <v>19</v>
      </c>
      <c r="D3571" s="110" t="str">
        <f>IF(ISBLANK($B3571),"",IFERROR(VLOOKUP($B3571,ESTOQUE!$B$2:$D$97168,3,FALSE),"Produto não cadastrado"))</f>
        <v>BOTINA SEGURANÇA METATARSO  39</v>
      </c>
      <c r="E3571" s="99" t="str">
        <f>_xlfn.XLOOKUP(B3571,ESTOQUE!B:B,ESTOQUE!G:G,"",0)</f>
        <v>PAR</v>
      </c>
      <c r="F3571" s="152">
        <v>1</v>
      </c>
    </row>
    <row r="3572" spans="1:6" x14ac:dyDescent="0.25">
      <c r="A3572" s="108">
        <v>46148</v>
      </c>
      <c r="B3572" s="152">
        <v>217</v>
      </c>
      <c r="C3572" s="108" t="s">
        <v>19</v>
      </c>
      <c r="D3572" s="110" t="str">
        <f>IF(ISBLANK($B3572),"",IFERROR(VLOOKUP($B3572,ESTOQUE!$B$2:$D$97168,3,FALSE),"Produto não cadastrado"))</f>
        <v>BOTINA SEGURANÇA METATARSO  40</v>
      </c>
      <c r="E3572" s="99" t="str">
        <f>_xlfn.XLOOKUP(B3572,ESTOQUE!B:B,ESTOQUE!G:G,"",0)</f>
        <v>PAR</v>
      </c>
      <c r="F3572" s="152">
        <v>2</v>
      </c>
    </row>
    <row r="3573" spans="1:6" x14ac:dyDescent="0.25">
      <c r="A3573" s="108">
        <v>46148</v>
      </c>
      <c r="B3573" s="152">
        <v>46</v>
      </c>
      <c r="C3573" s="108" t="s">
        <v>19</v>
      </c>
      <c r="D3573" s="110" t="str">
        <f>IF(ISBLANK($B3573),"",IFERROR(VLOOKUP($B3573,ESTOQUE!$B$2:$D$97168,3,FALSE),"Produto não cadastrado"))</f>
        <v>CALÇA CINZA OP. C/ FAIXA REFLETIVA TAM: G</v>
      </c>
      <c r="E3573" s="99" t="str">
        <f>_xlfn.XLOOKUP(B3573,ESTOQUE!B:B,ESTOQUE!G:G,"",0)</f>
        <v>UND</v>
      </c>
      <c r="F3573" s="152">
        <v>6</v>
      </c>
    </row>
    <row r="3574" spans="1:6" x14ac:dyDescent="0.25">
      <c r="A3574" s="108">
        <v>46148</v>
      </c>
      <c r="B3574" s="152">
        <v>48</v>
      </c>
      <c r="C3574" s="108" t="s">
        <v>19</v>
      </c>
      <c r="D3574" s="110" t="str">
        <f>IF(ISBLANK($B3574),"",IFERROR(VLOOKUP($B3574,ESTOQUE!$B$2:$D$97168,3,FALSE),"Produto não cadastrado"))</f>
        <v>CALÇA CINZA OP. C/ FAIXA REFLETIVA TAM: M</v>
      </c>
      <c r="E3574" s="99" t="str">
        <f>_xlfn.XLOOKUP(B3574,ESTOQUE!B:B,ESTOQUE!G:G,"",0)</f>
        <v>UND</v>
      </c>
      <c r="F3574" s="152">
        <v>8</v>
      </c>
    </row>
    <row r="3575" spans="1:6" x14ac:dyDescent="0.25">
      <c r="A3575" s="108">
        <v>46148</v>
      </c>
      <c r="B3575" s="152">
        <v>49</v>
      </c>
      <c r="C3575" s="108" t="s">
        <v>19</v>
      </c>
      <c r="D3575" s="110" t="str">
        <f>IF(ISBLANK($B3575),"",IFERROR(VLOOKUP($B3575,ESTOQUE!$B$2:$D$97168,3,FALSE),"Produto não cadastrado"))</f>
        <v>CALÇA CINZA OP. C/ FAIXA REFLETIVA TAM: P</v>
      </c>
      <c r="E3575" s="99" t="str">
        <f>_xlfn.XLOOKUP(B3575,ESTOQUE!B:B,ESTOQUE!G:G,"",0)</f>
        <v>UND</v>
      </c>
      <c r="F3575" s="152">
        <v>1</v>
      </c>
    </row>
    <row r="3576" spans="1:6" x14ac:dyDescent="0.25">
      <c r="A3576" s="108">
        <v>46148</v>
      </c>
      <c r="B3576" s="152">
        <v>67</v>
      </c>
      <c r="C3576" s="108" t="s">
        <v>19</v>
      </c>
      <c r="D3576" s="110" t="str">
        <f>IF(ISBLANK($B3576),"",IFERROR(VLOOKUP($B3576,ESTOQUE!$B$2:$D$97168,3,FALSE),"Produto não cadastrado"))</f>
        <v>CAMISA LARANJA OP. C/ FAIXA REFLETIVA TAM: G</v>
      </c>
      <c r="E3576" s="99" t="str">
        <f>_xlfn.XLOOKUP(B3576,ESTOQUE!B:B,ESTOQUE!G:G,"",0)</f>
        <v>UND</v>
      </c>
      <c r="F3576" s="152">
        <v>4</v>
      </c>
    </row>
    <row r="3577" spans="1:6" x14ac:dyDescent="0.25">
      <c r="A3577" s="108">
        <v>46148</v>
      </c>
      <c r="B3577" s="152">
        <v>69</v>
      </c>
      <c r="C3577" s="108" t="s">
        <v>19</v>
      </c>
      <c r="D3577" s="110" t="str">
        <f>IF(ISBLANK($B3577),"",IFERROR(VLOOKUP($B3577,ESTOQUE!$B$2:$D$97168,3,FALSE),"Produto não cadastrado"))</f>
        <v>CAMISA LARANJA OP. C/ FAIXA REFLETIVA TAM: M</v>
      </c>
      <c r="E3577" s="99" t="str">
        <f>_xlfn.XLOOKUP(B3577,ESTOQUE!B:B,ESTOQUE!G:G,"",0)</f>
        <v>UND</v>
      </c>
      <c r="F3577" s="152">
        <v>4</v>
      </c>
    </row>
    <row r="3578" spans="1:6" x14ac:dyDescent="0.25">
      <c r="A3578" s="108">
        <v>46148</v>
      </c>
      <c r="B3578" s="152">
        <v>70</v>
      </c>
      <c r="C3578" s="108" t="s">
        <v>19</v>
      </c>
      <c r="D3578" s="110" t="str">
        <f>IF(ISBLANK($B3578),"",IFERROR(VLOOKUP($B3578,ESTOQUE!$B$2:$D$97168,3,FALSE),"Produto não cadastrado"))</f>
        <v>CAMISA LARANJA OP. C/ FAIXA REFLETIVA TAM: P</v>
      </c>
      <c r="E3578" s="99" t="str">
        <f>_xlfn.XLOOKUP(B3578,ESTOQUE!B:B,ESTOQUE!G:G,"",0)</f>
        <v>UND</v>
      </c>
      <c r="F3578" s="152">
        <v>2</v>
      </c>
    </row>
    <row r="3579" spans="1:6" x14ac:dyDescent="0.25">
      <c r="A3579" s="108">
        <v>46148</v>
      </c>
      <c r="B3579" s="152">
        <v>84</v>
      </c>
      <c r="C3579" s="108" t="s">
        <v>19</v>
      </c>
      <c r="D3579" s="110" t="str">
        <f>IF(ISBLANK($B3579),"",IFERROR(VLOOKUP($B3579,ESTOQUE!$B$2:$D$97168,3,FALSE),"Produto não cadastrado"))</f>
        <v>CAPACETE LIBUS MARROM</v>
      </c>
      <c r="E3579" s="99" t="str">
        <f>_xlfn.XLOOKUP(B3579,ESTOQUE!B:B,ESTOQUE!G:G,"",0)</f>
        <v>UND</v>
      </c>
      <c r="F3579" s="152">
        <v>1</v>
      </c>
    </row>
    <row r="3580" spans="1:6" x14ac:dyDescent="0.25">
      <c r="A3580" s="108">
        <v>46148</v>
      </c>
      <c r="B3580" s="152">
        <v>95</v>
      </c>
      <c r="C3580" s="108" t="s">
        <v>19</v>
      </c>
      <c r="D3580" s="110" t="str">
        <f>IF(ISBLANK($B3580),"",IFERROR(VLOOKUP($B3580,ESTOQUE!$B$2:$D$97168,3,FALSE),"Produto não cadastrado"))</f>
        <v>CARNEIRA P/ CAPACETE LIBUS</v>
      </c>
      <c r="E3580" s="99" t="str">
        <f>_xlfn.XLOOKUP(B3580,ESTOQUE!B:B,ESTOQUE!G:G,"",0)</f>
        <v>UND</v>
      </c>
      <c r="F3580" s="152">
        <v>89</v>
      </c>
    </row>
    <row r="3581" spans="1:6" x14ac:dyDescent="0.25">
      <c r="A3581" s="108">
        <v>46148</v>
      </c>
      <c r="B3581" s="152">
        <v>161</v>
      </c>
      <c r="C3581" s="108" t="s">
        <v>19</v>
      </c>
      <c r="D3581" s="110" t="str">
        <f>IF(ISBLANK($B3581),"",IFERROR(VLOOKUP($B3581,ESTOQUE!$B$2:$D$97168,3,FALSE),"Produto não cadastrado"))</f>
        <v>JUGULAR</v>
      </c>
      <c r="E3581" s="99" t="str">
        <f>_xlfn.XLOOKUP(B3581,ESTOQUE!B:B,ESTOQUE!G:G,"",0)</f>
        <v>UND</v>
      </c>
      <c r="F3581" s="152">
        <v>1</v>
      </c>
    </row>
    <row r="3582" spans="1:6" x14ac:dyDescent="0.25">
      <c r="A3582" s="108">
        <v>46148</v>
      </c>
      <c r="B3582" s="152">
        <v>227</v>
      </c>
      <c r="C3582" s="108" t="s">
        <v>19</v>
      </c>
      <c r="D3582" s="110" t="str">
        <f>IF(ISBLANK($B3582),"",IFERROR(VLOOKUP($B3582,ESTOQUE!$B$2:$D$97168,3,FALSE),"Produto não cadastrado"))</f>
        <v>LUVA  ALTA TENSÃO 2,5 KV  ORION CLASSE 00</v>
      </c>
      <c r="E3582" s="99" t="str">
        <f>_xlfn.XLOOKUP(B3582,ESTOQUE!B:B,ESTOQUE!G:G,"",0)</f>
        <v>UND</v>
      </c>
      <c r="F3582" s="152">
        <v>0</v>
      </c>
    </row>
    <row r="3583" spans="1:6" x14ac:dyDescent="0.25">
      <c r="A3583" s="108">
        <v>46148</v>
      </c>
      <c r="B3583" s="152">
        <v>110</v>
      </c>
      <c r="C3583" s="108" t="s">
        <v>19</v>
      </c>
      <c r="D3583" s="110" t="str">
        <f>IF(ISBLANK($B3583),"",IFERROR(VLOOKUP($B3583,ESTOQUE!$B$2:$D$97168,3,FALSE),"Produto não cadastrado"))</f>
        <v>LUVA DE RASPA CANO LONGO</v>
      </c>
      <c r="E3583" s="99" t="str">
        <f>_xlfn.XLOOKUP(B3583,ESTOQUE!B:B,ESTOQUE!G:G,"",0)</f>
        <v>PAR</v>
      </c>
      <c r="F3583" s="152">
        <v>1</v>
      </c>
    </row>
    <row r="3584" spans="1:6" x14ac:dyDescent="0.25">
      <c r="A3584" s="108">
        <v>46148</v>
      </c>
      <c r="B3584" s="152">
        <v>141</v>
      </c>
      <c r="C3584" s="108" t="s">
        <v>19</v>
      </c>
      <c r="D3584" s="110" t="str">
        <f>IF(ISBLANK($B3584),"",IFERROR(VLOOKUP($B3584,ESTOQUE!$B$2:$D$97168,3,FALSE),"Produto não cadastrado"))</f>
        <v xml:space="preserve">LUVA DE VAQUETA </v>
      </c>
      <c r="E3584" s="99" t="str">
        <f>_xlfn.XLOOKUP(B3584,ESTOQUE!B:B,ESTOQUE!G:G,"",0)</f>
        <v>PAR</v>
      </c>
      <c r="F3584" s="152">
        <v>23</v>
      </c>
    </row>
    <row r="3585" spans="1:6" x14ac:dyDescent="0.25">
      <c r="A3585" s="108">
        <v>46148</v>
      </c>
      <c r="B3585" s="152">
        <v>117</v>
      </c>
      <c r="C3585" s="108" t="s">
        <v>19</v>
      </c>
      <c r="D3585" s="110" t="str">
        <f>IF(ISBLANK($B3585),"",IFERROR(VLOOKUP($B3585,ESTOQUE!$B$2:$D$97168,3,FALSE),"Produto não cadastrado"))</f>
        <v>LUVA PIGMENTADA</v>
      </c>
      <c r="E3585" s="99" t="str">
        <f>_xlfn.XLOOKUP(B3585,ESTOQUE!B:B,ESTOQUE!G:G,"",0)</f>
        <v>PAR</v>
      </c>
      <c r="F3585" s="152">
        <v>96</v>
      </c>
    </row>
    <row r="3586" spans="1:6" x14ac:dyDescent="0.25">
      <c r="A3586" s="108">
        <v>46148</v>
      </c>
      <c r="B3586" s="152">
        <v>207</v>
      </c>
      <c r="C3586" s="108" t="s">
        <v>19</v>
      </c>
      <c r="D3586" s="110" t="str">
        <f>IF(ISBLANK($B3586),"",IFERROR(VLOOKUP($B3586,ESTOQUE!$B$2:$D$97168,3,FALSE),"Produto não cadastrado"))</f>
        <v>LUVA POLIESTER ANTICORTE BANHADA PU TAM 9</v>
      </c>
      <c r="E3586" s="99" t="str">
        <f>_xlfn.XLOOKUP(B3586,ESTOQUE!B:B,ESTOQUE!G:G,"",0)</f>
        <v>PAR</v>
      </c>
      <c r="F3586" s="152">
        <v>0</v>
      </c>
    </row>
    <row r="3587" spans="1:6" x14ac:dyDescent="0.25">
      <c r="A3587" s="108">
        <v>46148</v>
      </c>
      <c r="B3587" s="152">
        <v>118</v>
      </c>
      <c r="C3587" s="108" t="s">
        <v>19</v>
      </c>
      <c r="D3587" s="110" t="str">
        <f>IF(ISBLANK($B3587),"",IFERROR(VLOOKUP($B3587,ESTOQUE!$B$2:$D$97168,3,FALSE),"Produto não cadastrado"))</f>
        <v>MACACÃO DE PROTEÇÃO TYVEK</v>
      </c>
      <c r="E3587" s="99" t="str">
        <f>_xlfn.XLOOKUP(B3587,ESTOQUE!B:B,ESTOQUE!G:G,"",0)</f>
        <v>UND</v>
      </c>
      <c r="F3587" s="152">
        <v>75</v>
      </c>
    </row>
    <row r="3588" spans="1:6" x14ac:dyDescent="0.25">
      <c r="A3588" s="108">
        <v>46148</v>
      </c>
      <c r="B3588" s="152">
        <v>144</v>
      </c>
      <c r="C3588" s="108" t="s">
        <v>19</v>
      </c>
      <c r="D3588" s="110" t="str">
        <f>IF(ISBLANK($B3588),"",IFERROR(VLOOKUP($B3588,ESTOQUE!$B$2:$D$97168,3,FALSE),"Produto não cadastrado"))</f>
        <v>MASCARA PFF2-S C/ FILTRO</v>
      </c>
      <c r="E3588" s="99" t="str">
        <f>_xlfn.XLOOKUP(B3588,ESTOQUE!B:B,ESTOQUE!G:G,"",0)</f>
        <v>UND</v>
      </c>
      <c r="F3588" s="152">
        <v>68</v>
      </c>
    </row>
    <row r="3589" spans="1:6" x14ac:dyDescent="0.25">
      <c r="A3589" s="108">
        <v>46148</v>
      </c>
      <c r="B3589" s="152">
        <v>126</v>
      </c>
      <c r="C3589" s="108" t="s">
        <v>19</v>
      </c>
      <c r="D3589" s="110" t="str">
        <f>IF(ISBLANK($B3589),"",IFERROR(VLOOKUP($B3589,ESTOQUE!$B$2:$D$97168,3,FALSE),"Produto não cadastrado"))</f>
        <v>OCULOS DE PROTEÇÃO ESCURO</v>
      </c>
      <c r="E3589" s="99" t="str">
        <f>_xlfn.XLOOKUP(B3589,ESTOQUE!B:B,ESTOQUE!G:G,"",0)</f>
        <v>UND</v>
      </c>
      <c r="F3589" s="152">
        <v>56</v>
      </c>
    </row>
    <row r="3590" spans="1:6" x14ac:dyDescent="0.25">
      <c r="A3590" s="108">
        <v>46148</v>
      </c>
      <c r="B3590" s="152">
        <v>124</v>
      </c>
      <c r="C3590" s="108" t="s">
        <v>19</v>
      </c>
      <c r="D3590" s="110" t="str">
        <f>IF(ISBLANK($B3590),"",IFERROR(VLOOKUP($B3590,ESTOQUE!$B$2:$D$97168,3,FALSE),"Produto não cadastrado"))</f>
        <v xml:space="preserve">OCULOS DE PROTEÇÃO INCOLOR </v>
      </c>
      <c r="E3590" s="99" t="str">
        <f>_xlfn.XLOOKUP(B3590,ESTOQUE!B:B,ESTOQUE!G:G,"",0)</f>
        <v>UND</v>
      </c>
      <c r="F3590" s="152">
        <v>1</v>
      </c>
    </row>
    <row r="3591" spans="1:6" x14ac:dyDescent="0.25">
      <c r="A3591" s="108">
        <v>46148</v>
      </c>
      <c r="B3591" s="152">
        <v>130</v>
      </c>
      <c r="C3591" s="108" t="s">
        <v>19</v>
      </c>
      <c r="D3591" s="110" t="str">
        <f>IF(ISBLANK($B3591),"",IFERROR(VLOOKUP($B3591,ESTOQUE!$B$2:$D$97168,3,FALSE),"Produto não cadastrado"))</f>
        <v>PROTETOR AUDITIVO TIPO CONCHA L-300</v>
      </c>
      <c r="E3591" s="99" t="str">
        <f>_xlfn.XLOOKUP(B3591,ESTOQUE!B:B,ESTOQUE!G:G,"",0)</f>
        <v>UND</v>
      </c>
      <c r="F3591" s="152">
        <v>1</v>
      </c>
    </row>
    <row r="3592" spans="1:6" x14ac:dyDescent="0.25">
      <c r="A3592" s="108">
        <v>46149</v>
      </c>
      <c r="B3592" s="152">
        <v>110</v>
      </c>
      <c r="C3592" s="108" t="s">
        <v>19</v>
      </c>
      <c r="D3592" s="110" t="str">
        <f>IF(ISBLANK($B3592),"",IFERROR(VLOOKUP($B3592,ESTOQUE!$B$2:$D$97168,3,FALSE),"Produto não cadastrado"))</f>
        <v>LUVA DE RASPA CANO LONGO</v>
      </c>
      <c r="E3592" s="99" t="str">
        <f>_xlfn.XLOOKUP(B3592,ESTOQUE!B:B,ESTOQUE!G:G,"",0)</f>
        <v>PAR</v>
      </c>
      <c r="F3592" s="152">
        <v>100</v>
      </c>
    </row>
    <row r="3593" spans="1:6" x14ac:dyDescent="0.25">
      <c r="A3593" s="108">
        <v>46149</v>
      </c>
      <c r="B3593" s="152">
        <v>190</v>
      </c>
      <c r="C3593" s="108" t="s">
        <v>19</v>
      </c>
      <c r="D3593" s="110" t="str">
        <f>IF(ISBLANK($B3593),"",IFERROR(VLOOKUP($B3593,ESTOQUE!$B$2:$D$97168,3,FALSE),"Produto não cadastrado"))</f>
        <v>AVENTAL DE RASPA TAM 120X60</v>
      </c>
      <c r="E3593" s="99" t="str">
        <f>_xlfn.XLOOKUP(B3593,ESTOQUE!B:B,ESTOQUE!G:G,"",0)</f>
        <v>UND</v>
      </c>
      <c r="F3593" s="152">
        <v>13</v>
      </c>
    </row>
    <row r="3594" spans="1:6" x14ac:dyDescent="0.25">
      <c r="A3594" s="108">
        <v>46149</v>
      </c>
      <c r="B3594" s="152">
        <v>228</v>
      </c>
      <c r="C3594" s="108" t="s">
        <v>19</v>
      </c>
      <c r="D3594" s="110" t="str">
        <f>IF(ISBLANK($B3594),"",IFERROR(VLOOKUP($B3594,ESTOQUE!$B$2:$D$97168,3,FALSE),"Produto não cadastrado"))</f>
        <v xml:space="preserve">BALACLAVA  </v>
      </c>
      <c r="E3594" s="99" t="str">
        <f>_xlfn.XLOOKUP(B3594,ESTOQUE!B:B,ESTOQUE!G:G,"",0)</f>
        <v>UND</v>
      </c>
      <c r="F3594" s="152">
        <v>10</v>
      </c>
    </row>
    <row r="3595" spans="1:6" x14ac:dyDescent="0.25">
      <c r="A3595" s="108">
        <v>46149</v>
      </c>
      <c r="B3595" s="152">
        <v>18</v>
      </c>
      <c r="C3595" s="108" t="s">
        <v>19</v>
      </c>
      <c r="D3595" s="110" t="str">
        <f>IF(ISBLANK($B3595),"",IFERROR(VLOOKUP($B3595,ESTOQUE!$B$2:$D$97168,3,FALSE),"Produto não cadastrado"))</f>
        <v>BOTA PVC CANO MEDIO Nº 39</v>
      </c>
      <c r="E3595" s="99" t="str">
        <f>_xlfn.XLOOKUP(B3595,ESTOQUE!B:B,ESTOQUE!G:G,"",0)</f>
        <v>PAR</v>
      </c>
      <c r="F3595" s="152">
        <v>0</v>
      </c>
    </row>
    <row r="3596" spans="1:6" x14ac:dyDescent="0.25">
      <c r="A3596" s="108">
        <v>46149</v>
      </c>
      <c r="B3596" s="152">
        <v>217</v>
      </c>
      <c r="C3596" s="108" t="s">
        <v>19</v>
      </c>
      <c r="D3596" s="110" t="str">
        <f>IF(ISBLANK($B3596),"",IFERROR(VLOOKUP($B3596,ESTOQUE!$B$2:$D$97168,3,FALSE),"Produto não cadastrado"))</f>
        <v>BOTINA SEGURANÇA METATARSO  40</v>
      </c>
      <c r="E3596" s="99" t="str">
        <f>_xlfn.XLOOKUP(B3596,ESTOQUE!B:B,ESTOQUE!G:G,"",0)</f>
        <v>PAR</v>
      </c>
      <c r="F3596" s="152">
        <v>1</v>
      </c>
    </row>
    <row r="3597" spans="1:6" x14ac:dyDescent="0.25">
      <c r="A3597" s="108">
        <v>46149</v>
      </c>
      <c r="B3597" s="152">
        <v>46</v>
      </c>
      <c r="C3597" s="108" t="s">
        <v>19</v>
      </c>
      <c r="D3597" s="110" t="str">
        <f>IF(ISBLANK($B3597),"",IFERROR(VLOOKUP($B3597,ESTOQUE!$B$2:$D$97168,3,FALSE),"Produto não cadastrado"))</f>
        <v>CALÇA CINZA OP. C/ FAIXA REFLETIVA TAM: G</v>
      </c>
      <c r="E3597" s="99" t="str">
        <f>_xlfn.XLOOKUP(B3597,ESTOQUE!B:B,ESTOQUE!G:G,"",0)</f>
        <v>UND</v>
      </c>
      <c r="F3597" s="152">
        <v>4</v>
      </c>
    </row>
    <row r="3598" spans="1:6" x14ac:dyDescent="0.25">
      <c r="A3598" s="108">
        <v>46149</v>
      </c>
      <c r="B3598" s="152">
        <v>47</v>
      </c>
      <c r="C3598" s="108" t="s">
        <v>19</v>
      </c>
      <c r="D3598" s="110" t="str">
        <f>IF(ISBLANK($B3598),"",IFERROR(VLOOKUP($B3598,ESTOQUE!$B$2:$D$97168,3,FALSE),"Produto não cadastrado"))</f>
        <v>CALÇA CINZA OP. C/ FAIXA REFLETIVA TAM: GG</v>
      </c>
      <c r="E3598" s="99" t="str">
        <f>_xlfn.XLOOKUP(B3598,ESTOQUE!B:B,ESTOQUE!G:G,"",0)</f>
        <v>UND</v>
      </c>
      <c r="F3598" s="152">
        <v>4</v>
      </c>
    </row>
    <row r="3599" spans="1:6" x14ac:dyDescent="0.25">
      <c r="A3599" s="108">
        <v>46149</v>
      </c>
      <c r="B3599" s="152">
        <v>48</v>
      </c>
      <c r="C3599" s="108" t="s">
        <v>19</v>
      </c>
      <c r="D3599" s="110" t="str">
        <f>IF(ISBLANK($B3599),"",IFERROR(VLOOKUP($B3599,ESTOQUE!$B$2:$D$97168,3,FALSE),"Produto não cadastrado"))</f>
        <v>CALÇA CINZA OP. C/ FAIXA REFLETIVA TAM: M</v>
      </c>
      <c r="E3599" s="99" t="str">
        <f>_xlfn.XLOOKUP(B3599,ESTOQUE!B:B,ESTOQUE!G:G,"",0)</f>
        <v>UND</v>
      </c>
      <c r="F3599" s="152">
        <v>5</v>
      </c>
    </row>
    <row r="3600" spans="1:6" x14ac:dyDescent="0.25">
      <c r="A3600" s="108">
        <v>46149</v>
      </c>
      <c r="B3600" s="152">
        <v>49</v>
      </c>
      <c r="C3600" s="108" t="s">
        <v>19</v>
      </c>
      <c r="D3600" s="110" t="str">
        <f>IF(ISBLANK($B3600),"",IFERROR(VLOOKUP($B3600,ESTOQUE!$B$2:$D$97168,3,FALSE),"Produto não cadastrado"))</f>
        <v>CALÇA CINZA OP. C/ FAIXA REFLETIVA TAM: P</v>
      </c>
      <c r="E3600" s="99" t="str">
        <f>_xlfn.XLOOKUP(B3600,ESTOQUE!B:B,ESTOQUE!G:G,"",0)</f>
        <v>UND</v>
      </c>
      <c r="F3600" s="152">
        <v>7</v>
      </c>
    </row>
    <row r="3601" spans="1:6" x14ac:dyDescent="0.25">
      <c r="A3601" s="108">
        <v>46149</v>
      </c>
      <c r="B3601" s="152">
        <v>67</v>
      </c>
      <c r="C3601" s="108" t="s">
        <v>19</v>
      </c>
      <c r="D3601" s="110" t="str">
        <f>IF(ISBLANK($B3601),"",IFERROR(VLOOKUP($B3601,ESTOQUE!$B$2:$D$97168,3,FALSE),"Produto não cadastrado"))</f>
        <v>CAMISA LARANJA OP. C/ FAIXA REFLETIVA TAM: G</v>
      </c>
      <c r="E3601" s="99" t="str">
        <f>_xlfn.XLOOKUP(B3601,ESTOQUE!B:B,ESTOQUE!G:G,"",0)</f>
        <v>UND</v>
      </c>
      <c r="F3601" s="152">
        <v>6</v>
      </c>
    </row>
    <row r="3602" spans="1:6" x14ac:dyDescent="0.25">
      <c r="A3602" s="108">
        <v>46149</v>
      </c>
      <c r="B3602" s="152">
        <v>68</v>
      </c>
      <c r="C3602" s="108" t="s">
        <v>19</v>
      </c>
      <c r="D3602" s="110" t="str">
        <f>IF(ISBLANK($B3602),"",IFERROR(VLOOKUP($B3602,ESTOQUE!$B$2:$D$97168,3,FALSE),"Produto não cadastrado"))</f>
        <v>CAMISA LARANJA OP. C/ FAIXA REFLETIVA TAM: GG</v>
      </c>
      <c r="E3602" s="99" t="str">
        <f>_xlfn.XLOOKUP(B3602,ESTOQUE!B:B,ESTOQUE!G:G,"",0)</f>
        <v>UND</v>
      </c>
      <c r="F3602" s="152">
        <v>1</v>
      </c>
    </row>
    <row r="3603" spans="1:6" x14ac:dyDescent="0.25">
      <c r="A3603" s="108">
        <v>46149</v>
      </c>
      <c r="B3603" s="152">
        <v>69</v>
      </c>
      <c r="C3603" s="108" t="s">
        <v>19</v>
      </c>
      <c r="D3603" s="110" t="str">
        <f>IF(ISBLANK($B3603),"",IFERROR(VLOOKUP($B3603,ESTOQUE!$B$2:$D$97168,3,FALSE),"Produto não cadastrado"))</f>
        <v>CAMISA LARANJA OP. C/ FAIXA REFLETIVA TAM: M</v>
      </c>
      <c r="E3603" s="99" t="str">
        <f>_xlfn.XLOOKUP(B3603,ESTOQUE!B:B,ESTOQUE!G:G,"",0)</f>
        <v>UND</v>
      </c>
      <c r="F3603" s="152">
        <v>3</v>
      </c>
    </row>
    <row r="3604" spans="1:6" x14ac:dyDescent="0.25">
      <c r="A3604" s="108">
        <v>46149</v>
      </c>
      <c r="B3604" s="152">
        <v>70</v>
      </c>
      <c r="C3604" s="108" t="s">
        <v>19</v>
      </c>
      <c r="D3604" s="110" t="str">
        <f>IF(ISBLANK($B3604),"",IFERROR(VLOOKUP($B3604,ESTOQUE!$B$2:$D$97168,3,FALSE),"Produto não cadastrado"))</f>
        <v>CAMISA LARANJA OP. C/ FAIXA REFLETIVA TAM: P</v>
      </c>
      <c r="E3604" s="99" t="str">
        <f>_xlfn.XLOOKUP(B3604,ESTOQUE!B:B,ESTOQUE!G:G,"",0)</f>
        <v>UND</v>
      </c>
      <c r="F3604" s="152">
        <v>1</v>
      </c>
    </row>
    <row r="3605" spans="1:6" x14ac:dyDescent="0.25">
      <c r="A3605" s="108">
        <v>46149</v>
      </c>
      <c r="B3605" s="152">
        <v>97</v>
      </c>
      <c r="C3605" s="108" t="s">
        <v>19</v>
      </c>
      <c r="D3605" s="110" t="str">
        <f>IF(ISBLANK($B3605),"",IFERROR(VLOOKUP($B3605,ESTOQUE!$B$2:$D$97168,3,FALSE),"Produto não cadastrado"))</f>
        <v>COLETE REFLETIVO LARANJA M</v>
      </c>
      <c r="E3605" s="99" t="str">
        <f>_xlfn.XLOOKUP(B3605,ESTOQUE!B:B,ESTOQUE!G:G,"",0)</f>
        <v>UND</v>
      </c>
      <c r="F3605" s="152">
        <v>4</v>
      </c>
    </row>
    <row r="3606" spans="1:6" x14ac:dyDescent="0.25">
      <c r="A3606" s="108">
        <v>46149</v>
      </c>
      <c r="B3606" s="152">
        <v>110</v>
      </c>
      <c r="C3606" s="108" t="s">
        <v>19</v>
      </c>
      <c r="D3606" s="110" t="str">
        <f>IF(ISBLANK($B3606),"",IFERROR(VLOOKUP($B3606,ESTOQUE!$B$2:$D$97168,3,FALSE),"Produto não cadastrado"))</f>
        <v>LUVA DE RASPA CANO LONGO</v>
      </c>
      <c r="E3606" s="99" t="str">
        <f>_xlfn.XLOOKUP(B3606,ESTOQUE!B:B,ESTOQUE!G:G,"",0)</f>
        <v>PAR</v>
      </c>
      <c r="F3606" s="152">
        <v>2</v>
      </c>
    </row>
    <row r="3607" spans="1:6" x14ac:dyDescent="0.25">
      <c r="A3607" s="108">
        <v>46149</v>
      </c>
      <c r="B3607" s="152">
        <v>111</v>
      </c>
      <c r="C3607" s="108" t="s">
        <v>19</v>
      </c>
      <c r="D3607" s="110" t="str">
        <f>IF(ISBLANK($B3607),"",IFERROR(VLOOKUP($B3607,ESTOQUE!$B$2:$D$97168,3,FALSE),"Produto não cadastrado"))</f>
        <v>LUVA DE VAQUETA MARROM</v>
      </c>
      <c r="E3607" s="99" t="str">
        <f>_xlfn.XLOOKUP(B3607,ESTOQUE!B:B,ESTOQUE!G:G,"",0)</f>
        <v>PAR</v>
      </c>
      <c r="F3607" s="152">
        <v>0</v>
      </c>
    </row>
    <row r="3608" spans="1:6" x14ac:dyDescent="0.25">
      <c r="A3608" s="108">
        <v>46149</v>
      </c>
      <c r="B3608" s="152">
        <v>114</v>
      </c>
      <c r="C3608" s="108" t="s">
        <v>19</v>
      </c>
      <c r="D3608" s="110" t="str">
        <f>IF(ISBLANK($B3608),"",IFERROR(VLOOKUP($B3608,ESTOQUE!$B$2:$D$97168,3,FALSE),"Produto não cadastrado"))</f>
        <v xml:space="preserve">LUVA LATEX NITRILICA </v>
      </c>
      <c r="E3608" s="99" t="str">
        <f>_xlfn.XLOOKUP(B3608,ESTOQUE!B:B,ESTOQUE!G:G,"",0)</f>
        <v>PAR</v>
      </c>
      <c r="F3608" s="152">
        <v>12</v>
      </c>
    </row>
    <row r="3609" spans="1:6" x14ac:dyDescent="0.25">
      <c r="A3609" s="108">
        <v>46149</v>
      </c>
      <c r="B3609" s="152">
        <v>117</v>
      </c>
      <c r="C3609" s="108" t="s">
        <v>19</v>
      </c>
      <c r="D3609" s="110" t="str">
        <f>IF(ISBLANK($B3609),"",IFERROR(VLOOKUP($B3609,ESTOQUE!$B$2:$D$97168,3,FALSE),"Produto não cadastrado"))</f>
        <v>LUVA PIGMENTADA</v>
      </c>
      <c r="E3609" s="99" t="str">
        <f>_xlfn.XLOOKUP(B3609,ESTOQUE!B:B,ESTOQUE!G:G,"",0)</f>
        <v>PAR</v>
      </c>
      <c r="F3609" s="152">
        <v>3</v>
      </c>
    </row>
    <row r="3610" spans="1:6" x14ac:dyDescent="0.25">
      <c r="A3610" s="108">
        <v>46149</v>
      </c>
      <c r="B3610" s="152">
        <v>118</v>
      </c>
      <c r="C3610" s="108" t="s">
        <v>19</v>
      </c>
      <c r="D3610" s="110" t="str">
        <f>IF(ISBLANK($B3610),"",IFERROR(VLOOKUP($B3610,ESTOQUE!$B$2:$D$97168,3,FALSE),"Produto não cadastrado"))</f>
        <v>MACACÃO DE PROTEÇÃO TYVEK</v>
      </c>
      <c r="E3610" s="99" t="str">
        <f>_xlfn.XLOOKUP(B3610,ESTOQUE!B:B,ESTOQUE!G:G,"",0)</f>
        <v>UND</v>
      </c>
      <c r="F3610" s="152">
        <v>1</v>
      </c>
    </row>
    <row r="3611" spans="1:6" x14ac:dyDescent="0.25">
      <c r="A3611" s="108">
        <v>46149</v>
      </c>
      <c r="B3611" s="152">
        <v>144</v>
      </c>
      <c r="C3611" s="108" t="s">
        <v>19</v>
      </c>
      <c r="D3611" s="110" t="str">
        <f>IF(ISBLANK($B3611),"",IFERROR(VLOOKUP($B3611,ESTOQUE!$B$2:$D$97168,3,FALSE),"Produto não cadastrado"))</f>
        <v>MASCARA PFF2-S C/ FILTRO</v>
      </c>
      <c r="E3611" s="99" t="str">
        <f>_xlfn.XLOOKUP(B3611,ESTOQUE!B:B,ESTOQUE!G:G,"",0)</f>
        <v>UND</v>
      </c>
      <c r="F3611" s="152">
        <v>0</v>
      </c>
    </row>
    <row r="3612" spans="1:6" x14ac:dyDescent="0.25">
      <c r="A3612" s="108">
        <v>46149</v>
      </c>
      <c r="B3612" s="152">
        <v>126</v>
      </c>
      <c r="C3612" s="108" t="s">
        <v>19</v>
      </c>
      <c r="D3612" s="110" t="str">
        <f>IF(ISBLANK($B3612),"",IFERROR(VLOOKUP($B3612,ESTOQUE!$B$2:$D$97168,3,FALSE),"Produto não cadastrado"))</f>
        <v>OCULOS DE PROTEÇÃO ESCURO</v>
      </c>
      <c r="E3612" s="99" t="str">
        <f>_xlfn.XLOOKUP(B3612,ESTOQUE!B:B,ESTOQUE!G:G,"",0)</f>
        <v>UND</v>
      </c>
      <c r="F3612" s="152">
        <v>4</v>
      </c>
    </row>
    <row r="3613" spans="1:6" x14ac:dyDescent="0.25">
      <c r="A3613" s="108">
        <v>46150</v>
      </c>
      <c r="B3613" s="152">
        <v>144</v>
      </c>
      <c r="C3613" s="108" t="s">
        <v>19</v>
      </c>
      <c r="D3613" s="110" t="str">
        <f>IF(ISBLANK($B3613),"",IFERROR(VLOOKUP($B3613,ESTOQUE!$B$2:$D$97168,3,FALSE),"Produto não cadastrado"))</f>
        <v>MASCARA PFF2-S C/ FILTRO</v>
      </c>
      <c r="E3613" s="99" t="str">
        <f>_xlfn.XLOOKUP(B3613,ESTOQUE!B:B,ESTOQUE!G:G,"",0)</f>
        <v>UND</v>
      </c>
      <c r="F3613" s="152">
        <v>387</v>
      </c>
    </row>
    <row r="3614" spans="1:6" x14ac:dyDescent="0.25">
      <c r="A3614" s="108">
        <v>46150</v>
      </c>
      <c r="B3614" s="152">
        <v>190</v>
      </c>
      <c r="C3614" s="108" t="s">
        <v>19</v>
      </c>
      <c r="D3614" s="110" t="str">
        <f>IF(ISBLANK($B3614),"",IFERROR(VLOOKUP($B3614,ESTOQUE!$B$2:$D$97168,3,FALSE),"Produto não cadastrado"))</f>
        <v>AVENTAL DE RASPA TAM 120X60</v>
      </c>
      <c r="E3614" s="99" t="str">
        <f>_xlfn.XLOOKUP(B3614,ESTOQUE!B:B,ESTOQUE!G:G,"",0)</f>
        <v>UND</v>
      </c>
      <c r="F3614" s="152">
        <v>1</v>
      </c>
    </row>
    <row r="3615" spans="1:6" x14ac:dyDescent="0.25">
      <c r="A3615" s="108">
        <v>46150</v>
      </c>
      <c r="B3615" s="152">
        <v>228</v>
      </c>
      <c r="C3615" s="108" t="s">
        <v>19</v>
      </c>
      <c r="D3615" s="110" t="str">
        <f>IF(ISBLANK($B3615),"",IFERROR(VLOOKUP($B3615,ESTOQUE!$B$2:$D$97168,3,FALSE),"Produto não cadastrado"))</f>
        <v xml:space="preserve">BALACLAVA  </v>
      </c>
      <c r="E3615" s="99" t="str">
        <f>_xlfn.XLOOKUP(B3615,ESTOQUE!B:B,ESTOQUE!G:G,"",0)</f>
        <v>UND</v>
      </c>
      <c r="F3615" s="152">
        <v>7</v>
      </c>
    </row>
    <row r="3616" spans="1:6" x14ac:dyDescent="0.25">
      <c r="A3616" s="108">
        <v>46150</v>
      </c>
      <c r="B3616" s="152">
        <v>21</v>
      </c>
      <c r="C3616" s="108" t="s">
        <v>19</v>
      </c>
      <c r="D3616" s="110" t="str">
        <f>IF(ISBLANK($B3616),"",IFERROR(VLOOKUP($B3616,ESTOQUE!$B$2:$D$97168,3,FALSE),"Produto não cadastrado"))</f>
        <v>BOTA PVC CANO MEDIO Nº 42</v>
      </c>
      <c r="E3616" s="99" t="str">
        <f>_xlfn.XLOOKUP(B3616,ESTOQUE!B:B,ESTOQUE!G:G,"",0)</f>
        <v>PAR</v>
      </c>
      <c r="F3616" s="152">
        <v>3</v>
      </c>
    </row>
    <row r="3617" spans="1:6" x14ac:dyDescent="0.25">
      <c r="A3617" s="108">
        <v>46150</v>
      </c>
      <c r="B3617" s="152">
        <v>36</v>
      </c>
      <c r="C3617" s="108" t="s">
        <v>19</v>
      </c>
      <c r="D3617" s="110" t="str">
        <f>IF(ISBLANK($B3617),"",IFERROR(VLOOKUP($B3617,ESTOQUE!$B$2:$D$97168,3,FALSE),"Produto não cadastrado"))</f>
        <v>BOTINA OP. BICO PVC Nº 38</v>
      </c>
      <c r="E3617" s="99" t="str">
        <f>_xlfn.XLOOKUP(B3617,ESTOQUE!B:B,ESTOQUE!G:G,"",0)</f>
        <v>PAR</v>
      </c>
      <c r="F3617" s="152">
        <v>2</v>
      </c>
    </row>
    <row r="3618" spans="1:6" x14ac:dyDescent="0.25">
      <c r="A3618" s="108">
        <v>46150</v>
      </c>
      <c r="B3618" s="152">
        <v>41</v>
      </c>
      <c r="C3618" s="108" t="s">
        <v>19</v>
      </c>
      <c r="D3618" s="110" t="str">
        <f>IF(ISBLANK($B3618),"",IFERROR(VLOOKUP($B3618,ESTOQUE!$B$2:$D$97168,3,FALSE),"Produto não cadastrado"))</f>
        <v>BOTINA OP. BICO PVC Nº 43</v>
      </c>
      <c r="E3618" s="99" t="str">
        <f>_xlfn.XLOOKUP(B3618,ESTOQUE!B:B,ESTOQUE!G:G,"",0)</f>
        <v>PAR</v>
      </c>
      <c r="F3618" s="152">
        <v>2</v>
      </c>
    </row>
    <row r="3619" spans="1:6" x14ac:dyDescent="0.25">
      <c r="A3619" s="108">
        <v>46150</v>
      </c>
      <c r="B3619" s="152">
        <v>219</v>
      </c>
      <c r="C3619" s="108" t="s">
        <v>19</v>
      </c>
      <c r="D3619" s="110" t="str">
        <f>IF(ISBLANK($B3619),"",IFERROR(VLOOKUP($B3619,ESTOQUE!$B$2:$D$97168,3,FALSE),"Produto não cadastrado"))</f>
        <v>BOTINA SEGURANÇA METATARSO  42</v>
      </c>
      <c r="E3619" s="99" t="str">
        <f>_xlfn.XLOOKUP(B3619,ESTOQUE!B:B,ESTOQUE!G:G,"",0)</f>
        <v>PAR</v>
      </c>
      <c r="F3619" s="152">
        <v>1</v>
      </c>
    </row>
    <row r="3620" spans="1:6" x14ac:dyDescent="0.25">
      <c r="A3620" s="108">
        <v>46150</v>
      </c>
      <c r="B3620" s="152">
        <v>46</v>
      </c>
      <c r="C3620" s="108" t="s">
        <v>19</v>
      </c>
      <c r="D3620" s="110" t="str">
        <f>IF(ISBLANK($B3620),"",IFERROR(VLOOKUP($B3620,ESTOQUE!$B$2:$D$97168,3,FALSE),"Produto não cadastrado"))</f>
        <v>CALÇA CINZA OP. C/ FAIXA REFLETIVA TAM: G</v>
      </c>
      <c r="E3620" s="99" t="str">
        <f>_xlfn.XLOOKUP(B3620,ESTOQUE!B:B,ESTOQUE!G:G,"",0)</f>
        <v>UND</v>
      </c>
      <c r="F3620" s="152">
        <v>3</v>
      </c>
    </row>
    <row r="3621" spans="1:6" x14ac:dyDescent="0.25">
      <c r="A3621" s="108">
        <v>46150</v>
      </c>
      <c r="B3621" s="152">
        <v>47</v>
      </c>
      <c r="C3621" s="108" t="s">
        <v>19</v>
      </c>
      <c r="D3621" s="110" t="str">
        <f>IF(ISBLANK($B3621),"",IFERROR(VLOOKUP($B3621,ESTOQUE!$B$2:$D$97168,3,FALSE),"Produto não cadastrado"))</f>
        <v>CALÇA CINZA OP. C/ FAIXA REFLETIVA TAM: GG</v>
      </c>
      <c r="E3621" s="99" t="str">
        <f>_xlfn.XLOOKUP(B3621,ESTOQUE!B:B,ESTOQUE!G:G,"",0)</f>
        <v>UND</v>
      </c>
      <c r="F3621" s="152">
        <v>2</v>
      </c>
    </row>
    <row r="3622" spans="1:6" x14ac:dyDescent="0.25">
      <c r="A3622" s="108">
        <v>46150</v>
      </c>
      <c r="B3622" s="152">
        <v>48</v>
      </c>
      <c r="C3622" s="108" t="s">
        <v>19</v>
      </c>
      <c r="D3622" s="110" t="str">
        <f>IF(ISBLANK($B3622),"",IFERROR(VLOOKUP($B3622,ESTOQUE!$B$2:$D$97168,3,FALSE),"Produto não cadastrado"))</f>
        <v>CALÇA CINZA OP. C/ FAIXA REFLETIVA TAM: M</v>
      </c>
      <c r="E3622" s="99" t="str">
        <f>_xlfn.XLOOKUP(B3622,ESTOQUE!B:B,ESTOQUE!G:G,"",0)</f>
        <v>UND</v>
      </c>
      <c r="F3622" s="152">
        <v>7</v>
      </c>
    </row>
    <row r="3623" spans="1:6" x14ac:dyDescent="0.25">
      <c r="A3623" s="108">
        <v>46150</v>
      </c>
      <c r="B3623" s="152">
        <v>49</v>
      </c>
      <c r="C3623" s="108" t="s">
        <v>19</v>
      </c>
      <c r="D3623" s="110" t="str">
        <f>IF(ISBLANK($B3623),"",IFERROR(VLOOKUP($B3623,ESTOQUE!$B$2:$D$97168,3,FALSE),"Produto não cadastrado"))</f>
        <v>CALÇA CINZA OP. C/ FAIXA REFLETIVA TAM: P</v>
      </c>
      <c r="E3623" s="99" t="str">
        <f>_xlfn.XLOOKUP(B3623,ESTOQUE!B:B,ESTOQUE!G:G,"",0)</f>
        <v>UND</v>
      </c>
      <c r="F3623" s="152">
        <v>4</v>
      </c>
    </row>
    <row r="3624" spans="1:6" x14ac:dyDescent="0.25">
      <c r="A3624" s="108">
        <v>46150</v>
      </c>
      <c r="B3624" s="152">
        <v>67</v>
      </c>
      <c r="C3624" s="108" t="s">
        <v>19</v>
      </c>
      <c r="D3624" s="110" t="str">
        <f>IF(ISBLANK($B3624),"",IFERROR(VLOOKUP($B3624,ESTOQUE!$B$2:$D$97168,3,FALSE),"Produto não cadastrado"))</f>
        <v>CAMISA LARANJA OP. C/ FAIXA REFLETIVA TAM: G</v>
      </c>
      <c r="E3624" s="99" t="str">
        <f>_xlfn.XLOOKUP(B3624,ESTOQUE!B:B,ESTOQUE!G:G,"",0)</f>
        <v>UND</v>
      </c>
      <c r="F3624" s="152">
        <v>1</v>
      </c>
    </row>
    <row r="3625" spans="1:6" x14ac:dyDescent="0.25">
      <c r="A3625" s="108">
        <v>46150</v>
      </c>
      <c r="B3625" s="152">
        <v>68</v>
      </c>
      <c r="C3625" s="108" t="s">
        <v>19</v>
      </c>
      <c r="D3625" s="110" t="str">
        <f>IF(ISBLANK($B3625),"",IFERROR(VLOOKUP($B3625,ESTOQUE!$B$2:$D$97168,3,FALSE),"Produto não cadastrado"))</f>
        <v>CAMISA LARANJA OP. C/ FAIXA REFLETIVA TAM: GG</v>
      </c>
      <c r="E3625" s="99" t="str">
        <f>_xlfn.XLOOKUP(B3625,ESTOQUE!B:B,ESTOQUE!G:G,"",0)</f>
        <v>UND</v>
      </c>
      <c r="F3625" s="152">
        <v>1</v>
      </c>
    </row>
    <row r="3626" spans="1:6" x14ac:dyDescent="0.25">
      <c r="A3626" s="108">
        <v>46150</v>
      </c>
      <c r="B3626" s="152">
        <v>69</v>
      </c>
      <c r="C3626" s="108" t="s">
        <v>19</v>
      </c>
      <c r="D3626" s="110" t="str">
        <f>IF(ISBLANK($B3626),"",IFERROR(VLOOKUP($B3626,ESTOQUE!$B$2:$D$97168,3,FALSE),"Produto não cadastrado"))</f>
        <v>CAMISA LARANJA OP. C/ FAIXA REFLETIVA TAM: M</v>
      </c>
      <c r="E3626" s="99" t="str">
        <f>_xlfn.XLOOKUP(B3626,ESTOQUE!B:B,ESTOQUE!G:G,"",0)</f>
        <v>UND</v>
      </c>
      <c r="F3626" s="152">
        <v>7</v>
      </c>
    </row>
    <row r="3627" spans="1:6" x14ac:dyDescent="0.25">
      <c r="A3627" s="108">
        <v>46150</v>
      </c>
      <c r="B3627" s="152">
        <v>70</v>
      </c>
      <c r="C3627" s="108" t="s">
        <v>19</v>
      </c>
      <c r="D3627" s="110" t="str">
        <f>IF(ISBLANK($B3627),"",IFERROR(VLOOKUP($B3627,ESTOQUE!$B$2:$D$97168,3,FALSE),"Produto não cadastrado"))</f>
        <v>CAMISA LARANJA OP. C/ FAIXA REFLETIVA TAM: P</v>
      </c>
      <c r="E3627" s="99" t="str">
        <f>_xlfn.XLOOKUP(B3627,ESTOQUE!B:B,ESTOQUE!G:G,"",0)</f>
        <v>UND</v>
      </c>
      <c r="F3627" s="152">
        <v>2</v>
      </c>
    </row>
    <row r="3628" spans="1:6" x14ac:dyDescent="0.25">
      <c r="A3628" s="108">
        <v>46150</v>
      </c>
      <c r="B3628" s="152">
        <v>97</v>
      </c>
      <c r="C3628" s="108" t="s">
        <v>19</v>
      </c>
      <c r="D3628" s="110" t="str">
        <f>IF(ISBLANK($B3628),"",IFERROR(VLOOKUP($B3628,ESTOQUE!$B$2:$D$97168,3,FALSE),"Produto não cadastrado"))</f>
        <v>COLETE REFLETIVO LARANJA M</v>
      </c>
      <c r="E3628" s="99" t="str">
        <f>_xlfn.XLOOKUP(B3628,ESTOQUE!B:B,ESTOQUE!G:G,"",0)</f>
        <v>UND</v>
      </c>
      <c r="F3628" s="152">
        <v>1</v>
      </c>
    </row>
    <row r="3629" spans="1:6" x14ac:dyDescent="0.25">
      <c r="A3629" s="108">
        <v>46150</v>
      </c>
      <c r="B3629" s="152">
        <v>161</v>
      </c>
      <c r="C3629" s="108" t="s">
        <v>19</v>
      </c>
      <c r="D3629" s="110" t="str">
        <f>IF(ISBLANK($B3629),"",IFERROR(VLOOKUP($B3629,ESTOQUE!$B$2:$D$97168,3,FALSE),"Produto não cadastrado"))</f>
        <v>JUGULAR</v>
      </c>
      <c r="E3629" s="99" t="str">
        <f>_xlfn.XLOOKUP(B3629,ESTOQUE!B:B,ESTOQUE!G:G,"",0)</f>
        <v>UND</v>
      </c>
      <c r="F3629" s="152">
        <v>1</v>
      </c>
    </row>
    <row r="3630" spans="1:6" x14ac:dyDescent="0.25">
      <c r="A3630" s="108">
        <v>46150</v>
      </c>
      <c r="B3630" s="152">
        <v>110</v>
      </c>
      <c r="C3630" s="108" t="s">
        <v>19</v>
      </c>
      <c r="D3630" s="110" t="str">
        <f>IF(ISBLANK($B3630),"",IFERROR(VLOOKUP($B3630,ESTOQUE!$B$2:$D$97168,3,FALSE),"Produto não cadastrado"))</f>
        <v>LUVA DE RASPA CANO LONGO</v>
      </c>
      <c r="E3630" s="99" t="str">
        <f>_xlfn.XLOOKUP(B3630,ESTOQUE!B:B,ESTOQUE!G:G,"",0)</f>
        <v>PAR</v>
      </c>
      <c r="F3630" s="152">
        <v>1</v>
      </c>
    </row>
    <row r="3631" spans="1:6" x14ac:dyDescent="0.25">
      <c r="A3631" s="108">
        <v>46150</v>
      </c>
      <c r="B3631" s="152">
        <v>141</v>
      </c>
      <c r="C3631" s="108" t="s">
        <v>19</v>
      </c>
      <c r="D3631" s="110" t="str">
        <f>IF(ISBLANK($B3631),"",IFERROR(VLOOKUP($B3631,ESTOQUE!$B$2:$D$97168,3,FALSE),"Produto não cadastrado"))</f>
        <v xml:space="preserve">LUVA DE VAQUETA </v>
      </c>
      <c r="E3631" s="99" t="str">
        <f>_xlfn.XLOOKUP(B3631,ESTOQUE!B:B,ESTOQUE!G:G,"",0)</f>
        <v>PAR</v>
      </c>
      <c r="F3631" s="152">
        <v>2</v>
      </c>
    </row>
    <row r="3632" spans="1:6" x14ac:dyDescent="0.25">
      <c r="A3632" s="108">
        <v>46150</v>
      </c>
      <c r="B3632" s="152">
        <v>117</v>
      </c>
      <c r="C3632" s="108" t="s">
        <v>19</v>
      </c>
      <c r="D3632" s="110" t="str">
        <f>IF(ISBLANK($B3632),"",IFERROR(VLOOKUP($B3632,ESTOQUE!$B$2:$D$97168,3,FALSE),"Produto não cadastrado"))</f>
        <v>LUVA PIGMENTADA</v>
      </c>
      <c r="E3632" s="99" t="str">
        <f>_xlfn.XLOOKUP(B3632,ESTOQUE!B:B,ESTOQUE!G:G,"",0)</f>
        <v>PAR</v>
      </c>
      <c r="F3632" s="152">
        <v>4</v>
      </c>
    </row>
    <row r="3633" spans="1:6" x14ac:dyDescent="0.25">
      <c r="A3633" s="108">
        <v>46150</v>
      </c>
      <c r="B3633" s="152">
        <v>267</v>
      </c>
      <c r="C3633" s="108" t="s">
        <v>19</v>
      </c>
      <c r="D3633" s="110" t="str">
        <f>IF(ISBLANK($B3633),"",IFERROR(VLOOKUP($B3633,ESTOQUE!$B$2:$D$97168,3,FALSE),"Produto não cadastrado"))</f>
        <v>LUVA POLIESTER ANTICORTE CANO LONGO</v>
      </c>
      <c r="E3633" s="99" t="str">
        <f>_xlfn.XLOOKUP(B3633,ESTOQUE!B:B,ESTOQUE!G:G,"",0)</f>
        <v>UND</v>
      </c>
      <c r="F3633" s="152">
        <v>2</v>
      </c>
    </row>
    <row r="3634" spans="1:6" x14ac:dyDescent="0.25">
      <c r="A3634" s="108">
        <v>46150</v>
      </c>
      <c r="B3634" s="152">
        <v>126</v>
      </c>
      <c r="C3634" s="108" t="s">
        <v>19</v>
      </c>
      <c r="D3634" s="110" t="str">
        <f>IF(ISBLANK($B3634),"",IFERROR(VLOOKUP($B3634,ESTOQUE!$B$2:$D$97168,3,FALSE),"Produto não cadastrado"))</f>
        <v>OCULOS DE PROTEÇÃO ESCURO</v>
      </c>
      <c r="E3634" s="99" t="str">
        <f>_xlfn.XLOOKUP(B3634,ESTOQUE!B:B,ESTOQUE!G:G,"",0)</f>
        <v>UND</v>
      </c>
      <c r="F3634" s="152">
        <v>1</v>
      </c>
    </row>
    <row r="3635" spans="1:6" x14ac:dyDescent="0.25">
      <c r="A3635" s="108">
        <v>46150</v>
      </c>
      <c r="B3635" s="152">
        <v>124</v>
      </c>
      <c r="C3635" s="108" t="s">
        <v>19</v>
      </c>
      <c r="D3635" s="110" t="str">
        <f>IF(ISBLANK($B3635),"",IFERROR(VLOOKUP($B3635,ESTOQUE!$B$2:$D$97168,3,FALSE),"Produto não cadastrado"))</f>
        <v xml:space="preserve">OCULOS DE PROTEÇÃO INCOLOR </v>
      </c>
      <c r="E3635" s="99" t="str">
        <f>_xlfn.XLOOKUP(B3635,ESTOQUE!B:B,ESTOQUE!G:G,"",0)</f>
        <v>UND</v>
      </c>
      <c r="F3635" s="152">
        <v>1</v>
      </c>
    </row>
    <row r="3636" spans="1:6" x14ac:dyDescent="0.25">
      <c r="A3636" s="108">
        <v>46150</v>
      </c>
      <c r="B3636" s="152">
        <v>139</v>
      </c>
      <c r="C3636" s="108" t="s">
        <v>19</v>
      </c>
      <c r="D3636" s="110" t="str">
        <f>IF(ISBLANK($B3636),"",IFERROR(VLOOKUP($B3636,ESTOQUE!$B$2:$D$97168,3,FALSE),"Produto não cadastrado"))</f>
        <v>PROTETOR AURICULAR TIPO PLUG</v>
      </c>
      <c r="E3636" s="99" t="str">
        <f>_xlfn.XLOOKUP(B3636,ESTOQUE!B:B,ESTOQUE!G:G,"",0)</f>
        <v>UND</v>
      </c>
      <c r="F3636" s="152">
        <v>1</v>
      </c>
    </row>
    <row r="3637" spans="1:6" x14ac:dyDescent="0.25">
      <c r="A3637" s="108">
        <v>46150</v>
      </c>
      <c r="B3637" s="152">
        <v>211</v>
      </c>
      <c r="C3637" s="108" t="s">
        <v>19</v>
      </c>
      <c r="D3637" s="110" t="str">
        <f>IF(ISBLANK($B3637),"",IFERROR(VLOOKUP($B3637,ESTOQUE!$B$2:$D$97168,3,FALSE),"Produto não cadastrado"))</f>
        <v>RESPIRADOR SEMIFACIAL T 9500</v>
      </c>
      <c r="E3637" s="99" t="str">
        <f>_xlfn.XLOOKUP(B3637,ESTOQUE!B:B,ESTOQUE!G:G,"",0)</f>
        <v>UND</v>
      </c>
      <c r="F3637" s="152">
        <v>4</v>
      </c>
    </row>
    <row r="3638" spans="1:6" x14ac:dyDescent="0.25">
      <c r="A3638" s="108">
        <v>46150</v>
      </c>
      <c r="B3638" s="152">
        <v>136</v>
      </c>
      <c r="C3638" s="108" t="s">
        <v>19</v>
      </c>
      <c r="D3638" s="110" t="str">
        <f>IF(ISBLANK($B3638),"",IFERROR(VLOOKUP($B3638,ESTOQUE!$B$2:$D$97168,3,FALSE),"Produto não cadastrado"))</f>
        <v>TAYCO CARTUCHO P/ GASES TGV-500 - MASCARA</v>
      </c>
      <c r="E3638" s="99" t="str">
        <f>_xlfn.XLOOKUP(B3638,ESTOQUE!B:B,ESTOQUE!G:G,"",0)</f>
        <v>UND</v>
      </c>
      <c r="F3638" s="152">
        <v>4</v>
      </c>
    </row>
    <row r="3639" spans="1:6" x14ac:dyDescent="0.25">
      <c r="A3639" s="108">
        <v>46151</v>
      </c>
      <c r="B3639" s="152">
        <v>190</v>
      </c>
      <c r="C3639" s="108" t="s">
        <v>19</v>
      </c>
      <c r="D3639" s="110" t="str">
        <f>IF(ISBLANK($B3639),"",IFERROR(VLOOKUP($B3639,ESTOQUE!$B$2:$D$97168,3,FALSE),"Produto não cadastrado"))</f>
        <v>AVENTAL DE RASPA TAM 120X60</v>
      </c>
      <c r="E3639" s="99" t="str">
        <f>_xlfn.XLOOKUP(B3639,ESTOQUE!B:B,ESTOQUE!G:G,"",0)</f>
        <v>UND</v>
      </c>
      <c r="F3639" s="152">
        <v>1</v>
      </c>
    </row>
    <row r="3640" spans="1:6" x14ac:dyDescent="0.25">
      <c r="A3640" s="108">
        <v>46151</v>
      </c>
      <c r="B3640" s="152">
        <v>228</v>
      </c>
      <c r="C3640" s="108" t="s">
        <v>19</v>
      </c>
      <c r="D3640" s="110" t="str">
        <f>IF(ISBLANK($B3640),"",IFERROR(VLOOKUP($B3640,ESTOQUE!$B$2:$D$97168,3,FALSE),"Produto não cadastrado"))</f>
        <v xml:space="preserve">BALACLAVA  </v>
      </c>
      <c r="E3640" s="99" t="str">
        <f>_xlfn.XLOOKUP(B3640,ESTOQUE!B:B,ESTOQUE!G:G,"",0)</f>
        <v>UND</v>
      </c>
      <c r="F3640" s="152">
        <v>4</v>
      </c>
    </row>
    <row r="3641" spans="1:6" x14ac:dyDescent="0.25">
      <c r="A3641" s="108">
        <v>46151</v>
      </c>
      <c r="B3641" s="152">
        <v>20</v>
      </c>
      <c r="C3641" s="108" t="s">
        <v>19</v>
      </c>
      <c r="D3641" s="110" t="str">
        <f>IF(ISBLANK($B3641),"",IFERROR(VLOOKUP($B3641,ESTOQUE!$B$2:$D$97168,3,FALSE),"Produto não cadastrado"))</f>
        <v>BOTA PVC CANO MEDIO Nº 41</v>
      </c>
      <c r="E3641" s="99" t="str">
        <f>_xlfn.XLOOKUP(B3641,ESTOQUE!B:B,ESTOQUE!G:G,"",0)</f>
        <v>PAR</v>
      </c>
      <c r="F3641" s="152">
        <v>1</v>
      </c>
    </row>
    <row r="3642" spans="1:6" x14ac:dyDescent="0.25">
      <c r="A3642" s="108">
        <v>46151</v>
      </c>
      <c r="B3642" s="152">
        <v>42</v>
      </c>
      <c r="C3642" s="108" t="s">
        <v>19</v>
      </c>
      <c r="D3642" s="110" t="str">
        <f>IF(ISBLANK($B3642),"",IFERROR(VLOOKUP($B3642,ESTOQUE!$B$2:$D$97168,3,FALSE),"Produto não cadastrado"))</f>
        <v>BOTINA OP. BICO PVC Nº 44</v>
      </c>
      <c r="E3642" s="99" t="str">
        <f>_xlfn.XLOOKUP(B3642,ESTOQUE!B:B,ESTOQUE!G:G,"",0)</f>
        <v>PAR</v>
      </c>
      <c r="F3642" s="152">
        <v>1</v>
      </c>
    </row>
    <row r="3643" spans="1:6" x14ac:dyDescent="0.25">
      <c r="A3643" s="108">
        <v>46151</v>
      </c>
      <c r="B3643" s="152">
        <v>217</v>
      </c>
      <c r="C3643" s="108" t="s">
        <v>19</v>
      </c>
      <c r="D3643" s="110" t="str">
        <f>IF(ISBLANK($B3643),"",IFERROR(VLOOKUP($B3643,ESTOQUE!$B$2:$D$97168,3,FALSE),"Produto não cadastrado"))</f>
        <v>BOTINA SEGURANÇA METATARSO  40</v>
      </c>
      <c r="E3643" s="99" t="str">
        <f>_xlfn.XLOOKUP(B3643,ESTOQUE!B:B,ESTOQUE!G:G,"",0)</f>
        <v>PAR</v>
      </c>
      <c r="F3643" s="152">
        <v>2</v>
      </c>
    </row>
    <row r="3644" spans="1:6" x14ac:dyDescent="0.25">
      <c r="A3644" s="108">
        <v>46151</v>
      </c>
      <c r="B3644" s="152">
        <v>218</v>
      </c>
      <c r="C3644" s="108" t="s">
        <v>19</v>
      </c>
      <c r="D3644" s="110" t="str">
        <f>IF(ISBLANK($B3644),"",IFERROR(VLOOKUP($B3644,ESTOQUE!$B$2:$D$97168,3,FALSE),"Produto não cadastrado"))</f>
        <v>BOTINA SEGURANÇA METATARSO  41</v>
      </c>
      <c r="E3644" s="99" t="str">
        <f>_xlfn.XLOOKUP(B3644,ESTOQUE!B:B,ESTOQUE!G:G,"",0)</f>
        <v>PAR</v>
      </c>
      <c r="F3644" s="152">
        <v>1</v>
      </c>
    </row>
    <row r="3645" spans="1:6" x14ac:dyDescent="0.25">
      <c r="A3645" s="108">
        <v>46151</v>
      </c>
      <c r="B3645" s="152">
        <v>219</v>
      </c>
      <c r="C3645" s="108" t="s">
        <v>19</v>
      </c>
      <c r="D3645" s="110" t="str">
        <f>IF(ISBLANK($B3645),"",IFERROR(VLOOKUP($B3645,ESTOQUE!$B$2:$D$97168,3,FALSE),"Produto não cadastrado"))</f>
        <v>BOTINA SEGURANÇA METATARSO  42</v>
      </c>
      <c r="E3645" s="99" t="str">
        <f>_xlfn.XLOOKUP(B3645,ESTOQUE!B:B,ESTOQUE!G:G,"",0)</f>
        <v>PAR</v>
      </c>
      <c r="F3645" s="152">
        <v>1</v>
      </c>
    </row>
    <row r="3646" spans="1:6" x14ac:dyDescent="0.25">
      <c r="A3646" s="108">
        <v>46151</v>
      </c>
      <c r="B3646" s="152">
        <v>46</v>
      </c>
      <c r="C3646" s="108" t="s">
        <v>19</v>
      </c>
      <c r="D3646" s="110" t="str">
        <f>IF(ISBLANK($B3646),"",IFERROR(VLOOKUP($B3646,ESTOQUE!$B$2:$D$97168,3,FALSE),"Produto não cadastrado"))</f>
        <v>CALÇA CINZA OP. C/ FAIXA REFLETIVA TAM: G</v>
      </c>
      <c r="E3646" s="99" t="str">
        <f>_xlfn.XLOOKUP(B3646,ESTOQUE!B:B,ESTOQUE!G:G,"",0)</f>
        <v>UND</v>
      </c>
      <c r="F3646" s="152">
        <v>7</v>
      </c>
    </row>
    <row r="3647" spans="1:6" x14ac:dyDescent="0.25">
      <c r="A3647" s="108">
        <v>46151</v>
      </c>
      <c r="B3647" s="152">
        <v>47</v>
      </c>
      <c r="C3647" s="108" t="s">
        <v>19</v>
      </c>
      <c r="D3647" s="110" t="str">
        <f>IF(ISBLANK($B3647),"",IFERROR(VLOOKUP($B3647,ESTOQUE!$B$2:$D$97168,3,FALSE),"Produto não cadastrado"))</f>
        <v>CALÇA CINZA OP. C/ FAIXA REFLETIVA TAM: GG</v>
      </c>
      <c r="E3647" s="99" t="str">
        <f>_xlfn.XLOOKUP(B3647,ESTOQUE!B:B,ESTOQUE!G:G,"",0)</f>
        <v>UND</v>
      </c>
      <c r="F3647" s="152">
        <v>1</v>
      </c>
    </row>
    <row r="3648" spans="1:6" x14ac:dyDescent="0.25">
      <c r="A3648" s="108">
        <v>46151</v>
      </c>
      <c r="B3648" s="152">
        <v>48</v>
      </c>
      <c r="C3648" s="108" t="s">
        <v>19</v>
      </c>
      <c r="D3648" s="110" t="str">
        <f>IF(ISBLANK($B3648),"",IFERROR(VLOOKUP($B3648,ESTOQUE!$B$2:$D$97168,3,FALSE),"Produto não cadastrado"))</f>
        <v>CALÇA CINZA OP. C/ FAIXA REFLETIVA TAM: M</v>
      </c>
      <c r="E3648" s="99" t="str">
        <f>_xlfn.XLOOKUP(B3648,ESTOQUE!B:B,ESTOQUE!G:G,"",0)</f>
        <v>UND</v>
      </c>
      <c r="F3648" s="152">
        <v>10</v>
      </c>
    </row>
    <row r="3649" spans="1:11" x14ac:dyDescent="0.25">
      <c r="A3649" s="108">
        <v>46151</v>
      </c>
      <c r="B3649" s="152">
        <v>49</v>
      </c>
      <c r="C3649" s="108" t="s">
        <v>19</v>
      </c>
      <c r="D3649" s="110" t="str">
        <f>IF(ISBLANK($B3649),"",IFERROR(VLOOKUP($B3649,ESTOQUE!$B$2:$D$97168,3,FALSE),"Produto não cadastrado"))</f>
        <v>CALÇA CINZA OP. C/ FAIXA REFLETIVA TAM: P</v>
      </c>
      <c r="E3649" s="99" t="str">
        <f>_xlfn.XLOOKUP(B3649,ESTOQUE!B:B,ESTOQUE!G:G,"",0)</f>
        <v>UND</v>
      </c>
      <c r="F3649" s="152">
        <v>7</v>
      </c>
    </row>
    <row r="3650" spans="1:11" x14ac:dyDescent="0.25">
      <c r="A3650" s="108">
        <v>46151</v>
      </c>
      <c r="B3650" s="152">
        <v>54</v>
      </c>
      <c r="C3650" s="108" t="s">
        <v>19</v>
      </c>
      <c r="D3650" s="110" t="str">
        <f>IF(ISBLANK($B3650),"",IFERROR(VLOOKUP($B3650,ESTOQUE!$B$2:$D$97168,3,FALSE),"Produto não cadastrado"))</f>
        <v>CALÇA DE ELETRICISTA NR.10 TAM: G</v>
      </c>
      <c r="E3650" s="99" t="str">
        <f>_xlfn.XLOOKUP(B3650,ESTOQUE!B:B,ESTOQUE!G:G,"",0)</f>
        <v>UND</v>
      </c>
      <c r="F3650" s="152">
        <v>1</v>
      </c>
    </row>
    <row r="3651" spans="1:11" x14ac:dyDescent="0.25">
      <c r="A3651" s="108">
        <v>46151</v>
      </c>
      <c r="B3651" s="152">
        <v>67</v>
      </c>
      <c r="C3651" s="108" t="s">
        <v>19</v>
      </c>
      <c r="D3651" s="110" t="str">
        <f>IF(ISBLANK($B3651),"",IFERROR(VLOOKUP($B3651,ESTOQUE!$B$2:$D$97168,3,FALSE),"Produto não cadastrado"))</f>
        <v>CAMISA LARANJA OP. C/ FAIXA REFLETIVA TAM: G</v>
      </c>
      <c r="E3651" s="99" t="str">
        <f>_xlfn.XLOOKUP(B3651,ESTOQUE!B:B,ESTOQUE!G:G,"",0)</f>
        <v>UND</v>
      </c>
      <c r="F3651" s="152">
        <v>3</v>
      </c>
    </row>
    <row r="3652" spans="1:11" x14ac:dyDescent="0.25">
      <c r="A3652" s="108">
        <v>46151</v>
      </c>
      <c r="B3652" s="152">
        <v>69</v>
      </c>
      <c r="C3652" s="108" t="s">
        <v>19</v>
      </c>
      <c r="D3652" s="110" t="str">
        <f>IF(ISBLANK($B3652),"",IFERROR(VLOOKUP($B3652,ESTOQUE!$B$2:$D$97168,3,FALSE),"Produto não cadastrado"))</f>
        <v>CAMISA LARANJA OP. C/ FAIXA REFLETIVA TAM: M</v>
      </c>
      <c r="E3652" s="99" t="str">
        <f>_xlfn.XLOOKUP(B3652,ESTOQUE!B:B,ESTOQUE!G:G,"",0)</f>
        <v>UND</v>
      </c>
      <c r="F3652" s="152">
        <v>6</v>
      </c>
    </row>
    <row r="3653" spans="1:11" x14ac:dyDescent="0.25">
      <c r="A3653" s="108">
        <v>46151</v>
      </c>
      <c r="B3653" s="152">
        <v>70</v>
      </c>
      <c r="C3653" s="108" t="s">
        <v>19</v>
      </c>
      <c r="D3653" s="110" t="str">
        <f>IF(ISBLANK($B3653),"",IFERROR(VLOOKUP($B3653,ESTOQUE!$B$2:$D$97168,3,FALSE),"Produto não cadastrado"))</f>
        <v>CAMISA LARANJA OP. C/ FAIXA REFLETIVA TAM: P</v>
      </c>
      <c r="E3653" s="99" t="str">
        <f>_xlfn.XLOOKUP(B3653,ESTOQUE!B:B,ESTOQUE!G:G,"",0)</f>
        <v>UND</v>
      </c>
      <c r="F3653" s="152">
        <v>2</v>
      </c>
    </row>
    <row r="3654" spans="1:11" x14ac:dyDescent="0.25">
      <c r="A3654" s="108">
        <v>46151</v>
      </c>
      <c r="B3654" s="152">
        <v>71</v>
      </c>
      <c r="C3654" s="108" t="s">
        <v>19</v>
      </c>
      <c r="D3654" s="110" t="str">
        <f>IF(ISBLANK($B3654),"",IFERROR(VLOOKUP($B3654,ESTOQUE!$B$2:$D$97168,3,FALSE),"Produto não cadastrado"))</f>
        <v>CAMISA LARANJA OP. C/ FAIXA REFLETIVA TAM: XG</v>
      </c>
      <c r="E3654" s="99" t="str">
        <f>_xlfn.XLOOKUP(B3654,ESTOQUE!B:B,ESTOQUE!G:G,"",0)</f>
        <v>UND</v>
      </c>
      <c r="F3654" s="152">
        <v>2</v>
      </c>
    </row>
    <row r="3655" spans="1:11" x14ac:dyDescent="0.25">
      <c r="A3655" s="108">
        <v>46151</v>
      </c>
      <c r="B3655" s="152">
        <v>200</v>
      </c>
      <c r="C3655" s="108" t="s">
        <v>19</v>
      </c>
      <c r="D3655" s="110" t="str">
        <f>IF(ISBLANK($B3655),"",IFERROR(VLOOKUP($B3655,ESTOQUE!$B$2:$D$97168,3,FALSE),"Produto não cadastrado"))</f>
        <v>CAMISA LARANJA OP. C/ FAIXA REFLETIVA TAM: XGG</v>
      </c>
      <c r="E3655" s="99" t="str">
        <f>_xlfn.XLOOKUP(B3655,ESTOQUE!B:B,ESTOQUE!G:G,"",0)</f>
        <v>UND</v>
      </c>
      <c r="F3655" s="152">
        <v>1</v>
      </c>
    </row>
    <row r="3656" spans="1:11" x14ac:dyDescent="0.25">
      <c r="A3656" s="108">
        <v>46151</v>
      </c>
      <c r="B3656" s="152">
        <v>91</v>
      </c>
      <c r="C3656" s="108" t="s">
        <v>19</v>
      </c>
      <c r="D3656" s="110" t="str">
        <f>IF(ISBLANK($B3656),"",IFERROR(VLOOKUP($B3656,ESTOQUE!$B$2:$D$97168,3,FALSE),"Produto não cadastrado"))</f>
        <v>CAPACETE PLASTCOR ROXO</v>
      </c>
      <c r="E3656" s="99" t="str">
        <f>_xlfn.XLOOKUP(B3656,ESTOQUE!B:B,ESTOQUE!G:G,"",0)</f>
        <v>UND</v>
      </c>
      <c r="F3656" s="152">
        <v>1</v>
      </c>
    </row>
    <row r="3657" spans="1:11" x14ac:dyDescent="0.25">
      <c r="A3657" s="108">
        <v>46151</v>
      </c>
      <c r="B3657" s="152">
        <v>114</v>
      </c>
      <c r="C3657" s="108" t="s">
        <v>19</v>
      </c>
      <c r="D3657" s="110" t="str">
        <f>IF(ISBLANK($B3657),"",IFERROR(VLOOKUP($B3657,ESTOQUE!$B$2:$D$97168,3,FALSE),"Produto não cadastrado"))</f>
        <v xml:space="preserve">LUVA LATEX NITRILICA </v>
      </c>
      <c r="E3657" s="99" t="str">
        <f>_xlfn.XLOOKUP(B3657,ESTOQUE!B:B,ESTOQUE!G:G,"",0)</f>
        <v>PAR</v>
      </c>
      <c r="F3657" s="152">
        <v>4</v>
      </c>
    </row>
    <row r="3658" spans="1:11" x14ac:dyDescent="0.25">
      <c r="A3658" s="108">
        <v>46151</v>
      </c>
      <c r="B3658" s="152">
        <v>117</v>
      </c>
      <c r="C3658" s="108" t="s">
        <v>19</v>
      </c>
      <c r="D3658" s="110" t="str">
        <f>IF(ISBLANK($B3658),"",IFERROR(VLOOKUP($B3658,ESTOQUE!$B$2:$D$97168,3,FALSE),"Produto não cadastrado"))</f>
        <v>LUVA PIGMENTADA</v>
      </c>
      <c r="E3658" s="99" t="str">
        <f>_xlfn.XLOOKUP(B3658,ESTOQUE!B:B,ESTOQUE!G:G,"",0)</f>
        <v>PAR</v>
      </c>
      <c r="F3658" s="152">
        <v>3</v>
      </c>
    </row>
    <row r="3659" spans="1:11" x14ac:dyDescent="0.25">
      <c r="A3659" s="108">
        <v>46151</v>
      </c>
      <c r="B3659" s="152">
        <v>267</v>
      </c>
      <c r="C3659" s="108" t="s">
        <v>19</v>
      </c>
      <c r="D3659" s="110" t="str">
        <f>IF(ISBLANK($B3659),"",IFERROR(VLOOKUP($B3659,ESTOQUE!$B$2:$D$97168,3,FALSE),"Produto não cadastrado"))</f>
        <v>LUVA POLIESTER ANTICORTE CANO LONGO</v>
      </c>
      <c r="E3659" s="99" t="str">
        <f>_xlfn.XLOOKUP(B3659,ESTOQUE!B:B,ESTOQUE!G:G,"",0)</f>
        <v>UND</v>
      </c>
      <c r="F3659" s="152">
        <v>7</v>
      </c>
    </row>
    <row r="3660" spans="1:11" x14ac:dyDescent="0.25">
      <c r="A3660" s="108">
        <v>46151</v>
      </c>
      <c r="B3660" s="152">
        <v>118</v>
      </c>
      <c r="C3660" s="108" t="s">
        <v>19</v>
      </c>
      <c r="D3660" s="110" t="str">
        <f>IF(ISBLANK($B3660),"",IFERROR(VLOOKUP($B3660,ESTOQUE!$B$2:$D$97168,3,FALSE),"Produto não cadastrado"))</f>
        <v>MACACÃO DE PROTEÇÃO TYVEK</v>
      </c>
      <c r="E3660" s="99" t="str">
        <f>_xlfn.XLOOKUP(B3660,ESTOQUE!B:B,ESTOQUE!G:G,"",0)</f>
        <v>UND</v>
      </c>
      <c r="F3660" s="152">
        <v>3</v>
      </c>
    </row>
    <row r="3661" spans="1:11" x14ac:dyDescent="0.25">
      <c r="A3661" s="108">
        <v>46151</v>
      </c>
      <c r="B3661" s="152">
        <v>125</v>
      </c>
      <c r="C3661" s="108" t="s">
        <v>19</v>
      </c>
      <c r="D3661" s="110" t="str">
        <f>IF(ISBLANK($B3661),"",IFERROR(VLOOKUP($B3661,ESTOQUE!$B$2:$D$97168,3,FALSE),"Produto não cadastrado"))</f>
        <v xml:space="preserve">MASCARA DE SOLDA AUTOMATICA </v>
      </c>
      <c r="E3661" s="99" t="str">
        <f>_xlfn.XLOOKUP(B3661,ESTOQUE!B:B,ESTOQUE!G:G,"",0)</f>
        <v>UND</v>
      </c>
      <c r="F3661" s="152"/>
    </row>
    <row r="3662" spans="1:11" x14ac:dyDescent="0.25">
      <c r="A3662" s="108">
        <v>46151</v>
      </c>
      <c r="B3662" s="152">
        <v>126</v>
      </c>
      <c r="C3662" s="108" t="s">
        <v>19</v>
      </c>
      <c r="D3662" s="110" t="str">
        <f>IF(ISBLANK($B3662),"",IFERROR(VLOOKUP($B3662,ESTOQUE!$B$2:$D$97168,3,FALSE),"Produto não cadastrado"))</f>
        <v>OCULOS DE PROTEÇÃO ESCURO</v>
      </c>
      <c r="E3662" s="99" t="str">
        <f>_xlfn.XLOOKUP(B3662,ESTOQUE!B:B,ESTOQUE!G:G,"",0)</f>
        <v>UND</v>
      </c>
      <c r="F3662" s="152">
        <v>41</v>
      </c>
    </row>
    <row r="3663" spans="1:11" x14ac:dyDescent="0.25">
      <c r="A3663" s="108">
        <v>46151</v>
      </c>
      <c r="B3663" s="152">
        <v>130</v>
      </c>
      <c r="C3663" s="108" t="s">
        <v>19</v>
      </c>
      <c r="D3663" s="110" t="str">
        <f>IF(ISBLANK($B3663),"",IFERROR(VLOOKUP($B3663,ESTOQUE!$B$2:$D$97168,3,FALSE),"Produto não cadastrado"))</f>
        <v>PROTETOR AUDITIVO TIPO CONCHA L-300</v>
      </c>
      <c r="E3663" s="99" t="str">
        <f>_xlfn.XLOOKUP(B3663,ESTOQUE!B:B,ESTOQUE!G:G,"",0)</f>
        <v>UND</v>
      </c>
      <c r="F3663" s="152">
        <v>1</v>
      </c>
    </row>
    <row r="3664" spans="1:11" x14ac:dyDescent="0.25">
      <c r="A3664" s="108"/>
      <c r="B3664" s="154">
        <v>228</v>
      </c>
      <c r="C3664" s="157" t="s">
        <v>19</v>
      </c>
      <c r="D3664" s="110" t="str">
        <f>IF(ISBLANK($B3664),"",IFERROR(VLOOKUP($B3664,ESTOQUE!$B$2:$D$97168,3,FALSE),"Produto não cadastrado"))</f>
        <v xml:space="preserve">BALACLAVA  </v>
      </c>
      <c r="E3664" s="99" t="str">
        <f>_xlfn.XLOOKUP(B3664,ESTOQUE!B:B,ESTOQUE!G:G,"",0)</f>
        <v>UND</v>
      </c>
      <c r="F3664" s="154">
        <v>10</v>
      </c>
      <c r="G3664" s="63"/>
      <c r="H3664" s="63"/>
      <c r="I3664" s="63"/>
      <c r="J3664" s="63"/>
      <c r="K3664" s="63"/>
    </row>
    <row r="3665" spans="1:11" x14ac:dyDescent="0.25">
      <c r="A3665" s="108"/>
      <c r="B3665" s="154">
        <v>118</v>
      </c>
      <c r="C3665" s="157" t="s">
        <v>19</v>
      </c>
      <c r="D3665" s="110" t="str">
        <f>IF(ISBLANK($B3665),"",IFERROR(VLOOKUP($B3665,ESTOQUE!$B$2:$D$97168,3,FALSE),"Produto não cadastrado"))</f>
        <v>MACACÃO DE PROTEÇÃO TYVEK</v>
      </c>
      <c r="E3665" s="99" t="str">
        <f>_xlfn.XLOOKUP(B3665,ESTOQUE!B:B,ESTOQUE!G:G,"",0)</f>
        <v>UND</v>
      </c>
      <c r="F3665" s="154">
        <v>46</v>
      </c>
      <c r="G3665" s="63"/>
      <c r="H3665" s="63"/>
      <c r="I3665" s="63"/>
      <c r="J3665" s="63"/>
      <c r="K3665" s="63"/>
    </row>
    <row r="3666" spans="1:11" x14ac:dyDescent="0.25">
      <c r="A3666" s="108"/>
      <c r="B3666" s="154">
        <v>126</v>
      </c>
      <c r="C3666" s="157" t="s">
        <v>19</v>
      </c>
      <c r="D3666" s="110" t="str">
        <f>IF(ISBLANK($B3666),"",IFERROR(VLOOKUP($B3666,ESTOQUE!$B$2:$D$97168,3,FALSE),"Produto não cadastrado"))</f>
        <v>OCULOS DE PROTEÇÃO ESCURO</v>
      </c>
      <c r="E3666" s="99" t="str">
        <f>_xlfn.XLOOKUP(B3666,ESTOQUE!B:B,ESTOQUE!G:G,"",0)</f>
        <v>UND</v>
      </c>
      <c r="F3666" s="154">
        <v>195</v>
      </c>
      <c r="G3666" s="63"/>
      <c r="H3666" s="63"/>
      <c r="I3666" s="63"/>
      <c r="J3666" s="63"/>
      <c r="K3666" s="63"/>
    </row>
    <row r="3667" spans="1:11" x14ac:dyDescent="0.25">
      <c r="A3667" s="108"/>
      <c r="B3667" s="154">
        <v>124</v>
      </c>
      <c r="C3667" s="157" t="s">
        <v>19</v>
      </c>
      <c r="D3667" s="110" t="str">
        <f>IF(ISBLANK($B3667),"",IFERROR(VLOOKUP($B3667,ESTOQUE!$B$2:$D$97168,3,FALSE),"Produto não cadastrado"))</f>
        <v xml:space="preserve">OCULOS DE PROTEÇÃO INCOLOR </v>
      </c>
      <c r="E3667" s="99" t="str">
        <f>_xlfn.XLOOKUP(B3667,ESTOQUE!B:B,ESTOQUE!G:G,"",0)</f>
        <v>UND</v>
      </c>
      <c r="F3667" s="154">
        <v>322</v>
      </c>
      <c r="G3667" s="63"/>
      <c r="H3667" s="63"/>
      <c r="I3667" s="63"/>
      <c r="J3667" s="63"/>
      <c r="K3667" s="63"/>
    </row>
    <row r="3668" spans="1:11" x14ac:dyDescent="0.25">
      <c r="A3668" s="108"/>
      <c r="B3668" s="154">
        <v>48</v>
      </c>
      <c r="C3668" s="157" t="s">
        <v>19</v>
      </c>
      <c r="D3668" s="110" t="str">
        <f>IF(ISBLANK($B3668),"",IFERROR(VLOOKUP($B3668,ESTOQUE!$B$2:$D$97168,3,FALSE),"Produto não cadastrado"))</f>
        <v>CALÇA CINZA OP. C/ FAIXA REFLETIVA TAM: M</v>
      </c>
      <c r="E3668" s="99" t="str">
        <f>_xlfn.XLOOKUP(B3668,ESTOQUE!B:B,ESTOQUE!G:G,"",0)</f>
        <v>UND</v>
      </c>
      <c r="F3668" s="154">
        <v>24</v>
      </c>
      <c r="G3668" s="63"/>
      <c r="H3668" s="63"/>
      <c r="I3668" s="63"/>
      <c r="J3668" s="63"/>
      <c r="K3668" s="63"/>
    </row>
    <row r="3669" spans="1:11" x14ac:dyDescent="0.25">
      <c r="A3669" s="108"/>
      <c r="B3669" s="154">
        <v>46</v>
      </c>
      <c r="C3669" s="157" t="s">
        <v>19</v>
      </c>
      <c r="D3669" s="110" t="str">
        <f>IF(ISBLANK($B3669),"",IFERROR(VLOOKUP($B3669,ESTOQUE!$B$2:$D$97168,3,FALSE),"Produto não cadastrado"))</f>
        <v>CALÇA CINZA OP. C/ FAIXA REFLETIVA TAM: G</v>
      </c>
      <c r="E3669" s="99" t="str">
        <f>_xlfn.XLOOKUP(B3669,ESTOQUE!B:B,ESTOQUE!G:G,"",0)</f>
        <v>UND</v>
      </c>
      <c r="F3669" s="154">
        <v>324</v>
      </c>
      <c r="G3669" s="63"/>
      <c r="H3669" s="63"/>
      <c r="I3669" s="63"/>
      <c r="J3669" s="63"/>
      <c r="K3669" s="63"/>
    </row>
    <row r="3670" spans="1:11" x14ac:dyDescent="0.25">
      <c r="A3670" s="108"/>
      <c r="B3670" s="154">
        <v>97</v>
      </c>
      <c r="C3670" s="157" t="s">
        <v>19</v>
      </c>
      <c r="D3670" s="110" t="str">
        <f>IF(ISBLANK($B3670),"",IFERROR(VLOOKUP($B3670,ESTOQUE!$B$2:$D$97168,3,FALSE),"Produto não cadastrado"))</f>
        <v>COLETE REFLETIVO LARANJA M</v>
      </c>
      <c r="E3670" s="99" t="str">
        <f>_xlfn.XLOOKUP(B3670,ESTOQUE!B:B,ESTOQUE!G:G,"",0)</f>
        <v>UND</v>
      </c>
      <c r="F3670" s="154">
        <v>7</v>
      </c>
      <c r="G3670" s="63"/>
      <c r="H3670" s="63"/>
      <c r="I3670" s="63"/>
      <c r="J3670" s="63"/>
      <c r="K3670" s="63"/>
    </row>
    <row r="3671" spans="1:11" x14ac:dyDescent="0.25">
      <c r="A3671" s="108"/>
      <c r="B3671" s="154">
        <v>186</v>
      </c>
      <c r="C3671" s="157" t="s">
        <v>19</v>
      </c>
      <c r="D3671" s="110" t="str">
        <f>IF(ISBLANK($B3671),"",IFERROR(VLOOKUP($B3671,ESTOQUE!$B$2:$D$97168,3,FALSE),"Produto não cadastrado"))</f>
        <v>COLETE REFLETIVO LARANJA GG</v>
      </c>
      <c r="E3671" s="99" t="str">
        <f>_xlfn.XLOOKUP(B3671,ESTOQUE!B:B,ESTOQUE!G:G,"",0)</f>
        <v>UND</v>
      </c>
      <c r="F3671" s="154">
        <v>32</v>
      </c>
      <c r="G3671" s="63"/>
      <c r="H3671" s="63"/>
      <c r="I3671" s="63"/>
      <c r="J3671" s="63"/>
      <c r="K3671" s="63"/>
    </row>
    <row r="3672" spans="1:11" x14ac:dyDescent="0.25">
      <c r="A3672" s="108"/>
      <c r="B3672" s="154">
        <v>73</v>
      </c>
      <c r="C3672" s="157" t="s">
        <v>19</v>
      </c>
      <c r="D3672" s="110" t="str">
        <f>IF(ISBLANK($B3672),"",IFERROR(VLOOKUP($B3672,ESTOQUE!$B$2:$D$97168,3,FALSE),"Produto não cadastrado"))</f>
        <v>CAPA DE CHUVA GG</v>
      </c>
      <c r="E3672" s="99" t="str">
        <f>_xlfn.XLOOKUP(B3672,ESTOQUE!B:B,ESTOQUE!G:G,"",0)</f>
        <v>UND</v>
      </c>
      <c r="F3672" s="154">
        <v>190</v>
      </c>
      <c r="G3672" s="63"/>
      <c r="H3672" s="63"/>
      <c r="I3672" s="63"/>
      <c r="J3672" s="63"/>
      <c r="K3672" s="63"/>
    </row>
    <row r="3673" spans="1:11" x14ac:dyDescent="0.25">
      <c r="A3673" s="108"/>
      <c r="B3673" s="154">
        <v>161</v>
      </c>
      <c r="C3673" s="157" t="s">
        <v>19</v>
      </c>
      <c r="D3673" s="110" t="str">
        <f>IF(ISBLANK($B3673),"",IFERROR(VLOOKUP($B3673,ESTOQUE!$B$2:$D$97168,3,FALSE),"Produto não cadastrado"))</f>
        <v>JUGULAR</v>
      </c>
      <c r="E3673" s="99" t="str">
        <f>_xlfn.XLOOKUP(B3673,ESTOQUE!B:B,ESTOQUE!G:G,"",0)</f>
        <v>UND</v>
      </c>
      <c r="F3673" s="154">
        <v>1</v>
      </c>
      <c r="G3673" s="63"/>
      <c r="H3673" s="63"/>
      <c r="I3673" s="63"/>
      <c r="J3673" s="63"/>
      <c r="K3673" s="63"/>
    </row>
    <row r="3674" spans="1:11" x14ac:dyDescent="0.25">
      <c r="A3674" s="108"/>
      <c r="B3674" s="154">
        <v>209</v>
      </c>
      <c r="C3674" s="157" t="s">
        <v>19</v>
      </c>
      <c r="D3674" s="110" t="str">
        <f>IF(ISBLANK($B3674),"",IFERROR(VLOOKUP($B3674,ESTOQUE!$B$2:$D$97168,3,FALSE),"Produto não cadastrado"))</f>
        <v>LUVA PARA SOLDADOR MIG AZUL TAM 10</v>
      </c>
      <c r="E3674" s="99" t="str">
        <f>_xlfn.XLOOKUP(B3674,ESTOQUE!B:B,ESTOQUE!G:G,"",0)</f>
        <v>PAR</v>
      </c>
      <c r="F3674" s="154">
        <v>15</v>
      </c>
      <c r="G3674" s="63"/>
      <c r="H3674" s="63"/>
      <c r="I3674" s="63"/>
      <c r="J3674" s="63"/>
      <c r="K3674" s="63"/>
    </row>
    <row r="3675" spans="1:11" x14ac:dyDescent="0.25">
      <c r="A3675" s="108"/>
      <c r="B3675" s="154">
        <v>115</v>
      </c>
      <c r="C3675" s="157" t="s">
        <v>19</v>
      </c>
      <c r="D3675" s="110" t="str">
        <f>IF(ISBLANK($B3675),"",IFERROR(VLOOKUP($B3675,ESTOQUE!$B$2:$D$97168,3,FALSE),"Produto não cadastrado"))</f>
        <v>LUVA PARA SOLDADOR MIG AZUL TAM 9</v>
      </c>
      <c r="E3675" s="99" t="str">
        <f>_xlfn.XLOOKUP(B3675,ESTOQUE!B:B,ESTOQUE!G:G,"",0)</f>
        <v>PAR</v>
      </c>
      <c r="F3675" s="154">
        <v>8</v>
      </c>
      <c r="G3675" s="63"/>
      <c r="H3675" s="63"/>
      <c r="I3675" s="63"/>
      <c r="J3675" s="63"/>
      <c r="K3675" s="63"/>
    </row>
    <row r="3676" spans="1:11" x14ac:dyDescent="0.25">
      <c r="A3676" s="108"/>
      <c r="B3676" s="154">
        <v>211</v>
      </c>
      <c r="C3676" s="157" t="s">
        <v>19</v>
      </c>
      <c r="D3676" s="110" t="str">
        <f>IF(ISBLANK($B3676),"",IFERROR(VLOOKUP($B3676,ESTOQUE!$B$2:$D$97168,3,FALSE),"Produto não cadastrado"))</f>
        <v>RESPIRADOR SEMIFACIAL T 9500</v>
      </c>
      <c r="E3676" s="99" t="str">
        <f>_xlfn.XLOOKUP(B3676,ESTOQUE!B:B,ESTOQUE!G:G,"",0)</f>
        <v>UND</v>
      </c>
      <c r="F3676" s="154">
        <v>5</v>
      </c>
      <c r="G3676" s="63"/>
      <c r="H3676" s="63"/>
      <c r="I3676" s="63"/>
      <c r="J3676" s="63"/>
      <c r="K3676" s="63"/>
    </row>
    <row r="3677" spans="1:11" x14ac:dyDescent="0.25">
      <c r="A3677" s="108"/>
      <c r="B3677" s="154">
        <v>136</v>
      </c>
      <c r="C3677" s="157" t="s">
        <v>19</v>
      </c>
      <c r="D3677" s="110" t="str">
        <f>IF(ISBLANK($B3677),"",IFERROR(VLOOKUP($B3677,ESTOQUE!$B$2:$D$97168,3,FALSE),"Produto não cadastrado"))</f>
        <v>TAYCO CARTUCHO P/ GASES TGV-500 - MASCARA</v>
      </c>
      <c r="E3677" s="99" t="str">
        <f>_xlfn.XLOOKUP(B3677,ESTOQUE!B:B,ESTOQUE!G:G,"",0)</f>
        <v>UND</v>
      </c>
      <c r="F3677" s="154">
        <v>2</v>
      </c>
      <c r="G3677" s="63"/>
      <c r="H3677" s="63"/>
      <c r="I3677" s="63"/>
      <c r="J3677" s="63"/>
      <c r="K3677" s="63"/>
    </row>
    <row r="3678" spans="1:11" x14ac:dyDescent="0.25">
      <c r="A3678" s="108"/>
      <c r="B3678" s="154">
        <v>75</v>
      </c>
      <c r="C3678" s="157" t="s">
        <v>19</v>
      </c>
      <c r="D3678" s="110" t="str">
        <f>IF(ISBLANK($B3678),"",IFERROR(VLOOKUP($B3678,ESTOQUE!$B$2:$D$97168,3,FALSE),"Produto não cadastrado"))</f>
        <v>CAPACETE CAMPER AZUL ESCURO</v>
      </c>
      <c r="E3678" s="99" t="str">
        <f>_xlfn.XLOOKUP(B3678,ESTOQUE!B:B,ESTOQUE!G:G,"",0)</f>
        <v>UND</v>
      </c>
      <c r="F3678" s="154">
        <v>5</v>
      </c>
      <c r="G3678" s="63"/>
      <c r="H3678" s="63"/>
      <c r="I3678" s="63"/>
      <c r="J3678" s="63"/>
      <c r="K3678" s="63"/>
    </row>
    <row r="3679" spans="1:11" x14ac:dyDescent="0.25">
      <c r="A3679" s="108"/>
      <c r="B3679" s="154">
        <v>83</v>
      </c>
      <c r="C3679" s="157" t="s">
        <v>19</v>
      </c>
      <c r="D3679" s="110" t="str">
        <f>IF(ISBLANK($B3679),"",IFERROR(VLOOKUP($B3679,ESTOQUE!$B$2:$D$97168,3,FALSE),"Produto não cadastrado"))</f>
        <v>CAPACETE LIBUS LARANJA</v>
      </c>
      <c r="E3679" s="99" t="str">
        <f>_xlfn.XLOOKUP(B3679,ESTOQUE!B:B,ESTOQUE!G:G,"",0)</f>
        <v>UND</v>
      </c>
      <c r="F3679" s="154">
        <v>1</v>
      </c>
      <c r="G3679" s="63"/>
      <c r="H3679" s="63"/>
      <c r="I3679" s="63"/>
      <c r="J3679" s="63"/>
      <c r="K3679" s="63"/>
    </row>
    <row r="3680" spans="1:11" x14ac:dyDescent="0.25">
      <c r="A3680" s="108"/>
      <c r="B3680" s="154">
        <v>179</v>
      </c>
      <c r="C3680" s="157" t="s">
        <v>19</v>
      </c>
      <c r="D3680" s="110" t="str">
        <f>IF(ISBLANK($B3680),"",IFERROR(VLOOKUP($B3680,ESTOQUE!$B$2:$D$97168,3,FALSE),"Produto não cadastrado"))</f>
        <v>CAPACETE GENISIS CINZA</v>
      </c>
      <c r="E3680" s="99" t="str">
        <f>_xlfn.XLOOKUP(B3680,ESTOQUE!B:B,ESTOQUE!G:G,"",0)</f>
        <v>UND</v>
      </c>
      <c r="F3680" s="154">
        <v>2</v>
      </c>
      <c r="G3680" s="63"/>
      <c r="H3680" s="63"/>
      <c r="I3680" s="63"/>
      <c r="J3680" s="63"/>
      <c r="K3680" s="63"/>
    </row>
    <row r="3681" spans="1:11" x14ac:dyDescent="0.25">
      <c r="A3681" s="108"/>
      <c r="B3681" s="154">
        <v>180</v>
      </c>
      <c r="C3681" s="157" t="s">
        <v>19</v>
      </c>
      <c r="D3681" s="110" t="str">
        <f>IF(ISBLANK($B3681),"",IFERROR(VLOOKUP($B3681,ESTOQUE!$B$2:$D$97168,3,FALSE),"Produto não cadastrado"))</f>
        <v>CAPACETE GENISIS MARRON</v>
      </c>
      <c r="E3681" s="99" t="str">
        <f>_xlfn.XLOOKUP(B3681,ESTOQUE!B:B,ESTOQUE!G:G,"",0)</f>
        <v>UND</v>
      </c>
      <c r="F3681" s="154">
        <v>14</v>
      </c>
      <c r="G3681" s="63"/>
      <c r="H3681" s="63"/>
      <c r="I3681" s="63"/>
      <c r="J3681" s="63"/>
      <c r="K3681" s="63"/>
    </row>
    <row r="3682" spans="1:11" x14ac:dyDescent="0.25">
      <c r="A3682" s="108"/>
      <c r="B3682" s="154">
        <v>78</v>
      </c>
      <c r="C3682" s="157" t="s">
        <v>19</v>
      </c>
      <c r="D3682" s="110" t="str">
        <f>IF(ISBLANK($B3682),"",IFERROR(VLOOKUP($B3682,ESTOQUE!$B$2:$D$97168,3,FALSE),"Produto não cadastrado"))</f>
        <v>CAPACETE CAMPER MARROM</v>
      </c>
      <c r="E3682" s="99" t="str">
        <f>_xlfn.XLOOKUP(B3682,ESTOQUE!B:B,ESTOQUE!G:G,"",0)</f>
        <v>UND</v>
      </c>
      <c r="F3682" s="154">
        <v>7</v>
      </c>
      <c r="G3682" s="63"/>
      <c r="H3682" s="63"/>
      <c r="I3682" s="63"/>
      <c r="J3682" s="63"/>
      <c r="K3682" s="63"/>
    </row>
    <row r="3683" spans="1:11" x14ac:dyDescent="0.25">
      <c r="A3683" s="108"/>
      <c r="B3683" s="154">
        <v>80</v>
      </c>
      <c r="C3683" s="157" t="s">
        <v>19</v>
      </c>
      <c r="D3683" s="110" t="str">
        <f>IF(ISBLANK($B3683),"",IFERROR(VLOOKUP($B3683,ESTOQUE!$B$2:$D$97168,3,FALSE),"Produto não cadastrado"))</f>
        <v>CAPACETE LIBUS AZUL CLARO</v>
      </c>
      <c r="E3683" s="99" t="str">
        <f>_xlfn.XLOOKUP(B3683,ESTOQUE!B:B,ESTOQUE!G:G,"",0)</f>
        <v>UND</v>
      </c>
      <c r="F3683" s="154">
        <v>11</v>
      </c>
      <c r="G3683" s="63"/>
      <c r="H3683" s="63"/>
      <c r="I3683" s="63"/>
      <c r="J3683" s="63"/>
      <c r="K3683" s="63"/>
    </row>
    <row r="3684" spans="1:11" x14ac:dyDescent="0.25">
      <c r="A3684" s="108"/>
      <c r="B3684" s="154">
        <v>96</v>
      </c>
      <c r="C3684" s="157" t="s">
        <v>19</v>
      </c>
      <c r="D3684" s="110" t="str">
        <f>IF(ISBLANK($B3684),"",IFERROR(VLOOKUP($B3684,ESTOQUE!$B$2:$D$97168,3,FALSE),"Produto não cadastrado"))</f>
        <v xml:space="preserve">CINTO DE SEGURANÇA MODELO:C70 </v>
      </c>
      <c r="E3684" s="99" t="str">
        <f>_xlfn.XLOOKUP(B3684,ESTOQUE!B:B,ESTOQUE!G:G,"",0)</f>
        <v>UND</v>
      </c>
      <c r="F3684" s="154">
        <v>16</v>
      </c>
      <c r="G3684" s="63"/>
      <c r="H3684" s="63"/>
      <c r="I3684" s="63"/>
      <c r="J3684" s="63"/>
      <c r="K3684" s="63"/>
    </row>
    <row r="3685" spans="1:11" x14ac:dyDescent="0.25">
      <c r="A3685" s="108"/>
      <c r="B3685" s="154">
        <v>194</v>
      </c>
      <c r="C3685" s="157" t="s">
        <v>19</v>
      </c>
      <c r="D3685" s="110" t="str">
        <f>IF(ISBLANK($B3685),"",IFERROR(VLOOKUP($B3685,ESTOQUE!$B$2:$D$97168,3,FALSE),"Produto não cadastrado"))</f>
        <v>VISEIRA ACOPLADA</v>
      </c>
      <c r="E3685" s="99" t="str">
        <f>_xlfn.XLOOKUP(B3685,ESTOQUE!B:B,ESTOQUE!G:G,"",0)</f>
        <v>UND</v>
      </c>
      <c r="F3685" s="154">
        <v>25</v>
      </c>
      <c r="G3685" s="63"/>
      <c r="H3685" s="63"/>
      <c r="I3685" s="63"/>
      <c r="J3685" s="63"/>
      <c r="K3685" s="63"/>
    </row>
    <row r="3686" spans="1:11" x14ac:dyDescent="0.25">
      <c r="A3686" s="108"/>
      <c r="B3686" s="154">
        <v>134</v>
      </c>
      <c r="C3686" s="157" t="s">
        <v>19</v>
      </c>
      <c r="D3686" s="110" t="str">
        <f>IF(ISBLANK($B3686),"",IFERROR(VLOOKUP($B3686,ESTOQUE!$B$2:$D$97168,3,FALSE),"Produto não cadastrado"))</f>
        <v>PROTETOR SOLAR FACIAL ALGSUN 2L</v>
      </c>
      <c r="E3686" s="99" t="str">
        <f>_xlfn.XLOOKUP(B3686,ESTOQUE!B:B,ESTOQUE!G:G,"",0)</f>
        <v>UND</v>
      </c>
      <c r="F3686" s="154">
        <v>4</v>
      </c>
      <c r="G3686" s="63"/>
      <c r="H3686" s="63"/>
      <c r="I3686" s="63"/>
      <c r="J3686" s="63"/>
      <c r="K3686" s="63"/>
    </row>
    <row r="3687" spans="1:11" x14ac:dyDescent="0.25">
      <c r="A3687" s="108"/>
      <c r="B3687" s="154">
        <v>224</v>
      </c>
      <c r="C3687" s="157" t="s">
        <v>19</v>
      </c>
      <c r="D3687" s="110" t="str">
        <f>IF(ISBLANK($B3687),"",IFERROR(VLOOKUP($B3687,ESTOQUE!$B$2:$D$97168,3,FALSE),"Produto não cadastrado"))</f>
        <v>OCULOS OPERACIONAL SOBRE POR ESCURO</v>
      </c>
      <c r="E3687" s="99" t="str">
        <f>_xlfn.XLOOKUP(B3687,ESTOQUE!B:B,ESTOQUE!G:G,"",0)</f>
        <v>UND</v>
      </c>
      <c r="F3687" s="154">
        <v>19</v>
      </c>
      <c r="G3687" s="63"/>
      <c r="H3687" s="63"/>
      <c r="I3687" s="63"/>
      <c r="J3687" s="63"/>
      <c r="K3687" s="63"/>
    </row>
    <row r="3688" spans="1:11" x14ac:dyDescent="0.25">
      <c r="A3688" s="108"/>
      <c r="B3688" s="154">
        <v>150</v>
      </c>
      <c r="C3688" s="157" t="s">
        <v>19</v>
      </c>
      <c r="D3688" s="110" t="str">
        <f>IF(ISBLANK($B3688),"",IFERROR(VLOOKUP($B3688,ESTOQUE!$B$2:$D$97168,3,FALSE),"Produto não cadastrado"))</f>
        <v>LUVA ORION ALTA TENSÃO 20KV CLASSE 2 TIPO 2 TAM 9</v>
      </c>
      <c r="E3688" s="99" t="str">
        <f>_xlfn.XLOOKUP(B3688,ESTOQUE!B:B,ESTOQUE!G:G,"",0)</f>
        <v>PAR</v>
      </c>
      <c r="F3688" s="154">
        <v>278</v>
      </c>
      <c r="G3688" s="63"/>
      <c r="H3688" s="63"/>
      <c r="I3688" s="63"/>
      <c r="J3688" s="63"/>
      <c r="K3688" s="63"/>
    </row>
    <row r="3689" spans="1:11" x14ac:dyDescent="0.25">
      <c r="A3689" s="108"/>
      <c r="B3689" s="154">
        <v>98</v>
      </c>
      <c r="C3689" s="157" t="s">
        <v>19</v>
      </c>
      <c r="D3689" s="110" t="str">
        <f>IF(ISBLANK($B3689),"",IFERROR(VLOOKUP($B3689,ESTOQUE!$B$2:$D$97168,3,FALSE),"Produto não cadastrado"))</f>
        <v>COLETE REFLETIVO LARANJA XGG</v>
      </c>
      <c r="E3689" s="99" t="str">
        <f>_xlfn.XLOOKUP(B3689,ESTOQUE!B:B,ESTOQUE!G:G,"",0)</f>
        <v>UND</v>
      </c>
      <c r="F3689" s="154">
        <v>55</v>
      </c>
      <c r="G3689" s="63"/>
      <c r="H3689" s="63"/>
      <c r="I3689" s="63"/>
      <c r="J3689" s="63"/>
      <c r="K3689" s="63"/>
    </row>
    <row r="3690" spans="1:11" x14ac:dyDescent="0.25">
      <c r="A3690" s="108"/>
      <c r="B3690" s="154">
        <v>16</v>
      </c>
      <c r="C3690" s="157" t="s">
        <v>19</v>
      </c>
      <c r="D3690" s="110" t="str">
        <f>IF(ISBLANK($B3690),"",IFERROR(VLOOKUP($B3690,ESTOQUE!$B$2:$D$97168,3,FALSE),"Produto não cadastrado"))</f>
        <v>BOTA PVC CANO MEDIO Nº 37</v>
      </c>
      <c r="E3690" s="99" t="str">
        <f>_xlfn.XLOOKUP(B3690,ESTOQUE!B:B,ESTOQUE!G:G,"",0)</f>
        <v>PAR</v>
      </c>
      <c r="F3690" s="154">
        <v>5</v>
      </c>
      <c r="G3690" s="63"/>
      <c r="H3690" s="63"/>
      <c r="I3690" s="63"/>
      <c r="J3690" s="63"/>
      <c r="K3690" s="63"/>
    </row>
    <row r="3691" spans="1:11" x14ac:dyDescent="0.25">
      <c r="A3691" s="108"/>
      <c r="B3691" s="154">
        <v>168</v>
      </c>
      <c r="C3691" s="157" t="s">
        <v>19</v>
      </c>
      <c r="D3691" s="110" t="str">
        <f>IF(ISBLANK($B3691),"",IFERROR(VLOOKUP($B3691,ESTOQUE!$B$2:$D$97168,3,FALSE),"Produto não cadastrado"))</f>
        <v>BOTA PVC CANO MEDIO Nº 36</v>
      </c>
      <c r="E3691" s="99" t="str">
        <f>_xlfn.XLOOKUP(B3691,ESTOQUE!B:B,ESTOQUE!G:G,"",0)</f>
        <v>PAR</v>
      </c>
      <c r="F3691" s="154">
        <v>6</v>
      </c>
      <c r="G3691" s="63"/>
      <c r="H3691" s="63"/>
      <c r="I3691" s="63"/>
      <c r="J3691" s="63"/>
      <c r="K3691" s="63"/>
    </row>
    <row r="3692" spans="1:11" x14ac:dyDescent="0.25">
      <c r="A3692" s="108"/>
      <c r="B3692" s="154">
        <v>12</v>
      </c>
      <c r="C3692" s="157" t="s">
        <v>19</v>
      </c>
      <c r="D3692" s="110" t="str">
        <f>IF(ISBLANK($B3692),"",IFERROR(VLOOKUP($B3692,ESTOQUE!$B$2:$D$97168,3,FALSE),"Produto não cadastrado"))</f>
        <v>BOTA PVC CANO LONGO Nº 44</v>
      </c>
      <c r="E3692" s="99" t="str">
        <f>_xlfn.XLOOKUP(B3692,ESTOQUE!B:B,ESTOQUE!G:G,"",0)</f>
        <v>PAR</v>
      </c>
      <c r="F3692" s="154">
        <v>6</v>
      </c>
      <c r="G3692" s="63"/>
      <c r="H3692" s="63"/>
      <c r="I3692" s="63"/>
      <c r="J3692" s="63"/>
      <c r="K3692" s="63"/>
    </row>
    <row r="3693" spans="1:11" x14ac:dyDescent="0.25">
      <c r="A3693" s="108"/>
      <c r="B3693" s="154">
        <v>11</v>
      </c>
      <c r="C3693" s="157" t="s">
        <v>19</v>
      </c>
      <c r="D3693" s="110" t="str">
        <f>IF(ISBLANK($B3693),"",IFERROR(VLOOKUP($B3693,ESTOQUE!$B$2:$D$97168,3,FALSE),"Produto não cadastrado"))</f>
        <v>BOTA PVC CANO LONGO Nº 43</v>
      </c>
      <c r="E3693" s="99" t="str">
        <f>_xlfn.XLOOKUP(B3693,ESTOQUE!B:B,ESTOQUE!G:G,"",0)</f>
        <v>PAR</v>
      </c>
      <c r="F3693" s="154">
        <v>9</v>
      </c>
      <c r="G3693" s="63"/>
      <c r="H3693" s="63"/>
      <c r="I3693" s="63"/>
      <c r="J3693" s="63"/>
      <c r="K3693" s="63"/>
    </row>
    <row r="3694" spans="1:11" x14ac:dyDescent="0.25">
      <c r="A3694" s="108"/>
      <c r="B3694" s="154">
        <v>10</v>
      </c>
      <c r="C3694" s="157" t="s">
        <v>19</v>
      </c>
      <c r="D3694" s="110" t="str">
        <f>IF(ISBLANK($B3694),"",IFERROR(VLOOKUP($B3694,ESTOQUE!$B$2:$D$97168,3,FALSE),"Produto não cadastrado"))</f>
        <v>BOTA PVC CANO LONGO Nº 42</v>
      </c>
      <c r="E3694" s="99" t="str">
        <f>_xlfn.XLOOKUP(B3694,ESTOQUE!B:B,ESTOQUE!G:G,"",0)</f>
        <v>PAR</v>
      </c>
      <c r="F3694" s="154">
        <v>33</v>
      </c>
      <c r="G3694" s="63"/>
      <c r="H3694" s="63"/>
      <c r="I3694" s="63"/>
      <c r="J3694" s="63"/>
      <c r="K3694" s="63"/>
    </row>
    <row r="3695" spans="1:11" x14ac:dyDescent="0.25">
      <c r="A3695" s="108"/>
      <c r="B3695" s="154">
        <v>9</v>
      </c>
      <c r="C3695" s="157" t="s">
        <v>19</v>
      </c>
      <c r="D3695" s="110" t="str">
        <f>IF(ISBLANK($B3695),"",IFERROR(VLOOKUP($B3695,ESTOQUE!$B$2:$D$97168,3,FALSE),"Produto não cadastrado"))</f>
        <v>BOTA PVC CANO LONGO Nº 41</v>
      </c>
      <c r="E3695" s="99" t="str">
        <f>_xlfn.XLOOKUP(B3695,ESTOQUE!B:B,ESTOQUE!G:G,"",0)</f>
        <v>PAR</v>
      </c>
      <c r="F3695" s="154">
        <v>9</v>
      </c>
      <c r="G3695" s="63"/>
      <c r="H3695" s="63"/>
      <c r="I3695" s="63"/>
      <c r="J3695" s="63"/>
      <c r="K3695" s="63"/>
    </row>
    <row r="3696" spans="1:11" x14ac:dyDescent="0.25">
      <c r="A3696" s="108"/>
      <c r="B3696" s="154">
        <v>7</v>
      </c>
      <c r="C3696" s="157" t="s">
        <v>19</v>
      </c>
      <c r="D3696" s="110" t="str">
        <f>IF(ISBLANK($B3696),"",IFERROR(VLOOKUP($B3696,ESTOQUE!$B$2:$D$97168,3,FALSE),"Produto não cadastrado"))</f>
        <v>BOTA PVC CANO LONGO Nº 39</v>
      </c>
      <c r="E3696" s="99" t="str">
        <f>_xlfn.XLOOKUP(B3696,ESTOQUE!B:B,ESTOQUE!G:G,"",0)</f>
        <v>PAR</v>
      </c>
      <c r="F3696" s="154">
        <v>14</v>
      </c>
      <c r="G3696" s="63"/>
      <c r="H3696" s="63"/>
      <c r="I3696" s="63"/>
      <c r="J3696" s="63"/>
      <c r="K3696" s="63"/>
    </row>
    <row r="3697" spans="1:11" x14ac:dyDescent="0.25">
      <c r="A3697" s="108"/>
      <c r="B3697" s="154">
        <v>19</v>
      </c>
      <c r="C3697" s="157" t="s">
        <v>19</v>
      </c>
      <c r="D3697" s="110" t="str">
        <f>IF(ISBLANK($B3697),"",IFERROR(VLOOKUP($B3697,ESTOQUE!$B$2:$D$97168,3,FALSE),"Produto não cadastrado"))</f>
        <v>BOTA PVC CANO MEDIO Nº 40</v>
      </c>
      <c r="E3697" s="99" t="str">
        <f>_xlfn.XLOOKUP(B3697,ESTOQUE!B:B,ESTOQUE!G:G,"",0)</f>
        <v>PAR</v>
      </c>
      <c r="F3697" s="154">
        <v>20</v>
      </c>
      <c r="G3697" s="63"/>
      <c r="H3697" s="63"/>
      <c r="I3697" s="63"/>
      <c r="J3697" s="63"/>
      <c r="K3697" s="63"/>
    </row>
    <row r="3698" spans="1:11" x14ac:dyDescent="0.25">
      <c r="A3698" s="108"/>
      <c r="B3698" s="154">
        <v>4</v>
      </c>
      <c r="C3698" s="157" t="s">
        <v>19</v>
      </c>
      <c r="D3698" s="110" t="str">
        <f>IF(ISBLANK($B3698),"",IFERROR(VLOOKUP($B3698,ESTOQUE!$B$2:$D$97168,3,FALSE),"Produto não cadastrado"))</f>
        <v>BLUSÃO DE RASPA MANGA LONGA</v>
      </c>
      <c r="E3698" s="99" t="str">
        <f>_xlfn.XLOOKUP(B3698,ESTOQUE!B:B,ESTOQUE!G:G,"",0)</f>
        <v>UND</v>
      </c>
      <c r="F3698" s="154">
        <v>25</v>
      </c>
      <c r="G3698" s="63"/>
      <c r="H3698" s="63"/>
      <c r="I3698" s="63"/>
      <c r="J3698" s="63"/>
      <c r="K3698" s="63"/>
    </row>
    <row r="3699" spans="1:11" x14ac:dyDescent="0.25">
      <c r="A3699" s="108"/>
      <c r="B3699" s="154">
        <v>2</v>
      </c>
      <c r="C3699" s="157" t="s">
        <v>19</v>
      </c>
      <c r="D3699" s="110" t="str">
        <f>IF(ISBLANK($B3699),"",IFERROR(VLOOKUP($B3699,ESTOQUE!$B$2:$D$97168,3,FALSE),"Produto não cadastrado"))</f>
        <v>AVENTAL DE RASPA TAM 1X60MT</v>
      </c>
      <c r="E3699" s="99" t="str">
        <f>_xlfn.XLOOKUP(B3699,ESTOQUE!B:B,ESTOQUE!G:G,"",0)</f>
        <v>UND</v>
      </c>
      <c r="F3699" s="154">
        <v>16</v>
      </c>
      <c r="G3699" s="63"/>
      <c r="H3699" s="63"/>
      <c r="I3699" s="63"/>
      <c r="J3699" s="63"/>
      <c r="K3699" s="63"/>
    </row>
    <row r="3700" spans="1:11" x14ac:dyDescent="0.25">
      <c r="A3700" s="108"/>
      <c r="B3700" s="154">
        <v>162</v>
      </c>
      <c r="C3700" s="157" t="s">
        <v>19</v>
      </c>
      <c r="D3700" s="110" t="str">
        <f>IF(ISBLANK($B3700),"",IFERROR(VLOOKUP($B3700,ESTOQUE!$B$2:$D$97168,3,FALSE),"Produto não cadastrado"))</f>
        <v>BOTINA DE ELETRICISTA Nº 42</v>
      </c>
      <c r="E3700" s="99" t="str">
        <f>_xlfn.XLOOKUP(B3700,ESTOQUE!B:B,ESTOQUE!G:G,"",0)</f>
        <v>PAR</v>
      </c>
      <c r="F3700" s="154">
        <v>1</v>
      </c>
      <c r="G3700" s="63"/>
      <c r="H3700" s="63"/>
      <c r="I3700" s="63"/>
      <c r="J3700" s="63"/>
      <c r="K3700" s="63"/>
    </row>
    <row r="3701" spans="1:11" x14ac:dyDescent="0.25">
      <c r="A3701" s="108"/>
      <c r="B3701" s="154">
        <v>31</v>
      </c>
      <c r="C3701" s="157" t="s">
        <v>19</v>
      </c>
      <c r="D3701" s="110" t="str">
        <f>IF(ISBLANK($B3701),"",IFERROR(VLOOKUP($B3701,ESTOQUE!$B$2:$D$97168,3,FALSE),"Produto não cadastrado"))</f>
        <v>BOTINA DE ELETRICISTA Nº 41</v>
      </c>
      <c r="E3701" s="99" t="str">
        <f>_xlfn.XLOOKUP(B3701,ESTOQUE!B:B,ESTOQUE!G:G,"",0)</f>
        <v>PAR</v>
      </c>
      <c r="F3701" s="154">
        <v>2</v>
      </c>
      <c r="G3701" s="63"/>
      <c r="H3701" s="63"/>
      <c r="I3701" s="63"/>
      <c r="J3701" s="63"/>
      <c r="K3701" s="63"/>
    </row>
    <row r="3702" spans="1:11" x14ac:dyDescent="0.25">
      <c r="A3702" s="108"/>
      <c r="B3702" s="154">
        <v>30</v>
      </c>
      <c r="C3702" s="157" t="s">
        <v>19</v>
      </c>
      <c r="D3702" s="110" t="str">
        <f>IF(ISBLANK($B3702),"",IFERROR(VLOOKUP($B3702,ESTOQUE!$B$2:$D$97168,3,FALSE),"Produto não cadastrado"))</f>
        <v>BOTINA DE ELETRICISTA Nº 40</v>
      </c>
      <c r="E3702" s="99" t="str">
        <f>_xlfn.XLOOKUP(B3702,ESTOQUE!B:B,ESTOQUE!G:G,"",0)</f>
        <v>PAR</v>
      </c>
      <c r="F3702" s="154">
        <v>1</v>
      </c>
      <c r="G3702" s="63"/>
      <c r="H3702" s="63"/>
      <c r="I3702" s="63"/>
      <c r="J3702" s="63"/>
      <c r="K3702" s="63"/>
    </row>
    <row r="3703" spans="1:11" x14ac:dyDescent="0.25">
      <c r="A3703" s="108"/>
      <c r="B3703" s="154">
        <v>29</v>
      </c>
      <c r="C3703" s="157" t="s">
        <v>19</v>
      </c>
      <c r="D3703" s="110" t="str">
        <f>IF(ISBLANK($B3703),"",IFERROR(VLOOKUP($B3703,ESTOQUE!$B$2:$D$97168,3,FALSE),"Produto não cadastrado"))</f>
        <v>BOTINA DE ELETRICISTA Nº 39</v>
      </c>
      <c r="E3703" s="99" t="str">
        <f>_xlfn.XLOOKUP(B3703,ESTOQUE!B:B,ESTOQUE!G:G,"",0)</f>
        <v>PAR</v>
      </c>
      <c r="F3703" s="154">
        <v>8</v>
      </c>
      <c r="G3703" s="63"/>
      <c r="H3703" s="63"/>
      <c r="I3703" s="63"/>
      <c r="J3703" s="63"/>
      <c r="K3703" s="63"/>
    </row>
    <row r="3704" spans="1:11" x14ac:dyDescent="0.25">
      <c r="A3704" s="108"/>
      <c r="B3704" s="154">
        <v>28</v>
      </c>
      <c r="C3704" s="157" t="s">
        <v>19</v>
      </c>
      <c r="D3704" s="110" t="str">
        <f>IF(ISBLANK($B3704),"",IFERROR(VLOOKUP($B3704,ESTOQUE!$B$2:$D$97168,3,FALSE),"Produto não cadastrado"))</f>
        <v>BOTINA DE ELETRICISTA Nº 38</v>
      </c>
      <c r="E3704" s="99" t="str">
        <f>_xlfn.XLOOKUP(B3704,ESTOQUE!B:B,ESTOQUE!G:G,"",0)</f>
        <v>PAR</v>
      </c>
      <c r="F3704" s="154">
        <v>16</v>
      </c>
      <c r="G3704" s="63"/>
      <c r="H3704" s="63"/>
      <c r="I3704" s="63"/>
      <c r="J3704" s="63"/>
      <c r="K3704" s="63"/>
    </row>
    <row r="3705" spans="1:11" x14ac:dyDescent="0.25">
      <c r="A3705" s="108"/>
      <c r="B3705" s="154">
        <v>27</v>
      </c>
      <c r="C3705" s="157" t="s">
        <v>19</v>
      </c>
      <c r="D3705" s="110" t="str">
        <f>IF(ISBLANK($B3705),"",IFERROR(VLOOKUP($B3705,ESTOQUE!$B$2:$D$97168,3,FALSE),"Produto não cadastrado"))</f>
        <v>BOTINA DE ELETRICISTA Nº 37</v>
      </c>
      <c r="E3705" s="99" t="str">
        <f>_xlfn.XLOOKUP(B3705,ESTOQUE!B:B,ESTOQUE!G:G,"",0)</f>
        <v>PAR</v>
      </c>
      <c r="F3705" s="154">
        <v>11</v>
      </c>
      <c r="G3705" s="63"/>
      <c r="H3705" s="63"/>
      <c r="I3705" s="63"/>
      <c r="J3705" s="63"/>
      <c r="K3705" s="63"/>
    </row>
    <row r="3706" spans="1:11" x14ac:dyDescent="0.25">
      <c r="A3706" s="108"/>
      <c r="B3706" s="154">
        <v>26</v>
      </c>
      <c r="C3706" s="157" t="s">
        <v>19</v>
      </c>
      <c r="D3706" s="110" t="str">
        <f>IF(ISBLANK($B3706),"",IFERROR(VLOOKUP($B3706,ESTOQUE!$B$2:$D$97168,3,FALSE),"Produto não cadastrado"))</f>
        <v>BOTINA DE ELETRICISTA Nº 36</v>
      </c>
      <c r="E3706" s="99" t="str">
        <f>_xlfn.XLOOKUP(B3706,ESTOQUE!B:B,ESTOQUE!G:G,"",0)</f>
        <v>PAR</v>
      </c>
      <c r="F3706" s="154">
        <v>10</v>
      </c>
      <c r="G3706" s="63"/>
      <c r="H3706" s="63"/>
      <c r="I3706" s="63"/>
      <c r="J3706" s="63"/>
      <c r="K3706" s="63"/>
    </row>
    <row r="3707" spans="1:11" x14ac:dyDescent="0.25">
      <c r="A3707" s="108"/>
      <c r="B3707" s="154">
        <v>151</v>
      </c>
      <c r="C3707" s="157" t="s">
        <v>19</v>
      </c>
      <c r="D3707" s="110" t="str">
        <f>IF(ISBLANK($B3707),"",IFERROR(VLOOKUP($B3707,ESTOQUE!$B$2:$D$97168,3,FALSE),"Produto não cadastrado"))</f>
        <v>BOTINA BICO PVC Nº 39 NOBUCK</v>
      </c>
      <c r="E3707" s="99" t="str">
        <f>_xlfn.XLOOKUP(B3707,ESTOQUE!B:B,ESTOQUE!G:G,"",0)</f>
        <v>PAR</v>
      </c>
      <c r="F3707" s="154">
        <v>10</v>
      </c>
      <c r="G3707" s="63"/>
      <c r="H3707" s="63"/>
      <c r="I3707" s="63"/>
      <c r="J3707" s="63"/>
      <c r="K3707" s="63"/>
    </row>
    <row r="3708" spans="1:11" x14ac:dyDescent="0.25">
      <c r="A3708" s="108"/>
      <c r="B3708" s="154">
        <v>34</v>
      </c>
      <c r="C3708" s="157" t="s">
        <v>19</v>
      </c>
      <c r="D3708" s="110" t="str">
        <f>IF(ISBLANK($B3708),"",IFERROR(VLOOKUP($B3708,ESTOQUE!$B$2:$D$97168,3,FALSE),"Produto não cadastrado"))</f>
        <v>BOTINA OP. BICO PVC Nº 36</v>
      </c>
      <c r="E3708" s="99" t="str">
        <f>_xlfn.XLOOKUP(B3708,ESTOQUE!B:B,ESTOQUE!G:G,"",0)</f>
        <v>PAR</v>
      </c>
      <c r="F3708" s="154">
        <v>4</v>
      </c>
      <c r="G3708" s="63"/>
      <c r="H3708" s="63"/>
      <c r="I3708" s="63"/>
      <c r="J3708" s="63"/>
      <c r="K3708" s="63"/>
    </row>
    <row r="3709" spans="1:11" x14ac:dyDescent="0.25">
      <c r="A3709" s="108"/>
      <c r="B3709" s="154">
        <v>36</v>
      </c>
      <c r="C3709" s="157" t="s">
        <v>19</v>
      </c>
      <c r="D3709" s="110" t="str">
        <f>IF(ISBLANK($B3709),"",IFERROR(VLOOKUP($B3709,ESTOQUE!$B$2:$D$97168,3,FALSE),"Produto não cadastrado"))</f>
        <v>BOTINA OP. BICO PVC Nº 38</v>
      </c>
      <c r="E3709" s="99" t="str">
        <f>_xlfn.XLOOKUP(B3709,ESTOQUE!B:B,ESTOQUE!G:G,"",0)</f>
        <v>PAR</v>
      </c>
      <c r="F3709" s="154">
        <v>3</v>
      </c>
      <c r="G3709" s="63"/>
      <c r="H3709" s="63"/>
      <c r="I3709" s="63"/>
      <c r="J3709" s="63"/>
      <c r="K3709" s="63"/>
    </row>
    <row r="3710" spans="1:11" x14ac:dyDescent="0.25">
      <c r="A3710" s="108"/>
      <c r="B3710" s="154">
        <v>37</v>
      </c>
      <c r="C3710" s="157" t="s">
        <v>19</v>
      </c>
      <c r="D3710" s="110" t="str">
        <f>IF(ISBLANK($B3710),"",IFERROR(VLOOKUP($B3710,ESTOQUE!$B$2:$D$97168,3,FALSE),"Produto não cadastrado"))</f>
        <v>BOTINA OP. BICO PVC Nº 39</v>
      </c>
      <c r="E3710" s="99" t="str">
        <f>_xlfn.XLOOKUP(B3710,ESTOQUE!B:B,ESTOQUE!G:G,"",0)</f>
        <v>PAR</v>
      </c>
      <c r="F3710" s="154">
        <v>12</v>
      </c>
      <c r="G3710" s="63"/>
      <c r="H3710" s="63"/>
      <c r="I3710" s="63"/>
      <c r="J3710" s="63"/>
      <c r="K3710" s="63"/>
    </row>
    <row r="3711" spans="1:11" x14ac:dyDescent="0.25">
      <c r="A3711" s="108"/>
      <c r="B3711" s="154">
        <v>38</v>
      </c>
      <c r="C3711" s="157" t="s">
        <v>19</v>
      </c>
      <c r="D3711" s="110" t="str">
        <f>IF(ISBLANK($B3711),"",IFERROR(VLOOKUP($B3711,ESTOQUE!$B$2:$D$97168,3,FALSE),"Produto não cadastrado"))</f>
        <v>BOTINA OP. BICO PVC Nº 40</v>
      </c>
      <c r="E3711" s="99" t="str">
        <f>_xlfn.XLOOKUP(B3711,ESTOQUE!B:B,ESTOQUE!G:G,"",0)</f>
        <v>PAR</v>
      </c>
      <c r="F3711" s="154">
        <v>1</v>
      </c>
      <c r="G3711" s="63"/>
      <c r="H3711" s="63"/>
      <c r="I3711" s="63"/>
      <c r="J3711" s="63"/>
      <c r="K3711" s="63"/>
    </row>
    <row r="3712" spans="1:11" x14ac:dyDescent="0.25">
      <c r="A3712" s="108"/>
      <c r="B3712" s="154">
        <v>43</v>
      </c>
      <c r="C3712" s="157" t="s">
        <v>19</v>
      </c>
      <c r="D3712" s="110" t="str">
        <f>IF(ISBLANK($B3712),"",IFERROR(VLOOKUP($B3712,ESTOQUE!$B$2:$D$97168,3,FALSE),"Produto não cadastrado"))</f>
        <v>BOTINA OP. BICO PVC Nº 45</v>
      </c>
      <c r="E3712" s="99" t="str">
        <f>_xlfn.XLOOKUP(B3712,ESTOQUE!B:B,ESTOQUE!G:G,"",0)</f>
        <v>PAR</v>
      </c>
      <c r="F3712" s="154">
        <v>9</v>
      </c>
      <c r="G3712" s="63"/>
      <c r="H3712" s="63"/>
      <c r="I3712" s="63"/>
      <c r="J3712" s="63"/>
      <c r="K3712" s="63"/>
    </row>
    <row r="3713" spans="1:11" x14ac:dyDescent="0.25">
      <c r="A3713" s="108"/>
      <c r="B3713" s="154">
        <v>44</v>
      </c>
      <c r="C3713" s="157" t="s">
        <v>19</v>
      </c>
      <c r="D3713" s="110" t="str">
        <f>IF(ISBLANK($B3713),"",IFERROR(VLOOKUP($B3713,ESTOQUE!$B$2:$D$97168,3,FALSE),"Produto não cadastrado"))</f>
        <v>BOTINA OP. BICO PVC Nº 46</v>
      </c>
      <c r="E3713" s="99" t="str">
        <f>_xlfn.XLOOKUP(B3713,ESTOQUE!B:B,ESTOQUE!G:G,"",0)</f>
        <v>PAR</v>
      </c>
      <c r="F3713" s="154">
        <v>1</v>
      </c>
      <c r="G3713" s="63"/>
      <c r="H3713" s="63"/>
      <c r="I3713" s="63"/>
      <c r="J3713" s="63"/>
      <c r="K3713" s="63"/>
    </row>
    <row r="3714" spans="1:11" x14ac:dyDescent="0.25">
      <c r="A3714" s="108"/>
      <c r="B3714" s="154">
        <v>213</v>
      </c>
      <c r="C3714" s="157" t="s">
        <v>19</v>
      </c>
      <c r="D3714" s="110" t="str">
        <f>IF(ISBLANK($B3714),"",IFERROR(VLOOKUP($B3714,ESTOQUE!$B$2:$D$97168,3,FALSE),"Produto não cadastrado"))</f>
        <v>BOTINA SEGURANÇA MATATARSO 36</v>
      </c>
      <c r="E3714" s="99" t="str">
        <f>_xlfn.XLOOKUP(B3714,ESTOQUE!B:B,ESTOQUE!G:G,"",0)</f>
        <v>PAR</v>
      </c>
      <c r="F3714" s="154">
        <v>6</v>
      </c>
      <c r="G3714" s="63"/>
      <c r="H3714" s="63"/>
      <c r="I3714" s="63"/>
      <c r="J3714" s="63"/>
      <c r="K3714" s="63"/>
    </row>
    <row r="3715" spans="1:11" x14ac:dyDescent="0.25">
      <c r="A3715" s="108"/>
      <c r="B3715" s="154">
        <v>214</v>
      </c>
      <c r="C3715" s="157" t="s">
        <v>19</v>
      </c>
      <c r="D3715" s="110" t="str">
        <f>IF(ISBLANK($B3715),"",IFERROR(VLOOKUP($B3715,ESTOQUE!$B$2:$D$97168,3,FALSE),"Produto não cadastrado"))</f>
        <v>BOTINA SEGURANÇA METATARSO  37</v>
      </c>
      <c r="E3715" s="99" t="str">
        <f>_xlfn.XLOOKUP(B3715,ESTOQUE!B:B,ESTOQUE!G:G,"",0)</f>
        <v>PAR</v>
      </c>
      <c r="F3715" s="154">
        <v>5</v>
      </c>
      <c r="G3715" s="63"/>
      <c r="H3715" s="63"/>
      <c r="I3715" s="63"/>
      <c r="J3715" s="63"/>
      <c r="K3715" s="63"/>
    </row>
    <row r="3716" spans="1:11" x14ac:dyDescent="0.25">
      <c r="A3716" s="108"/>
      <c r="B3716" s="154">
        <v>215</v>
      </c>
      <c r="C3716" s="157" t="s">
        <v>19</v>
      </c>
      <c r="D3716" s="110" t="str">
        <f>IF(ISBLANK($B3716),"",IFERROR(VLOOKUP($B3716,ESTOQUE!$B$2:$D$97168,3,FALSE),"Produto não cadastrado"))</f>
        <v>BOTINA SEGURANÇA METATARSO  38</v>
      </c>
      <c r="E3716" s="99" t="str">
        <f>_xlfn.XLOOKUP(B3716,ESTOQUE!B:B,ESTOQUE!G:G,"",0)</f>
        <v>PAR</v>
      </c>
      <c r="F3716" s="154">
        <v>3</v>
      </c>
      <c r="G3716" s="63"/>
      <c r="H3716" s="63"/>
      <c r="I3716" s="63"/>
      <c r="J3716" s="63"/>
      <c r="K3716" s="63"/>
    </row>
    <row r="3717" spans="1:11" x14ac:dyDescent="0.25">
      <c r="A3717" s="108"/>
      <c r="B3717" s="154">
        <v>216</v>
      </c>
      <c r="C3717" s="157" t="s">
        <v>19</v>
      </c>
      <c r="D3717" s="110" t="str">
        <f>IF(ISBLANK($B3717),"",IFERROR(VLOOKUP($B3717,ESTOQUE!$B$2:$D$97168,3,FALSE),"Produto não cadastrado"))</f>
        <v>BOTINA SEGURANÇA METATARSO  39</v>
      </c>
      <c r="E3717" s="99" t="str">
        <f>_xlfn.XLOOKUP(B3717,ESTOQUE!B:B,ESTOQUE!G:G,"",0)</f>
        <v>PAR</v>
      </c>
      <c r="F3717" s="154">
        <v>22</v>
      </c>
      <c r="G3717" s="63"/>
      <c r="H3717" s="63"/>
      <c r="I3717" s="63"/>
      <c r="J3717" s="63"/>
      <c r="K3717" s="63"/>
    </row>
    <row r="3718" spans="1:11" x14ac:dyDescent="0.25">
      <c r="A3718" s="108"/>
      <c r="B3718" s="154">
        <v>218</v>
      </c>
      <c r="C3718" s="157" t="s">
        <v>19</v>
      </c>
      <c r="D3718" s="110" t="str">
        <f>IF(ISBLANK($B3718),"",IFERROR(VLOOKUP($B3718,ESTOQUE!$B$2:$D$97168,3,FALSE),"Produto não cadastrado"))</f>
        <v>BOTINA SEGURANÇA METATARSO  41</v>
      </c>
      <c r="E3718" s="99" t="str">
        <f>_xlfn.XLOOKUP(B3718,ESTOQUE!B:B,ESTOQUE!G:G,"",0)</f>
        <v>PAR</v>
      </c>
      <c r="F3718" s="154">
        <v>43</v>
      </c>
      <c r="G3718" s="63"/>
      <c r="H3718" s="63"/>
      <c r="I3718" s="63"/>
      <c r="J3718" s="63"/>
      <c r="K3718" s="63"/>
    </row>
    <row r="3719" spans="1:11" x14ac:dyDescent="0.25">
      <c r="A3719" s="108"/>
      <c r="B3719" s="154">
        <v>72</v>
      </c>
      <c r="C3719" s="157" t="s">
        <v>19</v>
      </c>
      <c r="D3719" s="110" t="str">
        <f>IF(ISBLANK($B3719),"",IFERROR(VLOOKUP($B3719,ESTOQUE!$B$2:$D$97168,3,FALSE),"Produto não cadastrado"))</f>
        <v>CAPA DE CHUVA G</v>
      </c>
      <c r="E3719" s="99" t="str">
        <f>_xlfn.XLOOKUP(B3719,ESTOQUE!B:B,ESTOQUE!G:G,"",0)</f>
        <v>UND</v>
      </c>
      <c r="F3719" s="154">
        <v>73</v>
      </c>
      <c r="G3719" s="63"/>
      <c r="H3719" s="63"/>
      <c r="I3719" s="63"/>
      <c r="J3719" s="63"/>
      <c r="K3719" s="63"/>
    </row>
    <row r="3720" spans="1:11" x14ac:dyDescent="0.25">
      <c r="A3720" s="108"/>
      <c r="B3720" s="154">
        <v>210</v>
      </c>
      <c r="C3720" s="157" t="s">
        <v>19</v>
      </c>
      <c r="D3720" s="110" t="str">
        <f>IF(ISBLANK($B3720),"",IFERROR(VLOOKUP($B3720,ESTOQUE!$B$2:$D$97168,3,FALSE),"Produto não cadastrado"))</f>
        <v>COLETE REFLETIVO LARANJA G</v>
      </c>
      <c r="E3720" s="99" t="str">
        <f>_xlfn.XLOOKUP(B3720,ESTOQUE!B:B,ESTOQUE!G:G,"",0)</f>
        <v>UND</v>
      </c>
      <c r="F3720" s="154">
        <v>1</v>
      </c>
      <c r="G3720" s="63"/>
      <c r="H3720" s="63"/>
      <c r="I3720" s="63"/>
      <c r="J3720" s="63"/>
      <c r="K3720" s="63"/>
    </row>
    <row r="3721" spans="1:11" x14ac:dyDescent="0.25">
      <c r="A3721" s="108"/>
      <c r="B3721" s="154">
        <v>260</v>
      </c>
      <c r="C3721" s="157" t="s">
        <v>19</v>
      </c>
      <c r="D3721" s="110" t="str">
        <f>IF(ISBLANK($B3721),"",IFERROR(VLOOKUP($B3721,ESTOQUE!$B$2:$D$97168,3,FALSE),"Produto não cadastrado"))</f>
        <v>CORDA PARA SINALIZAÇÃO 12mmx150m</v>
      </c>
      <c r="E3721" s="99" t="str">
        <f>_xlfn.XLOOKUP(B3721,ESTOQUE!B:B,ESTOQUE!G:G,"",0)</f>
        <v>M</v>
      </c>
      <c r="F3721" s="154">
        <v>1100</v>
      </c>
      <c r="G3721" s="63"/>
      <c r="H3721" s="63"/>
      <c r="I3721" s="63"/>
      <c r="J3721" s="63"/>
      <c r="K3721" s="63"/>
    </row>
    <row r="3722" spans="1:11" x14ac:dyDescent="0.25">
      <c r="A3722" s="108"/>
      <c r="B3722" s="154">
        <v>258</v>
      </c>
      <c r="C3722" s="157" t="s">
        <v>19</v>
      </c>
      <c r="D3722" s="110" t="str">
        <f>IF(ISBLANK($B3722),"",IFERROR(VLOOKUP($B3722,ESTOQUE!$B$2:$D$97168,3,FALSE),"Produto não cadastrado"))</f>
        <v>CORDA MULTIFILAMENTO TRANÇADA 12mm</v>
      </c>
      <c r="E3722" s="99" t="str">
        <f>_xlfn.XLOOKUP(B3722,ESTOQUE!B:B,ESTOQUE!G:G,"",0)</f>
        <v>M</v>
      </c>
      <c r="F3722" s="154"/>
      <c r="G3722" s="63"/>
      <c r="H3722" s="63"/>
      <c r="I3722" s="63"/>
      <c r="J3722" s="63"/>
      <c r="K3722" s="63"/>
    </row>
    <row r="3723" spans="1:11" x14ac:dyDescent="0.25">
      <c r="A3723" s="108"/>
      <c r="B3723" s="154">
        <v>262</v>
      </c>
      <c r="C3723" s="157" t="s">
        <v>19</v>
      </c>
      <c r="D3723" s="110" t="str">
        <f>IF(ISBLANK($B3723),"",IFERROR(VLOOKUP($B3723,ESTOQUE!$B$2:$D$97168,3,FALSE),"Produto não cadastrado"))</f>
        <v xml:space="preserve">LUVA DE RASPA MISTA </v>
      </c>
      <c r="E3723" s="99" t="str">
        <f>_xlfn.XLOOKUP(B3723,ESTOQUE!B:B,ESTOQUE!G:G,"",0)</f>
        <v>PAR</v>
      </c>
      <c r="F3723" s="154">
        <v>8</v>
      </c>
      <c r="G3723" s="63"/>
      <c r="H3723" s="63"/>
      <c r="I3723" s="63"/>
      <c r="J3723" s="63"/>
      <c r="K3723" s="63"/>
    </row>
    <row r="3724" spans="1:11" x14ac:dyDescent="0.25">
      <c r="A3724" s="108"/>
      <c r="B3724" s="154">
        <v>141</v>
      </c>
      <c r="C3724" s="157" t="s">
        <v>19</v>
      </c>
      <c r="D3724" s="110" t="str">
        <f>IF(ISBLANK($B3724),"",IFERROR(VLOOKUP($B3724,ESTOQUE!$B$2:$D$97168,3,FALSE),"Produto não cadastrado"))</f>
        <v xml:space="preserve">LUVA DE VAQUETA </v>
      </c>
      <c r="E3724" s="99" t="str">
        <f>_xlfn.XLOOKUP(B3724,ESTOQUE!B:B,ESTOQUE!G:G,"",0)</f>
        <v>PAR</v>
      </c>
      <c r="F3724" s="154">
        <v>206</v>
      </c>
      <c r="G3724" s="63"/>
      <c r="H3724" s="63"/>
      <c r="I3724" s="63"/>
      <c r="J3724" s="63"/>
      <c r="K3724" s="63"/>
    </row>
    <row r="3725" spans="1:11" x14ac:dyDescent="0.25">
      <c r="A3725" s="108"/>
      <c r="B3725" s="154">
        <v>257</v>
      </c>
      <c r="C3725" s="157" t="s">
        <v>19</v>
      </c>
      <c r="D3725" s="110" t="str">
        <f>IF(ISBLANK($B3725),"",IFERROR(VLOOKUP($B3725,ESTOQUE!$B$2:$D$97168,3,FALSE),"Produto não cadastrado"))</f>
        <v xml:space="preserve">LUVA MULTITATO </v>
      </c>
      <c r="E3725" s="99" t="str">
        <f>_xlfn.XLOOKUP(B3725,ESTOQUE!B:B,ESTOQUE!G:G,"",0)</f>
        <v>UND</v>
      </c>
      <c r="F3725" s="154">
        <v>81</v>
      </c>
      <c r="G3725" s="63"/>
      <c r="H3725" s="63"/>
      <c r="I3725" s="63"/>
      <c r="J3725" s="63"/>
      <c r="K3725" s="63"/>
    </row>
    <row r="3726" spans="1:11" x14ac:dyDescent="0.25">
      <c r="A3726" s="108"/>
      <c r="B3726" s="154">
        <v>263</v>
      </c>
      <c r="C3726" s="157" t="s">
        <v>19</v>
      </c>
      <c r="D3726" s="110" t="str">
        <f>IF(ISBLANK($B3726),"",IFERROR(VLOOKUP($B3726,ESTOQUE!$B$2:$D$97168,3,FALSE),"Produto não cadastrado"))</f>
        <v>LUVA DE VAUQETA CINZA</v>
      </c>
      <c r="E3726" s="99" t="str">
        <f>_xlfn.XLOOKUP(B3726,ESTOQUE!B:B,ESTOQUE!G:G,"",0)</f>
        <v>UND</v>
      </c>
      <c r="F3726" s="154">
        <v>177</v>
      </c>
      <c r="G3726" s="63"/>
      <c r="H3726" s="63"/>
      <c r="I3726" s="63"/>
      <c r="J3726" s="63"/>
      <c r="K3726" s="63"/>
    </row>
    <row r="3727" spans="1:11" x14ac:dyDescent="0.25">
      <c r="A3727" s="108"/>
      <c r="B3727" s="154">
        <v>130</v>
      </c>
      <c r="C3727" s="157" t="s">
        <v>19</v>
      </c>
      <c r="D3727" s="110" t="str">
        <f>IF(ISBLANK($B3727),"",IFERROR(VLOOKUP($B3727,ESTOQUE!$B$2:$D$97168,3,FALSE),"Produto não cadastrado"))</f>
        <v>PROTETOR AUDITIVO TIPO CONCHA L-300</v>
      </c>
      <c r="E3727" s="99" t="str">
        <f>_xlfn.XLOOKUP(B3727,ESTOQUE!B:B,ESTOQUE!G:G,"",0)</f>
        <v>UND</v>
      </c>
      <c r="F3727" s="154">
        <v>20</v>
      </c>
      <c r="G3727" s="63"/>
      <c r="H3727" s="63"/>
      <c r="I3727" s="63"/>
      <c r="J3727" s="63"/>
      <c r="K3727" s="63"/>
    </row>
    <row r="3728" spans="1:11" x14ac:dyDescent="0.25">
      <c r="A3728" s="108"/>
      <c r="B3728" s="154">
        <v>122</v>
      </c>
      <c r="C3728" s="157" t="s">
        <v>19</v>
      </c>
      <c r="D3728" s="110" t="str">
        <f>IF(ISBLANK($B3728),"",IFERROR(VLOOKUP($B3728,ESTOQUE!$B$2:$D$97168,3,FALSE),"Produto não cadastrado"))</f>
        <v xml:space="preserve">SUPORTE PROTETOR FACIAL </v>
      </c>
      <c r="E3728" s="99" t="str">
        <f>_xlfn.XLOOKUP(B3728,ESTOQUE!B:B,ESTOQUE!G:G,"",0)</f>
        <v>UND</v>
      </c>
      <c r="F3728" s="154">
        <v>23</v>
      </c>
      <c r="G3728" s="63"/>
      <c r="H3728" s="63"/>
      <c r="I3728" s="63"/>
      <c r="J3728" s="63"/>
      <c r="K3728" s="63"/>
    </row>
    <row r="3729" spans="1:6" x14ac:dyDescent="0.25">
      <c r="A3729" s="108">
        <v>46154</v>
      </c>
      <c r="B3729" s="154">
        <v>228</v>
      </c>
      <c r="C3729" s="108" t="s">
        <v>19</v>
      </c>
      <c r="D3729" s="110" t="str">
        <f>IF(ISBLANK($B3729),"",IFERROR(VLOOKUP($B3729,ESTOQUE!$B$2:$D$97168,3,FALSE),"Produto não cadastrado"))</f>
        <v xml:space="preserve">BALACLAVA  </v>
      </c>
      <c r="E3729" s="99" t="str">
        <f>_xlfn.XLOOKUP(B3729,ESTOQUE!B:B,ESTOQUE!G:G,"",0)</f>
        <v>UND</v>
      </c>
      <c r="F3729" s="152">
        <v>18</v>
      </c>
    </row>
    <row r="3730" spans="1:6" x14ac:dyDescent="0.25">
      <c r="A3730" s="108">
        <v>46154</v>
      </c>
      <c r="B3730" s="152">
        <v>21</v>
      </c>
      <c r="C3730" s="108" t="s">
        <v>19</v>
      </c>
      <c r="D3730" s="110" t="str">
        <f>IF(ISBLANK($B3730),"",IFERROR(VLOOKUP($B3730,ESTOQUE!$B$2:$D$97168,3,FALSE),"Produto não cadastrado"))</f>
        <v>BOTA PVC CANO MEDIO Nº 42</v>
      </c>
      <c r="E3730" s="99" t="str">
        <f>_xlfn.XLOOKUP(B3730,ESTOQUE!B:B,ESTOQUE!G:G,"",0)</f>
        <v>PAR</v>
      </c>
      <c r="F3730" s="152">
        <v>1</v>
      </c>
    </row>
    <row r="3731" spans="1:6" x14ac:dyDescent="0.25">
      <c r="A3731" s="108">
        <v>46154</v>
      </c>
      <c r="B3731" s="152">
        <v>218</v>
      </c>
      <c r="C3731" s="108" t="s">
        <v>19</v>
      </c>
      <c r="D3731" s="110" t="str">
        <f>IF(ISBLANK($B3731),"",IFERROR(VLOOKUP($B3731,ESTOQUE!$B$2:$D$97168,3,FALSE),"Produto não cadastrado"))</f>
        <v>BOTINA SEGURANÇA METATARSO  41</v>
      </c>
      <c r="E3731" s="99" t="str">
        <f>_xlfn.XLOOKUP(B3731,ESTOQUE!B:B,ESTOQUE!G:G,"",0)</f>
        <v>PAR</v>
      </c>
      <c r="F3731" s="152">
        <v>3</v>
      </c>
    </row>
    <row r="3732" spans="1:6" x14ac:dyDescent="0.25">
      <c r="A3732" s="108">
        <v>46154</v>
      </c>
      <c r="B3732" s="152">
        <v>42</v>
      </c>
      <c r="C3732" s="108" t="s">
        <v>19</v>
      </c>
      <c r="D3732" s="110" t="str">
        <f>IF(ISBLANK($B3732),"",IFERROR(VLOOKUP($B3732,ESTOQUE!$B$2:$D$97168,3,FALSE),"Produto não cadastrado"))</f>
        <v>BOTINA OP. BICO PVC Nº 44</v>
      </c>
      <c r="E3732" s="99" t="str">
        <f>_xlfn.XLOOKUP(B3732,ESTOQUE!B:B,ESTOQUE!G:G,"",0)</f>
        <v>PAR</v>
      </c>
      <c r="F3732" s="152">
        <v>1</v>
      </c>
    </row>
    <row r="3733" spans="1:6" x14ac:dyDescent="0.25">
      <c r="A3733" s="108">
        <v>46154</v>
      </c>
      <c r="B3733" s="152">
        <v>46</v>
      </c>
      <c r="C3733" s="108" t="s">
        <v>19</v>
      </c>
      <c r="D3733" s="110" t="str">
        <f>IF(ISBLANK($B3733),"",IFERROR(VLOOKUP($B3733,ESTOQUE!$B$2:$D$97168,3,FALSE),"Produto não cadastrado"))</f>
        <v>CALÇA CINZA OP. C/ FAIXA REFLETIVA TAM: G</v>
      </c>
      <c r="E3733" s="99" t="str">
        <f>_xlfn.XLOOKUP(B3733,ESTOQUE!B:B,ESTOQUE!G:G,"",0)</f>
        <v>UND</v>
      </c>
      <c r="F3733" s="152">
        <v>4</v>
      </c>
    </row>
    <row r="3734" spans="1:6" x14ac:dyDescent="0.25">
      <c r="A3734" s="108">
        <v>46154</v>
      </c>
      <c r="B3734" s="152">
        <v>47</v>
      </c>
      <c r="C3734" s="108" t="s">
        <v>19</v>
      </c>
      <c r="D3734" s="110" t="str">
        <f>IF(ISBLANK($B3734),"",IFERROR(VLOOKUP($B3734,ESTOQUE!$B$2:$D$97168,3,FALSE),"Produto não cadastrado"))</f>
        <v>CALÇA CINZA OP. C/ FAIXA REFLETIVA TAM: GG</v>
      </c>
      <c r="E3734" s="99" t="str">
        <f>_xlfn.XLOOKUP(B3734,ESTOQUE!B:B,ESTOQUE!G:G,"",0)</f>
        <v>UND</v>
      </c>
      <c r="F3734" s="152">
        <v>1</v>
      </c>
    </row>
    <row r="3735" spans="1:6" x14ac:dyDescent="0.25">
      <c r="A3735" s="108">
        <v>46154</v>
      </c>
      <c r="B3735" s="152">
        <v>48</v>
      </c>
      <c r="C3735" s="108" t="s">
        <v>19</v>
      </c>
      <c r="D3735" s="110" t="str">
        <f>IF(ISBLANK($B3735),"",IFERROR(VLOOKUP($B3735,ESTOQUE!$B$2:$D$97168,3,FALSE),"Produto não cadastrado"))</f>
        <v>CALÇA CINZA OP. C/ FAIXA REFLETIVA TAM: M</v>
      </c>
      <c r="E3735" s="99" t="str">
        <f>_xlfn.XLOOKUP(B3735,ESTOQUE!B:B,ESTOQUE!G:G,"",0)</f>
        <v>UND</v>
      </c>
      <c r="F3735" s="152">
        <v>6</v>
      </c>
    </row>
    <row r="3736" spans="1:6" x14ac:dyDescent="0.25">
      <c r="A3736" s="108">
        <v>46154</v>
      </c>
      <c r="B3736" s="152">
        <v>49</v>
      </c>
      <c r="C3736" s="108" t="s">
        <v>19</v>
      </c>
      <c r="D3736" s="110" t="str">
        <f>IF(ISBLANK($B3736),"",IFERROR(VLOOKUP($B3736,ESTOQUE!$B$2:$D$97168,3,FALSE),"Produto não cadastrado"))</f>
        <v>CALÇA CINZA OP. C/ FAIXA REFLETIVA TAM: P</v>
      </c>
      <c r="E3736" s="99" t="str">
        <f>_xlfn.XLOOKUP(B3736,ESTOQUE!B:B,ESTOQUE!G:G,"",0)</f>
        <v>UND</v>
      </c>
      <c r="F3736" s="152">
        <v>6</v>
      </c>
    </row>
    <row r="3737" spans="1:6" x14ac:dyDescent="0.25">
      <c r="A3737" s="108">
        <v>46154</v>
      </c>
      <c r="B3737" s="152">
        <v>50</v>
      </c>
      <c r="C3737" s="108" t="s">
        <v>19</v>
      </c>
      <c r="D3737" s="110" t="str">
        <f>IF(ISBLANK($B3737),"",IFERROR(VLOOKUP($B3737,ESTOQUE!$B$2:$D$97168,3,FALSE),"Produto não cadastrado"))</f>
        <v>CALÇA CINZA OP. C/ FAIXA REFLETIVA TAM: XG</v>
      </c>
      <c r="E3737" s="99" t="str">
        <f>_xlfn.XLOOKUP(B3737,ESTOQUE!B:B,ESTOQUE!G:G,"",0)</f>
        <v>UND</v>
      </c>
      <c r="F3737" s="152">
        <v>1</v>
      </c>
    </row>
    <row r="3738" spans="1:6" x14ac:dyDescent="0.25">
      <c r="A3738" s="108">
        <v>46154</v>
      </c>
      <c r="B3738" s="152">
        <v>67</v>
      </c>
      <c r="C3738" s="108" t="s">
        <v>19</v>
      </c>
      <c r="D3738" s="110" t="str">
        <f>IF(ISBLANK($B3738),"",IFERROR(VLOOKUP($B3738,ESTOQUE!$B$2:$D$97168,3,FALSE),"Produto não cadastrado"))</f>
        <v>CAMISA LARANJA OP. C/ FAIXA REFLETIVA TAM: G</v>
      </c>
      <c r="E3738" s="99" t="str">
        <f>_xlfn.XLOOKUP(B3738,ESTOQUE!B:B,ESTOQUE!G:G,"",0)</f>
        <v>UND</v>
      </c>
      <c r="F3738" s="152">
        <v>7</v>
      </c>
    </row>
    <row r="3739" spans="1:6" x14ac:dyDescent="0.25">
      <c r="A3739" s="108">
        <v>46154</v>
      </c>
      <c r="B3739" s="152">
        <v>68</v>
      </c>
      <c r="C3739" s="108" t="s">
        <v>19</v>
      </c>
      <c r="D3739" s="110" t="str">
        <f>IF(ISBLANK($B3739),"",IFERROR(VLOOKUP($B3739,ESTOQUE!$B$2:$D$97168,3,FALSE),"Produto não cadastrado"))</f>
        <v>CAMISA LARANJA OP. C/ FAIXA REFLETIVA TAM: GG</v>
      </c>
      <c r="E3739" s="99" t="str">
        <f>_xlfn.XLOOKUP(B3739,ESTOQUE!B:B,ESTOQUE!G:G,"",0)</f>
        <v>UND</v>
      </c>
      <c r="F3739" s="152">
        <v>2</v>
      </c>
    </row>
    <row r="3740" spans="1:6" x14ac:dyDescent="0.25">
      <c r="A3740" s="108">
        <v>46154</v>
      </c>
      <c r="B3740" s="152">
        <v>69</v>
      </c>
      <c r="C3740" s="108" t="s">
        <v>19</v>
      </c>
      <c r="D3740" s="110" t="str">
        <f>IF(ISBLANK($B3740),"",IFERROR(VLOOKUP($B3740,ESTOQUE!$B$2:$D$97168,3,FALSE),"Produto não cadastrado"))</f>
        <v>CAMISA LARANJA OP. C/ FAIXA REFLETIVA TAM: M</v>
      </c>
      <c r="E3740" s="99" t="str">
        <f>_xlfn.XLOOKUP(B3740,ESTOQUE!B:B,ESTOQUE!G:G,"",0)</f>
        <v>UND</v>
      </c>
      <c r="F3740" s="152">
        <v>5</v>
      </c>
    </row>
    <row r="3741" spans="1:6" x14ac:dyDescent="0.25">
      <c r="A3741" s="108">
        <v>46154</v>
      </c>
      <c r="B3741" s="152">
        <v>70</v>
      </c>
      <c r="C3741" s="108" t="s">
        <v>19</v>
      </c>
      <c r="D3741" s="110" t="str">
        <f>IF(ISBLANK($B3741),"",IFERROR(VLOOKUP($B3741,ESTOQUE!$B$2:$D$97168,3,FALSE),"Produto não cadastrado"))</f>
        <v>CAMISA LARANJA OP. C/ FAIXA REFLETIVA TAM: P</v>
      </c>
      <c r="E3741" s="99" t="str">
        <f>_xlfn.XLOOKUP(B3741,ESTOQUE!B:B,ESTOQUE!G:G,"",0)</f>
        <v>UND</v>
      </c>
      <c r="F3741" s="152">
        <v>7</v>
      </c>
    </row>
    <row r="3742" spans="1:6" x14ac:dyDescent="0.25">
      <c r="A3742" s="108">
        <v>46154</v>
      </c>
      <c r="B3742" s="152">
        <v>71</v>
      </c>
      <c r="C3742" s="108" t="s">
        <v>19</v>
      </c>
      <c r="D3742" s="110" t="str">
        <f>IF(ISBLANK($B3742),"",IFERROR(VLOOKUP($B3742,ESTOQUE!$B$2:$D$97168,3,FALSE),"Produto não cadastrado"))</f>
        <v>CAMISA LARANJA OP. C/ FAIXA REFLETIVA TAM: XG</v>
      </c>
      <c r="E3742" s="99" t="str">
        <f>_xlfn.XLOOKUP(B3742,ESTOQUE!B:B,ESTOQUE!G:G,"",0)</f>
        <v>UND</v>
      </c>
      <c r="F3742" s="152">
        <v>1</v>
      </c>
    </row>
    <row r="3743" spans="1:6" x14ac:dyDescent="0.25">
      <c r="A3743" s="108">
        <v>46154</v>
      </c>
      <c r="B3743" s="152">
        <v>186</v>
      </c>
      <c r="C3743" s="108" t="s">
        <v>19</v>
      </c>
      <c r="D3743" s="110" t="str">
        <f>IF(ISBLANK($B3743),"",IFERROR(VLOOKUP($B3743,ESTOQUE!$B$2:$D$97168,3,FALSE),"Produto não cadastrado"))</f>
        <v>COLETE REFLETIVO LARANJA GG</v>
      </c>
      <c r="E3743" s="99" t="str">
        <f>_xlfn.XLOOKUP(B3743,ESTOQUE!B:B,ESTOQUE!G:G,"",0)</f>
        <v>UND</v>
      </c>
      <c r="F3743" s="152">
        <v>1</v>
      </c>
    </row>
    <row r="3744" spans="1:6" x14ac:dyDescent="0.25">
      <c r="A3744" s="108">
        <v>46154</v>
      </c>
      <c r="B3744" s="152">
        <v>161</v>
      </c>
      <c r="C3744" s="108" t="s">
        <v>19</v>
      </c>
      <c r="D3744" s="110" t="str">
        <f>IF(ISBLANK($B3744),"",IFERROR(VLOOKUP($B3744,ESTOQUE!$B$2:$D$97168,3,FALSE),"Produto não cadastrado"))</f>
        <v>JUGULAR</v>
      </c>
      <c r="E3744" s="99" t="str">
        <f>_xlfn.XLOOKUP(B3744,ESTOQUE!B:B,ESTOQUE!G:G,"",0)</f>
        <v>UND</v>
      </c>
      <c r="F3744" s="152">
        <v>2</v>
      </c>
    </row>
    <row r="3745" spans="1:6" x14ac:dyDescent="0.25">
      <c r="A3745" s="108">
        <v>46154</v>
      </c>
      <c r="B3745" s="152">
        <v>110</v>
      </c>
      <c r="C3745" s="108" t="s">
        <v>19</v>
      </c>
      <c r="D3745" s="110" t="str">
        <f>IF(ISBLANK($B3745),"",IFERROR(VLOOKUP($B3745,ESTOQUE!$B$2:$D$97168,3,FALSE),"Produto não cadastrado"))</f>
        <v>LUVA DE RASPA CANO LONGO</v>
      </c>
      <c r="E3745" s="99" t="str">
        <f>_xlfn.XLOOKUP(B3745,ESTOQUE!B:B,ESTOQUE!G:G,"",0)</f>
        <v>PAR</v>
      </c>
      <c r="F3745" s="152">
        <v>9</v>
      </c>
    </row>
    <row r="3746" spans="1:6" x14ac:dyDescent="0.25">
      <c r="A3746" s="108">
        <v>46154</v>
      </c>
      <c r="B3746" s="152">
        <v>141</v>
      </c>
      <c r="C3746" s="108" t="s">
        <v>19</v>
      </c>
      <c r="D3746" s="110" t="str">
        <f>IF(ISBLANK($B3746),"",IFERROR(VLOOKUP($B3746,ESTOQUE!$B$2:$D$97168,3,FALSE),"Produto não cadastrado"))</f>
        <v xml:space="preserve">LUVA DE VAQUETA </v>
      </c>
      <c r="E3746" s="99" t="str">
        <f>_xlfn.XLOOKUP(B3746,ESTOQUE!B:B,ESTOQUE!G:G,"",0)</f>
        <v>PAR</v>
      </c>
      <c r="F3746" s="152">
        <v>200</v>
      </c>
    </row>
    <row r="3747" spans="1:6" x14ac:dyDescent="0.25">
      <c r="A3747" s="108">
        <v>46154</v>
      </c>
      <c r="B3747" s="152">
        <v>114</v>
      </c>
      <c r="C3747" s="108" t="s">
        <v>19</v>
      </c>
      <c r="D3747" s="110" t="str">
        <f>IF(ISBLANK($B3747),"",IFERROR(VLOOKUP($B3747,ESTOQUE!$B$2:$D$97168,3,FALSE),"Produto não cadastrado"))</f>
        <v xml:space="preserve">LUVA LATEX NITRILICA </v>
      </c>
      <c r="E3747" s="99" t="str">
        <f>_xlfn.XLOOKUP(B3747,ESTOQUE!B:B,ESTOQUE!G:G,"",0)</f>
        <v>PAR</v>
      </c>
      <c r="F3747" s="152">
        <v>1</v>
      </c>
    </row>
    <row r="3748" spans="1:6" x14ac:dyDescent="0.25">
      <c r="A3748" s="108">
        <v>46154</v>
      </c>
      <c r="B3748" s="152">
        <v>117</v>
      </c>
      <c r="C3748" s="108" t="s">
        <v>19</v>
      </c>
      <c r="D3748" s="110" t="str">
        <f>IF(ISBLANK($B3748),"",IFERROR(VLOOKUP($B3748,ESTOQUE!$B$2:$D$97168,3,FALSE),"Produto não cadastrado"))</f>
        <v>LUVA PIGMENTADA</v>
      </c>
      <c r="E3748" s="99" t="str">
        <f>_xlfn.XLOOKUP(B3748,ESTOQUE!B:B,ESTOQUE!G:G,"",0)</f>
        <v>PAR</v>
      </c>
      <c r="F3748" s="152">
        <v>297</v>
      </c>
    </row>
    <row r="3749" spans="1:6" x14ac:dyDescent="0.25">
      <c r="A3749" s="108">
        <v>46154</v>
      </c>
      <c r="B3749" s="152">
        <v>267</v>
      </c>
      <c r="C3749" s="108" t="s">
        <v>19</v>
      </c>
      <c r="D3749" s="110" t="str">
        <f>IF(ISBLANK($B3749),"",IFERROR(VLOOKUP($B3749,ESTOQUE!$B$2:$D$97168,3,FALSE),"Produto não cadastrado"))</f>
        <v>LUVA POLIESTER ANTICORTE CANO LONGO</v>
      </c>
      <c r="E3749" s="99" t="str">
        <f>_xlfn.XLOOKUP(B3749,ESTOQUE!B:B,ESTOQUE!G:G,"",0)</f>
        <v>UND</v>
      </c>
      <c r="F3749" s="152">
        <v>157</v>
      </c>
    </row>
    <row r="3750" spans="1:6" x14ac:dyDescent="0.25">
      <c r="A3750" s="108">
        <v>46154</v>
      </c>
      <c r="B3750" s="152">
        <v>118</v>
      </c>
      <c r="C3750" s="108" t="s">
        <v>19</v>
      </c>
      <c r="D3750" s="110" t="str">
        <f>IF(ISBLANK($B3750),"",IFERROR(VLOOKUP($B3750,ESTOQUE!$B$2:$D$97168,3,FALSE),"Produto não cadastrado"))</f>
        <v>MACACÃO DE PROTEÇÃO TYVEK</v>
      </c>
      <c r="E3750" s="99" t="str">
        <f>_xlfn.XLOOKUP(B3750,ESTOQUE!B:B,ESTOQUE!G:G,"",0)</f>
        <v>UND</v>
      </c>
      <c r="F3750" s="152">
        <v>102</v>
      </c>
    </row>
    <row r="3751" spans="1:6" x14ac:dyDescent="0.25">
      <c r="A3751" s="108">
        <v>46154</v>
      </c>
      <c r="B3751" s="152">
        <v>144</v>
      </c>
      <c r="C3751" s="108" t="s">
        <v>19</v>
      </c>
      <c r="D3751" s="110" t="str">
        <f>IF(ISBLANK($B3751),"",IFERROR(VLOOKUP($B3751,ESTOQUE!$B$2:$D$97168,3,FALSE),"Produto não cadastrado"))</f>
        <v>MASCARA PFF2-S C/ FILTRO</v>
      </c>
      <c r="E3751" s="99" t="str">
        <f>_xlfn.XLOOKUP(B3751,ESTOQUE!B:B,ESTOQUE!G:G,"",0)</f>
        <v>UND</v>
      </c>
      <c r="F3751" s="152">
        <v>77</v>
      </c>
    </row>
    <row r="3752" spans="1:6" x14ac:dyDescent="0.25">
      <c r="A3752" s="108">
        <v>46154</v>
      </c>
      <c r="B3752" s="152">
        <v>129</v>
      </c>
      <c r="C3752" s="108" t="s">
        <v>19</v>
      </c>
      <c r="D3752" s="110" t="str">
        <f>IF(ISBLANK($B3752),"",IFERROR(VLOOKUP($B3752,ESTOQUE!$B$2:$D$97168,3,FALSE),"Produto não cadastrado"))</f>
        <v>PERNEIRA DE RASPA</v>
      </c>
      <c r="E3752" s="99" t="str">
        <f>_xlfn.XLOOKUP(B3752,ESTOQUE!B:B,ESTOQUE!G:G,"",0)</f>
        <v>PAR</v>
      </c>
      <c r="F3752" s="152">
        <v>1</v>
      </c>
    </row>
    <row r="3753" spans="1:6" x14ac:dyDescent="0.25">
      <c r="A3753" s="108">
        <v>46154</v>
      </c>
      <c r="B3753" s="152">
        <v>139</v>
      </c>
      <c r="C3753" s="108" t="s">
        <v>19</v>
      </c>
      <c r="D3753" s="110" t="str">
        <f>IF(ISBLANK($B3753),"",IFERROR(VLOOKUP($B3753,ESTOQUE!$B$2:$D$97168,3,FALSE),"Produto não cadastrado"))</f>
        <v>PROTETOR AURICULAR TIPO PLUG</v>
      </c>
      <c r="E3753" s="99" t="str">
        <f>_xlfn.XLOOKUP(B3753,ESTOQUE!B:B,ESTOQUE!G:G,"",0)</f>
        <v>UND</v>
      </c>
      <c r="F3753" s="152">
        <v>102</v>
      </c>
    </row>
    <row r="3754" spans="1:6" x14ac:dyDescent="0.25">
      <c r="A3754" s="108">
        <v>46154</v>
      </c>
      <c r="B3754" s="152">
        <v>135</v>
      </c>
      <c r="C3754" s="108" t="s">
        <v>19</v>
      </c>
      <c r="D3754" s="110" t="str">
        <f>IF(ISBLANK($B3754),"",IFERROR(VLOOKUP($B3754,ESTOQUE!$B$2:$D$97168,3,FALSE),"Produto não cadastrado"))</f>
        <v>TALABARTE DUPLO TIPO Y</v>
      </c>
      <c r="E3754" s="99" t="str">
        <f>_xlfn.XLOOKUP(B3754,ESTOQUE!B:B,ESTOQUE!G:G,"",0)</f>
        <v>UND</v>
      </c>
      <c r="F3754" s="152">
        <v>1</v>
      </c>
    </row>
    <row r="3755" spans="1:6" x14ac:dyDescent="0.25">
      <c r="A3755" s="108">
        <v>46154</v>
      </c>
      <c r="B3755" s="152">
        <v>69</v>
      </c>
      <c r="C3755" s="108" t="s">
        <v>19</v>
      </c>
      <c r="D3755" s="110" t="str">
        <f>IF(ISBLANK($B3755),"",IFERROR(VLOOKUP($B3755,ESTOQUE!$B$2:$D$97168,3,FALSE),"Produto não cadastrado"))</f>
        <v>CAMISA LARANJA OP. C/ FAIXA REFLETIVA TAM: M</v>
      </c>
      <c r="E3755" s="99" t="str">
        <f>_xlfn.XLOOKUP(B3755,ESTOQUE!B:B,ESTOQUE!G:G,"",0)</f>
        <v>UND</v>
      </c>
      <c r="F3755" s="152">
        <v>113</v>
      </c>
    </row>
    <row r="3756" spans="1:6" x14ac:dyDescent="0.25">
      <c r="A3756" s="108"/>
      <c r="B3756" s="152">
        <v>110</v>
      </c>
      <c r="C3756" s="108" t="s">
        <v>19</v>
      </c>
      <c r="D3756" s="110" t="str">
        <f>IF(ISBLANK($B3756),"",IFERROR(VLOOKUP($B3756,ESTOQUE!$B$2:$D$97168,3,FALSE),"Produto não cadastrado"))</f>
        <v>LUVA DE RASPA CANO LONGO</v>
      </c>
      <c r="E3756" s="99" t="str">
        <f>_xlfn.XLOOKUP(B3756,ESTOQUE!B:B,ESTOQUE!G:G,"",0)</f>
        <v>PAR</v>
      </c>
      <c r="F3756" s="152">
        <v>100</v>
      </c>
    </row>
    <row r="3757" spans="1:6" x14ac:dyDescent="0.25">
      <c r="A3757" s="108">
        <v>46155</v>
      </c>
      <c r="B3757" s="152">
        <v>228</v>
      </c>
      <c r="C3757" s="108" t="s">
        <v>19</v>
      </c>
      <c r="D3757" s="110" t="str">
        <f>IF(ISBLANK($B3757),"",IFERROR(VLOOKUP($B3757,ESTOQUE!$B$2:$D$97168,3,FALSE),"Produto não cadastrado"))</f>
        <v xml:space="preserve">BALACLAVA  </v>
      </c>
      <c r="E3757" s="99" t="str">
        <f>_xlfn.XLOOKUP(B3757,ESTOQUE!B:B,ESTOQUE!G:G,"",0)</f>
        <v>UND</v>
      </c>
      <c r="F3757" s="152">
        <v>3</v>
      </c>
    </row>
    <row r="3758" spans="1:6" x14ac:dyDescent="0.25">
      <c r="A3758" s="108">
        <v>46155</v>
      </c>
      <c r="B3758" s="152">
        <v>36</v>
      </c>
      <c r="C3758" s="108" t="s">
        <v>19</v>
      </c>
      <c r="D3758" s="110" t="str">
        <f>IF(ISBLANK($B3758),"",IFERROR(VLOOKUP($B3758,ESTOQUE!$B$2:$D$97168,3,FALSE),"Produto não cadastrado"))</f>
        <v>BOTINA OP. BICO PVC Nº 38</v>
      </c>
      <c r="E3758" s="99" t="str">
        <f>_xlfn.XLOOKUP(B3758,ESTOQUE!B:B,ESTOQUE!G:G,"",0)</f>
        <v>PAR</v>
      </c>
      <c r="F3758" s="152">
        <v>1</v>
      </c>
    </row>
    <row r="3759" spans="1:6" x14ac:dyDescent="0.25">
      <c r="A3759" s="108">
        <v>46155</v>
      </c>
      <c r="B3759" s="152">
        <v>216</v>
      </c>
      <c r="C3759" s="108" t="s">
        <v>19</v>
      </c>
      <c r="D3759" s="110" t="str">
        <f>IF(ISBLANK($B3759),"",IFERROR(VLOOKUP($B3759,ESTOQUE!$B$2:$D$97168,3,FALSE),"Produto não cadastrado"))</f>
        <v>BOTINA SEGURANÇA METATARSO  39</v>
      </c>
      <c r="E3759" s="99" t="str">
        <f>_xlfn.XLOOKUP(B3759,ESTOQUE!B:B,ESTOQUE!G:G,"",0)</f>
        <v>PAR</v>
      </c>
      <c r="F3759" s="152">
        <v>1</v>
      </c>
    </row>
    <row r="3760" spans="1:6" x14ac:dyDescent="0.25">
      <c r="A3760" s="108">
        <v>46155</v>
      </c>
      <c r="B3760" s="152">
        <v>217</v>
      </c>
      <c r="C3760" s="108" t="s">
        <v>19</v>
      </c>
      <c r="D3760" s="110" t="str">
        <f>IF(ISBLANK($B3760),"",IFERROR(VLOOKUP($B3760,ESTOQUE!$B$2:$D$97168,3,FALSE),"Produto não cadastrado"))</f>
        <v>BOTINA SEGURANÇA METATARSO  40</v>
      </c>
      <c r="E3760" s="99" t="str">
        <f>_xlfn.XLOOKUP(B3760,ESTOQUE!B:B,ESTOQUE!G:G,"",0)</f>
        <v>PAR</v>
      </c>
      <c r="F3760" s="152">
        <v>1</v>
      </c>
    </row>
    <row r="3761" spans="1:6" x14ac:dyDescent="0.25">
      <c r="A3761" s="108">
        <v>46155</v>
      </c>
      <c r="B3761" s="152">
        <v>218</v>
      </c>
      <c r="C3761" s="108" t="s">
        <v>19</v>
      </c>
      <c r="D3761" s="110" t="str">
        <f>IF(ISBLANK($B3761),"",IFERROR(VLOOKUP($B3761,ESTOQUE!$B$2:$D$97168,3,FALSE),"Produto não cadastrado"))</f>
        <v>BOTINA SEGURANÇA METATARSO  41</v>
      </c>
      <c r="E3761" s="99" t="str">
        <f>_xlfn.XLOOKUP(B3761,ESTOQUE!B:B,ESTOQUE!G:G,"",0)</f>
        <v>PAR</v>
      </c>
      <c r="F3761" s="152">
        <v>1</v>
      </c>
    </row>
    <row r="3762" spans="1:6" x14ac:dyDescent="0.25">
      <c r="A3762" s="108">
        <v>46155</v>
      </c>
      <c r="B3762" s="152">
        <v>41</v>
      </c>
      <c r="C3762" s="108" t="s">
        <v>19</v>
      </c>
      <c r="D3762" s="110" t="str">
        <f>IF(ISBLANK($B3762),"",IFERROR(VLOOKUP($B3762,ESTOQUE!$B$2:$D$97168,3,FALSE),"Produto não cadastrado"))</f>
        <v>BOTINA OP. BICO PVC Nº 43</v>
      </c>
      <c r="E3762" s="99" t="str">
        <f>_xlfn.XLOOKUP(B3762,ESTOQUE!B:B,ESTOQUE!G:G,"",0)</f>
        <v>PAR</v>
      </c>
      <c r="F3762" s="152">
        <v>1</v>
      </c>
    </row>
    <row r="3763" spans="1:6" x14ac:dyDescent="0.25">
      <c r="A3763" s="108">
        <v>46155</v>
      </c>
      <c r="B3763" s="152">
        <v>46</v>
      </c>
      <c r="C3763" s="108" t="s">
        <v>19</v>
      </c>
      <c r="D3763" s="110" t="str">
        <f>IF(ISBLANK($B3763),"",IFERROR(VLOOKUP($B3763,ESTOQUE!$B$2:$D$97168,3,FALSE),"Produto não cadastrado"))</f>
        <v>CALÇA CINZA OP. C/ FAIXA REFLETIVA TAM: G</v>
      </c>
      <c r="E3763" s="99" t="str">
        <f>_xlfn.XLOOKUP(B3763,ESTOQUE!B:B,ESTOQUE!G:G,"",0)</f>
        <v>UND</v>
      </c>
      <c r="F3763" s="152">
        <v>3</v>
      </c>
    </row>
    <row r="3764" spans="1:6" x14ac:dyDescent="0.25">
      <c r="A3764" s="108">
        <v>46155</v>
      </c>
      <c r="B3764" s="152">
        <v>47</v>
      </c>
      <c r="C3764" s="108" t="s">
        <v>19</v>
      </c>
      <c r="D3764" s="110" t="str">
        <f>IF(ISBLANK($B3764),"",IFERROR(VLOOKUP($B3764,ESTOQUE!$B$2:$D$97168,3,FALSE),"Produto não cadastrado"))</f>
        <v>CALÇA CINZA OP. C/ FAIXA REFLETIVA TAM: GG</v>
      </c>
      <c r="E3764" s="99" t="str">
        <f>_xlfn.XLOOKUP(B3764,ESTOQUE!B:B,ESTOQUE!G:G,"",0)</f>
        <v>UND</v>
      </c>
      <c r="F3764" s="152">
        <v>2</v>
      </c>
    </row>
    <row r="3765" spans="1:6" x14ac:dyDescent="0.25">
      <c r="A3765" s="108">
        <v>46155</v>
      </c>
      <c r="B3765" s="152">
        <v>48</v>
      </c>
      <c r="C3765" s="108" t="s">
        <v>19</v>
      </c>
      <c r="D3765" s="110" t="str">
        <f>IF(ISBLANK($B3765),"",IFERROR(VLOOKUP($B3765,ESTOQUE!$B$2:$D$97168,3,FALSE),"Produto não cadastrado"))</f>
        <v>CALÇA CINZA OP. C/ FAIXA REFLETIVA TAM: M</v>
      </c>
      <c r="E3765" s="99" t="str">
        <f>_xlfn.XLOOKUP(B3765,ESTOQUE!B:B,ESTOQUE!G:G,"",0)</f>
        <v>UND</v>
      </c>
      <c r="F3765" s="152">
        <v>8</v>
      </c>
    </row>
    <row r="3766" spans="1:6" x14ac:dyDescent="0.25">
      <c r="A3766" s="108">
        <v>46155</v>
      </c>
      <c r="B3766" s="152">
        <v>49</v>
      </c>
      <c r="C3766" s="108" t="s">
        <v>19</v>
      </c>
      <c r="D3766" s="110" t="str">
        <f>IF(ISBLANK($B3766),"",IFERROR(VLOOKUP($B3766,ESTOQUE!$B$2:$D$97168,3,FALSE),"Produto não cadastrado"))</f>
        <v>CALÇA CINZA OP. C/ FAIXA REFLETIVA TAM: P</v>
      </c>
      <c r="E3766" s="99" t="str">
        <f>_xlfn.XLOOKUP(B3766,ESTOQUE!B:B,ESTOQUE!G:G,"",0)</f>
        <v>UND</v>
      </c>
      <c r="F3766" s="152">
        <v>5</v>
      </c>
    </row>
    <row r="3767" spans="1:6" x14ac:dyDescent="0.25">
      <c r="A3767" s="108">
        <v>46155</v>
      </c>
      <c r="B3767" s="152">
        <v>67</v>
      </c>
      <c r="C3767" s="108" t="s">
        <v>19</v>
      </c>
      <c r="D3767" s="110" t="str">
        <f>IF(ISBLANK($B3767),"",IFERROR(VLOOKUP($B3767,ESTOQUE!$B$2:$D$97168,3,FALSE),"Produto não cadastrado"))</f>
        <v>CAMISA LARANJA OP. C/ FAIXA REFLETIVA TAM: G</v>
      </c>
      <c r="E3767" s="99" t="str">
        <f>_xlfn.XLOOKUP(B3767,ESTOQUE!B:B,ESTOQUE!G:G,"",0)</f>
        <v>UND</v>
      </c>
      <c r="F3767" s="152">
        <v>5</v>
      </c>
    </row>
    <row r="3768" spans="1:6" x14ac:dyDescent="0.25">
      <c r="A3768" s="108">
        <v>46155</v>
      </c>
      <c r="B3768" s="152">
        <v>69</v>
      </c>
      <c r="C3768" s="108" t="s">
        <v>19</v>
      </c>
      <c r="D3768" s="110" t="str">
        <f>IF(ISBLANK($B3768),"",IFERROR(VLOOKUP($B3768,ESTOQUE!$B$2:$D$97168,3,FALSE),"Produto não cadastrado"))</f>
        <v>CAMISA LARANJA OP. C/ FAIXA REFLETIVA TAM: M</v>
      </c>
      <c r="E3768" s="99" t="str">
        <f>_xlfn.XLOOKUP(B3768,ESTOQUE!B:B,ESTOQUE!G:G,"",0)</f>
        <v>UND</v>
      </c>
      <c r="F3768" s="152">
        <v>7</v>
      </c>
    </row>
    <row r="3769" spans="1:6" x14ac:dyDescent="0.25">
      <c r="A3769" s="108">
        <v>46155</v>
      </c>
      <c r="B3769" s="152">
        <v>70</v>
      </c>
      <c r="C3769" s="108" t="s">
        <v>19</v>
      </c>
      <c r="D3769" s="110" t="str">
        <f>IF(ISBLANK($B3769),"",IFERROR(VLOOKUP($B3769,ESTOQUE!$B$2:$D$97168,3,FALSE),"Produto não cadastrado"))</f>
        <v>CAMISA LARANJA OP. C/ FAIXA REFLETIVA TAM: P</v>
      </c>
      <c r="E3769" s="99" t="str">
        <f>_xlfn.XLOOKUP(B3769,ESTOQUE!B:B,ESTOQUE!G:G,"",0)</f>
        <v>UND</v>
      </c>
      <c r="F3769" s="152">
        <v>4</v>
      </c>
    </row>
    <row r="3770" spans="1:6" x14ac:dyDescent="0.25">
      <c r="A3770" s="108">
        <v>46155</v>
      </c>
      <c r="B3770" s="152">
        <v>97</v>
      </c>
      <c r="C3770" s="108" t="s">
        <v>19</v>
      </c>
      <c r="D3770" s="110" t="str">
        <f>IF(ISBLANK($B3770),"",IFERROR(VLOOKUP($B3770,ESTOQUE!$B$2:$D$97168,3,FALSE),"Produto não cadastrado"))</f>
        <v>COLETE REFLETIVO LARANJA M</v>
      </c>
      <c r="E3770" s="99" t="str">
        <f>_xlfn.XLOOKUP(B3770,ESTOQUE!B:B,ESTOQUE!G:G,"",0)</f>
        <v>UND</v>
      </c>
      <c r="F3770" s="152">
        <v>1</v>
      </c>
    </row>
    <row r="3771" spans="1:6" x14ac:dyDescent="0.25">
      <c r="A3771" s="108">
        <v>46155</v>
      </c>
      <c r="B3771" s="152">
        <v>114</v>
      </c>
      <c r="C3771" s="108" t="s">
        <v>19</v>
      </c>
      <c r="D3771" s="110" t="str">
        <f>IF(ISBLANK($B3771),"",IFERROR(VLOOKUP($B3771,ESTOQUE!$B$2:$D$97168,3,FALSE),"Produto não cadastrado"))</f>
        <v xml:space="preserve">LUVA LATEX NITRILICA </v>
      </c>
      <c r="E3771" s="99" t="str">
        <f>_xlfn.XLOOKUP(B3771,ESTOQUE!B:B,ESTOQUE!G:G,"",0)</f>
        <v>PAR</v>
      </c>
      <c r="F3771" s="152">
        <v>435</v>
      </c>
    </row>
    <row r="3772" spans="1:6" x14ac:dyDescent="0.25">
      <c r="A3772" s="108">
        <v>46155</v>
      </c>
      <c r="B3772" s="152">
        <v>257</v>
      </c>
      <c r="C3772" s="108" t="s">
        <v>19</v>
      </c>
      <c r="D3772" s="110" t="str">
        <f>IF(ISBLANK($B3772),"",IFERROR(VLOOKUP($B3772,ESTOQUE!$B$2:$D$97168,3,FALSE),"Produto não cadastrado"))</f>
        <v xml:space="preserve">LUVA MULTITATO </v>
      </c>
      <c r="E3772" s="99" t="str">
        <f>_xlfn.XLOOKUP(B3772,ESTOQUE!B:B,ESTOQUE!G:G,"",0)</f>
        <v>UND</v>
      </c>
      <c r="F3772" s="152">
        <v>1</v>
      </c>
    </row>
    <row r="3773" spans="1:6" x14ac:dyDescent="0.25">
      <c r="A3773" s="108">
        <v>46155</v>
      </c>
      <c r="B3773" s="152">
        <v>117</v>
      </c>
      <c r="C3773" s="108" t="s">
        <v>19</v>
      </c>
      <c r="D3773" s="110" t="str">
        <f>IF(ISBLANK($B3773),"",IFERROR(VLOOKUP($B3773,ESTOQUE!$B$2:$D$97168,3,FALSE),"Produto não cadastrado"))</f>
        <v>LUVA PIGMENTADA</v>
      </c>
      <c r="E3773" s="99" t="str">
        <f>_xlfn.XLOOKUP(B3773,ESTOQUE!B:B,ESTOQUE!G:G,"",0)</f>
        <v>PAR</v>
      </c>
      <c r="F3773" s="152">
        <v>2</v>
      </c>
    </row>
    <row r="3774" spans="1:6" x14ac:dyDescent="0.25">
      <c r="A3774" s="108">
        <v>46155</v>
      </c>
      <c r="B3774" s="152">
        <v>267</v>
      </c>
      <c r="C3774" s="108" t="s">
        <v>19</v>
      </c>
      <c r="D3774" s="110" t="str">
        <f>IF(ISBLANK($B3774),"",IFERROR(VLOOKUP($B3774,ESTOQUE!$B$2:$D$97168,3,FALSE),"Produto não cadastrado"))</f>
        <v>LUVA POLIESTER ANTICORTE CANO LONGO</v>
      </c>
      <c r="E3774" s="99" t="str">
        <f>_xlfn.XLOOKUP(B3774,ESTOQUE!B:B,ESTOQUE!G:G,"",0)</f>
        <v>UND</v>
      </c>
      <c r="F3774" s="152">
        <v>207</v>
      </c>
    </row>
    <row r="3775" spans="1:6" x14ac:dyDescent="0.25">
      <c r="A3775" s="108">
        <v>46155</v>
      </c>
      <c r="B3775" s="152">
        <v>144</v>
      </c>
      <c r="C3775" s="108" t="s">
        <v>19</v>
      </c>
      <c r="D3775" s="110" t="str">
        <f>IF(ISBLANK($B3775),"",IFERROR(VLOOKUP($B3775,ESTOQUE!$B$2:$D$97168,3,FALSE),"Produto não cadastrado"))</f>
        <v>MASCARA PFF2-S C/ FILTRO</v>
      </c>
      <c r="E3775" s="99" t="str">
        <f>_xlfn.XLOOKUP(B3775,ESTOQUE!B:B,ESTOQUE!G:G,"",0)</f>
        <v>UND</v>
      </c>
      <c r="F3775" s="152">
        <v>507</v>
      </c>
    </row>
    <row r="3776" spans="1:6" x14ac:dyDescent="0.25">
      <c r="A3776" s="108">
        <v>46155</v>
      </c>
      <c r="B3776" s="152">
        <v>126</v>
      </c>
      <c r="C3776" s="108" t="s">
        <v>19</v>
      </c>
      <c r="D3776" s="110" t="str">
        <f>IF(ISBLANK($B3776),"",IFERROR(VLOOKUP($B3776,ESTOQUE!$B$2:$D$97168,3,FALSE),"Produto não cadastrado"))</f>
        <v>OCULOS DE PROTEÇÃO ESCURO</v>
      </c>
      <c r="E3776" s="99" t="str">
        <f>_xlfn.XLOOKUP(B3776,ESTOQUE!B:B,ESTOQUE!G:G,"",0)</f>
        <v>UND</v>
      </c>
      <c r="F3776" s="152">
        <v>60</v>
      </c>
    </row>
    <row r="3777" spans="1:6" x14ac:dyDescent="0.25">
      <c r="A3777" s="108">
        <v>46155</v>
      </c>
      <c r="B3777" s="152">
        <v>224</v>
      </c>
      <c r="C3777" s="108" t="s">
        <v>19</v>
      </c>
      <c r="D3777" s="110" t="str">
        <f>IF(ISBLANK($B3777),"",IFERROR(VLOOKUP($B3777,ESTOQUE!$B$2:$D$97168,3,FALSE),"Produto não cadastrado"))</f>
        <v>OCULOS OPERACIONAL SOBRE POR ESCURO</v>
      </c>
      <c r="E3777" s="99" t="str">
        <f>_xlfn.XLOOKUP(B3777,ESTOQUE!B:B,ESTOQUE!G:G,"",0)</f>
        <v>UND</v>
      </c>
      <c r="F3777" s="152">
        <v>1</v>
      </c>
    </row>
    <row r="3778" spans="1:6" x14ac:dyDescent="0.25">
      <c r="A3778" s="108">
        <v>46155</v>
      </c>
      <c r="B3778" s="152">
        <v>128</v>
      </c>
      <c r="C3778" s="108" t="s">
        <v>19</v>
      </c>
      <c r="D3778" s="110" t="str">
        <f>IF(ISBLANK($B3778),"",IFERROR(VLOOKUP($B3778,ESTOQUE!$B$2:$D$97168,3,FALSE),"Produto não cadastrado"))</f>
        <v>PERNEIRA PVC C/ VELCRO</v>
      </c>
      <c r="E3778" s="99" t="str">
        <f>_xlfn.XLOOKUP(B3778,ESTOQUE!B:B,ESTOQUE!G:G,"",0)</f>
        <v>PAR</v>
      </c>
      <c r="F3778" s="152">
        <v>2</v>
      </c>
    </row>
    <row r="3779" spans="1:6" x14ac:dyDescent="0.25">
      <c r="A3779" s="108">
        <v>46155</v>
      </c>
      <c r="B3779" s="152">
        <v>130</v>
      </c>
      <c r="C3779" s="108" t="s">
        <v>19</v>
      </c>
      <c r="D3779" s="110" t="str">
        <f>IF(ISBLANK($B3779),"",IFERROR(VLOOKUP($B3779,ESTOQUE!$B$2:$D$97168,3,FALSE),"Produto não cadastrado"))</f>
        <v>PROTETOR AUDITIVO TIPO CONCHA L-300</v>
      </c>
      <c r="E3779" s="99" t="str">
        <f>_xlfn.XLOOKUP(B3779,ESTOQUE!B:B,ESTOQUE!G:G,"",0)</f>
        <v>UND</v>
      </c>
      <c r="F3779" s="152">
        <v>2</v>
      </c>
    </row>
    <row r="3780" spans="1:6" x14ac:dyDescent="0.25">
      <c r="A3780" s="108">
        <v>46155</v>
      </c>
      <c r="B3780" s="152">
        <v>139</v>
      </c>
      <c r="C3780" s="108" t="s">
        <v>19</v>
      </c>
      <c r="D3780" s="110" t="str">
        <f>IF(ISBLANK($B3780),"",IFERROR(VLOOKUP($B3780,ESTOQUE!$B$2:$D$97168,3,FALSE),"Produto não cadastrado"))</f>
        <v>PROTETOR AURICULAR TIPO PLUG</v>
      </c>
      <c r="E3780" s="99" t="str">
        <f>_xlfn.XLOOKUP(B3780,ESTOQUE!B:B,ESTOQUE!G:G,"",0)</f>
        <v>UND</v>
      </c>
      <c r="F3780" s="152">
        <v>1</v>
      </c>
    </row>
    <row r="3781" spans="1:6" x14ac:dyDescent="0.25">
      <c r="A3781" s="108">
        <v>46156</v>
      </c>
      <c r="B3781" s="152">
        <v>228</v>
      </c>
      <c r="C3781" s="108" t="s">
        <v>19</v>
      </c>
      <c r="D3781" s="110" t="str">
        <f>IF(ISBLANK($B3781),"",IFERROR(VLOOKUP($B3781,ESTOQUE!$B$2:$D$97168,3,FALSE),"Produto não cadastrado"))</f>
        <v xml:space="preserve">BALACLAVA  </v>
      </c>
      <c r="E3781" s="99" t="str">
        <f>_xlfn.XLOOKUP(B3781,ESTOQUE!B:B,ESTOQUE!G:G,"",0)</f>
        <v>UND</v>
      </c>
      <c r="F3781" s="152">
        <v>2</v>
      </c>
    </row>
    <row r="3782" spans="1:6" x14ac:dyDescent="0.25">
      <c r="A3782" s="108">
        <v>46156</v>
      </c>
      <c r="B3782" s="152">
        <v>218</v>
      </c>
      <c r="C3782" s="108" t="s">
        <v>19</v>
      </c>
      <c r="D3782" s="110" t="str">
        <f>IF(ISBLANK($B3782),"",IFERROR(VLOOKUP($B3782,ESTOQUE!$B$2:$D$97168,3,FALSE),"Produto não cadastrado"))</f>
        <v>BOTINA SEGURANÇA METATARSO  41</v>
      </c>
      <c r="E3782" s="99" t="str">
        <f>_xlfn.XLOOKUP(B3782,ESTOQUE!B:B,ESTOQUE!G:G,"",0)</f>
        <v>PAR</v>
      </c>
      <c r="F3782" s="152">
        <v>3</v>
      </c>
    </row>
    <row r="3783" spans="1:6" x14ac:dyDescent="0.25">
      <c r="A3783" s="108">
        <v>46156</v>
      </c>
      <c r="B3783" s="152">
        <v>46</v>
      </c>
      <c r="C3783" s="108" t="s">
        <v>19</v>
      </c>
      <c r="D3783" s="110" t="str">
        <f>IF(ISBLANK($B3783),"",IFERROR(VLOOKUP($B3783,ESTOQUE!$B$2:$D$97168,3,FALSE),"Produto não cadastrado"))</f>
        <v>CALÇA CINZA OP. C/ FAIXA REFLETIVA TAM: G</v>
      </c>
      <c r="E3783" s="99" t="str">
        <f>_xlfn.XLOOKUP(B3783,ESTOQUE!B:B,ESTOQUE!G:G,"",0)</f>
        <v>UND</v>
      </c>
      <c r="F3783" s="152">
        <v>8</v>
      </c>
    </row>
    <row r="3784" spans="1:6" x14ac:dyDescent="0.25">
      <c r="A3784" s="108">
        <v>46156</v>
      </c>
      <c r="B3784" s="152">
        <v>47</v>
      </c>
      <c r="C3784" s="108" t="s">
        <v>19</v>
      </c>
      <c r="D3784" s="110" t="str">
        <f>IF(ISBLANK($B3784),"",IFERROR(VLOOKUP($B3784,ESTOQUE!$B$2:$D$97168,3,FALSE),"Produto não cadastrado"))</f>
        <v>CALÇA CINZA OP. C/ FAIXA REFLETIVA TAM: GG</v>
      </c>
      <c r="E3784" s="99" t="str">
        <f>_xlfn.XLOOKUP(B3784,ESTOQUE!B:B,ESTOQUE!G:G,"",0)</f>
        <v>UND</v>
      </c>
      <c r="F3784" s="152">
        <v>3</v>
      </c>
    </row>
    <row r="3785" spans="1:6" x14ac:dyDescent="0.25">
      <c r="A3785" s="108">
        <v>46156</v>
      </c>
      <c r="B3785" s="152">
        <v>48</v>
      </c>
      <c r="C3785" s="108" t="s">
        <v>19</v>
      </c>
      <c r="D3785" s="110" t="str">
        <f>IF(ISBLANK($B3785),"",IFERROR(VLOOKUP($B3785,ESTOQUE!$B$2:$D$97168,3,FALSE),"Produto não cadastrado"))</f>
        <v>CALÇA CINZA OP. C/ FAIXA REFLETIVA TAM: M</v>
      </c>
      <c r="E3785" s="99" t="str">
        <f>_xlfn.XLOOKUP(B3785,ESTOQUE!B:B,ESTOQUE!G:G,"",0)</f>
        <v>UND</v>
      </c>
      <c r="F3785" s="152">
        <v>9</v>
      </c>
    </row>
    <row r="3786" spans="1:6" x14ac:dyDescent="0.25">
      <c r="A3786" s="108">
        <v>46156</v>
      </c>
      <c r="B3786" s="152">
        <v>49</v>
      </c>
      <c r="C3786" s="108" t="s">
        <v>19</v>
      </c>
      <c r="D3786" s="110" t="str">
        <f>IF(ISBLANK($B3786),"",IFERROR(VLOOKUP($B3786,ESTOQUE!$B$2:$D$97168,3,FALSE),"Produto não cadastrado"))</f>
        <v>CALÇA CINZA OP. C/ FAIXA REFLETIVA TAM: P</v>
      </c>
      <c r="E3786" s="99" t="str">
        <f>_xlfn.XLOOKUP(B3786,ESTOQUE!B:B,ESTOQUE!G:G,"",0)</f>
        <v>UND</v>
      </c>
      <c r="F3786" s="152">
        <v>3</v>
      </c>
    </row>
    <row r="3787" spans="1:6" x14ac:dyDescent="0.25">
      <c r="A3787" s="108">
        <v>46156</v>
      </c>
      <c r="B3787" s="152">
        <v>67</v>
      </c>
      <c r="C3787" s="108" t="s">
        <v>19</v>
      </c>
      <c r="D3787" s="110" t="str">
        <f>IF(ISBLANK($B3787),"",IFERROR(VLOOKUP($B3787,ESTOQUE!$B$2:$D$97168,3,FALSE),"Produto não cadastrado"))</f>
        <v>CAMISA LARANJA OP. C/ FAIXA REFLETIVA TAM: G</v>
      </c>
      <c r="E3787" s="99" t="str">
        <f>_xlfn.XLOOKUP(B3787,ESTOQUE!B:B,ESTOQUE!G:G,"",0)</f>
        <v>UND</v>
      </c>
      <c r="F3787" s="152">
        <v>3</v>
      </c>
    </row>
    <row r="3788" spans="1:6" x14ac:dyDescent="0.25">
      <c r="A3788" s="108">
        <v>46156</v>
      </c>
      <c r="B3788" s="152">
        <v>68</v>
      </c>
      <c r="C3788" s="108" t="s">
        <v>19</v>
      </c>
      <c r="D3788" s="110" t="str">
        <f>IF(ISBLANK($B3788),"",IFERROR(VLOOKUP($B3788,ESTOQUE!$B$2:$D$97168,3,FALSE),"Produto não cadastrado"))</f>
        <v>CAMISA LARANJA OP. C/ FAIXA REFLETIVA TAM: GG</v>
      </c>
      <c r="E3788" s="99" t="str">
        <f>_xlfn.XLOOKUP(B3788,ESTOQUE!B:B,ESTOQUE!G:G,"",0)</f>
        <v>UND</v>
      </c>
      <c r="F3788" s="152">
        <v>4</v>
      </c>
    </row>
    <row r="3789" spans="1:6" x14ac:dyDescent="0.25">
      <c r="A3789" s="108">
        <v>46156</v>
      </c>
      <c r="B3789" s="152">
        <v>69</v>
      </c>
      <c r="C3789" s="108" t="s">
        <v>19</v>
      </c>
      <c r="D3789" s="110" t="str">
        <f>IF(ISBLANK($B3789),"",IFERROR(VLOOKUP($B3789,ESTOQUE!$B$2:$D$97168,3,FALSE),"Produto não cadastrado"))</f>
        <v>CAMISA LARANJA OP. C/ FAIXA REFLETIVA TAM: M</v>
      </c>
      <c r="E3789" s="99" t="str">
        <f>_xlfn.XLOOKUP(B3789,ESTOQUE!B:B,ESTOQUE!G:G,"",0)</f>
        <v>UND</v>
      </c>
      <c r="F3789" s="152">
        <v>8</v>
      </c>
    </row>
    <row r="3790" spans="1:6" x14ac:dyDescent="0.25">
      <c r="A3790" s="108">
        <v>46156</v>
      </c>
      <c r="B3790" s="152">
        <v>70</v>
      </c>
      <c r="C3790" s="108" t="s">
        <v>19</v>
      </c>
      <c r="D3790" s="110" t="str">
        <f>IF(ISBLANK($B3790),"",IFERROR(VLOOKUP($B3790,ESTOQUE!$B$2:$D$97168,3,FALSE),"Produto não cadastrado"))</f>
        <v>CAMISA LARANJA OP. C/ FAIXA REFLETIVA TAM: P</v>
      </c>
      <c r="E3790" s="99" t="str">
        <f>_xlfn.XLOOKUP(B3790,ESTOQUE!B:B,ESTOQUE!G:G,"",0)</f>
        <v>UND</v>
      </c>
      <c r="F3790" s="152">
        <v>1</v>
      </c>
    </row>
    <row r="3791" spans="1:6" x14ac:dyDescent="0.25">
      <c r="A3791" s="108">
        <v>46156</v>
      </c>
      <c r="B3791" s="152">
        <v>186</v>
      </c>
      <c r="C3791" s="108" t="s">
        <v>19</v>
      </c>
      <c r="D3791" s="110" t="str">
        <f>IF(ISBLANK($B3791),"",IFERROR(VLOOKUP($B3791,ESTOQUE!$B$2:$D$97168,3,FALSE),"Produto não cadastrado"))</f>
        <v>COLETE REFLETIVO LARANJA GG</v>
      </c>
      <c r="E3791" s="99" t="str">
        <f>_xlfn.XLOOKUP(B3791,ESTOQUE!B:B,ESTOQUE!G:G,"",0)</f>
        <v>UND</v>
      </c>
      <c r="F3791" s="152">
        <v>1</v>
      </c>
    </row>
    <row r="3792" spans="1:6" x14ac:dyDescent="0.25">
      <c r="A3792" s="108">
        <v>46156</v>
      </c>
      <c r="B3792" s="152">
        <v>257</v>
      </c>
      <c r="C3792" s="108" t="s">
        <v>19</v>
      </c>
      <c r="D3792" s="110" t="str">
        <f>IF(ISBLANK($B3792),"",IFERROR(VLOOKUP($B3792,ESTOQUE!$B$2:$D$97168,3,FALSE),"Produto não cadastrado"))</f>
        <v xml:space="preserve">LUVA MULTITATO </v>
      </c>
      <c r="E3792" s="99" t="str">
        <f>_xlfn.XLOOKUP(B3792,ESTOQUE!B:B,ESTOQUE!G:G,"",0)</f>
        <v>UND</v>
      </c>
      <c r="F3792" s="152">
        <v>1</v>
      </c>
    </row>
    <row r="3793" spans="1:6" x14ac:dyDescent="0.25">
      <c r="A3793" s="108">
        <v>46156</v>
      </c>
      <c r="B3793" s="152">
        <v>141</v>
      </c>
      <c r="C3793" s="108" t="s">
        <v>19</v>
      </c>
      <c r="D3793" s="110" t="str">
        <f>IF(ISBLANK($B3793),"",IFERROR(VLOOKUP($B3793,ESTOQUE!$B$2:$D$97168,3,FALSE),"Produto não cadastrado"))</f>
        <v xml:space="preserve">LUVA DE VAQUETA </v>
      </c>
      <c r="E3793" s="99" t="str">
        <f>_xlfn.XLOOKUP(B3793,ESTOQUE!B:B,ESTOQUE!G:G,"",0)</f>
        <v>PAR</v>
      </c>
      <c r="F3793" s="152">
        <v>1</v>
      </c>
    </row>
    <row r="3794" spans="1:6" x14ac:dyDescent="0.25">
      <c r="A3794" s="108">
        <v>46156</v>
      </c>
      <c r="B3794" s="152">
        <v>114</v>
      </c>
      <c r="C3794" s="108" t="s">
        <v>19</v>
      </c>
      <c r="D3794" s="110" t="str">
        <f>IF(ISBLANK($B3794),"",IFERROR(VLOOKUP($B3794,ESTOQUE!$B$2:$D$97168,3,FALSE),"Produto não cadastrado"))</f>
        <v xml:space="preserve">LUVA LATEX NITRILICA </v>
      </c>
      <c r="E3794" s="99" t="str">
        <f>_xlfn.XLOOKUP(B3794,ESTOQUE!B:B,ESTOQUE!G:G,"",0)</f>
        <v>PAR</v>
      </c>
      <c r="F3794" s="152">
        <v>2</v>
      </c>
    </row>
    <row r="3795" spans="1:6" x14ac:dyDescent="0.25">
      <c r="A3795" s="108">
        <v>46156</v>
      </c>
      <c r="B3795" s="152">
        <v>117</v>
      </c>
      <c r="C3795" s="108" t="s">
        <v>19</v>
      </c>
      <c r="D3795" s="110" t="str">
        <f>IF(ISBLANK($B3795),"",IFERROR(VLOOKUP($B3795,ESTOQUE!$B$2:$D$97168,3,FALSE),"Produto não cadastrado"))</f>
        <v>LUVA PIGMENTADA</v>
      </c>
      <c r="E3795" s="99" t="str">
        <f>_xlfn.XLOOKUP(B3795,ESTOQUE!B:B,ESTOQUE!G:G,"",0)</f>
        <v>PAR</v>
      </c>
      <c r="F3795" s="152">
        <v>1</v>
      </c>
    </row>
    <row r="3796" spans="1:6" x14ac:dyDescent="0.25">
      <c r="A3796" s="108">
        <v>46156</v>
      </c>
      <c r="B3796" s="152">
        <v>267</v>
      </c>
      <c r="C3796" s="108" t="s">
        <v>19</v>
      </c>
      <c r="D3796" s="110" t="str">
        <f>IF(ISBLANK($B3796),"",IFERROR(VLOOKUP($B3796,ESTOQUE!$B$2:$D$97168,3,FALSE),"Produto não cadastrado"))</f>
        <v>LUVA POLIESTER ANTICORTE CANO LONGO</v>
      </c>
      <c r="E3796" s="99" t="str">
        <f>_xlfn.XLOOKUP(B3796,ESTOQUE!B:B,ESTOQUE!G:G,"",0)</f>
        <v>UND</v>
      </c>
      <c r="F3796" s="152">
        <v>2</v>
      </c>
    </row>
    <row r="3797" spans="1:6" x14ac:dyDescent="0.25">
      <c r="A3797" s="108">
        <v>46156</v>
      </c>
      <c r="B3797" s="152">
        <v>118</v>
      </c>
      <c r="C3797" s="108" t="s">
        <v>19</v>
      </c>
      <c r="D3797" s="110" t="str">
        <f>IF(ISBLANK($B3797),"",IFERROR(VLOOKUP($B3797,ESTOQUE!$B$2:$D$97168,3,FALSE),"Produto não cadastrado"))</f>
        <v>MACACÃO DE PROTEÇÃO TYVEK</v>
      </c>
      <c r="E3797" s="99" t="str">
        <f>_xlfn.XLOOKUP(B3797,ESTOQUE!B:B,ESTOQUE!G:G,"",0)</f>
        <v>UND</v>
      </c>
      <c r="F3797" s="152">
        <v>2</v>
      </c>
    </row>
    <row r="3798" spans="1:6" x14ac:dyDescent="0.25">
      <c r="A3798" s="108">
        <v>46156</v>
      </c>
      <c r="B3798" s="152">
        <v>126</v>
      </c>
      <c r="C3798" s="108" t="s">
        <v>19</v>
      </c>
      <c r="D3798" s="110" t="str">
        <f>IF(ISBLANK($B3798),"",IFERROR(VLOOKUP($B3798,ESTOQUE!$B$2:$D$97168,3,FALSE),"Produto não cadastrado"))</f>
        <v>OCULOS DE PROTEÇÃO ESCURO</v>
      </c>
      <c r="E3798" s="99" t="str">
        <f>_xlfn.XLOOKUP(B3798,ESTOQUE!B:B,ESTOQUE!G:G,"",0)</f>
        <v>UND</v>
      </c>
      <c r="F3798" s="152">
        <v>6</v>
      </c>
    </row>
    <row r="3799" spans="1:6" x14ac:dyDescent="0.25">
      <c r="A3799" s="108">
        <v>46156</v>
      </c>
      <c r="B3799" s="152">
        <v>130</v>
      </c>
      <c r="C3799" s="108" t="s">
        <v>19</v>
      </c>
      <c r="D3799" s="110" t="str">
        <f>IF(ISBLANK($B3799),"",IFERROR(VLOOKUP($B3799,ESTOQUE!$B$2:$D$97168,3,FALSE),"Produto não cadastrado"))</f>
        <v>PROTETOR AUDITIVO TIPO CONCHA L-300</v>
      </c>
      <c r="E3799" s="99" t="str">
        <f>_xlfn.XLOOKUP(B3799,ESTOQUE!B:B,ESTOQUE!G:G,"",0)</f>
        <v>UND</v>
      </c>
      <c r="F3799" s="152">
        <v>3</v>
      </c>
    </row>
    <row r="3800" spans="1:6" x14ac:dyDescent="0.25">
      <c r="A3800" s="108">
        <v>46157</v>
      </c>
      <c r="B3800" s="152">
        <v>190</v>
      </c>
      <c r="C3800" s="108" t="s">
        <v>19</v>
      </c>
      <c r="D3800" s="110" t="str">
        <f>IF(ISBLANK($B3800),"",IFERROR(VLOOKUP($B3800,ESTOQUE!$B$2:$D$97168,3,FALSE),"Produto não cadastrado"))</f>
        <v>AVENTAL DE RASPA TAM 120X60</v>
      </c>
      <c r="E3800" s="99" t="str">
        <f>_xlfn.XLOOKUP(B3800,ESTOQUE!B:B,ESTOQUE!G:G,"",0)</f>
        <v>UND</v>
      </c>
      <c r="F3800" s="152">
        <v>1</v>
      </c>
    </row>
    <row r="3801" spans="1:6" x14ac:dyDescent="0.25">
      <c r="A3801" s="108">
        <v>46157</v>
      </c>
      <c r="B3801" s="152">
        <v>228</v>
      </c>
      <c r="C3801" s="108" t="s">
        <v>19</v>
      </c>
      <c r="D3801" s="110" t="str">
        <f>IF(ISBLANK($B3801),"",IFERROR(VLOOKUP($B3801,ESTOQUE!$B$2:$D$97168,3,FALSE),"Produto não cadastrado"))</f>
        <v xml:space="preserve">BALACLAVA  </v>
      </c>
      <c r="E3801" s="99" t="str">
        <f>_xlfn.XLOOKUP(B3801,ESTOQUE!B:B,ESTOQUE!G:G,"",0)</f>
        <v>UND</v>
      </c>
      <c r="F3801" s="152">
        <v>6</v>
      </c>
    </row>
    <row r="3802" spans="1:6" x14ac:dyDescent="0.25">
      <c r="A3802" s="108">
        <v>46157</v>
      </c>
      <c r="B3802" s="152">
        <v>174</v>
      </c>
      <c r="C3802" s="108" t="s">
        <v>19</v>
      </c>
      <c r="D3802" s="110" t="str">
        <f>IF(ISBLANK($B3802),"",IFERROR(VLOOKUP($B3802,ESTOQUE!$B$2:$D$97168,3,FALSE),"Produto não cadastrado"))</f>
        <v>BOTA PVC CANO CURTO Nº 43</v>
      </c>
      <c r="E3802" s="99" t="str">
        <f>_xlfn.XLOOKUP(B3802,ESTOQUE!B:B,ESTOQUE!G:G,"",0)</f>
        <v>PAR</v>
      </c>
      <c r="F3802" s="152">
        <v>1</v>
      </c>
    </row>
    <row r="3803" spans="1:6" x14ac:dyDescent="0.25">
      <c r="A3803" s="108">
        <v>46157</v>
      </c>
      <c r="B3803" s="152">
        <v>217</v>
      </c>
      <c r="C3803" s="108" t="s">
        <v>19</v>
      </c>
      <c r="D3803" s="110" t="str">
        <f>IF(ISBLANK($B3803),"",IFERROR(VLOOKUP($B3803,ESTOQUE!$B$2:$D$97168,3,FALSE),"Produto não cadastrado"))</f>
        <v>BOTINA SEGURANÇA METATARSO  40</v>
      </c>
      <c r="E3803" s="99" t="str">
        <f>_xlfn.XLOOKUP(B3803,ESTOQUE!B:B,ESTOQUE!G:G,"",0)</f>
        <v>PAR</v>
      </c>
      <c r="F3803" s="152">
        <v>1</v>
      </c>
    </row>
    <row r="3804" spans="1:6" x14ac:dyDescent="0.25">
      <c r="A3804" s="108">
        <v>46157</v>
      </c>
      <c r="B3804" s="152">
        <v>217</v>
      </c>
      <c r="C3804" s="108" t="s">
        <v>19</v>
      </c>
      <c r="D3804" s="110" t="str">
        <f>IF(ISBLANK($B3804),"",IFERROR(VLOOKUP($B3804,ESTOQUE!$B$2:$D$97168,3,FALSE),"Produto não cadastrado"))</f>
        <v>BOTINA SEGURANÇA METATARSO  40</v>
      </c>
      <c r="E3804" s="99" t="str">
        <f>_xlfn.XLOOKUP(B3804,ESTOQUE!B:B,ESTOQUE!G:G,"",0)</f>
        <v>PAR</v>
      </c>
      <c r="F3804" s="152">
        <v>1</v>
      </c>
    </row>
    <row r="3805" spans="1:6" x14ac:dyDescent="0.25">
      <c r="A3805" s="108">
        <v>46157</v>
      </c>
      <c r="B3805" s="152">
        <v>219</v>
      </c>
      <c r="C3805" s="108" t="s">
        <v>19</v>
      </c>
      <c r="D3805" s="110" t="str">
        <f>IF(ISBLANK($B3805),"",IFERROR(VLOOKUP($B3805,ESTOQUE!$B$2:$D$97168,3,FALSE),"Produto não cadastrado"))</f>
        <v>BOTINA SEGURANÇA METATARSO  42</v>
      </c>
      <c r="E3805" s="99" t="str">
        <f>_xlfn.XLOOKUP(B3805,ESTOQUE!B:B,ESTOQUE!G:G,"",0)</f>
        <v>PAR</v>
      </c>
      <c r="F3805" s="152">
        <v>2</v>
      </c>
    </row>
    <row r="3806" spans="1:6" x14ac:dyDescent="0.25">
      <c r="A3806" s="108">
        <v>46157</v>
      </c>
      <c r="B3806" s="152">
        <v>222</v>
      </c>
      <c r="C3806" s="108" t="s">
        <v>19</v>
      </c>
      <c r="D3806" s="110" t="str">
        <f>IF(ISBLANK($B3806),"",IFERROR(VLOOKUP($B3806,ESTOQUE!$B$2:$D$97168,3,FALSE),"Produto não cadastrado"))</f>
        <v>BOTINA SEGURANÇA METATARSO  45</v>
      </c>
      <c r="E3806" s="99" t="str">
        <f>_xlfn.XLOOKUP(B3806,ESTOQUE!B:B,ESTOQUE!G:G,"",0)</f>
        <v>PAR</v>
      </c>
      <c r="F3806" s="152">
        <v>1</v>
      </c>
    </row>
    <row r="3807" spans="1:6" x14ac:dyDescent="0.25">
      <c r="A3807" s="108">
        <v>46157</v>
      </c>
      <c r="B3807" s="152">
        <v>46</v>
      </c>
      <c r="C3807" s="108" t="s">
        <v>19</v>
      </c>
      <c r="D3807" s="110" t="str">
        <f>IF(ISBLANK($B3807),"",IFERROR(VLOOKUP($B3807,ESTOQUE!$B$2:$D$97168,3,FALSE),"Produto não cadastrado"))</f>
        <v>CALÇA CINZA OP. C/ FAIXA REFLETIVA TAM: G</v>
      </c>
      <c r="E3807" s="99" t="str">
        <f>_xlfn.XLOOKUP(B3807,ESTOQUE!B:B,ESTOQUE!G:G,"",0)</f>
        <v>UND</v>
      </c>
      <c r="F3807" s="152">
        <v>5</v>
      </c>
    </row>
    <row r="3808" spans="1:6" x14ac:dyDescent="0.25">
      <c r="A3808" s="108">
        <v>46157</v>
      </c>
      <c r="B3808" s="152">
        <v>47</v>
      </c>
      <c r="C3808" s="108" t="s">
        <v>19</v>
      </c>
      <c r="D3808" s="110" t="str">
        <f>IF(ISBLANK($B3808),"",IFERROR(VLOOKUP($B3808,ESTOQUE!$B$2:$D$97168,3,FALSE),"Produto não cadastrado"))</f>
        <v>CALÇA CINZA OP. C/ FAIXA REFLETIVA TAM: GG</v>
      </c>
      <c r="E3808" s="99" t="str">
        <f>_xlfn.XLOOKUP(B3808,ESTOQUE!B:B,ESTOQUE!G:G,"",0)</f>
        <v>UND</v>
      </c>
      <c r="F3808" s="152">
        <v>2</v>
      </c>
    </row>
    <row r="3809" spans="1:6" x14ac:dyDescent="0.25">
      <c r="A3809" s="108">
        <v>46157</v>
      </c>
      <c r="B3809" s="152">
        <v>48</v>
      </c>
      <c r="C3809" s="108" t="s">
        <v>19</v>
      </c>
      <c r="D3809" s="110" t="str">
        <f>IF(ISBLANK($B3809),"",IFERROR(VLOOKUP($B3809,ESTOQUE!$B$2:$D$97168,3,FALSE),"Produto não cadastrado"))</f>
        <v>CALÇA CINZA OP. C/ FAIXA REFLETIVA TAM: M</v>
      </c>
      <c r="E3809" s="99" t="str">
        <f>_xlfn.XLOOKUP(B3809,ESTOQUE!B:B,ESTOQUE!G:G,"",0)</f>
        <v>UND</v>
      </c>
      <c r="F3809" s="152">
        <v>9</v>
      </c>
    </row>
    <row r="3810" spans="1:6" x14ac:dyDescent="0.25">
      <c r="A3810" s="108">
        <v>46157</v>
      </c>
      <c r="B3810" s="152">
        <v>49</v>
      </c>
      <c r="C3810" s="108" t="s">
        <v>19</v>
      </c>
      <c r="D3810" s="110" t="str">
        <f>IF(ISBLANK($B3810),"",IFERROR(VLOOKUP($B3810,ESTOQUE!$B$2:$D$97168,3,FALSE),"Produto não cadastrado"))</f>
        <v>CALÇA CINZA OP. C/ FAIXA REFLETIVA TAM: P</v>
      </c>
      <c r="E3810" s="99" t="str">
        <f>_xlfn.XLOOKUP(B3810,ESTOQUE!B:B,ESTOQUE!G:G,"",0)</f>
        <v>UND</v>
      </c>
      <c r="F3810" s="152">
        <v>4</v>
      </c>
    </row>
    <row r="3811" spans="1:6" x14ac:dyDescent="0.25">
      <c r="A3811" s="108">
        <v>46157</v>
      </c>
      <c r="B3811" s="152">
        <v>67</v>
      </c>
      <c r="C3811" s="108" t="s">
        <v>19</v>
      </c>
      <c r="D3811" s="110" t="str">
        <f>IF(ISBLANK($B3811),"",IFERROR(VLOOKUP($B3811,ESTOQUE!$B$2:$D$97168,3,FALSE),"Produto não cadastrado"))</f>
        <v>CAMISA LARANJA OP. C/ FAIXA REFLETIVA TAM: G</v>
      </c>
      <c r="E3811" s="99" t="str">
        <f>_xlfn.XLOOKUP(B3811,ESTOQUE!B:B,ESTOQUE!G:G,"",0)</f>
        <v>UND</v>
      </c>
      <c r="F3811" s="152">
        <v>4</v>
      </c>
    </row>
    <row r="3812" spans="1:6" x14ac:dyDescent="0.25">
      <c r="A3812" s="108">
        <v>46157</v>
      </c>
      <c r="B3812" s="152">
        <v>68</v>
      </c>
      <c r="C3812" s="108" t="s">
        <v>19</v>
      </c>
      <c r="D3812" s="110" t="str">
        <f>IF(ISBLANK($B3812),"",IFERROR(VLOOKUP($B3812,ESTOQUE!$B$2:$D$97168,3,FALSE),"Produto não cadastrado"))</f>
        <v>CAMISA LARANJA OP. C/ FAIXA REFLETIVA TAM: GG</v>
      </c>
      <c r="E3812" s="99" t="str">
        <f>_xlfn.XLOOKUP(B3812,ESTOQUE!B:B,ESTOQUE!G:G,"",0)</f>
        <v>UND</v>
      </c>
      <c r="F3812" s="152">
        <v>1</v>
      </c>
    </row>
    <row r="3813" spans="1:6" x14ac:dyDescent="0.25">
      <c r="A3813" s="108">
        <v>46157</v>
      </c>
      <c r="B3813" s="152">
        <v>69</v>
      </c>
      <c r="C3813" s="108" t="s">
        <v>19</v>
      </c>
      <c r="D3813" s="110" t="str">
        <f>IF(ISBLANK($B3813),"",IFERROR(VLOOKUP($B3813,ESTOQUE!$B$2:$D$97168,3,FALSE),"Produto não cadastrado"))</f>
        <v>CAMISA LARANJA OP. C/ FAIXA REFLETIVA TAM: M</v>
      </c>
      <c r="E3813" s="99" t="str">
        <f>_xlfn.XLOOKUP(B3813,ESTOQUE!B:B,ESTOQUE!G:G,"",0)</f>
        <v>UND</v>
      </c>
      <c r="F3813" s="152">
        <v>8</v>
      </c>
    </row>
    <row r="3814" spans="1:6" x14ac:dyDescent="0.25">
      <c r="A3814" s="108">
        <v>46157</v>
      </c>
      <c r="B3814" s="152">
        <v>70</v>
      </c>
      <c r="C3814" s="108" t="s">
        <v>19</v>
      </c>
      <c r="D3814" s="110" t="str">
        <f>IF(ISBLANK($B3814),"",IFERROR(VLOOKUP($B3814,ESTOQUE!$B$2:$D$97168,3,FALSE),"Produto não cadastrado"))</f>
        <v>CAMISA LARANJA OP. C/ FAIXA REFLETIVA TAM: P</v>
      </c>
      <c r="E3814" s="99" t="str">
        <f>_xlfn.XLOOKUP(B3814,ESTOQUE!B:B,ESTOQUE!G:G,"",0)</f>
        <v>UND</v>
      </c>
      <c r="F3814" s="152">
        <v>4</v>
      </c>
    </row>
    <row r="3815" spans="1:6" x14ac:dyDescent="0.25">
      <c r="A3815" s="108">
        <v>46157</v>
      </c>
      <c r="B3815" s="152">
        <v>175</v>
      </c>
      <c r="C3815" s="108" t="s">
        <v>19</v>
      </c>
      <c r="D3815" s="110" t="str">
        <f>IF(ISBLANK($B3815),"",IFERROR(VLOOKUP($B3815,ESTOQUE!$B$2:$D$97168,3,FALSE),"Produto não cadastrado"))</f>
        <v>CAPACETE GENISIS BRANCO</v>
      </c>
      <c r="E3815" s="99" t="str">
        <f>_xlfn.XLOOKUP(B3815,ESTOQUE!B:B,ESTOQUE!G:G,"",0)</f>
        <v>UND</v>
      </c>
      <c r="F3815" s="152">
        <v>0</v>
      </c>
    </row>
    <row r="3816" spans="1:6" x14ac:dyDescent="0.25">
      <c r="A3816" s="108">
        <v>46157</v>
      </c>
      <c r="B3816" s="152">
        <v>103</v>
      </c>
      <c r="C3816" s="108" t="s">
        <v>19</v>
      </c>
      <c r="D3816" s="110" t="str">
        <f>IF(ISBLANK($B3816),"",IFERROR(VLOOKUP($B3816,ESTOQUE!$B$2:$D$97168,3,FALSE),"Produto não cadastrado"))</f>
        <v>JARDINEIRA AMARELA BOTA Nº 41</v>
      </c>
      <c r="E3816" s="99" t="str">
        <f>_xlfn.XLOOKUP(B3816,ESTOQUE!B:B,ESTOQUE!G:G,"",0)</f>
        <v>UND</v>
      </c>
      <c r="F3816" s="152">
        <v>2</v>
      </c>
    </row>
    <row r="3817" spans="1:6" x14ac:dyDescent="0.25">
      <c r="A3817" s="108">
        <v>46157</v>
      </c>
      <c r="B3817" s="152">
        <v>110</v>
      </c>
      <c r="C3817" s="108" t="s">
        <v>19</v>
      </c>
      <c r="D3817" s="110" t="str">
        <f>IF(ISBLANK($B3817),"",IFERROR(VLOOKUP($B3817,ESTOQUE!$B$2:$D$97168,3,FALSE),"Produto não cadastrado"))</f>
        <v>LUVA DE RASPA CANO LONGO</v>
      </c>
      <c r="E3817" s="99" t="str">
        <f>_xlfn.XLOOKUP(B3817,ESTOQUE!B:B,ESTOQUE!G:G,"",0)</f>
        <v>PAR</v>
      </c>
      <c r="F3817" s="152">
        <v>1</v>
      </c>
    </row>
    <row r="3818" spans="1:6" x14ac:dyDescent="0.25">
      <c r="A3818" s="108">
        <v>46157</v>
      </c>
      <c r="B3818" s="152">
        <v>112</v>
      </c>
      <c r="C3818" s="108" t="s">
        <v>19</v>
      </c>
      <c r="D3818" s="110" t="str">
        <f>IF(ISBLANK($B3818),"",IFERROR(VLOOKUP($B3818,ESTOQUE!$B$2:$D$97168,3,FALSE),"Produto não cadastrado"))</f>
        <v>LUVA DE RASPA CANO MEDIO</v>
      </c>
      <c r="E3818" s="99" t="str">
        <f>_xlfn.XLOOKUP(B3818,ESTOQUE!B:B,ESTOQUE!G:G,"",0)</f>
        <v>PAR</v>
      </c>
      <c r="F3818" s="152">
        <v>1</v>
      </c>
    </row>
    <row r="3819" spans="1:6" x14ac:dyDescent="0.25">
      <c r="A3819" s="108">
        <v>46157</v>
      </c>
      <c r="B3819" s="152">
        <v>141</v>
      </c>
      <c r="C3819" s="108" t="s">
        <v>19</v>
      </c>
      <c r="D3819" s="110" t="str">
        <f>IF(ISBLANK($B3819),"",IFERROR(VLOOKUP($B3819,ESTOQUE!$B$2:$D$97168,3,FALSE),"Produto não cadastrado"))</f>
        <v xml:space="preserve">LUVA DE VAQUETA </v>
      </c>
      <c r="E3819" s="99" t="str">
        <f>_xlfn.XLOOKUP(B3819,ESTOQUE!B:B,ESTOQUE!G:G,"",0)</f>
        <v>PAR</v>
      </c>
      <c r="F3819" s="152">
        <v>2</v>
      </c>
    </row>
    <row r="3820" spans="1:6" x14ac:dyDescent="0.25">
      <c r="A3820" s="108">
        <v>46157</v>
      </c>
      <c r="B3820" s="152">
        <v>117</v>
      </c>
      <c r="C3820" s="108" t="s">
        <v>19</v>
      </c>
      <c r="D3820" s="110" t="str">
        <f>IF(ISBLANK($B3820),"",IFERROR(VLOOKUP($B3820,ESTOQUE!$B$2:$D$97168,3,FALSE),"Produto não cadastrado"))</f>
        <v>LUVA PIGMENTADA</v>
      </c>
      <c r="E3820" s="99" t="str">
        <f>_xlfn.XLOOKUP(B3820,ESTOQUE!B:B,ESTOQUE!G:G,"",0)</f>
        <v>PAR</v>
      </c>
      <c r="F3820" s="152">
        <v>1</v>
      </c>
    </row>
    <row r="3821" spans="1:6" x14ac:dyDescent="0.25">
      <c r="A3821" s="108">
        <v>46157</v>
      </c>
      <c r="B3821" s="152">
        <v>118</v>
      </c>
      <c r="C3821" s="108" t="s">
        <v>19</v>
      </c>
      <c r="D3821" s="110" t="str">
        <f>IF(ISBLANK($B3821),"",IFERROR(VLOOKUP($B3821,ESTOQUE!$B$2:$D$97168,3,FALSE),"Produto não cadastrado"))</f>
        <v>MACACÃO DE PROTEÇÃO TYVEK</v>
      </c>
      <c r="E3821" s="99" t="str">
        <f>_xlfn.XLOOKUP(B3821,ESTOQUE!B:B,ESTOQUE!G:G,"",0)</f>
        <v>UND</v>
      </c>
      <c r="F3821" s="152">
        <v>5</v>
      </c>
    </row>
    <row r="3822" spans="1:6" x14ac:dyDescent="0.25">
      <c r="A3822" s="108">
        <v>46157</v>
      </c>
      <c r="B3822" s="152">
        <v>144</v>
      </c>
      <c r="C3822" s="108" t="s">
        <v>19</v>
      </c>
      <c r="D3822" s="110" t="str">
        <f>IF(ISBLANK($B3822),"",IFERROR(VLOOKUP($B3822,ESTOQUE!$B$2:$D$97168,3,FALSE),"Produto não cadastrado"))</f>
        <v>MASCARA PFF2-S C/ FILTRO</v>
      </c>
      <c r="E3822" s="99" t="str">
        <f>_xlfn.XLOOKUP(B3822,ESTOQUE!B:B,ESTOQUE!G:G,"",0)</f>
        <v>UND</v>
      </c>
      <c r="F3822" s="152">
        <v>7</v>
      </c>
    </row>
    <row r="3823" spans="1:6" x14ac:dyDescent="0.25">
      <c r="A3823" s="108">
        <v>46157</v>
      </c>
      <c r="B3823" s="152">
        <v>126</v>
      </c>
      <c r="C3823" s="108" t="s">
        <v>19</v>
      </c>
      <c r="D3823" s="110" t="str">
        <f>IF(ISBLANK($B3823),"",IFERROR(VLOOKUP($B3823,ESTOQUE!$B$2:$D$97168,3,FALSE),"Produto não cadastrado"))</f>
        <v>OCULOS DE PROTEÇÃO ESCURO</v>
      </c>
      <c r="E3823" s="99" t="str">
        <f>_xlfn.XLOOKUP(B3823,ESTOQUE!B:B,ESTOQUE!G:G,"",0)</f>
        <v>UND</v>
      </c>
      <c r="F3823" s="152">
        <v>0</v>
      </c>
    </row>
    <row r="3824" spans="1:6" x14ac:dyDescent="0.25">
      <c r="A3824" s="108">
        <v>46157</v>
      </c>
      <c r="B3824" s="152">
        <v>124</v>
      </c>
      <c r="C3824" s="108" t="s">
        <v>19</v>
      </c>
      <c r="D3824" s="110" t="str">
        <f>IF(ISBLANK($B3824),"",IFERROR(VLOOKUP($B3824,ESTOQUE!$B$2:$D$97168,3,FALSE),"Produto não cadastrado"))</f>
        <v xml:space="preserve">OCULOS DE PROTEÇÃO INCOLOR </v>
      </c>
      <c r="E3824" s="99" t="str">
        <f>_xlfn.XLOOKUP(B3824,ESTOQUE!B:B,ESTOQUE!G:G,"",0)</f>
        <v>UND</v>
      </c>
      <c r="F3824" s="152">
        <v>1</v>
      </c>
    </row>
    <row r="3825" spans="1:6" x14ac:dyDescent="0.25">
      <c r="A3825" s="108">
        <v>46157</v>
      </c>
      <c r="B3825" s="152">
        <v>236</v>
      </c>
      <c r="C3825" s="108" t="s">
        <v>19</v>
      </c>
      <c r="D3825" s="110" t="str">
        <f>IF(ISBLANK($B3825),"",IFERROR(VLOOKUP($B3825,ESTOQUE!$B$2:$D$97168,3,FALSE),"Produto não cadastrado"))</f>
        <v>TALABARTE DUPLO Y SOLDADOR</v>
      </c>
      <c r="E3825" s="99" t="str">
        <f>_xlfn.XLOOKUP(B3825,ESTOQUE!B:B,ESTOQUE!G:G,"",0)</f>
        <v>UND</v>
      </c>
      <c r="F3825" s="152">
        <v>1</v>
      </c>
    </row>
    <row r="3826" spans="1:6" x14ac:dyDescent="0.25">
      <c r="A3826" s="108">
        <v>46157</v>
      </c>
      <c r="B3826" s="152">
        <v>126</v>
      </c>
      <c r="C3826" s="108" t="s">
        <v>19</v>
      </c>
      <c r="D3826" s="110" t="str">
        <f>IF(ISBLANK($B3826),"",IFERROR(VLOOKUP($B3826,ESTOQUE!$B$2:$D$97168,3,FALSE),"Produto não cadastrado"))</f>
        <v>OCULOS DE PROTEÇÃO ESCURO</v>
      </c>
      <c r="E3826" s="99" t="str">
        <f>_xlfn.XLOOKUP(B3826,ESTOQUE!B:B,ESTOQUE!G:G,"",0)</f>
        <v>UND</v>
      </c>
      <c r="F3826" s="152">
        <v>119</v>
      </c>
    </row>
    <row r="3827" spans="1:6" x14ac:dyDescent="0.25">
      <c r="A3827" s="108">
        <v>46158</v>
      </c>
      <c r="B3827" s="152">
        <v>228</v>
      </c>
      <c r="C3827" s="108" t="s">
        <v>19</v>
      </c>
      <c r="D3827" s="110" t="str">
        <f>IF(ISBLANK($B3827),"",IFERROR(VLOOKUP($B3827,ESTOQUE!$B$2:$D$97168,3,FALSE),"Produto não cadastrado"))</f>
        <v xml:space="preserve">BALACLAVA  </v>
      </c>
      <c r="E3827" s="99" t="str">
        <f>_xlfn.XLOOKUP(B3827,ESTOQUE!B:B,ESTOQUE!G:G,"",0)</f>
        <v>UND</v>
      </c>
      <c r="F3827" s="152">
        <v>6</v>
      </c>
    </row>
    <row r="3828" spans="1:6" x14ac:dyDescent="0.25">
      <c r="A3828" s="108">
        <v>46158</v>
      </c>
      <c r="B3828" s="152">
        <v>217</v>
      </c>
      <c r="C3828" s="108" t="s">
        <v>19</v>
      </c>
      <c r="D3828" s="110" t="str">
        <f>IF(ISBLANK($B3828),"",IFERROR(VLOOKUP($B3828,ESTOQUE!$B$2:$D$97168,3,FALSE),"Produto não cadastrado"))</f>
        <v>BOTINA SEGURANÇA METATARSO  40</v>
      </c>
      <c r="E3828" s="99" t="str">
        <f>_xlfn.XLOOKUP(B3828,ESTOQUE!B:B,ESTOQUE!G:G,"",0)</f>
        <v>PAR</v>
      </c>
      <c r="F3828" s="152">
        <v>2</v>
      </c>
    </row>
    <row r="3829" spans="1:6" x14ac:dyDescent="0.25">
      <c r="A3829" s="108">
        <v>46158</v>
      </c>
      <c r="B3829" s="152">
        <v>218</v>
      </c>
      <c r="C3829" s="108" t="s">
        <v>19</v>
      </c>
      <c r="D3829" s="110" t="str">
        <f>IF(ISBLANK($B3829),"",IFERROR(VLOOKUP($B3829,ESTOQUE!$B$2:$D$97168,3,FALSE),"Produto não cadastrado"))</f>
        <v>BOTINA SEGURANÇA METATARSO  41</v>
      </c>
      <c r="E3829" s="99" t="str">
        <f>_xlfn.XLOOKUP(B3829,ESTOQUE!B:B,ESTOQUE!G:G,"",0)</f>
        <v>PAR</v>
      </c>
      <c r="F3829" s="152">
        <v>3</v>
      </c>
    </row>
    <row r="3830" spans="1:6" x14ac:dyDescent="0.25">
      <c r="A3830" s="108">
        <v>46158</v>
      </c>
      <c r="B3830" s="152">
        <v>41</v>
      </c>
      <c r="C3830" s="108" t="s">
        <v>19</v>
      </c>
      <c r="D3830" s="110" t="str">
        <f>IF(ISBLANK($B3830),"",IFERROR(VLOOKUP($B3830,ESTOQUE!$B$2:$D$97168,3,FALSE),"Produto não cadastrado"))</f>
        <v>BOTINA OP. BICO PVC Nº 43</v>
      </c>
      <c r="E3830" s="99" t="str">
        <f>_xlfn.XLOOKUP(B3830,ESTOQUE!B:B,ESTOQUE!G:G,"",0)</f>
        <v>PAR</v>
      </c>
      <c r="F3830" s="152">
        <v>1</v>
      </c>
    </row>
    <row r="3831" spans="1:6" x14ac:dyDescent="0.25">
      <c r="A3831" s="108">
        <v>46158</v>
      </c>
      <c r="B3831" s="152">
        <v>46</v>
      </c>
      <c r="C3831" s="108" t="s">
        <v>19</v>
      </c>
      <c r="D3831" s="110" t="str">
        <f>IF(ISBLANK($B3831),"",IFERROR(VLOOKUP($B3831,ESTOQUE!$B$2:$D$97168,3,FALSE),"Produto não cadastrado"))</f>
        <v>CALÇA CINZA OP. C/ FAIXA REFLETIVA TAM: G</v>
      </c>
      <c r="E3831" s="99" t="str">
        <f>_xlfn.XLOOKUP(B3831,ESTOQUE!B:B,ESTOQUE!G:G,"",0)</f>
        <v>UND</v>
      </c>
      <c r="F3831" s="152">
        <v>1</v>
      </c>
    </row>
    <row r="3832" spans="1:6" x14ac:dyDescent="0.25">
      <c r="A3832" s="108">
        <v>46158</v>
      </c>
      <c r="B3832" s="152">
        <v>47</v>
      </c>
      <c r="C3832" s="108" t="s">
        <v>19</v>
      </c>
      <c r="D3832" s="110" t="str">
        <f>IF(ISBLANK($B3832),"",IFERROR(VLOOKUP($B3832,ESTOQUE!$B$2:$D$97168,3,FALSE),"Produto não cadastrado"))</f>
        <v>CALÇA CINZA OP. C/ FAIXA REFLETIVA TAM: GG</v>
      </c>
      <c r="E3832" s="99" t="str">
        <f>_xlfn.XLOOKUP(B3832,ESTOQUE!B:B,ESTOQUE!G:G,"",0)</f>
        <v>UND</v>
      </c>
      <c r="F3832" s="152">
        <v>3</v>
      </c>
    </row>
    <row r="3833" spans="1:6" x14ac:dyDescent="0.25">
      <c r="A3833" s="108">
        <v>46158</v>
      </c>
      <c r="B3833" s="152">
        <v>48</v>
      </c>
      <c r="C3833" s="108" t="s">
        <v>19</v>
      </c>
      <c r="D3833" s="110" t="str">
        <f>IF(ISBLANK($B3833),"",IFERROR(VLOOKUP($B3833,ESTOQUE!$B$2:$D$97168,3,FALSE),"Produto não cadastrado"))</f>
        <v>CALÇA CINZA OP. C/ FAIXA REFLETIVA TAM: M</v>
      </c>
      <c r="E3833" s="99" t="str">
        <f>_xlfn.XLOOKUP(B3833,ESTOQUE!B:B,ESTOQUE!G:G,"",0)</f>
        <v>UND</v>
      </c>
      <c r="F3833" s="152">
        <v>12</v>
      </c>
    </row>
    <row r="3834" spans="1:6" x14ac:dyDescent="0.25">
      <c r="A3834" s="108">
        <v>46158</v>
      </c>
      <c r="B3834" s="152">
        <v>49</v>
      </c>
      <c r="C3834" s="108" t="s">
        <v>19</v>
      </c>
      <c r="D3834" s="110" t="str">
        <f>IF(ISBLANK($B3834),"",IFERROR(VLOOKUP($B3834,ESTOQUE!$B$2:$D$97168,3,FALSE),"Produto não cadastrado"))</f>
        <v>CALÇA CINZA OP. C/ FAIXA REFLETIVA TAM: P</v>
      </c>
      <c r="E3834" s="99" t="str">
        <f>_xlfn.XLOOKUP(B3834,ESTOQUE!B:B,ESTOQUE!G:G,"",0)</f>
        <v>UND</v>
      </c>
      <c r="F3834" s="152">
        <v>2</v>
      </c>
    </row>
    <row r="3835" spans="1:6" x14ac:dyDescent="0.25">
      <c r="A3835" s="108">
        <v>46158</v>
      </c>
      <c r="B3835" s="152">
        <v>67</v>
      </c>
      <c r="C3835" s="108" t="s">
        <v>19</v>
      </c>
      <c r="D3835" s="110" t="str">
        <f>IF(ISBLANK($B3835),"",IFERROR(VLOOKUP($B3835,ESTOQUE!$B$2:$D$97168,3,FALSE),"Produto não cadastrado"))</f>
        <v>CAMISA LARANJA OP. C/ FAIXA REFLETIVA TAM: G</v>
      </c>
      <c r="E3835" s="99" t="str">
        <f>_xlfn.XLOOKUP(B3835,ESTOQUE!B:B,ESTOQUE!G:G,"",0)</f>
        <v>UND</v>
      </c>
      <c r="F3835" s="152">
        <v>2</v>
      </c>
    </row>
    <row r="3836" spans="1:6" x14ac:dyDescent="0.25">
      <c r="A3836" s="108">
        <v>46158</v>
      </c>
      <c r="B3836" s="152">
        <v>69</v>
      </c>
      <c r="C3836" s="108" t="s">
        <v>19</v>
      </c>
      <c r="D3836" s="110" t="str">
        <f>IF(ISBLANK($B3836),"",IFERROR(VLOOKUP($B3836,ESTOQUE!$B$2:$D$97168,3,FALSE),"Produto não cadastrado"))</f>
        <v>CAMISA LARANJA OP. C/ FAIXA REFLETIVA TAM: M</v>
      </c>
      <c r="E3836" s="99" t="str">
        <f>_xlfn.XLOOKUP(B3836,ESTOQUE!B:B,ESTOQUE!G:G,"",0)</f>
        <v>UND</v>
      </c>
      <c r="F3836" s="152">
        <v>12</v>
      </c>
    </row>
    <row r="3837" spans="1:6" x14ac:dyDescent="0.25">
      <c r="A3837" s="108">
        <v>46158</v>
      </c>
      <c r="B3837" s="152">
        <v>70</v>
      </c>
      <c r="C3837" s="108" t="s">
        <v>19</v>
      </c>
      <c r="D3837" s="110" t="str">
        <f>IF(ISBLANK($B3837),"",IFERROR(VLOOKUP($B3837,ESTOQUE!$B$2:$D$97168,3,FALSE),"Produto não cadastrado"))</f>
        <v>CAMISA LARANJA OP. C/ FAIXA REFLETIVA TAM: P</v>
      </c>
      <c r="E3837" s="99" t="str">
        <f>_xlfn.XLOOKUP(B3837,ESTOQUE!B:B,ESTOQUE!G:G,"",0)</f>
        <v>UND</v>
      </c>
      <c r="F3837" s="152">
        <v>2</v>
      </c>
    </row>
    <row r="3838" spans="1:6" x14ac:dyDescent="0.25">
      <c r="A3838" s="108">
        <v>46158</v>
      </c>
      <c r="B3838" s="152">
        <v>114</v>
      </c>
      <c r="C3838" s="108" t="s">
        <v>19</v>
      </c>
      <c r="D3838" s="110" t="str">
        <f>IF(ISBLANK($B3838),"",IFERROR(VLOOKUP($B3838,ESTOQUE!$B$2:$D$97168,3,FALSE),"Produto não cadastrado"))</f>
        <v xml:space="preserve">LUVA LATEX NITRILICA </v>
      </c>
      <c r="E3838" s="99" t="str">
        <f>_xlfn.XLOOKUP(B3838,ESTOQUE!B:B,ESTOQUE!G:G,"",0)</f>
        <v>PAR</v>
      </c>
      <c r="F3838" s="152">
        <v>2</v>
      </c>
    </row>
    <row r="3839" spans="1:6" x14ac:dyDescent="0.25">
      <c r="A3839" s="108">
        <v>46158</v>
      </c>
      <c r="B3839" s="152">
        <v>118</v>
      </c>
      <c r="C3839" s="108" t="s">
        <v>19</v>
      </c>
      <c r="D3839" s="110" t="str">
        <f>IF(ISBLANK($B3839),"",IFERROR(VLOOKUP($B3839,ESTOQUE!$B$2:$D$97168,3,FALSE),"Produto não cadastrado"))</f>
        <v>MACACÃO DE PROTEÇÃO TYVEK</v>
      </c>
      <c r="E3839" s="99" t="str">
        <f>_xlfn.XLOOKUP(B3839,ESTOQUE!B:B,ESTOQUE!G:G,"",0)</f>
        <v>UND</v>
      </c>
      <c r="F3839" s="152">
        <v>51</v>
      </c>
    </row>
    <row r="3840" spans="1:6" x14ac:dyDescent="0.25">
      <c r="A3840" s="108">
        <v>46158</v>
      </c>
      <c r="B3840" s="152">
        <v>144</v>
      </c>
      <c r="C3840" s="108" t="s">
        <v>19</v>
      </c>
      <c r="D3840" s="110" t="str">
        <f>IF(ISBLANK($B3840),"",IFERROR(VLOOKUP($B3840,ESTOQUE!$B$2:$D$97168,3,FALSE),"Produto não cadastrado"))</f>
        <v>MASCARA PFF2-S C/ FILTRO</v>
      </c>
      <c r="E3840" s="99" t="str">
        <f>_xlfn.XLOOKUP(B3840,ESTOQUE!B:B,ESTOQUE!G:G,"",0)</f>
        <v>UND</v>
      </c>
      <c r="F3840" s="152">
        <v>1</v>
      </c>
    </row>
    <row r="3841" spans="1:6" x14ac:dyDescent="0.25">
      <c r="A3841" s="108">
        <v>46158</v>
      </c>
      <c r="B3841" s="152">
        <v>126</v>
      </c>
      <c r="C3841" s="108" t="s">
        <v>19</v>
      </c>
      <c r="D3841" s="110" t="str">
        <f>IF(ISBLANK($B3841),"",IFERROR(VLOOKUP($B3841,ESTOQUE!$B$2:$D$97168,3,FALSE),"Produto não cadastrado"))</f>
        <v>OCULOS DE PROTEÇÃO ESCURO</v>
      </c>
      <c r="E3841" s="99" t="str">
        <f>_xlfn.XLOOKUP(B3841,ESTOQUE!B:B,ESTOQUE!G:G,"",0)</f>
        <v>UND</v>
      </c>
      <c r="F3841" s="152">
        <v>1</v>
      </c>
    </row>
    <row r="3842" spans="1:6" x14ac:dyDescent="0.25">
      <c r="A3842" s="108">
        <v>46159</v>
      </c>
      <c r="B3842" s="152">
        <v>228</v>
      </c>
      <c r="C3842" s="108" t="s">
        <v>19</v>
      </c>
      <c r="D3842" s="110" t="str">
        <f>IF(ISBLANK($B3842),"",IFERROR(VLOOKUP($B3842,ESTOQUE!$B$2:$D$97168,3,FALSE),"Produto não cadastrado"))</f>
        <v xml:space="preserve">BALACLAVA  </v>
      </c>
      <c r="E3842" s="99" t="str">
        <f>_xlfn.XLOOKUP(B3842,ESTOQUE!B:B,ESTOQUE!G:G,"",0)</f>
        <v>UND</v>
      </c>
      <c r="F3842" s="152">
        <v>7</v>
      </c>
    </row>
    <row r="3843" spans="1:6" x14ac:dyDescent="0.25">
      <c r="A3843" s="108">
        <v>46159</v>
      </c>
      <c r="B3843" s="152">
        <v>171</v>
      </c>
      <c r="C3843" s="108" t="s">
        <v>19</v>
      </c>
      <c r="D3843" s="110" t="str">
        <f>IF(ISBLANK($B3843),"",IFERROR(VLOOKUP($B3843,ESTOQUE!$B$2:$D$97168,3,FALSE),"Produto não cadastrado"))</f>
        <v>BOTA PVC CANO CURTO Nº 40</v>
      </c>
      <c r="E3843" s="99" t="str">
        <f>_xlfn.XLOOKUP(B3843,ESTOQUE!B:B,ESTOQUE!G:G,"",0)</f>
        <v>PAR</v>
      </c>
      <c r="F3843" s="152">
        <v>1</v>
      </c>
    </row>
    <row r="3844" spans="1:6" x14ac:dyDescent="0.25">
      <c r="A3844" s="108">
        <v>46159</v>
      </c>
      <c r="B3844" s="152">
        <v>35</v>
      </c>
      <c r="C3844" s="108" t="s">
        <v>19</v>
      </c>
      <c r="D3844" s="110" t="str">
        <f>IF(ISBLANK($B3844),"",IFERROR(VLOOKUP($B3844,ESTOQUE!$B$2:$D$97168,3,FALSE),"Produto não cadastrado"))</f>
        <v>BOTINA OP. BICO PVC Nº 37</v>
      </c>
      <c r="E3844" s="99" t="str">
        <f>_xlfn.XLOOKUP(B3844,ESTOQUE!B:B,ESTOQUE!G:G,"",0)</f>
        <v>PAR</v>
      </c>
      <c r="F3844" s="152">
        <v>1</v>
      </c>
    </row>
    <row r="3845" spans="1:6" x14ac:dyDescent="0.25">
      <c r="A3845" s="108">
        <v>46159</v>
      </c>
      <c r="B3845" s="152">
        <v>36</v>
      </c>
      <c r="C3845" s="108" t="s">
        <v>19</v>
      </c>
      <c r="D3845" s="110" t="str">
        <f>IF(ISBLANK($B3845),"",IFERROR(VLOOKUP($B3845,ESTOQUE!$B$2:$D$97168,3,FALSE),"Produto não cadastrado"))</f>
        <v>BOTINA OP. BICO PVC Nº 38</v>
      </c>
      <c r="E3845" s="99" t="str">
        <f>_xlfn.XLOOKUP(B3845,ESTOQUE!B:B,ESTOQUE!G:G,"",0)</f>
        <v>PAR</v>
      </c>
      <c r="F3845" s="152">
        <v>2</v>
      </c>
    </row>
    <row r="3846" spans="1:6" x14ac:dyDescent="0.25">
      <c r="A3846" s="108">
        <v>46159</v>
      </c>
      <c r="B3846" s="152">
        <v>40</v>
      </c>
      <c r="C3846" s="108" t="s">
        <v>19</v>
      </c>
      <c r="D3846" s="110" t="str">
        <f>IF(ISBLANK($B3846),"",IFERROR(VLOOKUP($B3846,ESTOQUE!$B$2:$D$97168,3,FALSE),"Produto não cadastrado"))</f>
        <v>BOTINA OP. BICO PVC Nº 42</v>
      </c>
      <c r="E3846" s="99" t="str">
        <f>_xlfn.XLOOKUP(B3846,ESTOQUE!B:B,ESTOQUE!G:G,"",0)</f>
        <v>PAR</v>
      </c>
      <c r="F3846" s="152">
        <v>1</v>
      </c>
    </row>
    <row r="3847" spans="1:6" x14ac:dyDescent="0.25">
      <c r="A3847" s="108">
        <v>46159</v>
      </c>
      <c r="B3847" s="152">
        <v>41</v>
      </c>
      <c r="C3847" s="108" t="s">
        <v>19</v>
      </c>
      <c r="D3847" s="110" t="str">
        <f>IF(ISBLANK($B3847),"",IFERROR(VLOOKUP($B3847,ESTOQUE!$B$2:$D$97168,3,FALSE),"Produto não cadastrado"))</f>
        <v>BOTINA OP. BICO PVC Nº 43</v>
      </c>
      <c r="E3847" s="99" t="str">
        <f>_xlfn.XLOOKUP(B3847,ESTOQUE!B:B,ESTOQUE!G:G,"",0)</f>
        <v>PAR</v>
      </c>
      <c r="F3847" s="152">
        <v>1</v>
      </c>
    </row>
    <row r="3848" spans="1:6" x14ac:dyDescent="0.25">
      <c r="A3848" s="108">
        <v>46159</v>
      </c>
      <c r="B3848" s="152">
        <v>46</v>
      </c>
      <c r="C3848" s="108" t="s">
        <v>19</v>
      </c>
      <c r="D3848" s="110" t="str">
        <f>IF(ISBLANK($B3848),"",IFERROR(VLOOKUP($B3848,ESTOQUE!$B$2:$D$97168,3,FALSE),"Produto não cadastrado"))</f>
        <v>CALÇA CINZA OP. C/ FAIXA REFLETIVA TAM: G</v>
      </c>
      <c r="E3848" s="99" t="str">
        <f>_xlfn.XLOOKUP(B3848,ESTOQUE!B:B,ESTOQUE!G:G,"",0)</f>
        <v>UND</v>
      </c>
      <c r="F3848" s="152">
        <v>10</v>
      </c>
    </row>
    <row r="3849" spans="1:6" x14ac:dyDescent="0.25">
      <c r="A3849" s="108">
        <v>46159</v>
      </c>
      <c r="B3849" s="152">
        <v>47</v>
      </c>
      <c r="C3849" s="108" t="s">
        <v>19</v>
      </c>
      <c r="D3849" s="110" t="str">
        <f>IF(ISBLANK($B3849),"",IFERROR(VLOOKUP($B3849,ESTOQUE!$B$2:$D$97168,3,FALSE),"Produto não cadastrado"))</f>
        <v>CALÇA CINZA OP. C/ FAIXA REFLETIVA TAM: GG</v>
      </c>
      <c r="E3849" s="99" t="str">
        <f>_xlfn.XLOOKUP(B3849,ESTOQUE!B:B,ESTOQUE!G:G,"",0)</f>
        <v>UND</v>
      </c>
      <c r="F3849" s="152">
        <v>2</v>
      </c>
    </row>
    <row r="3850" spans="1:6" x14ac:dyDescent="0.25">
      <c r="A3850" s="108">
        <v>46159</v>
      </c>
      <c r="B3850" s="152">
        <v>48</v>
      </c>
      <c r="C3850" s="108" t="s">
        <v>19</v>
      </c>
      <c r="D3850" s="110" t="str">
        <f>IF(ISBLANK($B3850),"",IFERROR(VLOOKUP($B3850,ESTOQUE!$B$2:$D$97168,3,FALSE),"Produto não cadastrado"))</f>
        <v>CALÇA CINZA OP. C/ FAIXA REFLETIVA TAM: M</v>
      </c>
      <c r="E3850" s="99" t="str">
        <f>_xlfn.XLOOKUP(B3850,ESTOQUE!B:B,ESTOQUE!G:G,"",0)</f>
        <v>UND</v>
      </c>
      <c r="F3850" s="152">
        <v>10</v>
      </c>
    </row>
    <row r="3851" spans="1:6" x14ac:dyDescent="0.25">
      <c r="A3851" s="108">
        <v>46159</v>
      </c>
      <c r="B3851" s="152">
        <v>49</v>
      </c>
      <c r="C3851" s="108" t="s">
        <v>19</v>
      </c>
      <c r="D3851" s="110" t="str">
        <f>IF(ISBLANK($B3851),"",IFERROR(VLOOKUP($B3851,ESTOQUE!$B$2:$D$97168,3,FALSE),"Produto não cadastrado"))</f>
        <v>CALÇA CINZA OP. C/ FAIXA REFLETIVA TAM: P</v>
      </c>
      <c r="E3851" s="99" t="str">
        <f>_xlfn.XLOOKUP(B3851,ESTOQUE!B:B,ESTOQUE!G:G,"",0)</f>
        <v>UND</v>
      </c>
      <c r="F3851" s="152">
        <v>5</v>
      </c>
    </row>
    <row r="3852" spans="1:6" x14ac:dyDescent="0.25">
      <c r="A3852" s="108">
        <v>46159</v>
      </c>
      <c r="B3852" s="152">
        <v>67</v>
      </c>
      <c r="C3852" s="108" t="s">
        <v>19</v>
      </c>
      <c r="D3852" s="110" t="str">
        <f>IF(ISBLANK($B3852),"",IFERROR(VLOOKUP($B3852,ESTOQUE!$B$2:$D$97168,3,FALSE),"Produto não cadastrado"))</f>
        <v>CAMISA LARANJA OP. C/ FAIXA REFLETIVA TAM: G</v>
      </c>
      <c r="E3852" s="99" t="str">
        <f>_xlfn.XLOOKUP(B3852,ESTOQUE!B:B,ESTOQUE!G:G,"",0)</f>
        <v>UND</v>
      </c>
      <c r="F3852" s="152">
        <v>7</v>
      </c>
    </row>
    <row r="3853" spans="1:6" x14ac:dyDescent="0.25">
      <c r="A3853" s="108">
        <v>46159</v>
      </c>
      <c r="B3853" s="152">
        <v>68</v>
      </c>
      <c r="C3853" s="108" t="s">
        <v>19</v>
      </c>
      <c r="D3853" s="110" t="str">
        <f>IF(ISBLANK($B3853),"",IFERROR(VLOOKUP($B3853,ESTOQUE!$B$2:$D$97168,3,FALSE),"Produto não cadastrado"))</f>
        <v>CAMISA LARANJA OP. C/ FAIXA REFLETIVA TAM: GG</v>
      </c>
      <c r="E3853" s="99" t="str">
        <f>_xlfn.XLOOKUP(B3853,ESTOQUE!B:B,ESTOQUE!G:G,"",0)</f>
        <v>UND</v>
      </c>
      <c r="F3853" s="152">
        <v>11</v>
      </c>
    </row>
    <row r="3854" spans="1:6" x14ac:dyDescent="0.25">
      <c r="A3854" s="108">
        <v>46159</v>
      </c>
      <c r="B3854" s="152">
        <v>70</v>
      </c>
      <c r="C3854" s="108" t="s">
        <v>19</v>
      </c>
      <c r="D3854" s="110" t="str">
        <f>IF(ISBLANK($B3854),"",IFERROR(VLOOKUP($B3854,ESTOQUE!$B$2:$D$97168,3,FALSE),"Produto não cadastrado"))</f>
        <v>CAMISA LARANJA OP. C/ FAIXA REFLETIVA TAM: P</v>
      </c>
      <c r="E3854" s="99" t="str">
        <f>_xlfn.XLOOKUP(B3854,ESTOQUE!B:B,ESTOQUE!G:G,"",0)</f>
        <v>UND</v>
      </c>
      <c r="F3854" s="152">
        <v>5</v>
      </c>
    </row>
    <row r="3855" spans="1:6" x14ac:dyDescent="0.25">
      <c r="A3855" s="108">
        <v>46159</v>
      </c>
      <c r="B3855" s="152">
        <v>73</v>
      </c>
      <c r="C3855" s="108" t="s">
        <v>19</v>
      </c>
      <c r="D3855" s="110" t="str">
        <f>IF(ISBLANK($B3855),"",IFERROR(VLOOKUP($B3855,ESTOQUE!$B$2:$D$97168,3,FALSE),"Produto não cadastrado"))</f>
        <v>CAPA DE CHUVA GG</v>
      </c>
      <c r="E3855" s="99" t="str">
        <f>_xlfn.XLOOKUP(B3855,ESTOQUE!B:B,ESTOQUE!G:G,"",0)</f>
        <v>UND</v>
      </c>
      <c r="F3855" s="152">
        <v>2</v>
      </c>
    </row>
    <row r="3856" spans="1:6" x14ac:dyDescent="0.25">
      <c r="A3856" s="108">
        <v>46159</v>
      </c>
      <c r="B3856" s="152">
        <v>186</v>
      </c>
      <c r="C3856" s="108" t="s">
        <v>19</v>
      </c>
      <c r="D3856" s="110" t="str">
        <f>IF(ISBLANK($B3856),"",IFERROR(VLOOKUP($B3856,ESTOQUE!$B$2:$D$97168,3,FALSE),"Produto não cadastrado"))</f>
        <v>COLETE REFLETIVO LARANJA GG</v>
      </c>
      <c r="E3856" s="99" t="str">
        <f>_xlfn.XLOOKUP(B3856,ESTOQUE!B:B,ESTOQUE!G:G,"",0)</f>
        <v>UND</v>
      </c>
      <c r="F3856" s="152">
        <v>1</v>
      </c>
    </row>
    <row r="3857" spans="1:6" x14ac:dyDescent="0.25">
      <c r="A3857" s="108">
        <v>46159</v>
      </c>
      <c r="B3857" s="152">
        <v>97</v>
      </c>
      <c r="C3857" s="108" t="s">
        <v>19</v>
      </c>
      <c r="D3857" s="110" t="str">
        <f>IF(ISBLANK($B3857),"",IFERROR(VLOOKUP($B3857,ESTOQUE!$B$2:$D$97168,3,FALSE),"Produto não cadastrado"))</f>
        <v>COLETE REFLETIVO LARANJA M</v>
      </c>
      <c r="E3857" s="99" t="str">
        <f>_xlfn.XLOOKUP(B3857,ESTOQUE!B:B,ESTOQUE!G:G,"",0)</f>
        <v>UND</v>
      </c>
      <c r="F3857" s="152">
        <v>2</v>
      </c>
    </row>
    <row r="3858" spans="1:6" x14ac:dyDescent="0.25">
      <c r="A3858" s="108">
        <v>46159</v>
      </c>
      <c r="B3858" s="152">
        <v>161</v>
      </c>
      <c r="C3858" s="108" t="s">
        <v>19</v>
      </c>
      <c r="D3858" s="110" t="str">
        <f>IF(ISBLANK($B3858),"",IFERROR(VLOOKUP($B3858,ESTOQUE!$B$2:$D$97168,3,FALSE),"Produto não cadastrado"))</f>
        <v>JUGULAR</v>
      </c>
      <c r="E3858" s="99" t="str">
        <f>_xlfn.XLOOKUP(B3858,ESTOQUE!B:B,ESTOQUE!G:G,"",0)</f>
        <v>UND</v>
      </c>
      <c r="F3858" s="152">
        <v>30</v>
      </c>
    </row>
    <row r="3859" spans="1:6" x14ac:dyDescent="0.25">
      <c r="A3859" s="108">
        <v>46159</v>
      </c>
      <c r="B3859" s="152">
        <v>141</v>
      </c>
      <c r="C3859" s="108" t="s">
        <v>19</v>
      </c>
      <c r="D3859" s="110" t="str">
        <f>IF(ISBLANK($B3859),"",IFERROR(VLOOKUP($B3859,ESTOQUE!$B$2:$D$97168,3,FALSE),"Produto não cadastrado"))</f>
        <v xml:space="preserve">LUVA DE VAQUETA </v>
      </c>
      <c r="E3859" s="99" t="str">
        <f>_xlfn.XLOOKUP(B3859,ESTOQUE!B:B,ESTOQUE!G:G,"",0)</f>
        <v>PAR</v>
      </c>
      <c r="F3859" s="152">
        <v>1</v>
      </c>
    </row>
    <row r="3860" spans="1:6" x14ac:dyDescent="0.25">
      <c r="A3860" s="108">
        <v>46159</v>
      </c>
      <c r="B3860" s="152">
        <v>114</v>
      </c>
      <c r="C3860" s="108" t="s">
        <v>19</v>
      </c>
      <c r="D3860" s="110" t="str">
        <f>IF(ISBLANK($B3860),"",IFERROR(VLOOKUP($B3860,ESTOQUE!$B$2:$D$97168,3,FALSE),"Produto não cadastrado"))</f>
        <v xml:space="preserve">LUVA LATEX NITRILICA </v>
      </c>
      <c r="E3860" s="99" t="str">
        <f>_xlfn.XLOOKUP(B3860,ESTOQUE!B:B,ESTOQUE!G:G,"",0)</f>
        <v>PAR</v>
      </c>
      <c r="F3860" s="152">
        <v>2</v>
      </c>
    </row>
    <row r="3861" spans="1:6" x14ac:dyDescent="0.25">
      <c r="A3861" s="108">
        <v>46159</v>
      </c>
      <c r="B3861" s="152">
        <v>257</v>
      </c>
      <c r="C3861" s="108" t="s">
        <v>19</v>
      </c>
      <c r="D3861" s="110" t="str">
        <f>IF(ISBLANK($B3861),"",IFERROR(VLOOKUP($B3861,ESTOQUE!$B$2:$D$97168,3,FALSE),"Produto não cadastrado"))</f>
        <v xml:space="preserve">LUVA MULTITATO </v>
      </c>
      <c r="E3861" s="99" t="str">
        <f>_xlfn.XLOOKUP(B3861,ESTOQUE!B:B,ESTOQUE!G:G,"",0)</f>
        <v>UND</v>
      </c>
      <c r="F3861" s="152">
        <v>1</v>
      </c>
    </row>
    <row r="3862" spans="1:6" x14ac:dyDescent="0.25">
      <c r="A3862" s="108">
        <v>46159</v>
      </c>
      <c r="B3862" s="152">
        <v>117</v>
      </c>
      <c r="C3862" s="108" t="s">
        <v>19</v>
      </c>
      <c r="D3862" s="110" t="str">
        <f>IF(ISBLANK($B3862),"",IFERROR(VLOOKUP($B3862,ESTOQUE!$B$2:$D$97168,3,FALSE),"Produto não cadastrado"))</f>
        <v>LUVA PIGMENTADA</v>
      </c>
      <c r="E3862" s="99" t="str">
        <f>_xlfn.XLOOKUP(B3862,ESTOQUE!B:B,ESTOQUE!G:G,"",0)</f>
        <v>PAR</v>
      </c>
      <c r="F3862" s="152">
        <v>4</v>
      </c>
    </row>
    <row r="3863" spans="1:6" x14ac:dyDescent="0.25">
      <c r="A3863" s="108">
        <v>46159</v>
      </c>
      <c r="B3863" s="152">
        <v>267</v>
      </c>
      <c r="C3863" s="108" t="s">
        <v>19</v>
      </c>
      <c r="D3863" s="110" t="str">
        <f>IF(ISBLANK($B3863),"",IFERROR(VLOOKUP($B3863,ESTOQUE!$B$2:$D$97168,3,FALSE),"Produto não cadastrado"))</f>
        <v>LUVA POLIESTER ANTICORTE CANO LONGO</v>
      </c>
      <c r="E3863" s="99" t="str">
        <f>_xlfn.XLOOKUP(B3863,ESTOQUE!B:B,ESTOQUE!G:G,"",0)</f>
        <v>UND</v>
      </c>
      <c r="F3863" s="152">
        <v>145</v>
      </c>
    </row>
    <row r="3864" spans="1:6" x14ac:dyDescent="0.25">
      <c r="A3864" s="108">
        <v>46159</v>
      </c>
      <c r="B3864" s="152">
        <v>118</v>
      </c>
      <c r="C3864" s="108" t="s">
        <v>19</v>
      </c>
      <c r="D3864" s="110" t="str">
        <f>IF(ISBLANK($B3864),"",IFERROR(VLOOKUP($B3864,ESTOQUE!$B$2:$D$97168,3,FALSE),"Produto não cadastrado"))</f>
        <v>MACACÃO DE PROTEÇÃO TYVEK</v>
      </c>
      <c r="E3864" s="99" t="str">
        <f>_xlfn.XLOOKUP(B3864,ESTOQUE!B:B,ESTOQUE!G:G,"",0)</f>
        <v>UND</v>
      </c>
      <c r="F3864" s="152">
        <v>14</v>
      </c>
    </row>
    <row r="3865" spans="1:6" x14ac:dyDescent="0.25">
      <c r="A3865" s="108">
        <v>46159</v>
      </c>
      <c r="B3865" s="152">
        <v>144</v>
      </c>
      <c r="C3865" s="108" t="s">
        <v>19</v>
      </c>
      <c r="D3865" s="110" t="str">
        <f>IF(ISBLANK($B3865),"",IFERROR(VLOOKUP($B3865,ESTOQUE!$B$2:$D$97168,3,FALSE),"Produto não cadastrado"))</f>
        <v>MASCARA PFF2-S C/ FILTRO</v>
      </c>
      <c r="E3865" s="99" t="str">
        <f>_xlfn.XLOOKUP(B3865,ESTOQUE!B:B,ESTOQUE!G:G,"",0)</f>
        <v>UND</v>
      </c>
      <c r="F3865" s="152">
        <v>5</v>
      </c>
    </row>
    <row r="3866" spans="1:6" x14ac:dyDescent="0.25">
      <c r="A3866" s="108">
        <v>46159</v>
      </c>
      <c r="B3866" s="152">
        <v>126</v>
      </c>
      <c r="C3866" s="108" t="s">
        <v>19</v>
      </c>
      <c r="D3866" s="110" t="str">
        <f>IF(ISBLANK($B3866),"",IFERROR(VLOOKUP($B3866,ESTOQUE!$B$2:$D$97168,3,FALSE),"Produto não cadastrado"))</f>
        <v>OCULOS DE PROTEÇÃO ESCURO</v>
      </c>
      <c r="E3866" s="99" t="str">
        <f>_xlfn.XLOOKUP(B3866,ESTOQUE!B:B,ESTOQUE!G:G,"",0)</f>
        <v>UND</v>
      </c>
      <c r="F3866" s="152">
        <v>7</v>
      </c>
    </row>
    <row r="3867" spans="1:6" x14ac:dyDescent="0.25">
      <c r="A3867" s="108">
        <v>46159</v>
      </c>
      <c r="B3867" s="152">
        <v>224</v>
      </c>
      <c r="C3867" s="108" t="s">
        <v>19</v>
      </c>
      <c r="D3867" s="110" t="str">
        <f>IF(ISBLANK($B3867),"",IFERROR(VLOOKUP($B3867,ESTOQUE!$B$2:$D$97168,3,FALSE),"Produto não cadastrado"))</f>
        <v>OCULOS OPERACIONAL SOBRE POR ESCURO</v>
      </c>
      <c r="E3867" s="99" t="str">
        <f>_xlfn.XLOOKUP(B3867,ESTOQUE!B:B,ESTOQUE!G:G,"",0)</f>
        <v>UND</v>
      </c>
      <c r="F3867" s="152">
        <v>2</v>
      </c>
    </row>
    <row r="3868" spans="1:6" x14ac:dyDescent="0.25">
      <c r="A3868" s="108">
        <v>46159</v>
      </c>
      <c r="B3868" s="152">
        <v>225</v>
      </c>
      <c r="C3868" s="108" t="s">
        <v>19</v>
      </c>
      <c r="D3868" s="110" t="str">
        <f>IF(ISBLANK($B3868),"",IFERROR(VLOOKUP($B3868,ESTOQUE!$B$2:$D$97168,3,FALSE),"Produto não cadastrado"))</f>
        <v>OCULOS OPERACIONAL SOBRE POR INCOLOR</v>
      </c>
      <c r="E3868" s="99" t="str">
        <f>_xlfn.XLOOKUP(B3868,ESTOQUE!B:B,ESTOQUE!G:G,"",0)</f>
        <v>UND</v>
      </c>
      <c r="F3868" s="152">
        <v>1</v>
      </c>
    </row>
    <row r="3869" spans="1:6" x14ac:dyDescent="0.25">
      <c r="A3869" s="108">
        <v>46159</v>
      </c>
      <c r="B3869" s="152">
        <v>191</v>
      </c>
      <c r="C3869" s="108" t="s">
        <v>19</v>
      </c>
      <c r="D3869" s="110" t="str">
        <f>IF(ISBLANK($B3869),"",IFERROR(VLOOKUP($B3869,ESTOQUE!$B$2:$D$97168,3,FALSE),"Produto não cadastrado"))</f>
        <v>PROTETOR AUDITIVO TIPO CONCHA</v>
      </c>
      <c r="E3869" s="99" t="str">
        <f>_xlfn.XLOOKUP(B3869,ESTOQUE!B:B,ESTOQUE!G:G,"",0)</f>
        <v>UND</v>
      </c>
      <c r="F3869" s="152">
        <v>1</v>
      </c>
    </row>
    <row r="3870" spans="1:6" x14ac:dyDescent="0.25">
      <c r="A3870" s="108">
        <v>46159</v>
      </c>
      <c r="B3870" s="152">
        <v>139</v>
      </c>
      <c r="C3870" s="108" t="s">
        <v>19</v>
      </c>
      <c r="D3870" s="110" t="str">
        <f>IF(ISBLANK($B3870),"",IFERROR(VLOOKUP($B3870,ESTOQUE!$B$2:$D$97168,3,FALSE),"Produto não cadastrado"))</f>
        <v>PROTETOR AURICULAR TIPO PLUG</v>
      </c>
      <c r="E3870" s="99" t="str">
        <f>_xlfn.XLOOKUP(B3870,ESTOQUE!B:B,ESTOQUE!G:G,"",0)</f>
        <v>UND</v>
      </c>
      <c r="F3870" s="152">
        <v>40</v>
      </c>
    </row>
    <row r="3871" spans="1:6" x14ac:dyDescent="0.25">
      <c r="A3871" s="108">
        <v>46160</v>
      </c>
      <c r="B3871" s="152">
        <v>118</v>
      </c>
      <c r="C3871" s="108" t="s">
        <v>19</v>
      </c>
      <c r="D3871" s="110" t="str">
        <f>IF(ISBLANK($B3871),"",IFERROR(VLOOKUP($B3871,ESTOQUE!$B$2:$D$97168,3,FALSE),"Produto não cadastrado"))</f>
        <v>MACACÃO DE PROTEÇÃO TYVEK</v>
      </c>
      <c r="E3871" s="99" t="str">
        <f>_xlfn.XLOOKUP(B3871,ESTOQUE!B:B,ESTOQUE!G:G,"",0)</f>
        <v>UND</v>
      </c>
      <c r="F3871" s="152">
        <v>8</v>
      </c>
    </row>
    <row r="3872" spans="1:6" x14ac:dyDescent="0.25">
      <c r="A3872" s="108">
        <v>46160</v>
      </c>
      <c r="B3872" s="152">
        <v>228</v>
      </c>
      <c r="C3872" s="108" t="s">
        <v>19</v>
      </c>
      <c r="D3872" s="110" t="str">
        <f>IF(ISBLANK($B3872),"",IFERROR(VLOOKUP($B3872,ESTOQUE!$B$2:$D$97168,3,FALSE),"Produto não cadastrado"))</f>
        <v xml:space="preserve">BALACLAVA  </v>
      </c>
      <c r="E3872" s="99" t="str">
        <f>_xlfn.XLOOKUP(B3872,ESTOQUE!B:B,ESTOQUE!G:G,"",0)</f>
        <v>UND</v>
      </c>
      <c r="F3872" s="152">
        <v>5</v>
      </c>
    </row>
    <row r="3873" spans="1:6" x14ac:dyDescent="0.25">
      <c r="A3873" s="108">
        <v>46160</v>
      </c>
      <c r="B3873" s="152">
        <v>217</v>
      </c>
      <c r="C3873" s="108" t="s">
        <v>19</v>
      </c>
      <c r="D3873" s="110" t="str">
        <f>IF(ISBLANK($B3873),"",IFERROR(VLOOKUP($B3873,ESTOQUE!$B$2:$D$97168,3,FALSE),"Produto não cadastrado"))</f>
        <v>BOTINA SEGURANÇA METATARSO  40</v>
      </c>
      <c r="E3873" s="99" t="str">
        <f>_xlfn.XLOOKUP(B3873,ESTOQUE!B:B,ESTOQUE!G:G,"",0)</f>
        <v>PAR</v>
      </c>
      <c r="F3873" s="152">
        <v>2</v>
      </c>
    </row>
    <row r="3874" spans="1:6" x14ac:dyDescent="0.25">
      <c r="A3874" s="108">
        <v>46160</v>
      </c>
      <c r="B3874" s="152">
        <v>219</v>
      </c>
      <c r="C3874" s="108" t="s">
        <v>19</v>
      </c>
      <c r="D3874" s="110" t="str">
        <f>IF(ISBLANK($B3874),"",IFERROR(VLOOKUP($B3874,ESTOQUE!$B$2:$D$97168,3,FALSE),"Produto não cadastrado"))</f>
        <v>BOTINA SEGURANÇA METATARSO  42</v>
      </c>
      <c r="E3874" s="99" t="str">
        <f>_xlfn.XLOOKUP(B3874,ESTOQUE!B:B,ESTOQUE!G:G,"",0)</f>
        <v>PAR</v>
      </c>
      <c r="F3874" s="152">
        <v>3</v>
      </c>
    </row>
    <row r="3875" spans="1:6" x14ac:dyDescent="0.25">
      <c r="A3875" s="108">
        <v>46160</v>
      </c>
      <c r="B3875" s="152">
        <v>46</v>
      </c>
      <c r="C3875" s="108" t="s">
        <v>19</v>
      </c>
      <c r="D3875" s="110" t="str">
        <f>IF(ISBLANK($B3875),"",IFERROR(VLOOKUP($B3875,ESTOQUE!$B$2:$D$97168,3,FALSE),"Produto não cadastrado"))</f>
        <v>CALÇA CINZA OP. C/ FAIXA REFLETIVA TAM: G</v>
      </c>
      <c r="E3875" s="99" t="str">
        <f>_xlfn.XLOOKUP(B3875,ESTOQUE!B:B,ESTOQUE!G:G,"",0)</f>
        <v>UND</v>
      </c>
      <c r="F3875" s="152">
        <v>3</v>
      </c>
    </row>
    <row r="3876" spans="1:6" x14ac:dyDescent="0.25">
      <c r="A3876" s="108">
        <v>46160</v>
      </c>
      <c r="B3876" s="152">
        <v>47</v>
      </c>
      <c r="C3876" s="108" t="s">
        <v>19</v>
      </c>
      <c r="D3876" s="110" t="str">
        <f>IF(ISBLANK($B3876),"",IFERROR(VLOOKUP($B3876,ESTOQUE!$B$2:$D$97168,3,FALSE),"Produto não cadastrado"))</f>
        <v>CALÇA CINZA OP. C/ FAIXA REFLETIVA TAM: GG</v>
      </c>
      <c r="E3876" s="99" t="str">
        <f>_xlfn.XLOOKUP(B3876,ESTOQUE!B:B,ESTOQUE!G:G,"",0)</f>
        <v>UND</v>
      </c>
      <c r="F3876" s="152">
        <v>1</v>
      </c>
    </row>
    <row r="3877" spans="1:6" x14ac:dyDescent="0.25">
      <c r="A3877" s="108">
        <v>46160</v>
      </c>
      <c r="B3877" s="152">
        <v>48</v>
      </c>
      <c r="C3877" s="108" t="s">
        <v>19</v>
      </c>
      <c r="D3877" s="110" t="str">
        <f>IF(ISBLANK($B3877),"",IFERROR(VLOOKUP($B3877,ESTOQUE!$B$2:$D$97168,3,FALSE),"Produto não cadastrado"))</f>
        <v>CALÇA CINZA OP. C/ FAIXA REFLETIVA TAM: M</v>
      </c>
      <c r="E3877" s="99" t="str">
        <f>_xlfn.XLOOKUP(B3877,ESTOQUE!B:B,ESTOQUE!G:G,"",0)</f>
        <v>UND</v>
      </c>
      <c r="F3877" s="152">
        <v>4</v>
      </c>
    </row>
    <row r="3878" spans="1:6" x14ac:dyDescent="0.25">
      <c r="A3878" s="108">
        <v>46160</v>
      </c>
      <c r="B3878" s="152">
        <v>49</v>
      </c>
      <c r="C3878" s="108" t="s">
        <v>19</v>
      </c>
      <c r="D3878" s="110" t="str">
        <f>IF(ISBLANK($B3878),"",IFERROR(VLOOKUP($B3878,ESTOQUE!$B$2:$D$97168,3,FALSE),"Produto não cadastrado"))</f>
        <v>CALÇA CINZA OP. C/ FAIXA REFLETIVA TAM: P</v>
      </c>
      <c r="E3878" s="99" t="str">
        <f>_xlfn.XLOOKUP(B3878,ESTOQUE!B:B,ESTOQUE!G:G,"",0)</f>
        <v>UND</v>
      </c>
      <c r="F3878" s="152">
        <v>5</v>
      </c>
    </row>
    <row r="3879" spans="1:6" x14ac:dyDescent="0.25">
      <c r="A3879" s="108">
        <v>46160</v>
      </c>
      <c r="B3879" s="152">
        <v>50</v>
      </c>
      <c r="C3879" s="108" t="s">
        <v>19</v>
      </c>
      <c r="D3879" s="110" t="str">
        <f>IF(ISBLANK($B3879),"",IFERROR(VLOOKUP($B3879,ESTOQUE!$B$2:$D$97168,3,FALSE),"Produto não cadastrado"))</f>
        <v>CALÇA CINZA OP. C/ FAIXA REFLETIVA TAM: XG</v>
      </c>
      <c r="E3879" s="99" t="str">
        <f>_xlfn.XLOOKUP(B3879,ESTOQUE!B:B,ESTOQUE!G:G,"",0)</f>
        <v>UND</v>
      </c>
      <c r="F3879" s="152">
        <v>3</v>
      </c>
    </row>
    <row r="3880" spans="1:6" x14ac:dyDescent="0.25">
      <c r="A3880" s="108">
        <v>46160</v>
      </c>
      <c r="B3880" s="152">
        <v>67</v>
      </c>
      <c r="C3880" s="108" t="s">
        <v>19</v>
      </c>
      <c r="D3880" s="110" t="str">
        <f>IF(ISBLANK($B3880),"",IFERROR(VLOOKUP($B3880,ESTOQUE!$B$2:$D$97168,3,FALSE),"Produto não cadastrado"))</f>
        <v>CAMISA LARANJA OP. C/ FAIXA REFLETIVA TAM: G</v>
      </c>
      <c r="E3880" s="99" t="str">
        <f>_xlfn.XLOOKUP(B3880,ESTOQUE!B:B,ESTOQUE!G:G,"",0)</f>
        <v>UND</v>
      </c>
      <c r="F3880" s="152">
        <v>4</v>
      </c>
    </row>
    <row r="3881" spans="1:6" x14ac:dyDescent="0.25">
      <c r="A3881" s="108">
        <v>46160</v>
      </c>
      <c r="B3881" s="152">
        <v>68</v>
      </c>
      <c r="C3881" s="108" t="s">
        <v>19</v>
      </c>
      <c r="D3881" s="110" t="str">
        <f>IF(ISBLANK($B3881),"",IFERROR(VLOOKUP($B3881,ESTOQUE!$B$2:$D$97168,3,FALSE),"Produto não cadastrado"))</f>
        <v>CAMISA LARANJA OP. C/ FAIXA REFLETIVA TAM: GG</v>
      </c>
      <c r="E3881" s="99" t="str">
        <f>_xlfn.XLOOKUP(B3881,ESTOQUE!B:B,ESTOQUE!G:G,"",0)</f>
        <v>UND</v>
      </c>
      <c r="F3881" s="152">
        <v>1</v>
      </c>
    </row>
    <row r="3882" spans="1:6" x14ac:dyDescent="0.25">
      <c r="A3882" s="108">
        <v>46160</v>
      </c>
      <c r="B3882" s="152">
        <v>69</v>
      </c>
      <c r="C3882" s="108" t="s">
        <v>19</v>
      </c>
      <c r="D3882" s="110" t="str">
        <f>IF(ISBLANK($B3882),"",IFERROR(VLOOKUP($B3882,ESTOQUE!$B$2:$D$97168,3,FALSE),"Produto não cadastrado"))</f>
        <v>CAMISA LARANJA OP. C/ FAIXA REFLETIVA TAM: M</v>
      </c>
      <c r="E3882" s="99" t="str">
        <f>_xlfn.XLOOKUP(B3882,ESTOQUE!B:B,ESTOQUE!G:G,"",0)</f>
        <v>UND</v>
      </c>
      <c r="F3882" s="152">
        <v>6</v>
      </c>
    </row>
    <row r="3883" spans="1:6" x14ac:dyDescent="0.25">
      <c r="A3883" s="108">
        <v>46160</v>
      </c>
      <c r="B3883" s="152">
        <v>70</v>
      </c>
      <c r="C3883" s="108" t="s">
        <v>19</v>
      </c>
      <c r="D3883" s="110" t="str">
        <f>IF(ISBLANK($B3883),"",IFERROR(VLOOKUP($B3883,ESTOQUE!$B$2:$D$97168,3,FALSE),"Produto não cadastrado"))</f>
        <v>CAMISA LARANJA OP. C/ FAIXA REFLETIVA TAM: P</v>
      </c>
      <c r="E3883" s="99" t="str">
        <f>_xlfn.XLOOKUP(B3883,ESTOQUE!B:B,ESTOQUE!G:G,"",0)</f>
        <v>UND</v>
      </c>
      <c r="F3883" s="152">
        <v>4</v>
      </c>
    </row>
    <row r="3884" spans="1:6" x14ac:dyDescent="0.25">
      <c r="A3884" s="108">
        <v>46160</v>
      </c>
      <c r="B3884" s="152">
        <v>97</v>
      </c>
      <c r="C3884" s="108" t="s">
        <v>19</v>
      </c>
      <c r="D3884" s="110" t="str">
        <f>IF(ISBLANK($B3884),"",IFERROR(VLOOKUP($B3884,ESTOQUE!$B$2:$D$97168,3,FALSE),"Produto não cadastrado"))</f>
        <v>COLETE REFLETIVO LARANJA M</v>
      </c>
      <c r="E3884" s="99" t="str">
        <f>_xlfn.XLOOKUP(B3884,ESTOQUE!B:B,ESTOQUE!G:G,"",0)</f>
        <v>UND</v>
      </c>
      <c r="F3884" s="152">
        <v>2</v>
      </c>
    </row>
    <row r="3885" spans="1:6" x14ac:dyDescent="0.25">
      <c r="A3885" s="108">
        <v>46160</v>
      </c>
      <c r="B3885" s="152">
        <v>110</v>
      </c>
      <c r="C3885" s="108" t="s">
        <v>19</v>
      </c>
      <c r="D3885" s="110" t="str">
        <f>IF(ISBLANK($B3885),"",IFERROR(VLOOKUP($B3885,ESTOQUE!$B$2:$D$97168,3,FALSE),"Produto não cadastrado"))</f>
        <v>LUVA DE RASPA CANO LONGO</v>
      </c>
      <c r="E3885" s="99" t="str">
        <f>_xlfn.XLOOKUP(B3885,ESTOQUE!B:B,ESTOQUE!G:G,"",0)</f>
        <v>PAR</v>
      </c>
      <c r="F3885" s="152">
        <v>1</v>
      </c>
    </row>
    <row r="3886" spans="1:6" x14ac:dyDescent="0.25">
      <c r="A3886" s="108">
        <v>46160</v>
      </c>
      <c r="B3886" s="152">
        <v>141</v>
      </c>
      <c r="C3886" s="108" t="s">
        <v>19</v>
      </c>
      <c r="D3886" s="110" t="str">
        <f>IF(ISBLANK($B3886),"",IFERROR(VLOOKUP($B3886,ESTOQUE!$B$2:$D$97168,3,FALSE),"Produto não cadastrado"))</f>
        <v xml:space="preserve">LUVA DE VAQUETA </v>
      </c>
      <c r="E3886" s="99" t="str">
        <f>_xlfn.XLOOKUP(B3886,ESTOQUE!B:B,ESTOQUE!G:G,"",0)</f>
        <v>PAR</v>
      </c>
      <c r="F3886" s="152">
        <v>1</v>
      </c>
    </row>
    <row r="3887" spans="1:6" x14ac:dyDescent="0.25">
      <c r="A3887" s="108">
        <v>46160</v>
      </c>
      <c r="B3887" s="152">
        <v>114</v>
      </c>
      <c r="C3887" s="108" t="s">
        <v>19</v>
      </c>
      <c r="D3887" s="110" t="str">
        <f>IF(ISBLANK($B3887),"",IFERROR(VLOOKUP($B3887,ESTOQUE!$B$2:$D$97168,3,FALSE),"Produto não cadastrado"))</f>
        <v xml:space="preserve">LUVA LATEX NITRILICA </v>
      </c>
      <c r="E3887" s="99" t="str">
        <f>_xlfn.XLOOKUP(B3887,ESTOQUE!B:B,ESTOQUE!G:G,"",0)</f>
        <v>PAR</v>
      </c>
      <c r="F3887" s="152">
        <v>73</v>
      </c>
    </row>
    <row r="3888" spans="1:6" x14ac:dyDescent="0.25">
      <c r="A3888" s="108">
        <v>46160</v>
      </c>
      <c r="B3888" s="152">
        <v>118</v>
      </c>
      <c r="C3888" s="108" t="s">
        <v>19</v>
      </c>
      <c r="D3888" s="110" t="str">
        <f>IF(ISBLANK($B3888),"",IFERROR(VLOOKUP($B3888,ESTOQUE!$B$2:$D$97168,3,FALSE),"Produto não cadastrado"))</f>
        <v>MACACÃO DE PROTEÇÃO TYVEK</v>
      </c>
      <c r="E3888" s="99" t="str">
        <f>_xlfn.XLOOKUP(B3888,ESTOQUE!B:B,ESTOQUE!G:G,"",0)</f>
        <v>UND</v>
      </c>
      <c r="F3888" s="152">
        <v>28</v>
      </c>
    </row>
    <row r="3889" spans="1:6" x14ac:dyDescent="0.25">
      <c r="A3889" s="108">
        <v>46160</v>
      </c>
      <c r="B3889" s="152">
        <v>144</v>
      </c>
      <c r="C3889" s="108" t="s">
        <v>19</v>
      </c>
      <c r="D3889" s="110" t="str">
        <f>IF(ISBLANK($B3889),"",IFERROR(VLOOKUP($B3889,ESTOQUE!$B$2:$D$97168,3,FALSE),"Produto não cadastrado"))</f>
        <v>MASCARA PFF2-S C/ FILTRO</v>
      </c>
      <c r="E3889" s="99" t="str">
        <f>_xlfn.XLOOKUP(B3889,ESTOQUE!B:B,ESTOQUE!G:G,"",0)</f>
        <v>UND</v>
      </c>
      <c r="F3889" s="152">
        <v>10</v>
      </c>
    </row>
    <row r="3890" spans="1:6" x14ac:dyDescent="0.25">
      <c r="A3890" s="108">
        <v>46160</v>
      </c>
      <c r="B3890" s="152">
        <v>124</v>
      </c>
      <c r="C3890" s="108" t="s">
        <v>19</v>
      </c>
      <c r="D3890" s="110" t="str">
        <f>IF(ISBLANK($B3890),"",IFERROR(VLOOKUP($B3890,ESTOQUE!$B$2:$D$97168,3,FALSE),"Produto não cadastrado"))</f>
        <v xml:space="preserve">OCULOS DE PROTEÇÃO INCOLOR </v>
      </c>
      <c r="E3890" s="99" t="str">
        <f>_xlfn.XLOOKUP(B3890,ESTOQUE!B:B,ESTOQUE!G:G,"",0)</f>
        <v>UND</v>
      </c>
      <c r="F3890" s="152">
        <v>1</v>
      </c>
    </row>
    <row r="3891" spans="1:6" x14ac:dyDescent="0.25">
      <c r="A3891" s="108">
        <v>46161</v>
      </c>
      <c r="B3891" s="152">
        <v>118</v>
      </c>
      <c r="C3891" s="108" t="s">
        <v>19</v>
      </c>
      <c r="D3891" s="110" t="str">
        <f>IF(ISBLANK($B3891),"",IFERROR(VLOOKUP($B3891,ESTOQUE!$B$2:$D$97168,3,FALSE),"Produto não cadastrado"))</f>
        <v>MACACÃO DE PROTEÇÃO TYVEK</v>
      </c>
      <c r="E3891" s="99" t="str">
        <f>_xlfn.XLOOKUP(B3891,ESTOQUE!B:B,ESTOQUE!G:G,"",0)</f>
        <v>UND</v>
      </c>
      <c r="F3891" s="152">
        <v>25</v>
      </c>
    </row>
    <row r="3892" spans="1:6" x14ac:dyDescent="0.25">
      <c r="A3892" s="108">
        <v>46161</v>
      </c>
      <c r="B3892" s="152">
        <v>228</v>
      </c>
      <c r="C3892" s="108" t="s">
        <v>19</v>
      </c>
      <c r="D3892" s="110" t="str">
        <f>IF(ISBLANK($B3892),"",IFERROR(VLOOKUP($B3892,ESTOQUE!$B$2:$D$97168,3,FALSE),"Produto não cadastrado"))</f>
        <v xml:space="preserve">BALACLAVA  </v>
      </c>
      <c r="E3892" s="99" t="str">
        <f>_xlfn.XLOOKUP(B3892,ESTOQUE!B:B,ESTOQUE!G:G,"",0)</f>
        <v>UND</v>
      </c>
      <c r="F3892" s="152">
        <v>4</v>
      </c>
    </row>
    <row r="3893" spans="1:6" x14ac:dyDescent="0.25">
      <c r="A3893" s="108">
        <v>46161</v>
      </c>
      <c r="B3893" s="152">
        <v>70</v>
      </c>
      <c r="C3893" s="108" t="s">
        <v>19</v>
      </c>
      <c r="D3893" s="110" t="str">
        <f>IF(ISBLANK($B3893),"",IFERROR(VLOOKUP($B3893,ESTOQUE!$B$2:$D$97168,3,FALSE),"Produto não cadastrado"))</f>
        <v>CAMISA LARANJA OP. C/ FAIXA REFLETIVA TAM: P</v>
      </c>
      <c r="E3893" s="99" t="str">
        <f>_xlfn.XLOOKUP(B3893,ESTOQUE!B:B,ESTOQUE!G:G,"",0)</f>
        <v>UND</v>
      </c>
      <c r="F3893" s="152">
        <v>1</v>
      </c>
    </row>
    <row r="3894" spans="1:6" x14ac:dyDescent="0.25">
      <c r="A3894" s="108">
        <v>46161</v>
      </c>
      <c r="B3894" s="152">
        <v>49</v>
      </c>
      <c r="C3894" s="108" t="s">
        <v>19</v>
      </c>
      <c r="D3894" s="110" t="str">
        <f>IF(ISBLANK($B3894),"",IFERROR(VLOOKUP($B3894,ESTOQUE!$B$2:$D$97168,3,FALSE),"Produto não cadastrado"))</f>
        <v>CALÇA CINZA OP. C/ FAIXA REFLETIVA TAM: P</v>
      </c>
      <c r="E3894" s="99" t="str">
        <f>_xlfn.XLOOKUP(B3894,ESTOQUE!B:B,ESTOQUE!G:G,"",0)</f>
        <v>UND</v>
      </c>
      <c r="F3894" s="152">
        <v>1</v>
      </c>
    </row>
    <row r="3895" spans="1:6" x14ac:dyDescent="0.25">
      <c r="A3895" s="108">
        <v>46161</v>
      </c>
      <c r="B3895" s="152">
        <v>228</v>
      </c>
      <c r="C3895" s="108" t="s">
        <v>19</v>
      </c>
      <c r="D3895" s="110" t="str">
        <f>IF(ISBLANK($B3895),"",IFERROR(VLOOKUP($B3895,ESTOQUE!$B$2:$D$97168,3,FALSE),"Produto não cadastrado"))</f>
        <v xml:space="preserve">BALACLAVA  </v>
      </c>
      <c r="E3895" s="99" t="str">
        <f>_xlfn.XLOOKUP(B3895,ESTOQUE!B:B,ESTOQUE!G:G,"",0)</f>
        <v>UND</v>
      </c>
      <c r="F3895" s="152">
        <v>6</v>
      </c>
    </row>
    <row r="3896" spans="1:6" x14ac:dyDescent="0.25">
      <c r="A3896" s="108">
        <v>46161</v>
      </c>
      <c r="B3896" s="152">
        <v>268</v>
      </c>
      <c r="C3896" s="108" t="s">
        <v>19</v>
      </c>
      <c r="D3896" s="110" t="str">
        <f>IF(ISBLANK($B3896),"",IFERROR(VLOOKUP($B3896,ESTOQUE!$B$2:$D$97168,3,FALSE),"Produto não cadastrado"))</f>
        <v>BOTA PVC CANO CURTO N  39</v>
      </c>
      <c r="E3896" s="99" t="str">
        <f>_xlfn.XLOOKUP(B3896,ESTOQUE!B:B,ESTOQUE!G:G,"",0)</f>
        <v>PAR</v>
      </c>
      <c r="F3896" s="152">
        <v>1</v>
      </c>
    </row>
    <row r="3897" spans="1:6" x14ac:dyDescent="0.25">
      <c r="A3897" s="108">
        <v>46161</v>
      </c>
      <c r="B3897" s="152">
        <v>172</v>
      </c>
      <c r="C3897" s="108" t="s">
        <v>19</v>
      </c>
      <c r="D3897" s="110" t="str">
        <f>IF(ISBLANK($B3897),"",IFERROR(VLOOKUP($B3897,ESTOQUE!$B$2:$D$97168,3,FALSE),"Produto não cadastrado"))</f>
        <v>BOTA PVC CANO CURTO Nº 41</v>
      </c>
      <c r="E3897" s="99" t="str">
        <f>_xlfn.XLOOKUP(B3897,ESTOQUE!B:B,ESTOQUE!G:G,"",0)</f>
        <v>PAR</v>
      </c>
      <c r="F3897" s="152">
        <v>1</v>
      </c>
    </row>
    <row r="3898" spans="1:6" x14ac:dyDescent="0.25">
      <c r="A3898" s="108">
        <v>46161</v>
      </c>
      <c r="B3898" s="152">
        <v>21</v>
      </c>
      <c r="C3898" s="108" t="s">
        <v>19</v>
      </c>
      <c r="D3898" s="110" t="str">
        <f>IF(ISBLANK($B3898),"",IFERROR(VLOOKUP($B3898,ESTOQUE!$B$2:$D$97168,3,FALSE),"Produto não cadastrado"))</f>
        <v>BOTA PVC CANO MEDIO Nº 42</v>
      </c>
      <c r="E3898" s="99" t="str">
        <f>_xlfn.XLOOKUP(B3898,ESTOQUE!B:B,ESTOQUE!G:G,"",0)</f>
        <v>PAR</v>
      </c>
      <c r="F3898" s="152">
        <v>1</v>
      </c>
    </row>
    <row r="3899" spans="1:6" x14ac:dyDescent="0.25">
      <c r="A3899" s="108">
        <v>46161</v>
      </c>
      <c r="B3899" s="152">
        <v>174</v>
      </c>
      <c r="C3899" s="108" t="s">
        <v>19</v>
      </c>
      <c r="D3899" s="110" t="str">
        <f>IF(ISBLANK($B3899),"",IFERROR(VLOOKUP($B3899,ESTOQUE!$B$2:$D$97168,3,FALSE),"Produto não cadastrado"))</f>
        <v>BOTA PVC CANO CURTO Nº 43</v>
      </c>
      <c r="E3899" s="99" t="str">
        <f>_xlfn.XLOOKUP(B3899,ESTOQUE!B:B,ESTOQUE!G:G,"",0)</f>
        <v>PAR</v>
      </c>
      <c r="F3899" s="152">
        <v>2</v>
      </c>
    </row>
    <row r="3900" spans="1:6" x14ac:dyDescent="0.25">
      <c r="A3900" s="108">
        <v>46161</v>
      </c>
      <c r="B3900" s="152">
        <v>6</v>
      </c>
      <c r="C3900" s="108" t="s">
        <v>19</v>
      </c>
      <c r="D3900" s="110" t="str">
        <f>IF(ISBLANK($B3900),"",IFERROR(VLOOKUP($B3900,ESTOQUE!$B$2:$D$97168,3,FALSE),"Produto não cadastrado"))</f>
        <v>BOTA PVC CANO LONGO Nº 38</v>
      </c>
      <c r="E3900" s="99" t="str">
        <f>_xlfn.XLOOKUP(B3900,ESTOQUE!B:B,ESTOQUE!G:G,"",0)</f>
        <v>PAR</v>
      </c>
      <c r="F3900" s="152">
        <v>1</v>
      </c>
    </row>
    <row r="3901" spans="1:6" x14ac:dyDescent="0.25">
      <c r="A3901" s="108">
        <v>46161</v>
      </c>
      <c r="B3901" s="152">
        <v>35</v>
      </c>
      <c r="C3901" s="108" t="s">
        <v>19</v>
      </c>
      <c r="D3901" s="110" t="str">
        <f>IF(ISBLANK($B3901),"",IFERROR(VLOOKUP($B3901,ESTOQUE!$B$2:$D$97168,3,FALSE),"Produto não cadastrado"))</f>
        <v>BOTINA OP. BICO PVC Nº 37</v>
      </c>
      <c r="E3901" s="99" t="str">
        <f>_xlfn.XLOOKUP(B3901,ESTOQUE!B:B,ESTOQUE!G:G,"",0)</f>
        <v>PAR</v>
      </c>
      <c r="F3901" s="152">
        <v>1</v>
      </c>
    </row>
    <row r="3902" spans="1:6" x14ac:dyDescent="0.25">
      <c r="A3902" s="108">
        <v>46161</v>
      </c>
      <c r="B3902" s="152">
        <v>36</v>
      </c>
      <c r="C3902" s="108" t="s">
        <v>19</v>
      </c>
      <c r="D3902" s="110" t="str">
        <f>IF(ISBLANK($B3902),"",IFERROR(VLOOKUP($B3902,ESTOQUE!$B$2:$D$97168,3,FALSE),"Produto não cadastrado"))</f>
        <v>BOTINA OP. BICO PVC Nº 38</v>
      </c>
      <c r="E3902" s="99" t="str">
        <f>_xlfn.XLOOKUP(B3902,ESTOQUE!B:B,ESTOQUE!G:G,"",0)</f>
        <v>PAR</v>
      </c>
      <c r="F3902" s="152">
        <v>1</v>
      </c>
    </row>
    <row r="3903" spans="1:6" x14ac:dyDescent="0.25">
      <c r="A3903" s="108">
        <v>46161</v>
      </c>
      <c r="B3903" s="152">
        <v>217</v>
      </c>
      <c r="C3903" s="108" t="s">
        <v>19</v>
      </c>
      <c r="D3903" s="110" t="str">
        <f>IF(ISBLANK($B3903),"",IFERROR(VLOOKUP($B3903,ESTOQUE!$B$2:$D$97168,3,FALSE),"Produto não cadastrado"))</f>
        <v>BOTINA SEGURANÇA METATARSO  40</v>
      </c>
      <c r="E3903" s="99" t="str">
        <f>_xlfn.XLOOKUP(B3903,ESTOQUE!B:B,ESTOQUE!G:G,"",0)</f>
        <v>PAR</v>
      </c>
      <c r="F3903" s="152">
        <v>1</v>
      </c>
    </row>
    <row r="3904" spans="1:6" x14ac:dyDescent="0.25">
      <c r="A3904" s="108">
        <v>46161</v>
      </c>
      <c r="B3904" s="152">
        <v>218</v>
      </c>
      <c r="C3904" s="108" t="s">
        <v>19</v>
      </c>
      <c r="D3904" s="110" t="str">
        <f>IF(ISBLANK($B3904),"",IFERROR(VLOOKUP($B3904,ESTOQUE!$B$2:$D$97168,3,FALSE),"Produto não cadastrado"))</f>
        <v>BOTINA SEGURANÇA METATARSO  41</v>
      </c>
      <c r="E3904" s="99" t="str">
        <f>_xlfn.XLOOKUP(B3904,ESTOQUE!B:B,ESTOQUE!G:G,"",0)</f>
        <v>PAR</v>
      </c>
      <c r="F3904" s="152">
        <v>1</v>
      </c>
    </row>
    <row r="3905" spans="1:6" x14ac:dyDescent="0.25">
      <c r="A3905" s="108">
        <v>46161</v>
      </c>
      <c r="B3905" s="152">
        <v>219</v>
      </c>
      <c r="C3905" s="108" t="s">
        <v>19</v>
      </c>
      <c r="D3905" s="110" t="str">
        <f>IF(ISBLANK($B3905),"",IFERROR(VLOOKUP($B3905,ESTOQUE!$B$2:$D$97168,3,FALSE),"Produto não cadastrado"))</f>
        <v>BOTINA SEGURANÇA METATARSO  42</v>
      </c>
      <c r="E3905" s="99" t="str">
        <f>_xlfn.XLOOKUP(B3905,ESTOQUE!B:B,ESTOQUE!G:G,"",0)</f>
        <v>PAR</v>
      </c>
      <c r="F3905" s="152">
        <v>2</v>
      </c>
    </row>
    <row r="3906" spans="1:6" x14ac:dyDescent="0.25">
      <c r="A3906" s="108">
        <v>46161</v>
      </c>
      <c r="B3906" s="152">
        <v>46</v>
      </c>
      <c r="C3906" s="108" t="s">
        <v>19</v>
      </c>
      <c r="D3906" s="110" t="str">
        <f>IF(ISBLANK($B3906),"",IFERROR(VLOOKUP($B3906,ESTOQUE!$B$2:$D$97168,3,FALSE),"Produto não cadastrado"))</f>
        <v>CALÇA CINZA OP. C/ FAIXA REFLETIVA TAM: G</v>
      </c>
      <c r="E3906" s="99" t="str">
        <f>_xlfn.XLOOKUP(B3906,ESTOQUE!B:B,ESTOQUE!G:G,"",0)</f>
        <v>UND</v>
      </c>
      <c r="F3906" s="152">
        <v>8</v>
      </c>
    </row>
    <row r="3907" spans="1:6" x14ac:dyDescent="0.25">
      <c r="A3907" s="108">
        <v>46161</v>
      </c>
      <c r="B3907" s="152">
        <v>47</v>
      </c>
      <c r="C3907" s="108" t="s">
        <v>19</v>
      </c>
      <c r="D3907" s="110" t="str">
        <f>IF(ISBLANK($B3907),"",IFERROR(VLOOKUP($B3907,ESTOQUE!$B$2:$D$97168,3,FALSE),"Produto não cadastrado"))</f>
        <v>CALÇA CINZA OP. C/ FAIXA REFLETIVA TAM: GG</v>
      </c>
      <c r="E3907" s="99" t="str">
        <f>_xlfn.XLOOKUP(B3907,ESTOQUE!B:B,ESTOQUE!G:G,"",0)</f>
        <v>UND</v>
      </c>
      <c r="F3907" s="152">
        <v>1</v>
      </c>
    </row>
    <row r="3908" spans="1:6" x14ac:dyDescent="0.25">
      <c r="A3908" s="108">
        <v>46161</v>
      </c>
      <c r="B3908" s="152">
        <v>48</v>
      </c>
      <c r="C3908" s="108" t="s">
        <v>19</v>
      </c>
      <c r="D3908" s="110" t="str">
        <f>IF(ISBLANK($B3908),"",IFERROR(VLOOKUP($B3908,ESTOQUE!$B$2:$D$97168,3,FALSE),"Produto não cadastrado"))</f>
        <v>CALÇA CINZA OP. C/ FAIXA REFLETIVA TAM: M</v>
      </c>
      <c r="E3908" s="99" t="str">
        <f>_xlfn.XLOOKUP(B3908,ESTOQUE!B:B,ESTOQUE!G:G,"",0)</f>
        <v>UND</v>
      </c>
      <c r="F3908" s="152">
        <v>11</v>
      </c>
    </row>
    <row r="3909" spans="1:6" x14ac:dyDescent="0.25">
      <c r="A3909" s="108">
        <v>46161</v>
      </c>
      <c r="B3909" s="152">
        <v>49</v>
      </c>
      <c r="C3909" s="108" t="s">
        <v>19</v>
      </c>
      <c r="D3909" s="110" t="str">
        <f>IF(ISBLANK($B3909),"",IFERROR(VLOOKUP($B3909,ESTOQUE!$B$2:$D$97168,3,FALSE),"Produto não cadastrado"))</f>
        <v>CALÇA CINZA OP. C/ FAIXA REFLETIVA TAM: P</v>
      </c>
      <c r="E3909" s="99" t="str">
        <f>_xlfn.XLOOKUP(B3909,ESTOQUE!B:B,ESTOQUE!G:G,"",0)</f>
        <v>UND</v>
      </c>
      <c r="F3909" s="152">
        <v>2</v>
      </c>
    </row>
    <row r="3910" spans="1:6" x14ac:dyDescent="0.25">
      <c r="A3910" s="108">
        <v>46161</v>
      </c>
      <c r="B3910" s="152">
        <v>199</v>
      </c>
      <c r="C3910" s="108" t="s">
        <v>19</v>
      </c>
      <c r="D3910" s="110" t="str">
        <f>IF(ISBLANK($B3910),"",IFERROR(VLOOKUP($B3910,ESTOQUE!$B$2:$D$97168,3,FALSE),"Produto não cadastrado"))</f>
        <v>CAMISA LARANJA OP. C/ FAIXA REFLETIVA TAM: EXG</v>
      </c>
      <c r="E3910" s="99" t="str">
        <f>_xlfn.XLOOKUP(B3910,ESTOQUE!B:B,ESTOQUE!G:G,"",0)</f>
        <v>UND</v>
      </c>
      <c r="F3910" s="152">
        <v>2</v>
      </c>
    </row>
    <row r="3911" spans="1:6" x14ac:dyDescent="0.25">
      <c r="A3911" s="108">
        <v>46161</v>
      </c>
      <c r="B3911" s="152">
        <v>67</v>
      </c>
      <c r="C3911" s="108" t="s">
        <v>19</v>
      </c>
      <c r="D3911" s="110" t="str">
        <f>IF(ISBLANK($B3911),"",IFERROR(VLOOKUP($B3911,ESTOQUE!$B$2:$D$97168,3,FALSE),"Produto não cadastrado"))</f>
        <v>CAMISA LARANJA OP. C/ FAIXA REFLETIVA TAM: G</v>
      </c>
      <c r="E3911" s="99" t="str">
        <f>_xlfn.XLOOKUP(B3911,ESTOQUE!B:B,ESTOQUE!G:G,"",0)</f>
        <v>UND</v>
      </c>
      <c r="F3911" s="152">
        <v>3</v>
      </c>
    </row>
    <row r="3912" spans="1:6" x14ac:dyDescent="0.25">
      <c r="A3912" s="108">
        <v>46161</v>
      </c>
      <c r="B3912" s="152">
        <v>69</v>
      </c>
      <c r="C3912" s="108" t="s">
        <v>19</v>
      </c>
      <c r="D3912" s="110" t="str">
        <f>IF(ISBLANK($B3912),"",IFERROR(VLOOKUP($B3912,ESTOQUE!$B$2:$D$97168,3,FALSE),"Produto não cadastrado"))</f>
        <v>CAMISA LARANJA OP. C/ FAIXA REFLETIVA TAM: M</v>
      </c>
      <c r="E3912" s="99" t="str">
        <f>_xlfn.XLOOKUP(B3912,ESTOQUE!B:B,ESTOQUE!G:G,"",0)</f>
        <v>UND</v>
      </c>
      <c r="F3912" s="152">
        <v>3</v>
      </c>
    </row>
    <row r="3913" spans="1:6" x14ac:dyDescent="0.25">
      <c r="A3913" s="108">
        <v>46161</v>
      </c>
      <c r="B3913" s="152">
        <v>70</v>
      </c>
      <c r="C3913" s="108" t="s">
        <v>19</v>
      </c>
      <c r="D3913" s="110" t="str">
        <f>IF(ISBLANK($B3913),"",IFERROR(VLOOKUP($B3913,ESTOQUE!$B$2:$D$97168,3,FALSE),"Produto não cadastrado"))</f>
        <v>CAMISA LARANJA OP. C/ FAIXA REFLETIVA TAM: P</v>
      </c>
      <c r="E3913" s="99" t="str">
        <f>_xlfn.XLOOKUP(B3913,ESTOQUE!B:B,ESTOQUE!G:G,"",0)</f>
        <v>UND</v>
      </c>
      <c r="F3913" s="152">
        <v>1</v>
      </c>
    </row>
    <row r="3914" spans="1:6" x14ac:dyDescent="0.25">
      <c r="A3914" s="108">
        <v>46161</v>
      </c>
      <c r="B3914" s="152">
        <v>94</v>
      </c>
      <c r="C3914" s="108" t="s">
        <v>19</v>
      </c>
      <c r="D3914" s="110" t="str">
        <f>IF(ISBLANK($B3914),"",IFERROR(VLOOKUP($B3914,ESTOQUE!$B$2:$D$97168,3,FALSE),"Produto não cadastrado"))</f>
        <v>CARNEIRA P/ CAPACETE CAMPER</v>
      </c>
      <c r="E3914" s="99" t="str">
        <f>_xlfn.XLOOKUP(B3914,ESTOQUE!B:B,ESTOQUE!G:G,"",0)</f>
        <v>UND</v>
      </c>
      <c r="F3914" s="152">
        <v>1</v>
      </c>
    </row>
    <row r="3915" spans="1:6" x14ac:dyDescent="0.25">
      <c r="A3915" s="108">
        <v>46161</v>
      </c>
      <c r="B3915" s="152">
        <v>161</v>
      </c>
      <c r="C3915" s="108" t="s">
        <v>19</v>
      </c>
      <c r="D3915" s="110" t="str">
        <f>IF(ISBLANK($B3915),"",IFERROR(VLOOKUP($B3915,ESTOQUE!$B$2:$D$97168,3,FALSE),"Produto não cadastrado"))</f>
        <v>JUGULAR</v>
      </c>
      <c r="E3915" s="99" t="str">
        <f>_xlfn.XLOOKUP(B3915,ESTOQUE!B:B,ESTOQUE!G:G,"",0)</f>
        <v>UND</v>
      </c>
      <c r="F3915" s="152">
        <v>1</v>
      </c>
    </row>
    <row r="3916" spans="1:6" x14ac:dyDescent="0.25">
      <c r="A3916" s="108">
        <v>46161</v>
      </c>
      <c r="B3916" s="152">
        <v>141</v>
      </c>
      <c r="C3916" s="108" t="s">
        <v>19</v>
      </c>
      <c r="D3916" s="110" t="str">
        <f>IF(ISBLANK($B3916),"",IFERROR(VLOOKUP($B3916,ESTOQUE!$B$2:$D$97168,3,FALSE),"Produto não cadastrado"))</f>
        <v xml:space="preserve">LUVA DE VAQUETA </v>
      </c>
      <c r="E3916" s="99" t="str">
        <f>_xlfn.XLOOKUP(B3916,ESTOQUE!B:B,ESTOQUE!G:G,"",0)</f>
        <v>PAR</v>
      </c>
      <c r="F3916" s="152">
        <v>1</v>
      </c>
    </row>
    <row r="3917" spans="1:6" x14ac:dyDescent="0.25">
      <c r="A3917" s="108">
        <v>46161</v>
      </c>
      <c r="B3917" s="152">
        <v>117</v>
      </c>
      <c r="C3917" s="108" t="s">
        <v>19</v>
      </c>
      <c r="D3917" s="110" t="str">
        <f>IF(ISBLANK($B3917),"",IFERROR(VLOOKUP($B3917,ESTOQUE!$B$2:$D$97168,3,FALSE),"Produto não cadastrado"))</f>
        <v>LUVA PIGMENTADA</v>
      </c>
      <c r="E3917" s="99" t="str">
        <f>_xlfn.XLOOKUP(B3917,ESTOQUE!B:B,ESTOQUE!G:G,"",0)</f>
        <v>PAR</v>
      </c>
      <c r="F3917" s="152">
        <v>1</v>
      </c>
    </row>
    <row r="3918" spans="1:6" x14ac:dyDescent="0.25">
      <c r="A3918" s="108">
        <v>46161</v>
      </c>
      <c r="B3918" s="152">
        <v>267</v>
      </c>
      <c r="C3918" s="108" t="s">
        <v>19</v>
      </c>
      <c r="D3918" s="110" t="str">
        <f>IF(ISBLANK($B3918),"",IFERROR(VLOOKUP($B3918,ESTOQUE!$B$2:$D$97168,3,FALSE),"Produto não cadastrado"))</f>
        <v>LUVA POLIESTER ANTICORTE CANO LONGO</v>
      </c>
      <c r="E3918" s="99" t="str">
        <f>_xlfn.XLOOKUP(B3918,ESTOQUE!B:B,ESTOQUE!G:G,"",0)</f>
        <v>UND</v>
      </c>
      <c r="F3918" s="152">
        <v>1</v>
      </c>
    </row>
    <row r="3919" spans="1:6" x14ac:dyDescent="0.25">
      <c r="A3919" s="108">
        <v>46161</v>
      </c>
      <c r="B3919" s="152">
        <v>118</v>
      </c>
      <c r="C3919" s="108" t="s">
        <v>19</v>
      </c>
      <c r="D3919" s="110" t="str">
        <f>IF(ISBLANK($B3919),"",IFERROR(VLOOKUP($B3919,ESTOQUE!$B$2:$D$97168,3,FALSE),"Produto não cadastrado"))</f>
        <v>MACACÃO DE PROTEÇÃO TYVEK</v>
      </c>
      <c r="E3919" s="99" t="str">
        <f>_xlfn.XLOOKUP(B3919,ESTOQUE!B:B,ESTOQUE!G:G,"",0)</f>
        <v>UND</v>
      </c>
      <c r="F3919" s="152">
        <v>1</v>
      </c>
    </row>
    <row r="3920" spans="1:6" x14ac:dyDescent="0.25">
      <c r="A3920" s="108">
        <v>46161</v>
      </c>
      <c r="B3920" s="152">
        <v>126</v>
      </c>
      <c r="C3920" s="108" t="s">
        <v>19</v>
      </c>
      <c r="D3920" s="110" t="str">
        <f>IF(ISBLANK($B3920),"",IFERROR(VLOOKUP($B3920,ESTOQUE!$B$2:$D$97168,3,FALSE),"Produto não cadastrado"))</f>
        <v>OCULOS DE PROTEÇÃO ESCURO</v>
      </c>
      <c r="E3920" s="99" t="str">
        <f>_xlfn.XLOOKUP(B3920,ESTOQUE!B:B,ESTOQUE!G:G,"",0)</f>
        <v>UND</v>
      </c>
      <c r="F3920" s="152">
        <v>4</v>
      </c>
    </row>
    <row r="3921" spans="1:6" x14ac:dyDescent="0.25">
      <c r="A3921" s="108">
        <v>46161</v>
      </c>
      <c r="B3921" s="152">
        <v>124</v>
      </c>
      <c r="C3921" s="108" t="s">
        <v>19</v>
      </c>
      <c r="D3921" s="110" t="str">
        <f>IF(ISBLANK($B3921),"",IFERROR(VLOOKUP($B3921,ESTOQUE!$B$2:$D$97168,3,FALSE),"Produto não cadastrado"))</f>
        <v xml:space="preserve">OCULOS DE PROTEÇÃO INCOLOR </v>
      </c>
      <c r="E3921" s="99" t="str">
        <f>_xlfn.XLOOKUP(B3921,ESTOQUE!B:B,ESTOQUE!G:G,"",0)</f>
        <v>UND</v>
      </c>
      <c r="F3921" s="152">
        <v>1</v>
      </c>
    </row>
    <row r="3922" spans="1:6" x14ac:dyDescent="0.25">
      <c r="A3922" s="108">
        <v>46161</v>
      </c>
      <c r="B3922" s="152">
        <v>225</v>
      </c>
      <c r="C3922" s="108" t="s">
        <v>19</v>
      </c>
      <c r="D3922" s="110" t="str">
        <f>IF(ISBLANK($B3922),"",IFERROR(VLOOKUP($B3922,ESTOQUE!$B$2:$D$97168,3,FALSE),"Produto não cadastrado"))</f>
        <v>OCULOS OPERACIONAL SOBRE POR INCOLOR</v>
      </c>
      <c r="E3922" s="99" t="str">
        <f>_xlfn.XLOOKUP(B3922,ESTOQUE!B:B,ESTOQUE!G:G,"",0)</f>
        <v>UND</v>
      </c>
      <c r="F3922" s="152">
        <v>1</v>
      </c>
    </row>
    <row r="3923" spans="1:6" x14ac:dyDescent="0.25">
      <c r="A3923" s="108">
        <v>46163</v>
      </c>
      <c r="B3923" s="152">
        <v>228</v>
      </c>
      <c r="C3923" s="108" t="s">
        <v>19</v>
      </c>
      <c r="D3923" s="110" t="str">
        <f>IF(ISBLANK($B3923),"",IFERROR(VLOOKUP($B3923,ESTOQUE!$B$2:$D$97168,3,FALSE),"Produto não cadastrado"))</f>
        <v xml:space="preserve">BALACLAVA  </v>
      </c>
      <c r="E3923" s="99" t="str">
        <f>_xlfn.XLOOKUP(B3923,ESTOQUE!B:B,ESTOQUE!G:G,"",0)</f>
        <v>UND</v>
      </c>
      <c r="F3923" s="152">
        <v>1</v>
      </c>
    </row>
    <row r="3924" spans="1:6" x14ac:dyDescent="0.25">
      <c r="A3924" s="108">
        <v>46163</v>
      </c>
      <c r="B3924" s="152">
        <v>216</v>
      </c>
      <c r="C3924" s="108" t="s">
        <v>19</v>
      </c>
      <c r="D3924" s="110" t="str">
        <f>IF(ISBLANK($B3924),"",IFERROR(VLOOKUP($B3924,ESTOQUE!$B$2:$D$97168,3,FALSE),"Produto não cadastrado"))</f>
        <v>BOTINA SEGURANÇA METATARSO  39</v>
      </c>
      <c r="E3924" s="99" t="str">
        <f>_xlfn.XLOOKUP(B3924,ESTOQUE!B:B,ESTOQUE!G:G,"",0)</f>
        <v>PAR</v>
      </c>
      <c r="F3924" s="152">
        <v>1</v>
      </c>
    </row>
    <row r="3925" spans="1:6" x14ac:dyDescent="0.25">
      <c r="A3925" s="108">
        <v>46163</v>
      </c>
      <c r="B3925" s="152">
        <v>219</v>
      </c>
      <c r="C3925" s="108" t="s">
        <v>19</v>
      </c>
      <c r="D3925" s="110" t="str">
        <f>IF(ISBLANK($B3925),"",IFERROR(VLOOKUP($B3925,ESTOQUE!$B$2:$D$97168,3,FALSE),"Produto não cadastrado"))</f>
        <v>BOTINA SEGURANÇA METATARSO  42</v>
      </c>
      <c r="E3925" s="99" t="str">
        <f>_xlfn.XLOOKUP(B3925,ESTOQUE!B:B,ESTOQUE!G:G,"",0)</f>
        <v>PAR</v>
      </c>
      <c r="F3925" s="152">
        <v>2</v>
      </c>
    </row>
    <row r="3926" spans="1:6" x14ac:dyDescent="0.25">
      <c r="A3926" s="108">
        <v>46163</v>
      </c>
      <c r="B3926" s="152">
        <v>46</v>
      </c>
      <c r="C3926" s="108" t="s">
        <v>19</v>
      </c>
      <c r="D3926" s="110" t="str">
        <f>IF(ISBLANK($B3926),"",IFERROR(VLOOKUP($B3926,ESTOQUE!$B$2:$D$97168,3,FALSE),"Produto não cadastrado"))</f>
        <v>CALÇA CINZA OP. C/ FAIXA REFLETIVA TAM: G</v>
      </c>
      <c r="E3926" s="99" t="str">
        <f>_xlfn.XLOOKUP(B3926,ESTOQUE!B:B,ESTOQUE!G:G,"",0)</f>
        <v>UND</v>
      </c>
      <c r="F3926" s="152">
        <v>6</v>
      </c>
    </row>
    <row r="3927" spans="1:6" x14ac:dyDescent="0.25">
      <c r="A3927" s="108">
        <v>46163</v>
      </c>
      <c r="B3927" s="152">
        <v>47</v>
      </c>
      <c r="C3927" s="108" t="s">
        <v>19</v>
      </c>
      <c r="D3927" s="110" t="str">
        <f>IF(ISBLANK($B3927),"",IFERROR(VLOOKUP($B3927,ESTOQUE!$B$2:$D$97168,3,FALSE),"Produto não cadastrado"))</f>
        <v>CALÇA CINZA OP. C/ FAIXA REFLETIVA TAM: GG</v>
      </c>
      <c r="E3927" s="99" t="str">
        <f>_xlfn.XLOOKUP(B3927,ESTOQUE!B:B,ESTOQUE!G:G,"",0)</f>
        <v>UND</v>
      </c>
      <c r="F3927" s="152">
        <v>3</v>
      </c>
    </row>
    <row r="3928" spans="1:6" x14ac:dyDescent="0.25">
      <c r="A3928" s="108">
        <v>46163</v>
      </c>
      <c r="B3928" s="152">
        <v>48</v>
      </c>
      <c r="C3928" s="108" t="s">
        <v>19</v>
      </c>
      <c r="D3928" s="110" t="str">
        <f>IF(ISBLANK($B3928),"",IFERROR(VLOOKUP($B3928,ESTOQUE!$B$2:$D$97168,3,FALSE),"Produto não cadastrado"))</f>
        <v>CALÇA CINZA OP. C/ FAIXA REFLETIVA TAM: M</v>
      </c>
      <c r="E3928" s="99" t="str">
        <f>_xlfn.XLOOKUP(B3928,ESTOQUE!B:B,ESTOQUE!G:G,"",0)</f>
        <v>UND</v>
      </c>
      <c r="F3928" s="152">
        <v>1</v>
      </c>
    </row>
    <row r="3929" spans="1:6" x14ac:dyDescent="0.25">
      <c r="A3929" s="108">
        <v>46163</v>
      </c>
      <c r="B3929" s="152">
        <v>49</v>
      </c>
      <c r="C3929" s="108" t="s">
        <v>19</v>
      </c>
      <c r="D3929" s="110" t="str">
        <f>IF(ISBLANK($B3929),"",IFERROR(VLOOKUP($B3929,ESTOQUE!$B$2:$D$97168,3,FALSE),"Produto não cadastrado"))</f>
        <v>CALÇA CINZA OP. C/ FAIXA REFLETIVA TAM: P</v>
      </c>
      <c r="E3929" s="99" t="str">
        <f>_xlfn.XLOOKUP(B3929,ESTOQUE!B:B,ESTOQUE!G:G,"",0)</f>
        <v>UND</v>
      </c>
      <c r="F3929" s="152">
        <v>5</v>
      </c>
    </row>
    <row r="3930" spans="1:6" x14ac:dyDescent="0.25">
      <c r="A3930" s="108">
        <v>46163</v>
      </c>
      <c r="B3930" s="152">
        <v>67</v>
      </c>
      <c r="C3930" s="108" t="s">
        <v>19</v>
      </c>
      <c r="D3930" s="110" t="str">
        <f>IF(ISBLANK($B3930),"",IFERROR(VLOOKUP($B3930,ESTOQUE!$B$2:$D$97168,3,FALSE),"Produto não cadastrado"))</f>
        <v>CAMISA LARANJA OP. C/ FAIXA REFLETIVA TAM: G</v>
      </c>
      <c r="E3930" s="99" t="str">
        <f>_xlfn.XLOOKUP(B3930,ESTOQUE!B:B,ESTOQUE!G:G,"",0)</f>
        <v>UND</v>
      </c>
      <c r="F3930" s="152">
        <v>5</v>
      </c>
    </row>
    <row r="3931" spans="1:6" x14ac:dyDescent="0.25">
      <c r="A3931" s="108">
        <v>46163</v>
      </c>
      <c r="B3931" s="152">
        <v>68</v>
      </c>
      <c r="C3931" s="108" t="s">
        <v>19</v>
      </c>
      <c r="D3931" s="110" t="str">
        <f>IF(ISBLANK($B3931),"",IFERROR(VLOOKUP($B3931,ESTOQUE!$B$2:$D$97168,3,FALSE),"Produto não cadastrado"))</f>
        <v>CAMISA LARANJA OP. C/ FAIXA REFLETIVA TAM: GG</v>
      </c>
      <c r="E3931" s="99" t="str">
        <f>_xlfn.XLOOKUP(B3931,ESTOQUE!B:B,ESTOQUE!G:G,"",0)</f>
        <v>UND</v>
      </c>
      <c r="F3931" s="152">
        <v>2</v>
      </c>
    </row>
    <row r="3932" spans="1:6" x14ac:dyDescent="0.25">
      <c r="A3932" s="108">
        <v>46163</v>
      </c>
      <c r="B3932" s="152">
        <v>69</v>
      </c>
      <c r="C3932" s="108" t="s">
        <v>19</v>
      </c>
      <c r="D3932" s="110" t="str">
        <f>IF(ISBLANK($B3932),"",IFERROR(VLOOKUP($B3932,ESTOQUE!$B$2:$D$97168,3,FALSE),"Produto não cadastrado"))</f>
        <v>CAMISA LARANJA OP. C/ FAIXA REFLETIVA TAM: M</v>
      </c>
      <c r="E3932" s="99" t="str">
        <f>_xlfn.XLOOKUP(B3932,ESTOQUE!B:B,ESTOQUE!G:G,"",0)</f>
        <v>UND</v>
      </c>
      <c r="F3932" s="152">
        <v>0</v>
      </c>
    </row>
    <row r="3933" spans="1:6" x14ac:dyDescent="0.25">
      <c r="A3933" s="108">
        <v>46163</v>
      </c>
      <c r="B3933" s="152">
        <v>70</v>
      </c>
      <c r="C3933" s="108" t="s">
        <v>19</v>
      </c>
      <c r="D3933" s="110" t="str">
        <f>IF(ISBLANK($B3933),"",IFERROR(VLOOKUP($B3933,ESTOQUE!$B$2:$D$97168,3,FALSE),"Produto não cadastrado"))</f>
        <v>CAMISA LARANJA OP. C/ FAIXA REFLETIVA TAM: P</v>
      </c>
      <c r="E3933" s="99" t="str">
        <f>_xlfn.XLOOKUP(B3933,ESTOQUE!B:B,ESTOQUE!G:G,"",0)</f>
        <v>UND</v>
      </c>
      <c r="F3933" s="152">
        <v>1</v>
      </c>
    </row>
    <row r="3934" spans="1:6" x14ac:dyDescent="0.25">
      <c r="A3934" s="108">
        <v>46163</v>
      </c>
      <c r="B3934" s="152">
        <v>141</v>
      </c>
      <c r="C3934" s="108" t="s">
        <v>19</v>
      </c>
      <c r="D3934" s="110" t="str">
        <f>IF(ISBLANK($B3934),"",IFERROR(VLOOKUP($B3934,ESTOQUE!$B$2:$D$97168,3,FALSE),"Produto não cadastrado"))</f>
        <v xml:space="preserve">LUVA DE VAQUETA </v>
      </c>
      <c r="E3934" s="99" t="str">
        <f>_xlfn.XLOOKUP(B3934,ESTOQUE!B:B,ESTOQUE!G:G,"",0)</f>
        <v>PAR</v>
      </c>
      <c r="F3934" s="152">
        <v>2</v>
      </c>
    </row>
    <row r="3935" spans="1:6" x14ac:dyDescent="0.25">
      <c r="A3935" s="108">
        <v>46163</v>
      </c>
      <c r="B3935" s="152">
        <v>117</v>
      </c>
      <c r="C3935" s="108" t="s">
        <v>19</v>
      </c>
      <c r="D3935" s="110" t="str">
        <f>IF(ISBLANK($B3935),"",IFERROR(VLOOKUP($B3935,ESTOQUE!$B$2:$D$97168,3,FALSE),"Produto não cadastrado"))</f>
        <v>LUVA PIGMENTADA</v>
      </c>
      <c r="E3935" s="99" t="str">
        <f>_xlfn.XLOOKUP(B3935,ESTOQUE!B:B,ESTOQUE!G:G,"",0)</f>
        <v>PAR</v>
      </c>
      <c r="F3935" s="152">
        <v>5</v>
      </c>
    </row>
    <row r="3936" spans="1:6" x14ac:dyDescent="0.25">
      <c r="A3936" s="108">
        <v>46163</v>
      </c>
      <c r="B3936" s="152">
        <v>267</v>
      </c>
      <c r="C3936" s="108" t="s">
        <v>19</v>
      </c>
      <c r="D3936" s="110" t="str">
        <f>IF(ISBLANK($B3936),"",IFERROR(VLOOKUP($B3936,ESTOQUE!$B$2:$D$97168,3,FALSE),"Produto não cadastrado"))</f>
        <v>LUVA POLIESTER ANTICORTE CANO LONGO</v>
      </c>
      <c r="E3936" s="99" t="str">
        <f>_xlfn.XLOOKUP(B3936,ESTOQUE!B:B,ESTOQUE!G:G,"",0)</f>
        <v>UND</v>
      </c>
      <c r="F3936" s="152">
        <v>1</v>
      </c>
    </row>
    <row r="3937" spans="1:6" x14ac:dyDescent="0.25">
      <c r="A3937" s="108">
        <v>46163</v>
      </c>
      <c r="B3937" s="152">
        <v>118</v>
      </c>
      <c r="C3937" s="108" t="s">
        <v>19</v>
      </c>
      <c r="D3937" s="110" t="str">
        <f>IF(ISBLANK($B3937),"",IFERROR(VLOOKUP($B3937,ESTOQUE!$B$2:$D$97168,3,FALSE),"Produto não cadastrado"))</f>
        <v>MACACÃO DE PROTEÇÃO TYVEK</v>
      </c>
      <c r="E3937" s="99" t="str">
        <f>_xlfn.XLOOKUP(B3937,ESTOQUE!B:B,ESTOQUE!G:G,"",0)</f>
        <v>UND</v>
      </c>
      <c r="F3937" s="152">
        <v>29</v>
      </c>
    </row>
    <row r="3938" spans="1:6" x14ac:dyDescent="0.25">
      <c r="A3938" s="108">
        <v>46163</v>
      </c>
      <c r="B3938" s="152">
        <v>144</v>
      </c>
      <c r="C3938" s="108" t="s">
        <v>19</v>
      </c>
      <c r="D3938" s="110" t="str">
        <f>IF(ISBLANK($B3938),"",IFERROR(VLOOKUP($B3938,ESTOQUE!$B$2:$D$97168,3,FALSE),"Produto não cadastrado"))</f>
        <v>MASCARA PFF2-S C/ FILTRO</v>
      </c>
      <c r="E3938" s="99" t="str">
        <f>_xlfn.XLOOKUP(B3938,ESTOQUE!B:B,ESTOQUE!G:G,"",0)</f>
        <v>UND</v>
      </c>
      <c r="F3938" s="152">
        <v>400</v>
      </c>
    </row>
    <row r="3939" spans="1:6" x14ac:dyDescent="0.25">
      <c r="A3939" s="108">
        <v>46163</v>
      </c>
      <c r="B3939" s="152">
        <v>126</v>
      </c>
      <c r="C3939" s="108" t="s">
        <v>19</v>
      </c>
      <c r="D3939" s="110" t="str">
        <f>IF(ISBLANK($B3939),"",IFERROR(VLOOKUP($B3939,ESTOQUE!$B$2:$D$97168,3,FALSE),"Produto não cadastrado"))</f>
        <v>OCULOS DE PROTEÇÃO ESCURO</v>
      </c>
      <c r="E3939" s="99" t="str">
        <f>_xlfn.XLOOKUP(B3939,ESTOQUE!B:B,ESTOQUE!G:G,"",0)</f>
        <v>UND</v>
      </c>
      <c r="F3939" s="152">
        <v>125</v>
      </c>
    </row>
    <row r="3940" spans="1:6" x14ac:dyDescent="0.25">
      <c r="A3940" s="108">
        <v>46163</v>
      </c>
      <c r="B3940" s="152">
        <v>124</v>
      </c>
      <c r="C3940" s="108" t="s">
        <v>19</v>
      </c>
      <c r="D3940" s="110" t="str">
        <f>IF(ISBLANK($B3940),"",IFERROR(VLOOKUP($B3940,ESTOQUE!$B$2:$D$97168,3,FALSE),"Produto não cadastrado"))</f>
        <v xml:space="preserve">OCULOS DE PROTEÇÃO INCOLOR </v>
      </c>
      <c r="E3940" s="99" t="str">
        <f>_xlfn.XLOOKUP(B3940,ESTOQUE!B:B,ESTOQUE!G:G,"",0)</f>
        <v>UND</v>
      </c>
      <c r="F3940" s="152">
        <v>1</v>
      </c>
    </row>
    <row r="3941" spans="1:6" x14ac:dyDescent="0.25">
      <c r="A3941" s="108">
        <v>46164</v>
      </c>
      <c r="B3941" s="152">
        <v>228</v>
      </c>
      <c r="C3941" s="108" t="s">
        <v>19</v>
      </c>
      <c r="D3941" s="110" t="str">
        <f>IF(ISBLANK($B3941),"",IFERROR(VLOOKUP($B3941,ESTOQUE!$B$2:$D$97168,3,FALSE),"Produto não cadastrado"))</f>
        <v xml:space="preserve">BALACLAVA  </v>
      </c>
      <c r="E3941" s="99" t="str">
        <f>_xlfn.XLOOKUP(B3941,ESTOQUE!B:B,ESTOQUE!G:G,"",0)</f>
        <v>UND</v>
      </c>
      <c r="F3941" s="152">
        <v>8</v>
      </c>
    </row>
    <row r="3942" spans="1:6" x14ac:dyDescent="0.25">
      <c r="A3942" s="108">
        <v>46164</v>
      </c>
      <c r="B3942" s="152">
        <v>42</v>
      </c>
      <c r="C3942" s="108" t="s">
        <v>19</v>
      </c>
      <c r="D3942" s="110" t="str">
        <f>IF(ISBLANK($B3942),"",IFERROR(VLOOKUP($B3942,ESTOQUE!$B$2:$D$97168,3,FALSE),"Produto não cadastrado"))</f>
        <v>BOTINA OP. BICO PVC Nº 44</v>
      </c>
      <c r="E3942" s="99" t="str">
        <f>_xlfn.XLOOKUP(B3942,ESTOQUE!B:B,ESTOQUE!G:G,"",0)</f>
        <v>PAR</v>
      </c>
      <c r="F3942" s="152">
        <v>1</v>
      </c>
    </row>
    <row r="3943" spans="1:6" x14ac:dyDescent="0.25">
      <c r="A3943" s="108">
        <v>46164</v>
      </c>
      <c r="B3943" s="152">
        <v>46</v>
      </c>
      <c r="C3943" s="108" t="s">
        <v>19</v>
      </c>
      <c r="D3943" s="110" t="str">
        <f>IF(ISBLANK($B3943),"",IFERROR(VLOOKUP($B3943,ESTOQUE!$B$2:$D$97168,3,FALSE),"Produto não cadastrado"))</f>
        <v>CALÇA CINZA OP. C/ FAIXA REFLETIVA TAM: G</v>
      </c>
      <c r="E3943" s="99" t="str">
        <f>_xlfn.XLOOKUP(B3943,ESTOQUE!B:B,ESTOQUE!G:G,"",0)</f>
        <v>UND</v>
      </c>
      <c r="F3943" s="152">
        <v>4</v>
      </c>
    </row>
    <row r="3944" spans="1:6" x14ac:dyDescent="0.25">
      <c r="A3944" s="108">
        <v>46164</v>
      </c>
      <c r="B3944" s="152">
        <v>47</v>
      </c>
      <c r="C3944" s="108" t="s">
        <v>19</v>
      </c>
      <c r="D3944" s="110" t="str">
        <f>IF(ISBLANK($B3944),"",IFERROR(VLOOKUP($B3944,ESTOQUE!$B$2:$D$97168,3,FALSE),"Produto não cadastrado"))</f>
        <v>CALÇA CINZA OP. C/ FAIXA REFLETIVA TAM: GG</v>
      </c>
      <c r="E3944" s="99" t="str">
        <f>_xlfn.XLOOKUP(B3944,ESTOQUE!B:B,ESTOQUE!G:G,"",0)</f>
        <v>UND</v>
      </c>
      <c r="F3944" s="152">
        <v>4</v>
      </c>
    </row>
    <row r="3945" spans="1:6" x14ac:dyDescent="0.25">
      <c r="A3945" s="108">
        <v>46164</v>
      </c>
      <c r="B3945" s="152">
        <v>48</v>
      </c>
      <c r="C3945" s="108" t="s">
        <v>19</v>
      </c>
      <c r="D3945" s="110" t="str">
        <f>IF(ISBLANK($B3945),"",IFERROR(VLOOKUP($B3945,ESTOQUE!$B$2:$D$97168,3,FALSE),"Produto não cadastrado"))</f>
        <v>CALÇA CINZA OP. C/ FAIXA REFLETIVA TAM: M</v>
      </c>
      <c r="E3945" s="99" t="str">
        <f>_xlfn.XLOOKUP(B3945,ESTOQUE!B:B,ESTOQUE!G:G,"",0)</f>
        <v>UND</v>
      </c>
      <c r="F3945" s="152">
        <v>2</v>
      </c>
    </row>
    <row r="3946" spans="1:6" x14ac:dyDescent="0.25">
      <c r="A3946" s="108">
        <v>46164</v>
      </c>
      <c r="B3946" s="152">
        <v>49</v>
      </c>
      <c r="C3946" s="108" t="s">
        <v>19</v>
      </c>
      <c r="D3946" s="110" t="str">
        <f>IF(ISBLANK($B3946),"",IFERROR(VLOOKUP($B3946,ESTOQUE!$B$2:$D$97168,3,FALSE),"Produto não cadastrado"))</f>
        <v>CALÇA CINZA OP. C/ FAIXA REFLETIVA TAM: P</v>
      </c>
      <c r="E3946" s="99" t="str">
        <f>_xlfn.XLOOKUP(B3946,ESTOQUE!B:B,ESTOQUE!G:G,"",0)</f>
        <v>UND</v>
      </c>
      <c r="F3946" s="152">
        <v>8</v>
      </c>
    </row>
    <row r="3947" spans="1:6" x14ac:dyDescent="0.25">
      <c r="A3947" s="108">
        <v>46164</v>
      </c>
      <c r="B3947" s="152">
        <v>53</v>
      </c>
      <c r="C3947" s="108" t="s">
        <v>19</v>
      </c>
      <c r="D3947" s="110" t="str">
        <f>IF(ISBLANK($B3947),"",IFERROR(VLOOKUP($B3947,ESTOQUE!$B$2:$D$97168,3,FALSE),"Produto não cadastrado"))</f>
        <v>CALÇA DE ELETRICISTA NR.10 TAM: P</v>
      </c>
      <c r="E3947" s="99" t="str">
        <f>_xlfn.XLOOKUP(B3947,ESTOQUE!B:B,ESTOQUE!G:G,"",0)</f>
        <v>UND</v>
      </c>
      <c r="F3947" s="152">
        <v>1</v>
      </c>
    </row>
    <row r="3948" spans="1:6" x14ac:dyDescent="0.25">
      <c r="A3948" s="108">
        <v>46164</v>
      </c>
      <c r="B3948" s="152">
        <v>65</v>
      </c>
      <c r="C3948" s="108" t="s">
        <v>19</v>
      </c>
      <c r="D3948" s="110" t="str">
        <f>IF(ISBLANK($B3948),"",IFERROR(VLOOKUP($B3948,ESTOQUE!$B$2:$D$97168,3,FALSE),"Produto não cadastrado"))</f>
        <v>CAMISA DE ELETRICISTA NR.10 TAM: P</v>
      </c>
      <c r="E3948" s="99" t="str">
        <f>_xlfn.XLOOKUP(B3948,ESTOQUE!B:B,ESTOQUE!G:G,"",0)</f>
        <v>UND</v>
      </c>
      <c r="F3948" s="152">
        <v>1</v>
      </c>
    </row>
    <row r="3949" spans="1:6" x14ac:dyDescent="0.25">
      <c r="A3949" s="108">
        <v>46164</v>
      </c>
      <c r="B3949" s="152">
        <v>67</v>
      </c>
      <c r="C3949" s="108" t="s">
        <v>19</v>
      </c>
      <c r="D3949" s="110" t="str">
        <f>IF(ISBLANK($B3949),"",IFERROR(VLOOKUP($B3949,ESTOQUE!$B$2:$D$97168,3,FALSE),"Produto não cadastrado"))</f>
        <v>CAMISA LARANJA OP. C/ FAIXA REFLETIVA TAM: G</v>
      </c>
      <c r="E3949" s="99" t="str">
        <f>_xlfn.XLOOKUP(B3949,ESTOQUE!B:B,ESTOQUE!G:G,"",0)</f>
        <v>UND</v>
      </c>
      <c r="F3949" s="152">
        <v>4</v>
      </c>
    </row>
    <row r="3950" spans="1:6" x14ac:dyDescent="0.25">
      <c r="A3950" s="108">
        <v>46164</v>
      </c>
      <c r="B3950" s="152">
        <v>68</v>
      </c>
      <c r="C3950" s="108" t="s">
        <v>19</v>
      </c>
      <c r="D3950" s="110" t="str">
        <f>IF(ISBLANK($B3950),"",IFERROR(VLOOKUP($B3950,ESTOQUE!$B$2:$D$97168,3,FALSE),"Produto não cadastrado"))</f>
        <v>CAMISA LARANJA OP. C/ FAIXA REFLETIVA TAM: GG</v>
      </c>
      <c r="E3950" s="99" t="str">
        <f>_xlfn.XLOOKUP(B3950,ESTOQUE!B:B,ESTOQUE!G:G,"",0)</f>
        <v>UND</v>
      </c>
      <c r="F3950" s="152">
        <v>2</v>
      </c>
    </row>
    <row r="3951" spans="1:6" x14ac:dyDescent="0.25">
      <c r="A3951" s="108">
        <v>46164</v>
      </c>
      <c r="B3951" s="152">
        <v>70</v>
      </c>
      <c r="C3951" s="108" t="s">
        <v>19</v>
      </c>
      <c r="D3951" s="110" t="str">
        <f>IF(ISBLANK($B3951),"",IFERROR(VLOOKUP($B3951,ESTOQUE!$B$2:$D$97168,3,FALSE),"Produto não cadastrado"))</f>
        <v>CAMISA LARANJA OP. C/ FAIXA REFLETIVA TAM: P</v>
      </c>
      <c r="E3951" s="99" t="str">
        <f>_xlfn.XLOOKUP(B3951,ESTOQUE!B:B,ESTOQUE!G:G,"",0)</f>
        <v>UND</v>
      </c>
      <c r="F3951" s="152">
        <v>5</v>
      </c>
    </row>
    <row r="3952" spans="1:6" x14ac:dyDescent="0.25">
      <c r="A3952" s="108">
        <v>46164</v>
      </c>
      <c r="B3952" s="152">
        <v>161</v>
      </c>
      <c r="C3952" s="108" t="s">
        <v>19</v>
      </c>
      <c r="D3952" s="110" t="str">
        <f>IF(ISBLANK($B3952),"",IFERROR(VLOOKUP($B3952,ESTOQUE!$B$2:$D$97168,3,FALSE),"Produto não cadastrado"))</f>
        <v>JUGULAR</v>
      </c>
      <c r="E3952" s="99" t="str">
        <f>_xlfn.XLOOKUP(B3952,ESTOQUE!B:B,ESTOQUE!G:G,"",0)</f>
        <v>UND</v>
      </c>
      <c r="F3952" s="152">
        <v>2</v>
      </c>
    </row>
    <row r="3953" spans="1:6" x14ac:dyDescent="0.25">
      <c r="A3953" s="108">
        <v>46164</v>
      </c>
      <c r="B3953" s="152">
        <v>141</v>
      </c>
      <c r="C3953" s="108" t="s">
        <v>19</v>
      </c>
      <c r="D3953" s="110" t="str">
        <f>IF(ISBLANK($B3953),"",IFERROR(VLOOKUP($B3953,ESTOQUE!$B$2:$D$97168,3,FALSE),"Produto não cadastrado"))</f>
        <v xml:space="preserve">LUVA DE VAQUETA </v>
      </c>
      <c r="E3953" s="99" t="str">
        <f>_xlfn.XLOOKUP(B3953,ESTOQUE!B:B,ESTOQUE!G:G,"",0)</f>
        <v>PAR</v>
      </c>
      <c r="F3953" s="152">
        <v>1</v>
      </c>
    </row>
    <row r="3954" spans="1:6" x14ac:dyDescent="0.25">
      <c r="A3954" s="108">
        <v>46164</v>
      </c>
      <c r="B3954" s="152">
        <v>114</v>
      </c>
      <c r="C3954" s="108" t="s">
        <v>19</v>
      </c>
      <c r="D3954" s="110" t="str">
        <f>IF(ISBLANK($B3954),"",IFERROR(VLOOKUP($B3954,ESTOQUE!$B$2:$D$97168,3,FALSE),"Produto não cadastrado"))</f>
        <v xml:space="preserve">LUVA LATEX NITRILICA </v>
      </c>
      <c r="E3954" s="99" t="str">
        <f>_xlfn.XLOOKUP(B3954,ESTOQUE!B:B,ESTOQUE!G:G,"",0)</f>
        <v>PAR</v>
      </c>
      <c r="F3954" s="152">
        <v>2</v>
      </c>
    </row>
    <row r="3955" spans="1:6" x14ac:dyDescent="0.25">
      <c r="A3955" s="108">
        <v>46164</v>
      </c>
      <c r="B3955" s="152">
        <v>267</v>
      </c>
      <c r="C3955" s="108" t="s">
        <v>19</v>
      </c>
      <c r="D3955" s="110" t="str">
        <f>IF(ISBLANK($B3955),"",IFERROR(VLOOKUP($B3955,ESTOQUE!$B$2:$D$97168,3,FALSE),"Produto não cadastrado"))</f>
        <v>LUVA POLIESTER ANTICORTE CANO LONGO</v>
      </c>
      <c r="E3955" s="99" t="str">
        <f>_xlfn.XLOOKUP(B3955,ESTOQUE!B:B,ESTOQUE!G:G,"",0)</f>
        <v>UND</v>
      </c>
      <c r="F3955" s="152">
        <v>1</v>
      </c>
    </row>
    <row r="3956" spans="1:6" x14ac:dyDescent="0.25">
      <c r="A3956" s="108">
        <v>46164</v>
      </c>
      <c r="B3956" s="152">
        <v>118</v>
      </c>
      <c r="C3956" s="108" t="s">
        <v>19</v>
      </c>
      <c r="D3956" s="110" t="str">
        <f>IF(ISBLANK($B3956),"",IFERROR(VLOOKUP($B3956,ESTOQUE!$B$2:$D$97168,3,FALSE),"Produto não cadastrado"))</f>
        <v>MACACÃO DE PROTEÇÃO TYVEK</v>
      </c>
      <c r="E3956" s="99" t="str">
        <f>_xlfn.XLOOKUP(B3956,ESTOQUE!B:B,ESTOQUE!G:G,"",0)</f>
        <v>UND</v>
      </c>
      <c r="F3956" s="152">
        <v>3</v>
      </c>
    </row>
    <row r="3957" spans="1:6" x14ac:dyDescent="0.25">
      <c r="A3957" s="108">
        <v>46164</v>
      </c>
      <c r="B3957" s="152">
        <v>144</v>
      </c>
      <c r="C3957" s="108" t="s">
        <v>19</v>
      </c>
      <c r="D3957" s="110" t="str">
        <f>IF(ISBLANK($B3957),"",IFERROR(VLOOKUP($B3957,ESTOQUE!$B$2:$D$97168,3,FALSE),"Produto não cadastrado"))</f>
        <v>MASCARA PFF2-S C/ FILTRO</v>
      </c>
      <c r="E3957" s="99" t="str">
        <f>_xlfn.XLOOKUP(B3957,ESTOQUE!B:B,ESTOQUE!G:G,"",0)</f>
        <v>UND</v>
      </c>
      <c r="F3957" s="152">
        <v>4</v>
      </c>
    </row>
    <row r="3958" spans="1:6" x14ac:dyDescent="0.25">
      <c r="A3958" s="108">
        <v>46164</v>
      </c>
      <c r="B3958" s="152">
        <v>126</v>
      </c>
      <c r="C3958" s="108" t="s">
        <v>19</v>
      </c>
      <c r="D3958" s="110" t="str">
        <f>IF(ISBLANK($B3958),"",IFERROR(VLOOKUP($B3958,ESTOQUE!$B$2:$D$97168,3,FALSE),"Produto não cadastrado"))</f>
        <v>OCULOS DE PROTEÇÃO ESCURO</v>
      </c>
      <c r="E3958" s="99" t="str">
        <f>_xlfn.XLOOKUP(B3958,ESTOQUE!B:B,ESTOQUE!G:G,"",0)</f>
        <v>UND</v>
      </c>
      <c r="F3958" s="152">
        <v>1</v>
      </c>
    </row>
    <row r="3959" spans="1:6" x14ac:dyDescent="0.25">
      <c r="A3959" s="108">
        <v>46165</v>
      </c>
      <c r="B3959" s="152">
        <v>228</v>
      </c>
      <c r="C3959" s="108" t="s">
        <v>19</v>
      </c>
      <c r="D3959" s="110" t="str">
        <f>IF(ISBLANK($B3959),"",IFERROR(VLOOKUP($B3959,ESTOQUE!$B$2:$D$97168,3,FALSE),"Produto não cadastrado"))</f>
        <v xml:space="preserve">BALACLAVA  </v>
      </c>
      <c r="E3959" s="99" t="str">
        <f>_xlfn.XLOOKUP(B3959,ESTOQUE!B:B,ESTOQUE!G:G,"",0)</f>
        <v>UND</v>
      </c>
      <c r="F3959" s="152">
        <v>2</v>
      </c>
    </row>
    <row r="3960" spans="1:6" x14ac:dyDescent="0.25">
      <c r="A3960" s="108">
        <v>46165</v>
      </c>
      <c r="B3960" s="152">
        <v>40</v>
      </c>
      <c r="C3960" s="108" t="s">
        <v>19</v>
      </c>
      <c r="D3960" s="110" t="str">
        <f>IF(ISBLANK($B3960),"",IFERROR(VLOOKUP($B3960,ESTOQUE!$B$2:$D$97168,3,FALSE),"Produto não cadastrado"))</f>
        <v>BOTINA OP. BICO PVC Nº 42</v>
      </c>
      <c r="E3960" s="99" t="str">
        <f>_xlfn.XLOOKUP(B3960,ESTOQUE!B:B,ESTOQUE!G:G,"",0)</f>
        <v>PAR</v>
      </c>
      <c r="F3960" s="152">
        <v>1</v>
      </c>
    </row>
    <row r="3961" spans="1:6" x14ac:dyDescent="0.25">
      <c r="A3961" s="108">
        <v>46165</v>
      </c>
      <c r="B3961" s="152">
        <v>41</v>
      </c>
      <c r="C3961" s="108" t="s">
        <v>19</v>
      </c>
      <c r="D3961" s="110" t="str">
        <f>IF(ISBLANK($B3961),"",IFERROR(VLOOKUP($B3961,ESTOQUE!$B$2:$D$97168,3,FALSE),"Produto não cadastrado"))</f>
        <v>BOTINA OP. BICO PVC Nº 43</v>
      </c>
      <c r="E3961" s="99" t="str">
        <f>_xlfn.XLOOKUP(B3961,ESTOQUE!B:B,ESTOQUE!G:G,"",0)</f>
        <v>PAR</v>
      </c>
      <c r="F3961" s="152">
        <v>1</v>
      </c>
    </row>
    <row r="3962" spans="1:6" x14ac:dyDescent="0.25">
      <c r="A3962" s="108">
        <v>46165</v>
      </c>
      <c r="B3962" s="152">
        <v>46</v>
      </c>
      <c r="C3962" s="108" t="s">
        <v>19</v>
      </c>
      <c r="D3962" s="110" t="str">
        <f>IF(ISBLANK($B3962),"",IFERROR(VLOOKUP($B3962,ESTOQUE!$B$2:$D$97168,3,FALSE),"Produto não cadastrado"))</f>
        <v>CALÇA CINZA OP. C/ FAIXA REFLETIVA TAM: G</v>
      </c>
      <c r="E3962" s="99" t="str">
        <f>_xlfn.XLOOKUP(B3962,ESTOQUE!B:B,ESTOQUE!G:G,"",0)</f>
        <v>UND</v>
      </c>
      <c r="F3962" s="152">
        <v>9</v>
      </c>
    </row>
    <row r="3963" spans="1:6" x14ac:dyDescent="0.25">
      <c r="A3963" s="108">
        <v>46165</v>
      </c>
      <c r="B3963" s="152">
        <v>47</v>
      </c>
      <c r="C3963" s="108" t="s">
        <v>19</v>
      </c>
      <c r="D3963" s="110" t="str">
        <f>IF(ISBLANK($B3963),"",IFERROR(VLOOKUP($B3963,ESTOQUE!$B$2:$D$97168,3,FALSE),"Produto não cadastrado"))</f>
        <v>CALÇA CINZA OP. C/ FAIXA REFLETIVA TAM: GG</v>
      </c>
      <c r="E3963" s="99" t="str">
        <f>_xlfn.XLOOKUP(B3963,ESTOQUE!B:B,ESTOQUE!G:G,"",0)</f>
        <v>UND</v>
      </c>
      <c r="F3963" s="152">
        <v>1</v>
      </c>
    </row>
    <row r="3964" spans="1:6" x14ac:dyDescent="0.25">
      <c r="A3964" s="108">
        <v>46165</v>
      </c>
      <c r="B3964" s="152">
        <v>48</v>
      </c>
      <c r="C3964" s="108" t="s">
        <v>19</v>
      </c>
      <c r="D3964" s="110" t="str">
        <f>IF(ISBLANK($B3964),"",IFERROR(VLOOKUP($B3964,ESTOQUE!$B$2:$D$97168,3,FALSE),"Produto não cadastrado"))</f>
        <v>CALÇA CINZA OP. C/ FAIXA REFLETIVA TAM: M</v>
      </c>
      <c r="E3964" s="99" t="str">
        <f>_xlfn.XLOOKUP(B3964,ESTOQUE!B:B,ESTOQUE!G:G,"",0)</f>
        <v>UND</v>
      </c>
      <c r="F3964" s="152">
        <v>6</v>
      </c>
    </row>
    <row r="3965" spans="1:6" x14ac:dyDescent="0.25">
      <c r="A3965" s="108">
        <v>46165</v>
      </c>
      <c r="B3965" s="152">
        <v>49</v>
      </c>
      <c r="C3965" s="108" t="s">
        <v>19</v>
      </c>
      <c r="D3965" s="110" t="str">
        <f>IF(ISBLANK($B3965),"",IFERROR(VLOOKUP($B3965,ESTOQUE!$B$2:$D$97168,3,FALSE),"Produto não cadastrado"))</f>
        <v>CALÇA CINZA OP. C/ FAIXA REFLETIVA TAM: P</v>
      </c>
      <c r="E3965" s="99" t="str">
        <f>_xlfn.XLOOKUP(B3965,ESTOQUE!B:B,ESTOQUE!G:G,"",0)</f>
        <v>UND</v>
      </c>
      <c r="F3965" s="152">
        <v>7</v>
      </c>
    </row>
    <row r="3966" spans="1:6" x14ac:dyDescent="0.25">
      <c r="A3966" s="108">
        <v>46165</v>
      </c>
      <c r="B3966" s="152">
        <v>67</v>
      </c>
      <c r="C3966" s="108" t="s">
        <v>19</v>
      </c>
      <c r="D3966" s="110" t="str">
        <f>IF(ISBLANK($B3966),"",IFERROR(VLOOKUP($B3966,ESTOQUE!$B$2:$D$97168,3,FALSE),"Produto não cadastrado"))</f>
        <v>CAMISA LARANJA OP. C/ FAIXA REFLETIVA TAM: G</v>
      </c>
      <c r="E3966" s="99" t="str">
        <f>_xlfn.XLOOKUP(B3966,ESTOQUE!B:B,ESTOQUE!G:G,"",0)</f>
        <v>UND</v>
      </c>
      <c r="F3966" s="152">
        <v>6</v>
      </c>
    </row>
    <row r="3967" spans="1:6" x14ac:dyDescent="0.25">
      <c r="A3967" s="108">
        <v>46165</v>
      </c>
      <c r="B3967" s="152">
        <v>68</v>
      </c>
      <c r="C3967" s="108" t="s">
        <v>19</v>
      </c>
      <c r="D3967" s="110" t="str">
        <f>IF(ISBLANK($B3967),"",IFERROR(VLOOKUP($B3967,ESTOQUE!$B$2:$D$97168,3,FALSE),"Produto não cadastrado"))</f>
        <v>CAMISA LARANJA OP. C/ FAIXA REFLETIVA TAM: GG</v>
      </c>
      <c r="E3967" s="99" t="str">
        <f>_xlfn.XLOOKUP(B3967,ESTOQUE!B:B,ESTOQUE!G:G,"",0)</f>
        <v>UND</v>
      </c>
      <c r="F3967" s="152">
        <v>1</v>
      </c>
    </row>
    <row r="3968" spans="1:6" x14ac:dyDescent="0.25">
      <c r="A3968" s="108">
        <v>46165</v>
      </c>
      <c r="B3968" s="152">
        <v>70</v>
      </c>
      <c r="C3968" s="108" t="s">
        <v>19</v>
      </c>
      <c r="D3968" s="110" t="str">
        <f>IF(ISBLANK($B3968),"",IFERROR(VLOOKUP($B3968,ESTOQUE!$B$2:$D$97168,3,FALSE),"Produto não cadastrado"))</f>
        <v>CAMISA LARANJA OP. C/ FAIXA REFLETIVA TAM: P</v>
      </c>
      <c r="E3968" s="99" t="str">
        <f>_xlfn.XLOOKUP(B3968,ESTOQUE!B:B,ESTOQUE!G:G,"",0)</f>
        <v>UND</v>
      </c>
      <c r="F3968" s="152">
        <v>4</v>
      </c>
    </row>
    <row r="3969" spans="1:10" x14ac:dyDescent="0.25">
      <c r="A3969" s="108">
        <v>46165</v>
      </c>
      <c r="B3969" s="152">
        <v>141</v>
      </c>
      <c r="C3969" s="108" t="s">
        <v>19</v>
      </c>
      <c r="D3969" s="110" t="str">
        <f>IF(ISBLANK($B3969),"",IFERROR(VLOOKUP($B3969,ESTOQUE!$B$2:$D$97168,3,FALSE),"Produto não cadastrado"))</f>
        <v xml:space="preserve">LUVA DE VAQUETA </v>
      </c>
      <c r="E3969" s="99" t="str">
        <f>_xlfn.XLOOKUP(B3969,ESTOQUE!B:B,ESTOQUE!G:G,"",0)</f>
        <v>PAR</v>
      </c>
      <c r="F3969" s="152">
        <v>4</v>
      </c>
    </row>
    <row r="3970" spans="1:10" x14ac:dyDescent="0.25">
      <c r="A3970" s="108">
        <v>46165</v>
      </c>
      <c r="B3970" s="152">
        <v>267</v>
      </c>
      <c r="C3970" s="108" t="s">
        <v>19</v>
      </c>
      <c r="D3970" s="110" t="str">
        <f>IF(ISBLANK($B3970),"",IFERROR(VLOOKUP($B3970,ESTOQUE!$B$2:$D$97168,3,FALSE),"Produto não cadastrado"))</f>
        <v>LUVA POLIESTER ANTICORTE CANO LONGO</v>
      </c>
      <c r="E3970" s="99" t="str">
        <f>_xlfn.XLOOKUP(B3970,ESTOQUE!B:B,ESTOQUE!G:G,"",0)</f>
        <v>UND</v>
      </c>
      <c r="F3970" s="152">
        <v>8</v>
      </c>
    </row>
    <row r="3971" spans="1:10" x14ac:dyDescent="0.25">
      <c r="A3971" s="108">
        <v>46165</v>
      </c>
      <c r="B3971" s="152">
        <v>118</v>
      </c>
      <c r="C3971" s="108" t="s">
        <v>19</v>
      </c>
      <c r="D3971" s="110" t="str">
        <f>IF(ISBLANK($B3971),"",IFERROR(VLOOKUP($B3971,ESTOQUE!$B$2:$D$97168,3,FALSE),"Produto não cadastrado"))</f>
        <v>MACACÃO DE PROTEÇÃO TYVEK</v>
      </c>
      <c r="E3971" s="99" t="str">
        <f>_xlfn.XLOOKUP(B3971,ESTOQUE!B:B,ESTOQUE!G:G,"",0)</f>
        <v>UND</v>
      </c>
      <c r="F3971" s="152">
        <v>3</v>
      </c>
    </row>
    <row r="3972" spans="1:10" x14ac:dyDescent="0.25">
      <c r="A3972" s="108">
        <v>46165</v>
      </c>
      <c r="B3972" s="152">
        <v>144</v>
      </c>
      <c r="C3972" s="108" t="s">
        <v>19</v>
      </c>
      <c r="D3972" s="110" t="str">
        <f>IF(ISBLANK($B3972),"",IFERROR(VLOOKUP($B3972,ESTOQUE!$B$2:$D$97168,3,FALSE),"Produto não cadastrado"))</f>
        <v>MASCARA PFF2-S C/ FILTRO</v>
      </c>
      <c r="E3972" s="99" t="str">
        <f>_xlfn.XLOOKUP(B3972,ESTOQUE!B:B,ESTOQUE!G:G,"",0)</f>
        <v>UND</v>
      </c>
      <c r="F3972" s="152">
        <v>3</v>
      </c>
    </row>
    <row r="3973" spans="1:10" x14ac:dyDescent="0.25">
      <c r="A3973" s="108">
        <v>46165</v>
      </c>
      <c r="B3973" s="152">
        <v>126</v>
      </c>
      <c r="C3973" s="108" t="s">
        <v>19</v>
      </c>
      <c r="D3973" s="110" t="str">
        <f>IF(ISBLANK($B3973),"",IFERROR(VLOOKUP($B3973,ESTOQUE!$B$2:$D$97168,3,FALSE),"Produto não cadastrado"))</f>
        <v>OCULOS DE PROTEÇÃO ESCURO</v>
      </c>
      <c r="E3973" s="99" t="str">
        <f>_xlfn.XLOOKUP(B3973,ESTOQUE!B:B,ESTOQUE!G:G,"",0)</f>
        <v>UND</v>
      </c>
      <c r="F3973" s="152">
        <v>2</v>
      </c>
    </row>
    <row r="3974" spans="1:10" x14ac:dyDescent="0.25">
      <c r="A3974" s="108">
        <v>46165</v>
      </c>
      <c r="B3974" s="152">
        <v>124</v>
      </c>
      <c r="C3974" s="108" t="s">
        <v>19</v>
      </c>
      <c r="D3974" s="110" t="str">
        <f>IF(ISBLANK($B3974),"",IFERROR(VLOOKUP($B3974,ESTOQUE!$B$2:$D$97168,3,FALSE),"Produto não cadastrado"))</f>
        <v xml:space="preserve">OCULOS DE PROTEÇÃO INCOLOR </v>
      </c>
      <c r="E3974" s="99" t="str">
        <f>_xlfn.XLOOKUP(B3974,ESTOQUE!B:B,ESTOQUE!G:G,"",0)</f>
        <v>UND</v>
      </c>
      <c r="F3974" s="152">
        <v>3</v>
      </c>
    </row>
    <row r="3975" spans="1:10" x14ac:dyDescent="0.25">
      <c r="A3975" s="108">
        <v>46165</v>
      </c>
      <c r="B3975" s="152">
        <v>224</v>
      </c>
      <c r="C3975" s="108" t="s">
        <v>19</v>
      </c>
      <c r="D3975" s="110" t="str">
        <f>IF(ISBLANK($B3975),"",IFERROR(VLOOKUP($B3975,ESTOQUE!$B$2:$D$97168,3,FALSE),"Produto não cadastrado"))</f>
        <v>OCULOS OPERACIONAL SOBRE POR ESCURO</v>
      </c>
      <c r="E3975" s="99" t="str">
        <f>_xlfn.XLOOKUP(B3975,ESTOQUE!B:B,ESTOQUE!G:G,"",0)</f>
        <v>UND</v>
      </c>
      <c r="F3975" s="152">
        <v>3</v>
      </c>
    </row>
    <row r="3976" spans="1:10" x14ac:dyDescent="0.25">
      <c r="A3976" s="108">
        <v>46165</v>
      </c>
      <c r="B3976" s="152">
        <v>225</v>
      </c>
      <c r="C3976" s="108" t="s">
        <v>19</v>
      </c>
      <c r="D3976" s="110" t="str">
        <f>IF(ISBLANK($B3976),"",IFERROR(VLOOKUP($B3976,ESTOQUE!$B$2:$D$97168,3,FALSE),"Produto não cadastrado"))</f>
        <v>OCULOS OPERACIONAL SOBRE POR INCOLOR</v>
      </c>
      <c r="E3976" s="99" t="str">
        <f>_xlfn.XLOOKUP(B3976,ESTOQUE!B:B,ESTOQUE!G:G,"",0)</f>
        <v>UND</v>
      </c>
      <c r="F3976" s="152">
        <v>5</v>
      </c>
    </row>
    <row r="3977" spans="1:10" x14ac:dyDescent="0.25">
      <c r="A3977" s="108">
        <v>46165</v>
      </c>
      <c r="B3977" s="152">
        <v>257</v>
      </c>
      <c r="C3977" s="108" t="s">
        <v>19</v>
      </c>
      <c r="D3977" s="110" t="str">
        <f>IF(ISBLANK($B3977),"",IFERROR(VLOOKUP($B3977,ESTOQUE!$B$2:$D$97168,3,FALSE),"Produto não cadastrado"))</f>
        <v xml:space="preserve">LUVA MULTITATO </v>
      </c>
      <c r="E3977" s="99" t="str">
        <f>_xlfn.XLOOKUP(B3977,ESTOQUE!B:B,ESTOQUE!G:G,"",0)</f>
        <v>UND</v>
      </c>
      <c r="F3977" s="152">
        <v>3</v>
      </c>
      <c r="H3977" s="5"/>
      <c r="J3977" s="1"/>
    </row>
    <row r="3978" spans="1:10" x14ac:dyDescent="0.25">
      <c r="A3978" s="108">
        <v>46165</v>
      </c>
      <c r="B3978" s="152">
        <v>118</v>
      </c>
      <c r="C3978" s="108" t="s">
        <v>19</v>
      </c>
      <c r="D3978" s="110" t="str">
        <f>IF(ISBLANK($B3978),"",IFERROR(VLOOKUP($B3978,ESTOQUE!$B$2:$D$97168,3,FALSE),"Produto não cadastrado"))</f>
        <v>MACACÃO DE PROTEÇÃO TYVEK</v>
      </c>
      <c r="E3978" s="99" t="str">
        <f>_xlfn.XLOOKUP(B3978,ESTOQUE!B:B,ESTOQUE!G:G,"",0)</f>
        <v>UND</v>
      </c>
      <c r="F3978" s="152">
        <v>34</v>
      </c>
      <c r="H3978" s="5"/>
      <c r="J3978" s="1"/>
    </row>
    <row r="3979" spans="1:10" x14ac:dyDescent="0.25">
      <c r="A3979" s="159">
        <v>46166</v>
      </c>
      <c r="B3979" s="152">
        <v>228</v>
      </c>
      <c r="C3979" s="108" t="s">
        <v>19</v>
      </c>
      <c r="D3979" s="110" t="str">
        <f>IF(ISBLANK($B3979),"",IFERROR(VLOOKUP($B3979,ESTOQUE!$B$2:$D$97168,3,FALSE),"Produto não cadastrado"))</f>
        <v xml:space="preserve">BALACLAVA  </v>
      </c>
      <c r="E3979" s="99" t="str">
        <f>_xlfn.XLOOKUP(B3979,ESTOQUE!B:B,ESTOQUE!G:G,"",0)</f>
        <v>UND</v>
      </c>
      <c r="F3979" s="152">
        <v>1</v>
      </c>
      <c r="H3979" s="5"/>
      <c r="J3979" s="1"/>
    </row>
    <row r="3980" spans="1:10" x14ac:dyDescent="0.25">
      <c r="A3980" s="159">
        <v>46166</v>
      </c>
      <c r="B3980" s="152">
        <v>21</v>
      </c>
      <c r="C3980" s="108" t="s">
        <v>19</v>
      </c>
      <c r="D3980" s="110" t="str">
        <f>IF(ISBLANK($B3980),"",IFERROR(VLOOKUP($B3980,ESTOQUE!$B$2:$D$97168,3,FALSE),"Produto não cadastrado"))</f>
        <v>BOTA PVC CANO MEDIO Nº 42</v>
      </c>
      <c r="E3980" s="99" t="str">
        <f>_xlfn.XLOOKUP(B3980,ESTOQUE!B:B,ESTOQUE!G:G,"",0)</f>
        <v>PAR</v>
      </c>
      <c r="F3980" s="152">
        <v>1</v>
      </c>
      <c r="H3980" s="5"/>
      <c r="J3980" s="1"/>
    </row>
    <row r="3981" spans="1:10" x14ac:dyDescent="0.25">
      <c r="A3981" s="159">
        <v>46166</v>
      </c>
      <c r="B3981" s="152">
        <v>218</v>
      </c>
      <c r="C3981" s="108" t="s">
        <v>19</v>
      </c>
      <c r="D3981" s="110" t="str">
        <f>IF(ISBLANK($B3981),"",IFERROR(VLOOKUP($B3981,ESTOQUE!$B$2:$D$97168,3,FALSE),"Produto não cadastrado"))</f>
        <v>BOTINA SEGURANÇA METATARSO  41</v>
      </c>
      <c r="E3981" s="99" t="str">
        <f>_xlfn.XLOOKUP(B3981,ESTOQUE!B:B,ESTOQUE!G:G,"",0)</f>
        <v>PAR</v>
      </c>
      <c r="F3981" s="152">
        <v>1</v>
      </c>
      <c r="H3981" s="5"/>
      <c r="J3981" s="1"/>
    </row>
    <row r="3982" spans="1:10" x14ac:dyDescent="0.25">
      <c r="A3982" s="159">
        <v>46166</v>
      </c>
      <c r="B3982" s="152">
        <v>219</v>
      </c>
      <c r="C3982" s="108" t="s">
        <v>19</v>
      </c>
      <c r="D3982" s="110" t="str">
        <f>IF(ISBLANK($B3982),"",IFERROR(VLOOKUP($B3982,ESTOQUE!$B$2:$D$97168,3,FALSE),"Produto não cadastrado"))</f>
        <v>BOTINA SEGURANÇA METATARSO  42</v>
      </c>
      <c r="E3982" s="99" t="str">
        <f>_xlfn.XLOOKUP(B3982,ESTOQUE!B:B,ESTOQUE!G:G,"",0)</f>
        <v>PAR</v>
      </c>
      <c r="F3982" s="152">
        <v>1</v>
      </c>
      <c r="H3982" s="5"/>
      <c r="J3982" s="1"/>
    </row>
    <row r="3983" spans="1:10" x14ac:dyDescent="0.25">
      <c r="A3983" s="159">
        <v>46166</v>
      </c>
      <c r="B3983" s="152">
        <v>46</v>
      </c>
      <c r="C3983" s="108" t="s">
        <v>19</v>
      </c>
      <c r="D3983" s="110" t="str">
        <f>IF(ISBLANK($B3983),"",IFERROR(VLOOKUP($B3983,ESTOQUE!$B$2:$D$97168,3,FALSE),"Produto não cadastrado"))</f>
        <v>CALÇA CINZA OP. C/ FAIXA REFLETIVA TAM: G</v>
      </c>
      <c r="E3983" s="99" t="str">
        <f>_xlfn.XLOOKUP(B3983,ESTOQUE!B:B,ESTOQUE!G:G,"",0)</f>
        <v>UND</v>
      </c>
      <c r="F3983" s="152">
        <v>1</v>
      </c>
      <c r="H3983" s="5"/>
      <c r="J3983" s="1"/>
    </row>
    <row r="3984" spans="1:10" x14ac:dyDescent="0.25">
      <c r="A3984" s="159">
        <v>46166</v>
      </c>
      <c r="B3984" s="152">
        <v>50</v>
      </c>
      <c r="C3984" s="108" t="s">
        <v>19</v>
      </c>
      <c r="D3984" s="110" t="str">
        <f>IF(ISBLANK($B3984),"",IFERROR(VLOOKUP($B3984,ESTOQUE!$B$2:$D$97168,3,FALSE),"Produto não cadastrado"))</f>
        <v>CALÇA CINZA OP. C/ FAIXA REFLETIVA TAM: XG</v>
      </c>
      <c r="E3984" s="99" t="str">
        <f>_xlfn.XLOOKUP(B3984,ESTOQUE!B:B,ESTOQUE!G:G,"",0)</f>
        <v>UND</v>
      </c>
      <c r="F3984" s="152">
        <v>1</v>
      </c>
      <c r="H3984" s="5"/>
      <c r="J3984" s="1"/>
    </row>
    <row r="3985" spans="1:10" x14ac:dyDescent="0.25">
      <c r="A3985" s="159">
        <v>46166</v>
      </c>
      <c r="B3985" s="152">
        <v>49</v>
      </c>
      <c r="C3985" s="108" t="s">
        <v>19</v>
      </c>
      <c r="D3985" s="110" t="str">
        <f>IF(ISBLANK($B3985),"",IFERROR(VLOOKUP($B3985,ESTOQUE!$B$2:$D$97168,3,FALSE),"Produto não cadastrado"))</f>
        <v>CALÇA CINZA OP. C/ FAIXA REFLETIVA TAM: P</v>
      </c>
      <c r="E3985" s="99" t="str">
        <f>_xlfn.XLOOKUP(B3985,ESTOQUE!B:B,ESTOQUE!G:G,"",0)</f>
        <v>UND</v>
      </c>
      <c r="F3985" s="152">
        <v>3</v>
      </c>
      <c r="H3985" s="5"/>
      <c r="J3985" s="1"/>
    </row>
    <row r="3986" spans="1:10" x14ac:dyDescent="0.25">
      <c r="A3986" s="159">
        <v>46166</v>
      </c>
      <c r="B3986" s="152">
        <v>67</v>
      </c>
      <c r="C3986" s="108" t="s">
        <v>19</v>
      </c>
      <c r="D3986" s="110" t="str">
        <f>IF(ISBLANK($B3986),"",IFERROR(VLOOKUP($B3986,ESTOQUE!$B$2:$D$97168,3,FALSE),"Produto não cadastrado"))</f>
        <v>CAMISA LARANJA OP. C/ FAIXA REFLETIVA TAM: G</v>
      </c>
      <c r="E3986" s="99" t="str">
        <f>_xlfn.XLOOKUP(B3986,ESTOQUE!B:B,ESTOQUE!G:G,"",0)</f>
        <v>UND</v>
      </c>
      <c r="F3986" s="152">
        <v>1</v>
      </c>
      <c r="H3986" s="5"/>
      <c r="J3986" s="1"/>
    </row>
    <row r="3987" spans="1:10" x14ac:dyDescent="0.25">
      <c r="A3987" s="159">
        <v>46166</v>
      </c>
      <c r="B3987" s="152">
        <v>68</v>
      </c>
      <c r="C3987" s="108" t="s">
        <v>19</v>
      </c>
      <c r="D3987" s="110" t="str">
        <f>IF(ISBLANK($B3987),"",IFERROR(VLOOKUP($B3987,ESTOQUE!$B$2:$D$97168,3,FALSE),"Produto não cadastrado"))</f>
        <v>CAMISA LARANJA OP. C/ FAIXA REFLETIVA TAM: GG</v>
      </c>
      <c r="E3987" s="99" t="str">
        <f>_xlfn.XLOOKUP(B3987,ESTOQUE!B:B,ESTOQUE!G:G,"",0)</f>
        <v>UND</v>
      </c>
      <c r="F3987" s="152">
        <v>1</v>
      </c>
      <c r="H3987" s="5"/>
      <c r="J3987" s="1"/>
    </row>
    <row r="3988" spans="1:10" x14ac:dyDescent="0.25">
      <c r="A3988" s="159">
        <v>46166</v>
      </c>
      <c r="B3988" s="152">
        <v>69</v>
      </c>
      <c r="C3988" s="108" t="s">
        <v>19</v>
      </c>
      <c r="D3988" s="110" t="str">
        <f>IF(ISBLANK($B3988),"",IFERROR(VLOOKUP($B3988,ESTOQUE!$B$2:$D$97168,3,FALSE),"Produto não cadastrado"))</f>
        <v>CAMISA LARANJA OP. C/ FAIXA REFLETIVA TAM: M</v>
      </c>
      <c r="E3988" s="99" t="str">
        <f>_xlfn.XLOOKUP(B3988,ESTOQUE!B:B,ESTOQUE!G:G,"",0)</f>
        <v>UND</v>
      </c>
      <c r="F3988" s="152">
        <v>3</v>
      </c>
      <c r="H3988" s="5"/>
      <c r="J3988" s="1"/>
    </row>
    <row r="3989" spans="1:10" x14ac:dyDescent="0.25">
      <c r="A3989" s="159">
        <v>46166</v>
      </c>
      <c r="B3989" s="152">
        <v>70</v>
      </c>
      <c r="C3989" s="108" t="s">
        <v>19</v>
      </c>
      <c r="D3989" s="110" t="str">
        <f>IF(ISBLANK($B3989),"",IFERROR(VLOOKUP($B3989,ESTOQUE!$B$2:$D$97168,3,FALSE),"Produto não cadastrado"))</f>
        <v>CAMISA LARANJA OP. C/ FAIXA REFLETIVA TAM: P</v>
      </c>
      <c r="E3989" s="99" t="str">
        <f>_xlfn.XLOOKUP(B3989,ESTOQUE!B:B,ESTOQUE!G:G,"",0)</f>
        <v>UND</v>
      </c>
      <c r="F3989" s="152">
        <v>1</v>
      </c>
      <c r="H3989" s="5"/>
      <c r="J3989" s="1"/>
    </row>
    <row r="3990" spans="1:10" x14ac:dyDescent="0.25">
      <c r="A3990" s="159">
        <v>46166</v>
      </c>
      <c r="B3990" s="152">
        <v>186</v>
      </c>
      <c r="C3990" s="108" t="s">
        <v>19</v>
      </c>
      <c r="D3990" s="110" t="str">
        <f>IF(ISBLANK($B3990),"",IFERROR(VLOOKUP($B3990,ESTOQUE!$B$2:$D$97168,3,FALSE),"Produto não cadastrado"))</f>
        <v>COLETE REFLETIVO LARANJA GG</v>
      </c>
      <c r="E3990" s="99" t="str">
        <f>_xlfn.XLOOKUP(B3990,ESTOQUE!B:B,ESTOQUE!G:G,"",0)</f>
        <v>UND</v>
      </c>
      <c r="F3990" s="152">
        <v>1</v>
      </c>
      <c r="H3990" s="5"/>
      <c r="J3990" s="1"/>
    </row>
    <row r="3991" spans="1:10" x14ac:dyDescent="0.25">
      <c r="A3991" s="159">
        <v>46166</v>
      </c>
      <c r="B3991" s="152">
        <v>126</v>
      </c>
      <c r="C3991" s="108" t="s">
        <v>19</v>
      </c>
      <c r="D3991" s="110" t="str">
        <f>IF(ISBLANK($B3991),"",IFERROR(VLOOKUP($B3991,ESTOQUE!$B$2:$D$97168,3,FALSE),"Produto não cadastrado"))</f>
        <v>OCULOS DE PROTEÇÃO ESCURO</v>
      </c>
      <c r="E3991" s="99" t="str">
        <f>_xlfn.XLOOKUP(B3991,ESTOQUE!B:B,ESTOQUE!G:G,"",0)</f>
        <v>UND</v>
      </c>
      <c r="F3991" s="152">
        <v>2</v>
      </c>
      <c r="H3991" s="5"/>
      <c r="J3991" s="1"/>
    </row>
    <row r="3992" spans="1:10" x14ac:dyDescent="0.25">
      <c r="A3992" s="159">
        <v>46166</v>
      </c>
      <c r="B3992" s="152">
        <v>124</v>
      </c>
      <c r="C3992" s="108" t="s">
        <v>19</v>
      </c>
      <c r="D3992" s="110" t="str">
        <f>IF(ISBLANK($B3992),"",IFERROR(VLOOKUP($B3992,ESTOQUE!$B$2:$D$97168,3,FALSE),"Produto não cadastrado"))</f>
        <v xml:space="preserve">OCULOS DE PROTEÇÃO INCOLOR </v>
      </c>
      <c r="E3992" s="99" t="str">
        <f>_xlfn.XLOOKUP(B3992,ESTOQUE!B:B,ESTOQUE!G:G,"",0)</f>
        <v>UND</v>
      </c>
      <c r="F3992" s="152">
        <v>1</v>
      </c>
      <c r="H3992" s="5"/>
      <c r="J3992" s="1"/>
    </row>
    <row r="3993" spans="1:10" x14ac:dyDescent="0.25">
      <c r="A3993" s="159">
        <v>46166</v>
      </c>
      <c r="B3993" s="152">
        <v>224</v>
      </c>
      <c r="C3993" s="108" t="s">
        <v>19</v>
      </c>
      <c r="D3993" s="110" t="str">
        <f>IF(ISBLANK($B3993),"",IFERROR(VLOOKUP($B3993,ESTOQUE!$B$2:$D$97168,3,FALSE),"Produto não cadastrado"))</f>
        <v>OCULOS OPERACIONAL SOBRE POR ESCURO</v>
      </c>
      <c r="E3993" s="99" t="str">
        <f>_xlfn.XLOOKUP(B3993,ESTOQUE!B:B,ESTOQUE!G:G,"",0)</f>
        <v>UND</v>
      </c>
      <c r="F3993" s="152">
        <v>1</v>
      </c>
      <c r="H3993" s="5"/>
      <c r="J3993" s="1"/>
    </row>
    <row r="3994" spans="1:10" x14ac:dyDescent="0.25">
      <c r="A3994" s="159">
        <v>46167</v>
      </c>
      <c r="B3994" s="152">
        <v>216</v>
      </c>
      <c r="C3994" s="108" t="s">
        <v>19</v>
      </c>
      <c r="D3994" s="110" t="str">
        <f>IF(ISBLANK($B3994),"",IFERROR(VLOOKUP($B3994,ESTOQUE!$B$2:$D$97168,3,FALSE),"Produto não cadastrado"))</f>
        <v>BOTINA SEGURANÇA METATARSO  39</v>
      </c>
      <c r="E3994" s="99" t="str">
        <f>_xlfn.XLOOKUP(B3994,ESTOQUE!B:B,ESTOQUE!G:G,"",0)</f>
        <v>PAR</v>
      </c>
      <c r="F3994" s="152">
        <v>1</v>
      </c>
      <c r="H3994" s="5"/>
      <c r="J3994" s="1"/>
    </row>
    <row r="3995" spans="1:10" x14ac:dyDescent="0.25">
      <c r="A3995" s="159">
        <v>46167</v>
      </c>
      <c r="B3995" s="152">
        <v>222</v>
      </c>
      <c r="C3995" s="108" t="s">
        <v>19</v>
      </c>
      <c r="D3995" s="110" t="str">
        <f>IF(ISBLANK($B3995),"",IFERROR(VLOOKUP($B3995,ESTOQUE!$B$2:$D$97168,3,FALSE),"Produto não cadastrado"))</f>
        <v>BOTINA SEGURANÇA METATARSO  45</v>
      </c>
      <c r="E3995" s="99" t="str">
        <f>_xlfn.XLOOKUP(B3995,ESTOQUE!B:B,ESTOQUE!G:G,"",0)</f>
        <v>PAR</v>
      </c>
      <c r="F3995" s="152">
        <v>1</v>
      </c>
      <c r="H3995" s="5"/>
      <c r="J3995" s="1"/>
    </row>
    <row r="3996" spans="1:10" x14ac:dyDescent="0.25">
      <c r="A3996" s="159">
        <v>46167</v>
      </c>
      <c r="B3996" s="152">
        <v>46</v>
      </c>
      <c r="C3996" s="108" t="s">
        <v>19</v>
      </c>
      <c r="D3996" s="110" t="str">
        <f>IF(ISBLANK($B3996),"",IFERROR(VLOOKUP($B3996,ESTOQUE!$B$2:$D$97168,3,FALSE),"Produto não cadastrado"))</f>
        <v>CALÇA CINZA OP. C/ FAIXA REFLETIVA TAM: G</v>
      </c>
      <c r="E3996" s="99" t="str">
        <f>_xlfn.XLOOKUP(B3996,ESTOQUE!B:B,ESTOQUE!G:G,"",0)</f>
        <v>UND</v>
      </c>
      <c r="F3996" s="152">
        <v>2</v>
      </c>
      <c r="H3996" s="5"/>
      <c r="J3996" s="1"/>
    </row>
    <row r="3997" spans="1:10" x14ac:dyDescent="0.25">
      <c r="A3997" s="159">
        <v>46167</v>
      </c>
      <c r="B3997" s="152">
        <v>48</v>
      </c>
      <c r="C3997" s="108" t="s">
        <v>19</v>
      </c>
      <c r="D3997" s="110" t="str">
        <f>IF(ISBLANK($B3997),"",IFERROR(VLOOKUP($B3997,ESTOQUE!$B$2:$D$97168,3,FALSE),"Produto não cadastrado"))</f>
        <v>CALÇA CINZA OP. C/ FAIXA REFLETIVA TAM: M</v>
      </c>
      <c r="E3997" s="99" t="str">
        <f>_xlfn.XLOOKUP(B3997,ESTOQUE!B:B,ESTOQUE!G:G,"",0)</f>
        <v>UND</v>
      </c>
      <c r="F3997" s="152">
        <v>4</v>
      </c>
      <c r="H3997" s="5"/>
      <c r="J3997" s="1"/>
    </row>
    <row r="3998" spans="1:10" x14ac:dyDescent="0.25">
      <c r="A3998" s="159">
        <v>46167</v>
      </c>
      <c r="B3998" s="152">
        <v>49</v>
      </c>
      <c r="C3998" s="108" t="s">
        <v>19</v>
      </c>
      <c r="D3998" s="110" t="str">
        <f>IF(ISBLANK($B3998),"",IFERROR(VLOOKUP($B3998,ESTOQUE!$B$2:$D$97168,3,FALSE),"Produto não cadastrado"))</f>
        <v>CALÇA CINZA OP. C/ FAIXA REFLETIVA TAM: P</v>
      </c>
      <c r="E3998" s="99" t="str">
        <f>_xlfn.XLOOKUP(B3998,ESTOQUE!B:B,ESTOQUE!G:G,"",0)</f>
        <v>UND</v>
      </c>
      <c r="F3998" s="152">
        <v>2</v>
      </c>
      <c r="H3998" s="5"/>
      <c r="J3998" s="1"/>
    </row>
    <row r="3999" spans="1:10" x14ac:dyDescent="0.25">
      <c r="A3999" s="159">
        <v>46167</v>
      </c>
      <c r="B3999" s="152">
        <v>67</v>
      </c>
      <c r="C3999" s="108" t="s">
        <v>19</v>
      </c>
      <c r="D3999" s="110" t="str">
        <f>IF(ISBLANK($B3999),"",IFERROR(VLOOKUP($B3999,ESTOQUE!$B$2:$D$97168,3,FALSE),"Produto não cadastrado"))</f>
        <v>CAMISA LARANJA OP. C/ FAIXA REFLETIVA TAM: G</v>
      </c>
      <c r="E3999" s="99" t="str">
        <f>_xlfn.XLOOKUP(B3999,ESTOQUE!B:B,ESTOQUE!G:G,"",0)</f>
        <v>UND</v>
      </c>
      <c r="F3999" s="152">
        <v>5</v>
      </c>
      <c r="H3999" s="5"/>
      <c r="J3999" s="1"/>
    </row>
    <row r="4000" spans="1:10" x14ac:dyDescent="0.25">
      <c r="A4000" s="159">
        <v>46167</v>
      </c>
      <c r="B4000" s="152">
        <v>68</v>
      </c>
      <c r="C4000" s="108" t="s">
        <v>19</v>
      </c>
      <c r="D4000" s="110" t="str">
        <f>IF(ISBLANK($B4000),"",IFERROR(VLOOKUP($B4000,ESTOQUE!$B$2:$D$97168,3,FALSE),"Produto não cadastrado"))</f>
        <v>CAMISA LARANJA OP. C/ FAIXA REFLETIVA TAM: GG</v>
      </c>
      <c r="E4000" s="99" t="str">
        <f>_xlfn.XLOOKUP(B4000,ESTOQUE!B:B,ESTOQUE!G:G,"",0)</f>
        <v>UND</v>
      </c>
      <c r="F4000" s="152">
        <v>2</v>
      </c>
      <c r="H4000" s="5"/>
      <c r="J4000" s="1"/>
    </row>
    <row r="4001" spans="1:10" x14ac:dyDescent="0.25">
      <c r="A4001" s="159">
        <v>46167</v>
      </c>
      <c r="B4001" s="152">
        <v>69</v>
      </c>
      <c r="C4001" s="108" t="s">
        <v>19</v>
      </c>
      <c r="D4001" s="110" t="str">
        <f>IF(ISBLANK($B4001),"",IFERROR(VLOOKUP($B4001,ESTOQUE!$B$2:$D$97168,3,FALSE),"Produto não cadastrado"))</f>
        <v>CAMISA LARANJA OP. C/ FAIXA REFLETIVA TAM: M</v>
      </c>
      <c r="E4001" s="99" t="str">
        <f>_xlfn.XLOOKUP(B4001,ESTOQUE!B:B,ESTOQUE!G:G,"",0)</f>
        <v>UND</v>
      </c>
      <c r="F4001" s="152">
        <v>1</v>
      </c>
      <c r="H4001" s="5"/>
      <c r="J4001" s="1"/>
    </row>
    <row r="4002" spans="1:10" x14ac:dyDescent="0.25">
      <c r="A4002" s="159">
        <v>46167</v>
      </c>
      <c r="B4002" s="152">
        <v>70</v>
      </c>
      <c r="C4002" s="108" t="s">
        <v>19</v>
      </c>
      <c r="D4002" s="110" t="str">
        <f>IF(ISBLANK($B4002),"",IFERROR(VLOOKUP($B4002,ESTOQUE!$B$2:$D$97168,3,FALSE),"Produto não cadastrado"))</f>
        <v>CAMISA LARANJA OP. C/ FAIXA REFLETIVA TAM: P</v>
      </c>
      <c r="E4002" s="99" t="str">
        <f>_xlfn.XLOOKUP(B4002,ESTOQUE!B:B,ESTOQUE!G:G,"",0)</f>
        <v>UND</v>
      </c>
      <c r="F4002" s="152">
        <v>2</v>
      </c>
      <c r="H4002" s="5"/>
      <c r="J4002" s="1"/>
    </row>
    <row r="4003" spans="1:10" x14ac:dyDescent="0.25">
      <c r="A4003" s="159">
        <v>46167</v>
      </c>
      <c r="B4003" s="152">
        <v>200</v>
      </c>
      <c r="C4003" s="108" t="s">
        <v>19</v>
      </c>
      <c r="D4003" s="110" t="str">
        <f>IF(ISBLANK($B4003),"",IFERROR(VLOOKUP($B4003,ESTOQUE!$B$2:$D$97168,3,FALSE),"Produto não cadastrado"))</f>
        <v>CAMISA LARANJA OP. C/ FAIXA REFLETIVA TAM: XGG</v>
      </c>
      <c r="E4003" s="99" t="str">
        <f>_xlfn.XLOOKUP(B4003,ESTOQUE!B:B,ESTOQUE!G:G,"",0)</f>
        <v>UND</v>
      </c>
      <c r="F4003" s="152">
        <v>1</v>
      </c>
      <c r="H4003" s="5"/>
      <c r="J4003" s="1"/>
    </row>
    <row r="4004" spans="1:10" x14ac:dyDescent="0.25">
      <c r="A4004" s="159">
        <v>46167</v>
      </c>
      <c r="B4004" s="152">
        <v>186</v>
      </c>
      <c r="C4004" s="108" t="s">
        <v>19</v>
      </c>
      <c r="D4004" s="110" t="str">
        <f>IF(ISBLANK($B4004),"",IFERROR(VLOOKUP($B4004,ESTOQUE!$B$2:$D$97168,3,FALSE),"Produto não cadastrado"))</f>
        <v>COLETE REFLETIVO LARANJA GG</v>
      </c>
      <c r="E4004" s="99" t="str">
        <f>_xlfn.XLOOKUP(B4004,ESTOQUE!B:B,ESTOQUE!G:G,"",0)</f>
        <v>UND</v>
      </c>
      <c r="F4004" s="152">
        <v>1</v>
      </c>
      <c r="H4004" s="5"/>
      <c r="J4004" s="1"/>
    </row>
    <row r="4005" spans="1:10" x14ac:dyDescent="0.25">
      <c r="A4005" s="159">
        <v>46167</v>
      </c>
      <c r="B4005" s="152">
        <v>97</v>
      </c>
      <c r="C4005" s="108" t="s">
        <v>19</v>
      </c>
      <c r="D4005" s="110" t="str">
        <f>IF(ISBLANK($B4005),"",IFERROR(VLOOKUP($B4005,ESTOQUE!$B$2:$D$97168,3,FALSE),"Produto não cadastrado"))</f>
        <v>COLETE REFLETIVO LARANJA M</v>
      </c>
      <c r="E4005" s="99" t="str">
        <f>_xlfn.XLOOKUP(B4005,ESTOQUE!B:B,ESTOQUE!G:G,"",0)</f>
        <v>UND</v>
      </c>
      <c r="F4005" s="152">
        <v>1</v>
      </c>
      <c r="H4005" s="5"/>
      <c r="J4005" s="1"/>
    </row>
    <row r="4006" spans="1:10" x14ac:dyDescent="0.25">
      <c r="A4006" s="159">
        <v>46167</v>
      </c>
      <c r="B4006" s="152">
        <v>141</v>
      </c>
      <c r="C4006" s="108" t="s">
        <v>19</v>
      </c>
      <c r="D4006" s="110" t="str">
        <f>IF(ISBLANK($B4006),"",IFERROR(VLOOKUP($B4006,ESTOQUE!$B$2:$D$97168,3,FALSE),"Produto não cadastrado"))</f>
        <v xml:space="preserve">LUVA DE VAQUETA </v>
      </c>
      <c r="E4006" s="99" t="str">
        <f>_xlfn.XLOOKUP(B4006,ESTOQUE!B:B,ESTOQUE!G:G,"",0)</f>
        <v>PAR</v>
      </c>
      <c r="F4006" s="152">
        <v>2</v>
      </c>
      <c r="H4006" s="5"/>
      <c r="J4006" s="1"/>
    </row>
    <row r="4007" spans="1:10" x14ac:dyDescent="0.25">
      <c r="A4007" s="159">
        <v>46167</v>
      </c>
      <c r="B4007" s="152">
        <v>114</v>
      </c>
      <c r="C4007" s="108" t="s">
        <v>19</v>
      </c>
      <c r="D4007" s="110" t="str">
        <f>IF(ISBLANK($B4007),"",IFERROR(VLOOKUP($B4007,ESTOQUE!$B$2:$D$97168,3,FALSE),"Produto não cadastrado"))</f>
        <v xml:space="preserve">LUVA LATEX NITRILICA </v>
      </c>
      <c r="E4007" s="99" t="str">
        <f>_xlfn.XLOOKUP(B4007,ESTOQUE!B:B,ESTOQUE!G:G,"",0)</f>
        <v>PAR</v>
      </c>
      <c r="F4007" s="152">
        <v>17</v>
      </c>
      <c r="H4007" s="5"/>
      <c r="J4007" s="1"/>
    </row>
    <row r="4008" spans="1:10" x14ac:dyDescent="0.25">
      <c r="A4008" s="159">
        <v>46167</v>
      </c>
      <c r="B4008" s="152">
        <v>117</v>
      </c>
      <c r="C4008" s="108" t="s">
        <v>19</v>
      </c>
      <c r="D4008" s="110" t="str">
        <f>IF(ISBLANK($B4008),"",IFERROR(VLOOKUP($B4008,ESTOQUE!$B$2:$D$97168,3,FALSE),"Produto não cadastrado"))</f>
        <v>LUVA PIGMENTADA</v>
      </c>
      <c r="E4008" s="99" t="str">
        <f>_xlfn.XLOOKUP(B4008,ESTOQUE!B:B,ESTOQUE!G:G,"",0)</f>
        <v>PAR</v>
      </c>
      <c r="F4008" s="152">
        <v>2</v>
      </c>
      <c r="H4008" s="5"/>
      <c r="J4008" s="1"/>
    </row>
    <row r="4009" spans="1:10" x14ac:dyDescent="0.25">
      <c r="A4009" s="159">
        <v>46167</v>
      </c>
      <c r="B4009" s="152">
        <v>267</v>
      </c>
      <c r="C4009" s="108" t="s">
        <v>19</v>
      </c>
      <c r="D4009" s="110" t="str">
        <f>IF(ISBLANK($B4009),"",IFERROR(VLOOKUP($B4009,ESTOQUE!$B$2:$D$97168,3,FALSE),"Produto não cadastrado"))</f>
        <v>LUVA POLIESTER ANTICORTE CANO LONGO</v>
      </c>
      <c r="E4009" s="99" t="str">
        <f>_xlfn.XLOOKUP(B4009,ESTOQUE!B:B,ESTOQUE!G:G,"",0)</f>
        <v>UND</v>
      </c>
      <c r="F4009" s="152">
        <v>2</v>
      </c>
      <c r="H4009" s="5"/>
      <c r="J4009" s="1"/>
    </row>
    <row r="4010" spans="1:10" x14ac:dyDescent="0.25">
      <c r="A4010" s="159">
        <v>46167</v>
      </c>
      <c r="B4010" s="152">
        <v>144</v>
      </c>
      <c r="C4010" s="108" t="s">
        <v>19</v>
      </c>
      <c r="D4010" s="110" t="str">
        <f>IF(ISBLANK($B4010),"",IFERROR(VLOOKUP($B4010,ESTOQUE!$B$2:$D$97168,3,FALSE),"Produto não cadastrado"))</f>
        <v>MASCARA PFF2-S C/ FILTRO</v>
      </c>
      <c r="E4010" s="99" t="str">
        <f>_xlfn.XLOOKUP(B4010,ESTOQUE!B:B,ESTOQUE!G:G,"",0)</f>
        <v>UND</v>
      </c>
      <c r="F4010" s="152">
        <v>10</v>
      </c>
      <c r="H4010" s="5"/>
      <c r="J4010" s="1"/>
    </row>
    <row r="4011" spans="1:10" x14ac:dyDescent="0.25">
      <c r="A4011" s="159">
        <v>46167</v>
      </c>
      <c r="B4011" s="152">
        <v>126</v>
      </c>
      <c r="C4011" s="108" t="s">
        <v>19</v>
      </c>
      <c r="D4011" s="110" t="str">
        <f>IF(ISBLANK($B4011),"",IFERROR(VLOOKUP($B4011,ESTOQUE!$B$2:$D$97168,3,FALSE),"Produto não cadastrado"))</f>
        <v>OCULOS DE PROTEÇÃO ESCURO</v>
      </c>
      <c r="E4011" s="99" t="str">
        <f>_xlfn.XLOOKUP(B4011,ESTOQUE!B:B,ESTOQUE!G:G,"",0)</f>
        <v>UND</v>
      </c>
      <c r="F4011" s="152">
        <v>1</v>
      </c>
      <c r="H4011" s="5"/>
      <c r="J4011" s="1"/>
    </row>
    <row r="4012" spans="1:10" x14ac:dyDescent="0.25">
      <c r="A4012" s="159">
        <v>46167</v>
      </c>
      <c r="B4012" s="152">
        <v>224</v>
      </c>
      <c r="C4012" s="108" t="s">
        <v>19</v>
      </c>
      <c r="D4012" s="110" t="str">
        <f>IF(ISBLANK($B4012),"",IFERROR(VLOOKUP($B4012,ESTOQUE!$B$2:$D$97168,3,FALSE),"Produto não cadastrado"))</f>
        <v>OCULOS OPERACIONAL SOBRE POR ESCURO</v>
      </c>
      <c r="E4012" s="99" t="str">
        <f>_xlfn.XLOOKUP(B4012,ESTOQUE!B:B,ESTOQUE!G:G,"",0)</f>
        <v>UND</v>
      </c>
      <c r="F4012" s="152">
        <v>1</v>
      </c>
      <c r="H4012" s="5"/>
      <c r="J4012" s="1"/>
    </row>
    <row r="4013" spans="1:10" x14ac:dyDescent="0.25">
      <c r="A4013" s="159">
        <v>46167</v>
      </c>
      <c r="B4013" s="152">
        <v>225</v>
      </c>
      <c r="C4013" s="108" t="s">
        <v>19</v>
      </c>
      <c r="D4013" s="110" t="str">
        <f>IF(ISBLANK($B4013),"",IFERROR(VLOOKUP($B4013,ESTOQUE!$B$2:$D$97168,3,FALSE),"Produto não cadastrado"))</f>
        <v>OCULOS OPERACIONAL SOBRE POR INCOLOR</v>
      </c>
      <c r="E4013" s="99" t="str">
        <f>_xlfn.XLOOKUP(B4013,ESTOQUE!B:B,ESTOQUE!G:G,"",0)</f>
        <v>UND</v>
      </c>
      <c r="F4013" s="152">
        <v>1</v>
      </c>
      <c r="H4013" s="5"/>
      <c r="J4013" s="1"/>
    </row>
    <row r="4014" spans="1:10" x14ac:dyDescent="0.25">
      <c r="A4014" s="159">
        <v>46167</v>
      </c>
      <c r="B4014" s="152">
        <v>139</v>
      </c>
      <c r="C4014" s="108" t="s">
        <v>19</v>
      </c>
      <c r="D4014" s="110" t="str">
        <f>IF(ISBLANK($B4014),"",IFERROR(VLOOKUP($B4014,ESTOQUE!$B$2:$D$97168,3,FALSE),"Produto não cadastrado"))</f>
        <v>PROTETOR AURICULAR TIPO PLUG</v>
      </c>
      <c r="E4014" s="99" t="str">
        <f>_xlfn.XLOOKUP(B4014,ESTOQUE!B:B,ESTOQUE!G:G,"",0)</f>
        <v>UND</v>
      </c>
      <c r="F4014" s="152">
        <v>1</v>
      </c>
      <c r="H4014" s="5"/>
      <c r="J4014" s="1"/>
    </row>
    <row r="4015" spans="1:10" x14ac:dyDescent="0.25">
      <c r="A4015" s="159">
        <v>46168</v>
      </c>
      <c r="B4015" s="152">
        <v>110</v>
      </c>
      <c r="C4015" s="108" t="s">
        <v>19</v>
      </c>
      <c r="D4015" s="110" t="str">
        <f>IF(ISBLANK($B4015),"",IFERROR(VLOOKUP($B4015,ESTOQUE!$B$2:$D$97168,3,FALSE),"Produto não cadastrado"))</f>
        <v>LUVA DE RASPA CANO LONGO</v>
      </c>
      <c r="E4015" s="99" t="str">
        <f>_xlfn.XLOOKUP(B4015,ESTOQUE!B:B,ESTOQUE!G:G,"",0)</f>
        <v>PAR</v>
      </c>
      <c r="F4015" s="152">
        <v>20</v>
      </c>
      <c r="H4015" s="5"/>
      <c r="J4015" s="1"/>
    </row>
    <row r="4016" spans="1:10" x14ac:dyDescent="0.25">
      <c r="A4016" s="159">
        <v>46168</v>
      </c>
      <c r="B4016" s="152">
        <v>76</v>
      </c>
      <c r="C4016" s="108" t="s">
        <v>19</v>
      </c>
      <c r="D4016" s="110" t="str">
        <f>IF(ISBLANK($B4016),"",IFERROR(VLOOKUP($B4016,ESTOQUE!$B$2:$D$97168,3,FALSE),"Produto não cadastrado"))</f>
        <v>CAPACETE CAMPER BRANCO</v>
      </c>
      <c r="E4016" s="99" t="str">
        <f>_xlfn.XLOOKUP(B4016,ESTOQUE!B:B,ESTOQUE!G:G,"",0)</f>
        <v>UND</v>
      </c>
      <c r="F4016" s="152">
        <v>2</v>
      </c>
      <c r="H4016" s="5"/>
      <c r="J4016" s="1"/>
    </row>
    <row r="4017" spans="1:6" x14ac:dyDescent="0.25">
      <c r="A4017" s="159">
        <v>46168</v>
      </c>
      <c r="B4017" s="152">
        <v>190</v>
      </c>
      <c r="C4017" s="108" t="s">
        <v>19</v>
      </c>
      <c r="D4017" s="110" t="str">
        <f>IF(ISBLANK($B4017),"",IFERROR(VLOOKUP($B4017,ESTOQUE!$B$2:$D$97168,3,FALSE),"Produto não cadastrado"))</f>
        <v>AVENTAL DE RASPA TAM 120X60</v>
      </c>
      <c r="E4017" s="99" t="str">
        <f>_xlfn.XLOOKUP(B4017,ESTOQUE!B:B,ESTOQUE!G:G,"",0)</f>
        <v>UND</v>
      </c>
      <c r="F4017" s="152">
        <v>1</v>
      </c>
    </row>
    <row r="4018" spans="1:6" x14ac:dyDescent="0.25">
      <c r="A4018" s="159">
        <v>46168</v>
      </c>
      <c r="B4018" s="152">
        <v>228</v>
      </c>
      <c r="C4018" s="108" t="s">
        <v>19</v>
      </c>
      <c r="D4018" s="110" t="str">
        <f>IF(ISBLANK($B4018),"",IFERROR(VLOOKUP($B4018,ESTOQUE!$B$2:$D$97168,3,FALSE),"Produto não cadastrado"))</f>
        <v xml:space="preserve">BALACLAVA  </v>
      </c>
      <c r="E4018" s="99" t="str">
        <f>_xlfn.XLOOKUP(B4018,ESTOQUE!B:B,ESTOQUE!G:G,"",0)</f>
        <v>UND</v>
      </c>
      <c r="F4018" s="152">
        <v>5</v>
      </c>
    </row>
    <row r="4019" spans="1:6" x14ac:dyDescent="0.25">
      <c r="A4019" s="159">
        <v>46168</v>
      </c>
      <c r="B4019" s="152">
        <v>171</v>
      </c>
      <c r="C4019" s="108" t="s">
        <v>19</v>
      </c>
      <c r="D4019" s="110" t="str">
        <f>IF(ISBLANK($B4019),"",IFERROR(VLOOKUP($B4019,ESTOQUE!$B$2:$D$97168,3,FALSE),"Produto não cadastrado"))</f>
        <v>BOTA PVC CANO CURTO Nº 40</v>
      </c>
      <c r="E4019" s="99" t="str">
        <f>_xlfn.XLOOKUP(B4019,ESTOQUE!B:B,ESTOQUE!G:G,"",0)</f>
        <v>PAR</v>
      </c>
      <c r="F4019" s="152">
        <v>1</v>
      </c>
    </row>
    <row r="4020" spans="1:6" x14ac:dyDescent="0.25">
      <c r="A4020" s="159">
        <v>46168</v>
      </c>
      <c r="B4020" s="152">
        <v>216</v>
      </c>
      <c r="C4020" s="108" t="s">
        <v>19</v>
      </c>
      <c r="D4020" s="110" t="str">
        <f>IF(ISBLANK($B4020),"",IFERROR(VLOOKUP($B4020,ESTOQUE!$B$2:$D$97168,3,FALSE),"Produto não cadastrado"))</f>
        <v>BOTINA SEGURANÇA METATARSO  39</v>
      </c>
      <c r="E4020" s="99" t="str">
        <f>_xlfn.XLOOKUP(B4020,ESTOQUE!B:B,ESTOQUE!G:G,"",0)</f>
        <v>PAR</v>
      </c>
      <c r="F4020" s="152">
        <v>1</v>
      </c>
    </row>
    <row r="4021" spans="1:6" x14ac:dyDescent="0.25">
      <c r="A4021" s="159">
        <v>46168</v>
      </c>
      <c r="B4021" s="152">
        <v>217</v>
      </c>
      <c r="C4021" s="108" t="s">
        <v>19</v>
      </c>
      <c r="D4021" s="110" t="str">
        <f>IF(ISBLANK($B4021),"",IFERROR(VLOOKUP($B4021,ESTOQUE!$B$2:$D$97168,3,FALSE),"Produto não cadastrado"))</f>
        <v>BOTINA SEGURANÇA METATARSO  40</v>
      </c>
      <c r="E4021" s="99" t="str">
        <f>_xlfn.XLOOKUP(B4021,ESTOQUE!B:B,ESTOQUE!G:G,"",0)</f>
        <v>PAR</v>
      </c>
      <c r="F4021" s="152">
        <v>1</v>
      </c>
    </row>
    <row r="4022" spans="1:6" x14ac:dyDescent="0.25">
      <c r="A4022" s="159">
        <v>46168</v>
      </c>
      <c r="B4022" s="152">
        <v>218</v>
      </c>
      <c r="C4022" s="108" t="s">
        <v>19</v>
      </c>
      <c r="D4022" s="110" t="str">
        <f>IF(ISBLANK($B4022),"",IFERROR(VLOOKUP($B4022,ESTOQUE!$B$2:$D$97168,3,FALSE),"Produto não cadastrado"))</f>
        <v>BOTINA SEGURANÇA METATARSO  41</v>
      </c>
      <c r="E4022" s="99" t="str">
        <f>_xlfn.XLOOKUP(B4022,ESTOQUE!B:B,ESTOQUE!G:G,"",0)</f>
        <v>PAR</v>
      </c>
      <c r="F4022" s="152">
        <v>1</v>
      </c>
    </row>
    <row r="4023" spans="1:6" x14ac:dyDescent="0.25">
      <c r="A4023" s="159">
        <v>46168</v>
      </c>
      <c r="B4023" s="152">
        <v>46</v>
      </c>
      <c r="C4023" s="108" t="s">
        <v>19</v>
      </c>
      <c r="D4023" s="110" t="str">
        <f>IF(ISBLANK($B4023),"",IFERROR(VLOOKUP($B4023,ESTOQUE!$B$2:$D$97168,3,FALSE),"Produto não cadastrado"))</f>
        <v>CALÇA CINZA OP. C/ FAIXA REFLETIVA TAM: G</v>
      </c>
      <c r="E4023" s="99" t="str">
        <f>_xlfn.XLOOKUP(B4023,ESTOQUE!B:B,ESTOQUE!G:G,"",0)</f>
        <v>UND</v>
      </c>
      <c r="F4023" s="152">
        <v>1</v>
      </c>
    </row>
    <row r="4024" spans="1:6" x14ac:dyDescent="0.25">
      <c r="A4024" s="159">
        <v>46168</v>
      </c>
      <c r="B4024" s="152">
        <v>48</v>
      </c>
      <c r="C4024" s="108" t="s">
        <v>19</v>
      </c>
      <c r="D4024" s="110" t="str">
        <f>IF(ISBLANK($B4024),"",IFERROR(VLOOKUP($B4024,ESTOQUE!$B$2:$D$97168,3,FALSE),"Produto não cadastrado"))</f>
        <v>CALÇA CINZA OP. C/ FAIXA REFLETIVA TAM: M</v>
      </c>
      <c r="E4024" s="99" t="s">
        <v>22</v>
      </c>
      <c r="F4024" s="152">
        <v>7</v>
      </c>
    </row>
    <row r="4025" spans="1:6" x14ac:dyDescent="0.25">
      <c r="A4025" s="159">
        <v>46168</v>
      </c>
      <c r="B4025" s="152">
        <v>67</v>
      </c>
      <c r="C4025" s="108" t="s">
        <v>19</v>
      </c>
      <c r="D4025" s="110" t="str">
        <f>IF(ISBLANK($B4025),"",IFERROR(VLOOKUP($B4025,ESTOQUE!$B$2:$D$97168,3,FALSE),"Produto não cadastrado"))</f>
        <v>CAMISA LARANJA OP. C/ FAIXA REFLETIVA TAM: G</v>
      </c>
      <c r="E4025" s="99" t="str">
        <f>_xlfn.XLOOKUP(B4025,ESTOQUE!B:B,ESTOQUE!G:G,"",0)</f>
        <v>UND</v>
      </c>
      <c r="F4025" s="152">
        <v>3</v>
      </c>
    </row>
    <row r="4026" spans="1:6" x14ac:dyDescent="0.25">
      <c r="A4026" s="159">
        <v>46168</v>
      </c>
      <c r="B4026" s="152">
        <v>69</v>
      </c>
      <c r="C4026" s="108" t="s">
        <v>19</v>
      </c>
      <c r="D4026" s="110" t="str">
        <f>IF(ISBLANK($B4026),"",IFERROR(VLOOKUP($B4026,ESTOQUE!$B$2:$D$97168,3,FALSE),"Produto não cadastrado"))</f>
        <v>CAMISA LARANJA OP. C/ FAIXA REFLETIVA TAM: M</v>
      </c>
      <c r="E4026" s="99" t="str">
        <f>_xlfn.XLOOKUP(B4026,ESTOQUE!B:B,ESTOQUE!G:G,"",0)</f>
        <v>UND</v>
      </c>
      <c r="F4026" s="152">
        <v>4</v>
      </c>
    </row>
    <row r="4027" spans="1:6" x14ac:dyDescent="0.25">
      <c r="A4027" s="159">
        <v>46168</v>
      </c>
      <c r="B4027" s="152">
        <v>97</v>
      </c>
      <c r="C4027" s="108" t="s">
        <v>19</v>
      </c>
      <c r="D4027" s="110" t="str">
        <f>IF(ISBLANK($B4027),"",IFERROR(VLOOKUP($B4027,ESTOQUE!$B$2:$D$97168,3,FALSE),"Produto não cadastrado"))</f>
        <v>COLETE REFLETIVO LARANJA M</v>
      </c>
      <c r="E4027" s="99" t="str">
        <f>_xlfn.XLOOKUP(B4027,ESTOQUE!B:B,ESTOQUE!G:G,"",0)</f>
        <v>UND</v>
      </c>
      <c r="F4027" s="152">
        <v>2</v>
      </c>
    </row>
    <row r="4028" spans="1:6" x14ac:dyDescent="0.25">
      <c r="A4028" s="159">
        <v>46168</v>
      </c>
      <c r="B4028" s="152">
        <v>114</v>
      </c>
      <c r="C4028" s="108" t="s">
        <v>19</v>
      </c>
      <c r="D4028" s="110" t="str">
        <f>IF(ISBLANK($B4028),"",IFERROR(VLOOKUP($B4028,ESTOQUE!$B$2:$D$97168,3,FALSE),"Produto não cadastrado"))</f>
        <v xml:space="preserve">LUVA LATEX NITRILICA </v>
      </c>
      <c r="E4028" s="99" t="str">
        <f>_xlfn.XLOOKUP(B4028,ESTOQUE!B:B,ESTOQUE!G:G,"",0)</f>
        <v>PAR</v>
      </c>
      <c r="F4028" s="152">
        <v>1</v>
      </c>
    </row>
    <row r="4029" spans="1:6" x14ac:dyDescent="0.25">
      <c r="A4029" s="159">
        <v>46168</v>
      </c>
      <c r="B4029" s="152">
        <v>126</v>
      </c>
      <c r="C4029" s="108" t="s">
        <v>19</v>
      </c>
      <c r="D4029" s="110" t="str">
        <f>IF(ISBLANK($B4029),"",IFERROR(VLOOKUP($B4029,ESTOQUE!$B$2:$D$97168,3,FALSE),"Produto não cadastrado"))</f>
        <v>OCULOS DE PROTEÇÃO ESCURO</v>
      </c>
      <c r="E4029" s="99" t="str">
        <f>_xlfn.XLOOKUP(B4029,ESTOQUE!B:B,ESTOQUE!G:G,"",0)</f>
        <v>UND</v>
      </c>
      <c r="F4029" s="152">
        <v>1</v>
      </c>
    </row>
    <row r="4030" spans="1:6" x14ac:dyDescent="0.25">
      <c r="A4030" s="159">
        <v>46169</v>
      </c>
      <c r="B4030" s="152">
        <v>228</v>
      </c>
      <c r="C4030" s="108" t="s">
        <v>19</v>
      </c>
      <c r="D4030" s="110" t="str">
        <f>IF(ISBLANK($B4030),"",IFERROR(VLOOKUP($B4030,ESTOQUE!$B$2:$D$97168,3,FALSE),"Produto não cadastrado"))</f>
        <v xml:space="preserve">BALACLAVA  </v>
      </c>
      <c r="E4030" s="99" t="str">
        <f>_xlfn.XLOOKUP(B4030,ESTOQUE!B:B,ESTOQUE!G:G,"",0)</f>
        <v>UND</v>
      </c>
      <c r="F4030" s="152">
        <v>4</v>
      </c>
    </row>
    <row r="4031" spans="1:6" x14ac:dyDescent="0.25">
      <c r="A4031" s="159">
        <v>46169</v>
      </c>
      <c r="B4031" s="152">
        <v>40</v>
      </c>
      <c r="C4031" s="108" t="s">
        <v>19</v>
      </c>
      <c r="D4031" s="110" t="str">
        <f>IF(ISBLANK($B4031),"",IFERROR(VLOOKUP($B4031,ESTOQUE!$B$2:$D$97168,3,FALSE),"Produto não cadastrado"))</f>
        <v>BOTINA OP. BICO PVC Nº 42</v>
      </c>
      <c r="E4031" s="99" t="str">
        <f>_xlfn.XLOOKUP(B4031,ESTOQUE!B:B,ESTOQUE!G:G,"",0)</f>
        <v>PAR</v>
      </c>
      <c r="F4031" s="152">
        <v>1</v>
      </c>
    </row>
    <row r="4032" spans="1:6" x14ac:dyDescent="0.25">
      <c r="A4032" s="159">
        <v>46169</v>
      </c>
      <c r="B4032" s="152">
        <v>217</v>
      </c>
      <c r="C4032" s="108" t="s">
        <v>19</v>
      </c>
      <c r="D4032" s="110" t="str">
        <f>IF(ISBLANK($B4032),"",IFERROR(VLOOKUP($B4032,ESTOQUE!$B$2:$D$97168,3,FALSE),"Produto não cadastrado"))</f>
        <v>BOTINA SEGURANÇA METATARSO  40</v>
      </c>
      <c r="E4032" s="99" t="str">
        <f>_xlfn.XLOOKUP(B4032,ESTOQUE!B:B,ESTOQUE!G:G,"",0)</f>
        <v>PAR</v>
      </c>
      <c r="F4032" s="152">
        <v>1</v>
      </c>
    </row>
    <row r="4033" spans="1:6" x14ac:dyDescent="0.25">
      <c r="A4033" s="159">
        <v>46169</v>
      </c>
      <c r="B4033" s="152">
        <v>218</v>
      </c>
      <c r="C4033" s="108" t="s">
        <v>19</v>
      </c>
      <c r="D4033" s="110" t="str">
        <f>IF(ISBLANK($B4033),"",IFERROR(VLOOKUP($B4033,ESTOQUE!$B$2:$D$97168,3,FALSE),"Produto não cadastrado"))</f>
        <v>BOTINA SEGURANÇA METATARSO  41</v>
      </c>
      <c r="E4033" s="99" t="str">
        <f>_xlfn.XLOOKUP(B4033,ESTOQUE!B:B,ESTOQUE!G:G,"",0)</f>
        <v>PAR</v>
      </c>
      <c r="F4033" s="152">
        <v>3</v>
      </c>
    </row>
    <row r="4034" spans="1:6" x14ac:dyDescent="0.25">
      <c r="A4034" s="159">
        <v>46169</v>
      </c>
      <c r="B4034" s="152">
        <v>219</v>
      </c>
      <c r="C4034" s="108" t="s">
        <v>19</v>
      </c>
      <c r="D4034" s="110" t="str">
        <f>IF(ISBLANK($B4034),"",IFERROR(VLOOKUP($B4034,ESTOQUE!$B$2:$D$97168,3,FALSE),"Produto não cadastrado"))</f>
        <v>BOTINA SEGURANÇA METATARSO  42</v>
      </c>
      <c r="E4034" s="99" t="str">
        <f>_xlfn.XLOOKUP(B4034,ESTOQUE!B:B,ESTOQUE!G:G,"",0)</f>
        <v>PAR</v>
      </c>
      <c r="F4034" s="152">
        <v>1</v>
      </c>
    </row>
    <row r="4035" spans="1:6" x14ac:dyDescent="0.25">
      <c r="A4035" s="159">
        <v>46169</v>
      </c>
      <c r="B4035" s="152">
        <v>41</v>
      </c>
      <c r="C4035" s="108" t="s">
        <v>19</v>
      </c>
      <c r="D4035" s="110" t="str">
        <f>IF(ISBLANK($B4035),"",IFERROR(VLOOKUP($B4035,ESTOQUE!$B$2:$D$97168,3,FALSE),"Produto não cadastrado"))</f>
        <v>BOTINA OP. BICO PVC Nº 43</v>
      </c>
      <c r="E4035" s="99" t="str">
        <f>_xlfn.XLOOKUP(B4035,ESTOQUE!B:B,ESTOQUE!G:G,"",0)</f>
        <v>PAR</v>
      </c>
      <c r="F4035" s="152">
        <v>1</v>
      </c>
    </row>
    <row r="4036" spans="1:6" x14ac:dyDescent="0.25">
      <c r="A4036" s="159">
        <v>46169</v>
      </c>
      <c r="B4036" s="152">
        <v>46</v>
      </c>
      <c r="C4036" s="108" t="s">
        <v>19</v>
      </c>
      <c r="D4036" s="110" t="str">
        <f>IF(ISBLANK($B4036),"",IFERROR(VLOOKUP($B4036,ESTOQUE!$B$2:$D$97168,3,FALSE),"Produto não cadastrado"))</f>
        <v>CALÇA CINZA OP. C/ FAIXA REFLETIVA TAM: G</v>
      </c>
      <c r="E4036" s="99" t="str">
        <f>_xlfn.XLOOKUP(B4036,ESTOQUE!B:B,ESTOQUE!G:G,"",0)</f>
        <v>UND</v>
      </c>
      <c r="F4036" s="152">
        <v>3</v>
      </c>
    </row>
    <row r="4037" spans="1:6" x14ac:dyDescent="0.25">
      <c r="A4037" s="159">
        <v>46169</v>
      </c>
      <c r="B4037" s="152">
        <v>47</v>
      </c>
      <c r="C4037" s="108" t="s">
        <v>19</v>
      </c>
      <c r="D4037" s="110" t="str">
        <f>IF(ISBLANK($B4037),"",IFERROR(VLOOKUP($B4037,ESTOQUE!$B$2:$D$97168,3,FALSE),"Produto não cadastrado"))</f>
        <v>CALÇA CINZA OP. C/ FAIXA REFLETIVA TAM: GG</v>
      </c>
      <c r="E4037" s="99" t="str">
        <f>_xlfn.XLOOKUP(B4037,ESTOQUE!B:B,ESTOQUE!G:G,"",0)</f>
        <v>UND</v>
      </c>
      <c r="F4037" s="152">
        <v>1</v>
      </c>
    </row>
    <row r="4038" spans="1:6" x14ac:dyDescent="0.25">
      <c r="A4038" s="159">
        <v>46169</v>
      </c>
      <c r="B4038" s="152">
        <v>48</v>
      </c>
      <c r="C4038" s="108" t="s">
        <v>19</v>
      </c>
      <c r="D4038" s="110" t="str">
        <f>IF(ISBLANK($B4038),"",IFERROR(VLOOKUP($B4038,ESTOQUE!$B$2:$D$97168,3,FALSE),"Produto não cadastrado"))</f>
        <v>CALÇA CINZA OP. C/ FAIXA REFLETIVA TAM: M</v>
      </c>
      <c r="E4038" s="99" t="str">
        <f>_xlfn.XLOOKUP(B4038,ESTOQUE!B:B,ESTOQUE!G:G,"",0)</f>
        <v>UND</v>
      </c>
      <c r="F4038" s="152">
        <v>3</v>
      </c>
    </row>
    <row r="4039" spans="1:6" x14ac:dyDescent="0.25">
      <c r="A4039" s="159">
        <v>46169</v>
      </c>
      <c r="B4039" s="152">
        <v>49</v>
      </c>
      <c r="C4039" s="108" t="s">
        <v>19</v>
      </c>
      <c r="D4039" s="110" t="str">
        <f>IF(ISBLANK($B4039),"",IFERROR(VLOOKUP($B4039,ESTOQUE!$B$2:$D$97168,3,FALSE),"Produto não cadastrado"))</f>
        <v>CALÇA CINZA OP. C/ FAIXA REFLETIVA TAM: P</v>
      </c>
      <c r="E4039" s="99" t="str">
        <f>_xlfn.XLOOKUP(B4039,ESTOQUE!B:B,ESTOQUE!G:G,"",0)</f>
        <v>UND</v>
      </c>
      <c r="F4039" s="152">
        <v>2</v>
      </c>
    </row>
    <row r="4040" spans="1:6" x14ac:dyDescent="0.25">
      <c r="A4040" s="159">
        <v>46169</v>
      </c>
      <c r="B4040" s="152">
        <v>67</v>
      </c>
      <c r="C4040" s="108" t="s">
        <v>19</v>
      </c>
      <c r="D4040" s="110" t="str">
        <f>IF(ISBLANK($B4040),"",IFERROR(VLOOKUP($B4040,ESTOQUE!$B$2:$D$97168,3,FALSE),"Produto não cadastrado"))</f>
        <v>CAMISA LARANJA OP. C/ FAIXA REFLETIVA TAM: G</v>
      </c>
      <c r="E4040" s="99" t="str">
        <f>_xlfn.XLOOKUP(B4040,ESTOQUE!B:B,ESTOQUE!G:G,"",0)</f>
        <v>UND</v>
      </c>
      <c r="F4040" s="152">
        <v>8</v>
      </c>
    </row>
    <row r="4041" spans="1:6" x14ac:dyDescent="0.25">
      <c r="A4041" s="159">
        <v>46169</v>
      </c>
      <c r="B4041" s="152">
        <v>70</v>
      </c>
      <c r="C4041" s="108" t="s">
        <v>19</v>
      </c>
      <c r="D4041" s="110" t="str">
        <f>IF(ISBLANK($B4041),"",IFERROR(VLOOKUP($B4041,ESTOQUE!$B$2:$D$97168,3,FALSE),"Produto não cadastrado"))</f>
        <v>CAMISA LARANJA OP. C/ FAIXA REFLETIVA TAM: P</v>
      </c>
      <c r="E4041" s="99" t="str">
        <f>_xlfn.XLOOKUP(B4041,ESTOQUE!B:B,ESTOQUE!G:G,"",0)</f>
        <v>UND</v>
      </c>
      <c r="F4041" s="152">
        <v>1</v>
      </c>
    </row>
    <row r="4042" spans="1:6" x14ac:dyDescent="0.25">
      <c r="A4042" s="159">
        <v>46169</v>
      </c>
      <c r="B4042" s="152">
        <v>186</v>
      </c>
      <c r="C4042" s="108" t="s">
        <v>19</v>
      </c>
      <c r="D4042" s="110" t="str">
        <f>IF(ISBLANK($B4042),"",IFERROR(VLOOKUP($B4042,ESTOQUE!$B$2:$D$97168,3,FALSE),"Produto não cadastrado"))</f>
        <v>COLETE REFLETIVO LARANJA GG</v>
      </c>
      <c r="E4042" s="99" t="str">
        <f>_xlfn.XLOOKUP(B4042,ESTOQUE!B:B,ESTOQUE!G:G,"",0)</f>
        <v>UND</v>
      </c>
      <c r="F4042" s="152">
        <v>0</v>
      </c>
    </row>
    <row r="4043" spans="1:6" x14ac:dyDescent="0.25">
      <c r="A4043" s="159">
        <v>46169</v>
      </c>
      <c r="B4043" s="152">
        <v>117</v>
      </c>
      <c r="C4043" s="108" t="s">
        <v>19</v>
      </c>
      <c r="D4043" s="110" t="str">
        <f>IF(ISBLANK($B4043),"",IFERROR(VLOOKUP($B4043,ESTOQUE!$B$2:$D$97168,3,FALSE),"Produto não cadastrado"))</f>
        <v>LUVA PIGMENTADA</v>
      </c>
      <c r="E4043" s="99" t="str">
        <f>_xlfn.XLOOKUP(B4043,ESTOQUE!B:B,ESTOQUE!G:G,"",0)</f>
        <v>PAR</v>
      </c>
      <c r="F4043" s="152">
        <v>1</v>
      </c>
    </row>
    <row r="4044" spans="1:6" x14ac:dyDescent="0.25">
      <c r="A4044" s="159">
        <v>46169</v>
      </c>
      <c r="B4044" s="152">
        <v>118</v>
      </c>
      <c r="C4044" s="108" t="s">
        <v>19</v>
      </c>
      <c r="D4044" s="110" t="str">
        <f>IF(ISBLANK($B4044),"",IFERROR(VLOOKUP($B4044,ESTOQUE!$B$2:$D$97168,3,FALSE),"Produto não cadastrado"))</f>
        <v>MACACÃO DE PROTEÇÃO TYVEK</v>
      </c>
      <c r="E4044" s="99" t="str">
        <f>_xlfn.XLOOKUP(B4044,ESTOQUE!B:B,ESTOQUE!G:G,"",0)</f>
        <v>UND</v>
      </c>
      <c r="F4044" s="152">
        <v>1</v>
      </c>
    </row>
    <row r="4045" spans="1:6" x14ac:dyDescent="0.25">
      <c r="A4045" s="159">
        <v>46169</v>
      </c>
      <c r="B4045" s="152">
        <v>126</v>
      </c>
      <c r="C4045" s="108" t="s">
        <v>19</v>
      </c>
      <c r="D4045" s="110" t="str">
        <f>IF(ISBLANK($B4045),"",IFERROR(VLOOKUP($B4045,ESTOQUE!$B$2:$D$97168,3,FALSE),"Produto não cadastrado"))</f>
        <v>OCULOS DE PROTEÇÃO ESCURO</v>
      </c>
      <c r="E4045" s="99" t="str">
        <f>_xlfn.XLOOKUP(B4045,ESTOQUE!B:B,ESTOQUE!G:G,"",0)</f>
        <v>UND</v>
      </c>
      <c r="F4045" s="152">
        <v>4</v>
      </c>
    </row>
    <row r="4046" spans="1:6" x14ac:dyDescent="0.25">
      <c r="A4046" s="159">
        <v>46170</v>
      </c>
      <c r="B4046" s="152">
        <v>228</v>
      </c>
      <c r="C4046" s="108" t="s">
        <v>19</v>
      </c>
      <c r="D4046" s="110" t="str">
        <f>IF(ISBLANK($B4046),"",IFERROR(VLOOKUP($B4046,ESTOQUE!$B$2:$D$97168,3,FALSE),"Produto não cadastrado"))</f>
        <v xml:space="preserve">BALACLAVA  </v>
      </c>
      <c r="E4046" s="99" t="str">
        <f>_xlfn.XLOOKUP(B4046,ESTOQUE!B:B,ESTOQUE!G:G,"",0)</f>
        <v>UND</v>
      </c>
      <c r="F4046" s="152">
        <v>8</v>
      </c>
    </row>
    <row r="4047" spans="1:6" x14ac:dyDescent="0.25">
      <c r="A4047" s="159">
        <v>46170</v>
      </c>
      <c r="B4047" s="152">
        <v>174</v>
      </c>
      <c r="C4047" s="108" t="s">
        <v>19</v>
      </c>
      <c r="D4047" s="110" t="str">
        <f>IF(ISBLANK($B4047),"",IFERROR(VLOOKUP($B4047,ESTOQUE!$B$2:$D$97168,3,FALSE),"Produto não cadastrado"))</f>
        <v>BOTA PVC CANO CURTO Nº 43</v>
      </c>
      <c r="E4047" s="99" t="str">
        <f>_xlfn.XLOOKUP(B4047,ESTOQUE!B:B,ESTOQUE!G:G,"",0)</f>
        <v>PAR</v>
      </c>
      <c r="F4047" s="152">
        <v>1</v>
      </c>
    </row>
    <row r="4048" spans="1:6" x14ac:dyDescent="0.25">
      <c r="A4048" s="159">
        <v>46170</v>
      </c>
      <c r="B4048" s="152">
        <v>13</v>
      </c>
      <c r="C4048" s="108" t="s">
        <v>19</v>
      </c>
      <c r="D4048" s="110" t="str">
        <f>IF(ISBLANK($B4048),"",IFERROR(VLOOKUP($B4048,ESTOQUE!$B$2:$D$97168,3,FALSE),"Produto não cadastrado"))</f>
        <v>BOTA PVC CANO LONGO Nº 45</v>
      </c>
      <c r="E4048" s="99" t="str">
        <f>_xlfn.XLOOKUP(B4048,ESTOQUE!B:B,ESTOQUE!G:G,"",0)</f>
        <v>PAR</v>
      </c>
      <c r="F4048" s="152">
        <v>1</v>
      </c>
    </row>
    <row r="4049" spans="1:6" x14ac:dyDescent="0.25">
      <c r="A4049" s="159">
        <v>46170</v>
      </c>
      <c r="B4049" s="152">
        <v>217</v>
      </c>
      <c r="C4049" s="108" t="s">
        <v>19</v>
      </c>
      <c r="D4049" s="110" t="str">
        <f>IF(ISBLANK($B4049),"",IFERROR(VLOOKUP($B4049,ESTOQUE!$B$2:$D$97168,3,FALSE),"Produto não cadastrado"))</f>
        <v>BOTINA SEGURANÇA METATARSO  40</v>
      </c>
      <c r="E4049" s="99" t="str">
        <f>_xlfn.XLOOKUP(B4049,ESTOQUE!B:B,ESTOQUE!G:G,"",0)</f>
        <v>PAR</v>
      </c>
      <c r="F4049" s="152">
        <v>1</v>
      </c>
    </row>
    <row r="4050" spans="1:6" x14ac:dyDescent="0.25">
      <c r="A4050" s="159">
        <v>46170</v>
      </c>
      <c r="B4050" s="152">
        <v>218</v>
      </c>
      <c r="C4050" s="108" t="s">
        <v>19</v>
      </c>
      <c r="D4050" s="110" t="str">
        <f>IF(ISBLANK($B4050),"",IFERROR(VLOOKUP($B4050,ESTOQUE!$B$2:$D$97168,3,FALSE),"Produto não cadastrado"))</f>
        <v>BOTINA SEGURANÇA METATARSO  41</v>
      </c>
      <c r="E4050" s="99" t="str">
        <f>_xlfn.XLOOKUP(B4050,ESTOQUE!B:B,ESTOQUE!G:G,"",0)</f>
        <v>PAR</v>
      </c>
      <c r="F4050" s="152">
        <v>1</v>
      </c>
    </row>
    <row r="4051" spans="1:6" x14ac:dyDescent="0.25">
      <c r="A4051" s="159">
        <v>46170</v>
      </c>
      <c r="B4051" s="152">
        <v>219</v>
      </c>
      <c r="C4051" s="108" t="s">
        <v>19</v>
      </c>
      <c r="D4051" s="110" t="str">
        <f>IF(ISBLANK($B4051),"",IFERROR(VLOOKUP($B4051,ESTOQUE!$B$2:$D$97168,3,FALSE),"Produto não cadastrado"))</f>
        <v>BOTINA SEGURANÇA METATARSO  42</v>
      </c>
      <c r="E4051" s="99" t="str">
        <f>_xlfn.XLOOKUP(B4051,ESTOQUE!B:B,ESTOQUE!G:G,"",0)</f>
        <v>PAR</v>
      </c>
      <c r="F4051" s="152">
        <v>1</v>
      </c>
    </row>
    <row r="4052" spans="1:6" x14ac:dyDescent="0.25">
      <c r="A4052" s="159">
        <v>46170</v>
      </c>
      <c r="B4052" s="152">
        <v>44</v>
      </c>
      <c r="C4052" s="108" t="s">
        <v>19</v>
      </c>
      <c r="D4052" s="110" t="str">
        <f>IF(ISBLANK($B4052),"",IFERROR(VLOOKUP($B4052,ESTOQUE!$B$2:$D$97168,3,FALSE),"Produto não cadastrado"))</f>
        <v>BOTINA OP. BICO PVC Nº 46</v>
      </c>
      <c r="E4052" s="99" t="str">
        <f>_xlfn.XLOOKUP(B4052,ESTOQUE!B:B,ESTOQUE!G:G,"",0)</f>
        <v>PAR</v>
      </c>
      <c r="F4052" s="152">
        <v>1</v>
      </c>
    </row>
    <row r="4053" spans="1:6" x14ac:dyDescent="0.25">
      <c r="A4053" s="159">
        <v>46170</v>
      </c>
      <c r="B4053" s="152">
        <v>46</v>
      </c>
      <c r="C4053" s="108" t="s">
        <v>19</v>
      </c>
      <c r="D4053" s="110" t="str">
        <f>IF(ISBLANK($B4053),"",IFERROR(VLOOKUP($B4053,ESTOQUE!$B$2:$D$97168,3,FALSE),"Produto não cadastrado"))</f>
        <v>CALÇA CINZA OP. C/ FAIXA REFLETIVA TAM: G</v>
      </c>
      <c r="E4053" s="99" t="str">
        <f>_xlfn.XLOOKUP(B4053,ESTOQUE!B:B,ESTOQUE!G:G,"",0)</f>
        <v>UND</v>
      </c>
      <c r="F4053" s="152">
        <v>4</v>
      </c>
    </row>
    <row r="4054" spans="1:6" x14ac:dyDescent="0.25">
      <c r="A4054" s="159">
        <v>46170</v>
      </c>
      <c r="B4054" s="152">
        <v>47</v>
      </c>
      <c r="C4054" s="108" t="s">
        <v>19</v>
      </c>
      <c r="D4054" s="110" t="str">
        <f>IF(ISBLANK($B4054),"",IFERROR(VLOOKUP($B4054,ESTOQUE!$B$2:$D$97168,3,FALSE),"Produto não cadastrado"))</f>
        <v>CALÇA CINZA OP. C/ FAIXA REFLETIVA TAM: GG</v>
      </c>
      <c r="E4054" s="99" t="str">
        <f>_xlfn.XLOOKUP(B4054,ESTOQUE!B:B,ESTOQUE!G:G,"",0)</f>
        <v>UND</v>
      </c>
      <c r="F4054" s="152">
        <v>1</v>
      </c>
    </row>
    <row r="4055" spans="1:6" x14ac:dyDescent="0.25">
      <c r="A4055" s="159">
        <v>46170</v>
      </c>
      <c r="B4055" s="152">
        <v>48</v>
      </c>
      <c r="C4055" s="108" t="s">
        <v>19</v>
      </c>
      <c r="D4055" s="110" t="str">
        <f>IF(ISBLANK($B4055),"",IFERROR(VLOOKUP($B4055,ESTOQUE!$B$2:$D$97168,3,FALSE),"Produto não cadastrado"))</f>
        <v>CALÇA CINZA OP. C/ FAIXA REFLETIVA TAM: M</v>
      </c>
      <c r="E4055" s="99" t="str">
        <f>_xlfn.XLOOKUP(B4055,ESTOQUE!B:B,ESTOQUE!G:G,"",0)</f>
        <v>UND</v>
      </c>
      <c r="F4055" s="152">
        <v>11</v>
      </c>
    </row>
    <row r="4056" spans="1:6" x14ac:dyDescent="0.25">
      <c r="A4056" s="159">
        <v>46170</v>
      </c>
      <c r="B4056" s="152">
        <v>49</v>
      </c>
      <c r="C4056" s="108" t="s">
        <v>19</v>
      </c>
      <c r="D4056" s="110" t="str">
        <f>IF(ISBLANK($B4056),"",IFERROR(VLOOKUP($B4056,ESTOQUE!$B$2:$D$97168,3,FALSE),"Produto não cadastrado"))</f>
        <v>CALÇA CINZA OP. C/ FAIXA REFLETIVA TAM: P</v>
      </c>
      <c r="E4056" s="99" t="str">
        <f>_xlfn.XLOOKUP(B4056,ESTOQUE!B:B,ESTOQUE!G:G,"",0)</f>
        <v>UND</v>
      </c>
      <c r="F4056" s="152">
        <v>1</v>
      </c>
    </row>
    <row r="4057" spans="1:6" x14ac:dyDescent="0.25">
      <c r="A4057" s="159">
        <v>46170</v>
      </c>
      <c r="B4057" s="152">
        <v>67</v>
      </c>
      <c r="C4057" s="108" t="s">
        <v>19</v>
      </c>
      <c r="D4057" s="110" t="str">
        <f>IF(ISBLANK($B4057),"",IFERROR(VLOOKUP($B4057,ESTOQUE!$B$2:$D$97168,3,FALSE),"Produto não cadastrado"))</f>
        <v>CAMISA LARANJA OP. C/ FAIXA REFLETIVA TAM: G</v>
      </c>
      <c r="E4057" s="99" t="str">
        <f>_xlfn.XLOOKUP(B4057,ESTOQUE!B:B,ESTOQUE!G:G,"",0)</f>
        <v>UND</v>
      </c>
      <c r="F4057" s="152">
        <v>3</v>
      </c>
    </row>
    <row r="4058" spans="1:6" x14ac:dyDescent="0.25">
      <c r="A4058" s="159">
        <v>46170</v>
      </c>
      <c r="B4058" s="152">
        <v>68</v>
      </c>
      <c r="C4058" s="108" t="s">
        <v>19</v>
      </c>
      <c r="D4058" s="110" t="str">
        <f>IF(ISBLANK($B4058),"",IFERROR(VLOOKUP($B4058,ESTOQUE!$B$2:$D$97168,3,FALSE),"Produto não cadastrado"))</f>
        <v>CAMISA LARANJA OP. C/ FAIXA REFLETIVA TAM: GG</v>
      </c>
      <c r="E4058" s="99" t="str">
        <f>_xlfn.XLOOKUP(B4058,ESTOQUE!B:B,ESTOQUE!G:G,"",0)</f>
        <v>UND</v>
      </c>
      <c r="F4058" s="152">
        <v>1</v>
      </c>
    </row>
    <row r="4059" spans="1:6" x14ac:dyDescent="0.25">
      <c r="A4059" s="159">
        <v>46170</v>
      </c>
      <c r="B4059" s="152">
        <v>69</v>
      </c>
      <c r="C4059" s="108" t="s">
        <v>19</v>
      </c>
      <c r="D4059" s="110" t="str">
        <f>IF(ISBLANK($B4059),"",IFERROR(VLOOKUP($B4059,ESTOQUE!$B$2:$D$97168,3,FALSE),"Produto não cadastrado"))</f>
        <v>CAMISA LARANJA OP. C/ FAIXA REFLETIVA TAM: M</v>
      </c>
      <c r="E4059" s="99" t="str">
        <f>_xlfn.XLOOKUP(B4059,ESTOQUE!B:B,ESTOQUE!G:G,"",0)</f>
        <v>UND</v>
      </c>
      <c r="F4059" s="152">
        <v>5</v>
      </c>
    </row>
    <row r="4060" spans="1:6" x14ac:dyDescent="0.25">
      <c r="A4060" s="159">
        <v>46170</v>
      </c>
      <c r="B4060" s="152">
        <v>70</v>
      </c>
      <c r="C4060" s="108" t="s">
        <v>19</v>
      </c>
      <c r="D4060" s="110" t="str">
        <f>IF(ISBLANK($B4060),"",IFERROR(VLOOKUP($B4060,ESTOQUE!$B$2:$D$97168,3,FALSE),"Produto não cadastrado"))</f>
        <v>CAMISA LARANJA OP. C/ FAIXA REFLETIVA TAM: P</v>
      </c>
      <c r="E4060" s="99" t="str">
        <f>_xlfn.XLOOKUP(B4060,ESTOQUE!B:B,ESTOQUE!G:G,"",0)</f>
        <v>UND</v>
      </c>
      <c r="F4060" s="152">
        <v>3</v>
      </c>
    </row>
    <row r="4061" spans="1:6" x14ac:dyDescent="0.25">
      <c r="A4061" s="159">
        <v>46170</v>
      </c>
      <c r="B4061" s="152">
        <v>75</v>
      </c>
      <c r="C4061" s="108" t="s">
        <v>19</v>
      </c>
      <c r="D4061" s="110" t="str">
        <f>IF(ISBLANK($B4061),"",IFERROR(VLOOKUP($B4061,ESTOQUE!$B$2:$D$97168,3,FALSE),"Produto não cadastrado"))</f>
        <v>CAPACETE CAMPER AZUL ESCURO</v>
      </c>
      <c r="E4061" s="99" t="str">
        <f>_xlfn.XLOOKUP(B4061,ESTOQUE!B:B,ESTOQUE!G:G,"",0)</f>
        <v>UND</v>
      </c>
      <c r="F4061" s="152">
        <v>1</v>
      </c>
    </row>
    <row r="4062" spans="1:6" x14ac:dyDescent="0.25">
      <c r="A4062" s="159">
        <v>46170</v>
      </c>
      <c r="B4062" s="152">
        <v>97</v>
      </c>
      <c r="C4062" s="108" t="s">
        <v>19</v>
      </c>
      <c r="D4062" s="110" t="str">
        <f>IF(ISBLANK($B4062),"",IFERROR(VLOOKUP($B4062,ESTOQUE!$B$2:$D$97168,3,FALSE),"Produto não cadastrado"))</f>
        <v>COLETE REFLETIVO LARANJA M</v>
      </c>
      <c r="E4062" s="99" t="str">
        <f>_xlfn.XLOOKUP(B4062,ESTOQUE!B:B,ESTOQUE!G:G,"",0)</f>
        <v>UND</v>
      </c>
      <c r="F4062" s="152">
        <v>1</v>
      </c>
    </row>
    <row r="4063" spans="1:6" x14ac:dyDescent="0.25">
      <c r="A4063" s="159">
        <v>46170</v>
      </c>
      <c r="B4063" s="152">
        <v>117</v>
      </c>
      <c r="C4063" s="108" t="s">
        <v>19</v>
      </c>
      <c r="D4063" s="110" t="str">
        <f>IF(ISBLANK($B4063),"",IFERROR(VLOOKUP($B4063,ESTOQUE!$B$2:$D$97168,3,FALSE),"Produto não cadastrado"))</f>
        <v>LUVA PIGMENTADA</v>
      </c>
      <c r="E4063" s="99" t="str">
        <f>_xlfn.XLOOKUP(B4063,ESTOQUE!B:B,ESTOQUE!G:G,"",0)</f>
        <v>PAR</v>
      </c>
      <c r="F4063" s="152">
        <v>60</v>
      </c>
    </row>
    <row r="4064" spans="1:6" x14ac:dyDescent="0.25">
      <c r="A4064" s="159">
        <v>46170</v>
      </c>
      <c r="B4064" s="152">
        <v>118</v>
      </c>
      <c r="C4064" s="108" t="s">
        <v>19</v>
      </c>
      <c r="D4064" s="110" t="str">
        <f>IF(ISBLANK($B4064),"",IFERROR(VLOOKUP($B4064,ESTOQUE!$B$2:$D$97168,3,FALSE),"Produto não cadastrado"))</f>
        <v>MACACÃO DE PROTEÇÃO TYVEK</v>
      </c>
      <c r="E4064" s="99" t="str">
        <f>_xlfn.XLOOKUP(B4064,ESTOQUE!B:B,ESTOQUE!G:G,"",0)</f>
        <v>UND</v>
      </c>
      <c r="F4064" s="152">
        <v>3</v>
      </c>
    </row>
    <row r="4065" spans="1:6" x14ac:dyDescent="0.25">
      <c r="A4065" s="159">
        <v>46170</v>
      </c>
      <c r="B4065" s="152">
        <v>144</v>
      </c>
      <c r="C4065" s="108" t="s">
        <v>19</v>
      </c>
      <c r="D4065" s="110" t="str">
        <f>IF(ISBLANK($B4065),"",IFERROR(VLOOKUP($B4065,ESTOQUE!$B$2:$D$97168,3,FALSE),"Produto não cadastrado"))</f>
        <v>MASCARA PFF2-S C/ FILTRO</v>
      </c>
      <c r="E4065" s="99" t="str">
        <f>_xlfn.XLOOKUP(B4065,ESTOQUE!B:B,ESTOQUE!G:G,"",0)</f>
        <v>UND</v>
      </c>
      <c r="F4065" s="152">
        <v>9</v>
      </c>
    </row>
    <row r="4066" spans="1:6" x14ac:dyDescent="0.25">
      <c r="A4066" s="159">
        <v>46170</v>
      </c>
      <c r="B4066" s="152">
        <v>126</v>
      </c>
      <c r="C4066" s="108" t="s">
        <v>19</v>
      </c>
      <c r="D4066" s="110" t="str">
        <f>IF(ISBLANK($B4066),"",IFERROR(VLOOKUP($B4066,ESTOQUE!$B$2:$D$97168,3,FALSE),"Produto não cadastrado"))</f>
        <v>OCULOS DE PROTEÇÃO ESCURO</v>
      </c>
      <c r="E4066" s="99" t="str">
        <f>_xlfn.XLOOKUP(B4066,ESTOQUE!B:B,ESTOQUE!G:G,"",0)</f>
        <v>UND</v>
      </c>
      <c r="F4066" s="152">
        <v>2</v>
      </c>
    </row>
    <row r="4067" spans="1:6" x14ac:dyDescent="0.25">
      <c r="A4067" s="159">
        <v>46170</v>
      </c>
      <c r="B4067" s="152">
        <v>124</v>
      </c>
      <c r="C4067" s="108" t="s">
        <v>19</v>
      </c>
      <c r="D4067" s="110" t="str">
        <f>IF(ISBLANK($B4067),"",IFERROR(VLOOKUP($B4067,ESTOQUE!$B$2:$D$97168,3,FALSE),"Produto não cadastrado"))</f>
        <v xml:space="preserve">OCULOS DE PROTEÇÃO INCOLOR </v>
      </c>
      <c r="E4067" s="99" t="str">
        <f>_xlfn.XLOOKUP(B4067,ESTOQUE!B:B,ESTOQUE!G:G,"",0)</f>
        <v>UND</v>
      </c>
      <c r="F4067" s="152">
        <v>1</v>
      </c>
    </row>
    <row r="4068" spans="1:6" x14ac:dyDescent="0.25">
      <c r="A4068" s="9">
        <v>46171</v>
      </c>
      <c r="B4068" s="152">
        <v>228</v>
      </c>
      <c r="C4068" s="108" t="s">
        <v>19</v>
      </c>
      <c r="D4068" s="110" t="str">
        <f>IF(ISBLANK($B4068),"",IFERROR(VLOOKUP($B4068,ESTOQUE!$B$2:$D$97168,3,FALSE),"Produto não cadastrado"))</f>
        <v xml:space="preserve">BALACLAVA  </v>
      </c>
      <c r="E4068" s="99" t="str">
        <f>_xlfn.XLOOKUP(B4068,ESTOQUE!B:B,ESTOQUE!G:G,"",0)</f>
        <v>UND</v>
      </c>
      <c r="F4068" s="152">
        <v>12</v>
      </c>
    </row>
    <row r="4069" spans="1:6" x14ac:dyDescent="0.25">
      <c r="A4069" s="161">
        <v>46171</v>
      </c>
      <c r="B4069" s="152">
        <v>217</v>
      </c>
      <c r="C4069" s="108" t="s">
        <v>19</v>
      </c>
      <c r="D4069" s="110" t="str">
        <f>IF(ISBLANK($B4069),"",IFERROR(VLOOKUP($B4069,ESTOQUE!$B$2:$D$97168,3,FALSE),"Produto não cadastrado"))</f>
        <v>BOTINA SEGURANÇA METATARSO  40</v>
      </c>
      <c r="E4069" s="99" t="str">
        <f>_xlfn.XLOOKUP(B4069,ESTOQUE!B:B,ESTOQUE!G:G,"",0)</f>
        <v>PAR</v>
      </c>
      <c r="F4069" s="152">
        <v>1</v>
      </c>
    </row>
    <row r="4070" spans="1:6" x14ac:dyDescent="0.25">
      <c r="A4070" s="162">
        <v>46171</v>
      </c>
      <c r="B4070" s="160">
        <v>218</v>
      </c>
      <c r="C4070" s="108" t="s">
        <v>19</v>
      </c>
      <c r="D4070" s="110" t="str">
        <f>IF(ISBLANK($B4070),"",IFERROR(VLOOKUP($B4070,ESTOQUE!$B$2:$D$97168,3,FALSE),"Produto não cadastrado"))</f>
        <v>BOTINA SEGURANÇA METATARSO  41</v>
      </c>
      <c r="E4070" s="99" t="str">
        <f>_xlfn.XLOOKUP(B4070,ESTOQUE!B:B,ESTOQUE!G:G,"",0)</f>
        <v>PAR</v>
      </c>
      <c r="F4070" s="152">
        <v>2</v>
      </c>
    </row>
    <row r="4071" spans="1:6" x14ac:dyDescent="0.25">
      <c r="A4071" s="162">
        <v>46171</v>
      </c>
      <c r="B4071" s="160">
        <v>48</v>
      </c>
      <c r="C4071" s="108" t="s">
        <v>19</v>
      </c>
      <c r="D4071" s="110" t="str">
        <f>IF(ISBLANK($B4071),"",IFERROR(VLOOKUP($B4071,ESTOQUE!$B$2:$D$97168,3,FALSE),"Produto não cadastrado"))</f>
        <v>CALÇA CINZA OP. C/ FAIXA REFLETIVA TAM: M</v>
      </c>
      <c r="E4071" s="99" t="str">
        <f>_xlfn.XLOOKUP(B4071,ESTOQUE!B:B,ESTOQUE!G:G,"",0)</f>
        <v>UND</v>
      </c>
      <c r="F4071" s="152">
        <v>11</v>
      </c>
    </row>
    <row r="4072" spans="1:6" x14ac:dyDescent="0.25">
      <c r="A4072" s="162">
        <v>46171</v>
      </c>
      <c r="B4072" s="160">
        <v>46</v>
      </c>
      <c r="C4072" s="108" t="s">
        <v>19</v>
      </c>
      <c r="D4072" s="110" t="str">
        <f>IF(ISBLANK($B4072),"",IFERROR(VLOOKUP($B4072,ESTOQUE!$B$2:$D$97168,3,FALSE),"Produto não cadastrado"))</f>
        <v>CALÇA CINZA OP. C/ FAIXA REFLETIVA TAM: G</v>
      </c>
      <c r="E4072" s="99" t="str">
        <f>_xlfn.XLOOKUP(B4072,ESTOQUE!B:B,ESTOQUE!G:G,"",0)</f>
        <v>UND</v>
      </c>
      <c r="F4072" s="152">
        <v>2</v>
      </c>
    </row>
    <row r="4073" spans="1:6" x14ac:dyDescent="0.25">
      <c r="A4073" s="162">
        <v>46171</v>
      </c>
      <c r="B4073" s="152">
        <v>47</v>
      </c>
      <c r="C4073" s="108" t="s">
        <v>19</v>
      </c>
      <c r="D4073" s="110" t="str">
        <f>IF(ISBLANK($B4073),"",IFERROR(VLOOKUP($B4073,ESTOQUE!$B$2:$D$97168,3,FALSE),"Produto não cadastrado"))</f>
        <v>CALÇA CINZA OP. C/ FAIXA REFLETIVA TAM: GG</v>
      </c>
      <c r="E4073" s="99" t="str">
        <f>_xlfn.XLOOKUP(B4073,ESTOQUE!B:B,ESTOQUE!G:G,"",0)</f>
        <v>UND</v>
      </c>
      <c r="F4073" s="152">
        <v>2</v>
      </c>
    </row>
    <row r="4074" spans="1:6" x14ac:dyDescent="0.25">
      <c r="A4074" s="162">
        <v>46171</v>
      </c>
      <c r="B4074" s="152">
        <v>219</v>
      </c>
      <c r="C4074" s="108" t="s">
        <v>19</v>
      </c>
      <c r="D4074" s="110" t="str">
        <f>IF(ISBLANK($B4074),"",IFERROR(VLOOKUP($B4074,ESTOQUE!$B$2:$D$97168,3,FALSE),"Produto não cadastrado"))</f>
        <v>BOTINA SEGURANÇA METATARSO  42</v>
      </c>
      <c r="E4074" s="99" t="str">
        <f>_xlfn.XLOOKUP(B4074,ESTOQUE!B:B,ESTOQUE!G:G,"",0)</f>
        <v>PAR</v>
      </c>
      <c r="F4074" s="152">
        <v>1</v>
      </c>
    </row>
    <row r="4075" spans="1:6" x14ac:dyDescent="0.25">
      <c r="A4075" s="162">
        <v>46171</v>
      </c>
      <c r="B4075" s="152">
        <v>49</v>
      </c>
      <c r="C4075" s="108" t="s">
        <v>19</v>
      </c>
      <c r="D4075" s="110" t="str">
        <f>IF(ISBLANK($B4075),"",IFERROR(VLOOKUP($B4075,ESTOQUE!$B$2:$D$97168,3,FALSE),"Produto não cadastrado"))</f>
        <v>CALÇA CINZA OP. C/ FAIXA REFLETIVA TAM: P</v>
      </c>
      <c r="E4075" s="99" t="str">
        <f>_xlfn.XLOOKUP(B4075,ESTOQUE!B:B,ESTOQUE!G:G,"",0)</f>
        <v>UND</v>
      </c>
      <c r="F4075" s="152">
        <v>4</v>
      </c>
    </row>
    <row r="4076" spans="1:6" x14ac:dyDescent="0.25">
      <c r="A4076" s="162">
        <v>46171</v>
      </c>
      <c r="B4076" s="152">
        <v>67</v>
      </c>
      <c r="C4076" s="108" t="s">
        <v>19</v>
      </c>
      <c r="D4076" s="110" t="str">
        <f>IF(ISBLANK($B4076),"",IFERROR(VLOOKUP($B4076,ESTOQUE!$B$2:$D$97168,3,FALSE),"Produto não cadastrado"))</f>
        <v>CAMISA LARANJA OP. C/ FAIXA REFLETIVA TAM: G</v>
      </c>
      <c r="E4076" s="99" t="str">
        <f>_xlfn.XLOOKUP(B4076,ESTOQUE!B:B,ESTOQUE!G:G,"",0)</f>
        <v>UND</v>
      </c>
      <c r="F4076" s="152">
        <v>3</v>
      </c>
    </row>
    <row r="4077" spans="1:6" x14ac:dyDescent="0.25">
      <c r="A4077" s="162">
        <v>46171</v>
      </c>
      <c r="B4077" s="152">
        <v>68</v>
      </c>
      <c r="C4077" s="108" t="s">
        <v>19</v>
      </c>
      <c r="D4077" s="110" t="str">
        <f>IF(ISBLANK($B4077),"",IFERROR(VLOOKUP($B4077,ESTOQUE!$B$2:$D$97168,3,FALSE),"Produto não cadastrado"))</f>
        <v>CAMISA LARANJA OP. C/ FAIXA REFLETIVA TAM: GG</v>
      </c>
      <c r="E4077" s="99" t="str">
        <f>_xlfn.XLOOKUP(B4077,ESTOQUE!B:B,ESTOQUE!G:G,"",0)</f>
        <v>UND</v>
      </c>
      <c r="F4077" s="152">
        <v>1</v>
      </c>
    </row>
    <row r="4078" spans="1:6" x14ac:dyDescent="0.25">
      <c r="A4078" s="162">
        <v>46171</v>
      </c>
      <c r="B4078" s="152">
        <v>69</v>
      </c>
      <c r="C4078" s="108" t="s">
        <v>19</v>
      </c>
      <c r="D4078" s="110" t="str">
        <f>IF(ISBLANK($B4078),"",IFERROR(VLOOKUP($B4078,ESTOQUE!$B$2:$D$97168,3,FALSE),"Produto não cadastrado"))</f>
        <v>CAMISA LARANJA OP. C/ FAIXA REFLETIVA TAM: M</v>
      </c>
      <c r="E4078" s="99" t="str">
        <f>_xlfn.XLOOKUP(B4078,ESTOQUE!B:B,ESTOQUE!G:G,"",0)</f>
        <v>UND</v>
      </c>
      <c r="F4078" s="152">
        <v>5</v>
      </c>
    </row>
    <row r="4079" spans="1:6" x14ac:dyDescent="0.25">
      <c r="A4079" s="162">
        <v>46171</v>
      </c>
      <c r="B4079" s="152">
        <v>70</v>
      </c>
      <c r="C4079" s="108" t="s">
        <v>19</v>
      </c>
      <c r="D4079" s="110" t="str">
        <f>IF(ISBLANK($B4079),"",IFERROR(VLOOKUP($B4079,ESTOQUE!$B$2:$D$97168,3,FALSE),"Produto não cadastrado"))</f>
        <v>CAMISA LARANJA OP. C/ FAIXA REFLETIVA TAM: P</v>
      </c>
      <c r="E4079" s="99" t="str">
        <f>_xlfn.XLOOKUP(B4079,ESTOQUE!B:B,ESTOQUE!G:G,"",0)</f>
        <v>UND</v>
      </c>
      <c r="F4079" s="152">
        <v>1</v>
      </c>
    </row>
    <row r="4080" spans="1:6" x14ac:dyDescent="0.25">
      <c r="A4080" s="162">
        <v>46171</v>
      </c>
      <c r="B4080" s="152">
        <v>141</v>
      </c>
      <c r="C4080" s="108" t="s">
        <v>19</v>
      </c>
      <c r="D4080" s="110" t="str">
        <f>IF(ISBLANK($B4080),"",IFERROR(VLOOKUP($B4080,ESTOQUE!$B$2:$D$97168,3,FALSE),"Produto não cadastrado"))</f>
        <v xml:space="preserve">LUVA DE VAQUETA </v>
      </c>
      <c r="E4080" s="99" t="str">
        <f>_xlfn.XLOOKUP(B4080,ESTOQUE!B:B,ESTOQUE!G:G,"",0)</f>
        <v>PAR</v>
      </c>
      <c r="F4080" s="152">
        <v>3</v>
      </c>
    </row>
    <row r="4081" spans="1:6" x14ac:dyDescent="0.25">
      <c r="A4081" s="162">
        <v>46171</v>
      </c>
      <c r="B4081" s="152">
        <v>207</v>
      </c>
      <c r="C4081" s="108" t="s">
        <v>19</v>
      </c>
      <c r="D4081" s="110" t="str">
        <f>IF(ISBLANK($B4081),"",IFERROR(VLOOKUP($B4081,ESTOQUE!$B$2:$D$97168,3,FALSE),"Produto não cadastrado"))</f>
        <v>LUVA POLIESTER ANTICORTE BANHADA PU TAM 9</v>
      </c>
      <c r="E4081" s="99" t="str">
        <f>_xlfn.XLOOKUP(B4081,ESTOQUE!B:B,ESTOQUE!G:G,"",0)</f>
        <v>PAR</v>
      </c>
      <c r="F4081" s="152">
        <v>1</v>
      </c>
    </row>
    <row r="4082" spans="1:6" x14ac:dyDescent="0.25">
      <c r="A4082" s="162">
        <v>46171</v>
      </c>
      <c r="B4082" s="152">
        <v>126</v>
      </c>
      <c r="C4082" s="108" t="s">
        <v>19</v>
      </c>
      <c r="D4082" s="110" t="str">
        <f>IF(ISBLANK($B4082),"",IFERROR(VLOOKUP($B4082,ESTOQUE!$B$2:$D$97168,3,FALSE),"Produto não cadastrado"))</f>
        <v>OCULOS DE PROTEÇÃO ESCURO</v>
      </c>
      <c r="E4082" s="99" t="str">
        <f>_xlfn.XLOOKUP(B4082,ESTOQUE!B:B,ESTOQUE!G:G,"",0)</f>
        <v>UND</v>
      </c>
      <c r="F4082" s="152">
        <v>1</v>
      </c>
    </row>
    <row r="4083" spans="1:6" x14ac:dyDescent="0.25">
      <c r="A4083" s="162">
        <v>46171</v>
      </c>
      <c r="B4083" s="152">
        <v>124</v>
      </c>
      <c r="C4083" s="108" t="s">
        <v>19</v>
      </c>
      <c r="D4083" s="110" t="str">
        <f>IF(ISBLANK($B4083),"",IFERROR(VLOOKUP($B4083,ESTOQUE!$B$2:$D$97168,3,FALSE),"Produto não cadastrado"))</f>
        <v xml:space="preserve">OCULOS DE PROTEÇÃO INCOLOR </v>
      </c>
      <c r="E4083" s="99" t="str">
        <f>_xlfn.XLOOKUP(B4083,ESTOQUE!B:B,ESTOQUE!G:G,"",0)</f>
        <v>UND</v>
      </c>
      <c r="F4083" s="152">
        <v>1</v>
      </c>
    </row>
    <row r="4084" spans="1:6" x14ac:dyDescent="0.25">
      <c r="A4084" s="163">
        <v>46172</v>
      </c>
      <c r="B4084" s="152">
        <v>228</v>
      </c>
      <c r="C4084" s="108" t="s">
        <v>19</v>
      </c>
      <c r="D4084" s="110" t="str">
        <f>IF(ISBLANK($B4084),"",IFERROR(VLOOKUP($B4084,ESTOQUE!$B$2:$D$97168,3,FALSE),"Produto não cadastrado"))</f>
        <v xml:space="preserve">BALACLAVA  </v>
      </c>
      <c r="E4084" s="99" t="str">
        <f>_xlfn.XLOOKUP(B4084,ESTOQUE!B:B,ESTOQUE!G:G,"",0)</f>
        <v>UND</v>
      </c>
      <c r="F4084" s="152">
        <v>3</v>
      </c>
    </row>
    <row r="4085" spans="1:6" x14ac:dyDescent="0.25">
      <c r="A4085" s="108">
        <v>46172</v>
      </c>
      <c r="B4085" s="152">
        <v>46</v>
      </c>
      <c r="C4085" s="108" t="s">
        <v>19</v>
      </c>
      <c r="D4085" s="110" t="str">
        <f>IF(ISBLANK($B4085),"",IFERROR(VLOOKUP($B4085,ESTOQUE!$B$2:$D$97168,3,FALSE),"Produto não cadastrado"))</f>
        <v>CALÇA CINZA OP. C/ FAIXA REFLETIVA TAM: G</v>
      </c>
      <c r="E4085" s="99" t="str">
        <f>_xlfn.XLOOKUP(B4085,ESTOQUE!B:B,ESTOQUE!G:G,"",0)</f>
        <v>UND</v>
      </c>
      <c r="F4085" s="152">
        <v>1</v>
      </c>
    </row>
    <row r="4086" spans="1:6" x14ac:dyDescent="0.25">
      <c r="A4086" s="108">
        <v>46172</v>
      </c>
      <c r="B4086" s="152">
        <v>47</v>
      </c>
      <c r="C4086" s="108" t="s">
        <v>19</v>
      </c>
      <c r="D4086" s="110" t="str">
        <f>IF(ISBLANK($B4086),"",IFERROR(VLOOKUP($B4086,ESTOQUE!$B$2:$D$97168,3,FALSE),"Produto não cadastrado"))</f>
        <v>CALÇA CINZA OP. C/ FAIXA REFLETIVA TAM: GG</v>
      </c>
      <c r="E4086" s="99" t="str">
        <f>_xlfn.XLOOKUP(B4086,ESTOQUE!B:B,ESTOQUE!G:G,"",0)</f>
        <v>UND</v>
      </c>
      <c r="F4086" s="152">
        <v>1</v>
      </c>
    </row>
    <row r="4087" spans="1:6" x14ac:dyDescent="0.25">
      <c r="A4087" s="108">
        <v>46172</v>
      </c>
      <c r="B4087" s="152">
        <v>48</v>
      </c>
      <c r="C4087" s="108" t="s">
        <v>19</v>
      </c>
      <c r="D4087" s="110" t="str">
        <f>IF(ISBLANK($B4087),"",IFERROR(VLOOKUP($B4087,ESTOQUE!$B$2:$D$97168,3,FALSE),"Produto não cadastrado"))</f>
        <v>CALÇA CINZA OP. C/ FAIXA REFLETIVA TAM: M</v>
      </c>
      <c r="E4087" s="99" t="str">
        <f>_xlfn.XLOOKUP(B4087,ESTOQUE!B:B,ESTOQUE!G:G,"",0)</f>
        <v>UND</v>
      </c>
      <c r="F4087" s="152">
        <v>8</v>
      </c>
    </row>
    <row r="4088" spans="1:6" x14ac:dyDescent="0.25">
      <c r="A4088" s="108">
        <v>46172</v>
      </c>
      <c r="B4088" s="152">
        <v>49</v>
      </c>
      <c r="C4088" s="108" t="s">
        <v>19</v>
      </c>
      <c r="D4088" s="110" t="str">
        <f>IF(ISBLANK($B4088),"",IFERROR(VLOOKUP($B4088,ESTOQUE!$B$2:$D$97168,3,FALSE),"Produto não cadastrado"))</f>
        <v>CALÇA CINZA OP. C/ FAIXA REFLETIVA TAM: P</v>
      </c>
      <c r="E4088" s="99" t="str">
        <f>_xlfn.XLOOKUP(B4088,ESTOQUE!B:B,ESTOQUE!G:G,"",0)</f>
        <v>UND</v>
      </c>
      <c r="F4088" s="152">
        <v>6</v>
      </c>
    </row>
    <row r="4089" spans="1:6" x14ac:dyDescent="0.25">
      <c r="A4089" s="108">
        <v>46172</v>
      </c>
      <c r="B4089" s="152">
        <v>69</v>
      </c>
      <c r="C4089" s="108" t="s">
        <v>19</v>
      </c>
      <c r="D4089" s="110" t="str">
        <f>IF(ISBLANK($B4089),"",IFERROR(VLOOKUP($B4089,ESTOQUE!$B$2:$D$97168,3,FALSE),"Produto não cadastrado"))</f>
        <v>CAMISA LARANJA OP. C/ FAIXA REFLETIVA TAM: M</v>
      </c>
      <c r="E4089" s="99" t="str">
        <f>_xlfn.XLOOKUP(B4089,ESTOQUE!B:B,ESTOQUE!G:G,"",0)</f>
        <v>UND</v>
      </c>
      <c r="F4089" s="152">
        <v>7</v>
      </c>
    </row>
    <row r="4090" spans="1:6" x14ac:dyDescent="0.25">
      <c r="A4090" s="108">
        <v>46172</v>
      </c>
      <c r="B4090" s="152">
        <v>70</v>
      </c>
      <c r="C4090" s="108" t="s">
        <v>19</v>
      </c>
      <c r="D4090" s="110" t="str">
        <f>IF(ISBLANK($B4090),"",IFERROR(VLOOKUP($B4090,ESTOQUE!$B$2:$D$97168,3,FALSE),"Produto não cadastrado"))</f>
        <v>CAMISA LARANJA OP. C/ FAIXA REFLETIVA TAM: P</v>
      </c>
      <c r="E4090" s="99" t="str">
        <f>_xlfn.XLOOKUP(B4090,ESTOQUE!B:B,ESTOQUE!G:G,"",0)</f>
        <v>UND</v>
      </c>
      <c r="F4090" s="152">
        <v>2</v>
      </c>
    </row>
    <row r="4091" spans="1:6" x14ac:dyDescent="0.25">
      <c r="A4091" s="108">
        <v>46172</v>
      </c>
      <c r="B4091" s="152">
        <v>219</v>
      </c>
      <c r="C4091" s="108" t="s">
        <v>19</v>
      </c>
      <c r="D4091" s="110" t="str">
        <f>IF(ISBLANK($B4091),"",IFERROR(VLOOKUP($B4091,ESTOQUE!$B$2:$D$97168,3,FALSE),"Produto não cadastrado"))</f>
        <v>BOTINA SEGURANÇA METATARSO  42</v>
      </c>
      <c r="E4091" s="99" t="str">
        <f>_xlfn.XLOOKUP(B4091,ESTOQUE!B:B,ESTOQUE!G:G,"",0)</f>
        <v>PAR</v>
      </c>
      <c r="F4091" s="152">
        <v>1</v>
      </c>
    </row>
    <row r="4092" spans="1:6" x14ac:dyDescent="0.25">
      <c r="A4092" s="108">
        <v>46172</v>
      </c>
      <c r="B4092" s="152">
        <v>141</v>
      </c>
      <c r="C4092" s="108" t="s">
        <v>19</v>
      </c>
      <c r="D4092" s="110" t="str">
        <f>IF(ISBLANK($B4092),"",IFERROR(VLOOKUP($B4092,ESTOQUE!$B$2:$D$97168,3,FALSE),"Produto não cadastrado"))</f>
        <v xml:space="preserve">LUVA DE VAQUETA </v>
      </c>
      <c r="E4092" s="99" t="str">
        <f>_xlfn.XLOOKUP(B4092,ESTOQUE!B:B,ESTOQUE!G:G,"",0)</f>
        <v>PAR</v>
      </c>
      <c r="F4092" s="152">
        <v>52</v>
      </c>
    </row>
    <row r="4093" spans="1:6" x14ac:dyDescent="0.25">
      <c r="A4093" s="108">
        <v>46172</v>
      </c>
      <c r="B4093" s="152">
        <v>114</v>
      </c>
      <c r="C4093" s="108" t="s">
        <v>19</v>
      </c>
      <c r="D4093" s="110" t="str">
        <f>IF(ISBLANK($B4093),"",IFERROR(VLOOKUP($B4093,ESTOQUE!$B$2:$D$97168,3,FALSE),"Produto não cadastrado"))</f>
        <v xml:space="preserve">LUVA LATEX NITRILICA </v>
      </c>
      <c r="E4093" s="99" t="str">
        <f>_xlfn.XLOOKUP(B4093,ESTOQUE!B:B,ESTOQUE!G:G,"",0)</f>
        <v>PAR</v>
      </c>
      <c r="F4093" s="152">
        <v>6</v>
      </c>
    </row>
    <row r="4094" spans="1:6" x14ac:dyDescent="0.25">
      <c r="A4094" s="108">
        <v>46172</v>
      </c>
      <c r="B4094" s="152">
        <v>117</v>
      </c>
      <c r="C4094" s="108" t="s">
        <v>19</v>
      </c>
      <c r="D4094" s="110" t="str">
        <f>IF(ISBLANK($B4094),"",IFERROR(VLOOKUP($B4094,ESTOQUE!$B$2:$D$97168,3,FALSE),"Produto não cadastrado"))</f>
        <v>LUVA PIGMENTADA</v>
      </c>
      <c r="E4094" s="99" t="str">
        <f>_xlfn.XLOOKUP(B4094,ESTOQUE!B:B,ESTOQUE!G:G,"",0)</f>
        <v>PAR</v>
      </c>
      <c r="F4094" s="152">
        <v>3</v>
      </c>
    </row>
    <row r="4095" spans="1:6" x14ac:dyDescent="0.25">
      <c r="A4095" s="108">
        <v>46172</v>
      </c>
      <c r="B4095" s="152">
        <v>144</v>
      </c>
      <c r="C4095" s="108" t="s">
        <v>19</v>
      </c>
      <c r="D4095" s="110" t="str">
        <f>IF(ISBLANK($B4095),"",IFERROR(VLOOKUP($B4095,ESTOQUE!$B$2:$D$97168,3,FALSE),"Produto não cadastrado"))</f>
        <v>MASCARA PFF2-S C/ FILTRO</v>
      </c>
      <c r="E4095" s="99" t="str">
        <f>_xlfn.XLOOKUP(B4095,ESTOQUE!B:B,ESTOQUE!G:G,"",0)</f>
        <v>UND</v>
      </c>
      <c r="F4095" s="152">
        <v>9</v>
      </c>
    </row>
    <row r="4096" spans="1:6" x14ac:dyDescent="0.25">
      <c r="A4096" s="108">
        <v>46172</v>
      </c>
      <c r="B4096" s="152">
        <v>126</v>
      </c>
      <c r="C4096" s="108" t="s">
        <v>19</v>
      </c>
      <c r="D4096" s="110" t="str">
        <f>IF(ISBLANK($B4096),"",IFERROR(VLOOKUP($B4096,ESTOQUE!$B$2:$D$97168,3,FALSE),"Produto não cadastrado"))</f>
        <v>OCULOS DE PROTEÇÃO ESCURO</v>
      </c>
      <c r="E4096" s="99" t="str">
        <f>_xlfn.XLOOKUP(B4096,ESTOQUE!B:B,ESTOQUE!G:G,"",0)</f>
        <v>UND</v>
      </c>
      <c r="F4096" s="152">
        <v>1</v>
      </c>
    </row>
    <row r="4097" spans="1:6" x14ac:dyDescent="0.25">
      <c r="A4097" s="108">
        <v>46174</v>
      </c>
      <c r="B4097" s="152">
        <v>228</v>
      </c>
      <c r="C4097" s="108" t="s">
        <v>19</v>
      </c>
      <c r="D4097" s="110" t="str">
        <f>IF(ISBLANK($B4097),"",IFERROR(VLOOKUP($B4097,ESTOQUE!$B$2:$D$97168,3,FALSE),"Produto não cadastrado"))</f>
        <v xml:space="preserve">BALACLAVA  </v>
      </c>
      <c r="E4097" s="99" t="str">
        <f>_xlfn.XLOOKUP(B4097,ESTOQUE!B:B,ESTOQUE!G:G,"",0)</f>
        <v>UND</v>
      </c>
      <c r="F4097" s="152">
        <v>6</v>
      </c>
    </row>
    <row r="4098" spans="1:6" x14ac:dyDescent="0.25">
      <c r="A4098" s="108">
        <v>46174</v>
      </c>
      <c r="B4098" s="152">
        <v>219</v>
      </c>
      <c r="C4098" s="108" t="s">
        <v>19</v>
      </c>
      <c r="D4098" s="110" t="str">
        <f>IF(ISBLANK($B4098),"",IFERROR(VLOOKUP($B4098,ESTOQUE!$B$2:$D$97168,3,FALSE),"Produto não cadastrado"))</f>
        <v>BOTINA SEGURANÇA METATARSO  42</v>
      </c>
      <c r="E4098" s="99" t="str">
        <f>_xlfn.XLOOKUP(B4098,ESTOQUE!B:B,ESTOQUE!G:G,"",0)</f>
        <v>PAR</v>
      </c>
      <c r="F4098" s="152">
        <v>2</v>
      </c>
    </row>
    <row r="4099" spans="1:6" x14ac:dyDescent="0.25">
      <c r="A4099" s="108">
        <v>46174</v>
      </c>
      <c r="B4099" s="152">
        <v>222</v>
      </c>
      <c r="C4099" s="108" t="s">
        <v>19</v>
      </c>
      <c r="D4099" s="110" t="str">
        <f>IF(ISBLANK($B4099),"",IFERROR(VLOOKUP($B4099,ESTOQUE!$B$2:$D$97168,3,FALSE),"Produto não cadastrado"))</f>
        <v>BOTINA SEGURANÇA METATARSO  45</v>
      </c>
      <c r="E4099" s="99" t="str">
        <f>_xlfn.XLOOKUP(B4099,ESTOQUE!B:B,ESTOQUE!G:G,"",0)</f>
        <v>PAR</v>
      </c>
      <c r="F4099" s="152">
        <v>1</v>
      </c>
    </row>
    <row r="4100" spans="1:6" x14ac:dyDescent="0.25">
      <c r="A4100" s="108">
        <v>46174</v>
      </c>
      <c r="B4100" s="152">
        <v>46</v>
      </c>
      <c r="C4100" s="108" t="s">
        <v>19</v>
      </c>
      <c r="D4100" s="110" t="str">
        <f>IF(ISBLANK($B4100),"",IFERROR(VLOOKUP($B4100,ESTOQUE!$B$2:$D$97168,3,FALSE),"Produto não cadastrado"))</f>
        <v>CALÇA CINZA OP. C/ FAIXA REFLETIVA TAM: G</v>
      </c>
      <c r="E4100" s="99" t="str">
        <f>_xlfn.XLOOKUP(B4100,ESTOQUE!B:B,ESTOQUE!G:G,"",0)</f>
        <v>UND</v>
      </c>
      <c r="F4100" s="152">
        <v>3</v>
      </c>
    </row>
    <row r="4101" spans="1:6" x14ac:dyDescent="0.25">
      <c r="A4101" s="108">
        <v>46174</v>
      </c>
      <c r="B4101" s="152">
        <v>47</v>
      </c>
      <c r="C4101" s="108" t="s">
        <v>19</v>
      </c>
      <c r="D4101" s="110" t="str">
        <f>IF(ISBLANK($B4101),"",IFERROR(VLOOKUP($B4101,ESTOQUE!$B$2:$D$97168,3,FALSE),"Produto não cadastrado"))</f>
        <v>CALÇA CINZA OP. C/ FAIXA REFLETIVA TAM: GG</v>
      </c>
      <c r="E4101" s="99" t="str">
        <f>_xlfn.XLOOKUP(B4101,ESTOQUE!B:B,ESTOQUE!G:G,"",0)</f>
        <v>UND</v>
      </c>
      <c r="F4101" s="152">
        <v>3</v>
      </c>
    </row>
    <row r="4102" spans="1:6" x14ac:dyDescent="0.25">
      <c r="A4102" s="108">
        <v>46174</v>
      </c>
      <c r="B4102" s="152">
        <v>48</v>
      </c>
      <c r="C4102" s="108" t="s">
        <v>19</v>
      </c>
      <c r="D4102" s="110" t="str">
        <f>IF(ISBLANK($B4102),"",IFERROR(VLOOKUP($B4102,ESTOQUE!$B$2:$D$97168,3,FALSE),"Produto não cadastrado"))</f>
        <v>CALÇA CINZA OP. C/ FAIXA REFLETIVA TAM: M</v>
      </c>
      <c r="E4102" s="99" t="str">
        <f>_xlfn.XLOOKUP(B4102,ESTOQUE!B:B,ESTOQUE!G:G,"",0)</f>
        <v>UND</v>
      </c>
      <c r="F4102" s="152">
        <v>8</v>
      </c>
    </row>
    <row r="4103" spans="1:6" x14ac:dyDescent="0.25">
      <c r="A4103" s="108">
        <v>46174</v>
      </c>
      <c r="B4103" s="152">
        <v>49</v>
      </c>
      <c r="C4103" s="108" t="s">
        <v>19</v>
      </c>
      <c r="D4103" s="110" t="str">
        <f>IF(ISBLANK($B4103),"",IFERROR(VLOOKUP($B4103,ESTOQUE!$B$2:$D$97168,3,FALSE),"Produto não cadastrado"))</f>
        <v>CALÇA CINZA OP. C/ FAIXA REFLETIVA TAM: P</v>
      </c>
      <c r="E4103" s="99" t="str">
        <f>_xlfn.XLOOKUP(B4103,ESTOQUE!B:B,ESTOQUE!G:G,"",0)</f>
        <v>UND</v>
      </c>
      <c r="F4103" s="152">
        <v>5</v>
      </c>
    </row>
    <row r="4104" spans="1:6" x14ac:dyDescent="0.25">
      <c r="A4104" s="108">
        <v>46174</v>
      </c>
      <c r="B4104" s="152">
        <v>67</v>
      </c>
      <c r="C4104" s="108" t="s">
        <v>19</v>
      </c>
      <c r="D4104" s="110" t="str">
        <f>IF(ISBLANK($B4104),"",IFERROR(VLOOKUP($B4104,ESTOQUE!$B$2:$D$97168,3,FALSE),"Produto não cadastrado"))</f>
        <v>CAMISA LARANJA OP. C/ FAIXA REFLETIVA TAM: G</v>
      </c>
      <c r="E4104" s="99" t="str">
        <f>_xlfn.XLOOKUP(B4104,ESTOQUE!B:B,ESTOQUE!G:G,"",0)</f>
        <v>UND</v>
      </c>
      <c r="F4104" s="152">
        <v>6</v>
      </c>
    </row>
    <row r="4105" spans="1:6" x14ac:dyDescent="0.25">
      <c r="A4105" s="108">
        <v>46174</v>
      </c>
      <c r="B4105" s="152">
        <v>70</v>
      </c>
      <c r="C4105" s="108" t="s">
        <v>19</v>
      </c>
      <c r="D4105" s="110" t="str">
        <f>IF(ISBLANK($B4105),"",IFERROR(VLOOKUP($B4105,ESTOQUE!$B$2:$D$97168,3,FALSE),"Produto não cadastrado"))</f>
        <v>CAMISA LARANJA OP. C/ FAIXA REFLETIVA TAM: P</v>
      </c>
      <c r="E4105" s="99" t="str">
        <f>_xlfn.XLOOKUP(B4105,ESTOQUE!B:B,ESTOQUE!G:G,"",0)</f>
        <v>UND</v>
      </c>
      <c r="F4105" s="152">
        <v>1</v>
      </c>
    </row>
    <row r="4106" spans="1:6" x14ac:dyDescent="0.25">
      <c r="A4106" s="108">
        <v>46174</v>
      </c>
      <c r="B4106" s="152">
        <v>117</v>
      </c>
      <c r="C4106" s="108" t="s">
        <v>19</v>
      </c>
      <c r="D4106" s="110" t="str">
        <f>IF(ISBLANK($B4106),"",IFERROR(VLOOKUP($B4106,ESTOQUE!$B$2:$D$97168,3,FALSE),"Produto não cadastrado"))</f>
        <v>LUVA PIGMENTADA</v>
      </c>
      <c r="E4106" s="99" t="str">
        <f>_xlfn.XLOOKUP(B4106,ESTOQUE!B:B,ESTOQUE!G:G,"",0)</f>
        <v>PAR</v>
      </c>
      <c r="F4106" s="152">
        <v>2</v>
      </c>
    </row>
    <row r="4107" spans="1:6" x14ac:dyDescent="0.25">
      <c r="A4107" s="108">
        <v>46174</v>
      </c>
      <c r="B4107" s="152">
        <v>118</v>
      </c>
      <c r="C4107" s="108" t="s">
        <v>19</v>
      </c>
      <c r="D4107" s="110" t="str">
        <f>IF(ISBLANK($B4107),"",IFERROR(VLOOKUP($B4107,ESTOQUE!$B$2:$D$97168,3,FALSE),"Produto não cadastrado"))</f>
        <v>MACACÃO DE PROTEÇÃO TYVEK</v>
      </c>
      <c r="E4107" s="99" t="str">
        <f>_xlfn.XLOOKUP(B4107,ESTOQUE!B:B,ESTOQUE!G:G,"",0)</f>
        <v>UND</v>
      </c>
      <c r="F4107" s="152">
        <v>4</v>
      </c>
    </row>
    <row r="4108" spans="1:6" x14ac:dyDescent="0.25">
      <c r="A4108" s="108">
        <v>46173</v>
      </c>
      <c r="B4108" s="152">
        <v>224</v>
      </c>
      <c r="C4108" s="108" t="s">
        <v>19</v>
      </c>
      <c r="D4108" s="110" t="str">
        <f>IF(ISBLANK($B4108),"",IFERROR(VLOOKUP($B4108,ESTOQUE!$B$2:$D$97168,3,FALSE),"Produto não cadastrado"))</f>
        <v>OCULOS OPERACIONAL SOBRE POR ESCURO</v>
      </c>
      <c r="E4108" s="99" t="str">
        <f>_xlfn.XLOOKUP(B4108,ESTOQUE!B:B,ESTOQUE!G:G,"",0)</f>
        <v>UND</v>
      </c>
      <c r="F4108" s="152">
        <v>1</v>
      </c>
    </row>
    <row r="4109" spans="1:6" x14ac:dyDescent="0.25">
      <c r="A4109" s="108">
        <v>46173</v>
      </c>
      <c r="B4109" s="152">
        <v>130</v>
      </c>
      <c r="C4109" s="108" t="s">
        <v>19</v>
      </c>
      <c r="D4109" s="110" t="str">
        <f>IF(ISBLANK($B4109),"",IFERROR(VLOOKUP($B4109,ESTOQUE!$B$2:$D$97168,3,FALSE),"Produto não cadastrado"))</f>
        <v>PROTETOR AUDITIVO TIPO CONCHA L-300</v>
      </c>
      <c r="E4109" s="99" t="str">
        <f>_xlfn.XLOOKUP(B4109,ESTOQUE!B:B,ESTOQUE!G:G,"",0)</f>
        <v>UND</v>
      </c>
      <c r="F4109" s="152">
        <v>1</v>
      </c>
    </row>
    <row r="4110" spans="1:6" x14ac:dyDescent="0.25">
      <c r="A4110" s="108">
        <v>46173</v>
      </c>
      <c r="B4110" s="152">
        <v>228</v>
      </c>
      <c r="C4110" s="108" t="s">
        <v>19</v>
      </c>
      <c r="D4110" s="110" t="str">
        <f>IF(ISBLANK($B4110),"",IFERROR(VLOOKUP($B4110,ESTOQUE!$B$2:$D$97168,3,FALSE),"Produto não cadastrado"))</f>
        <v xml:space="preserve">BALACLAVA  </v>
      </c>
      <c r="E4110" s="99" t="str">
        <f>_xlfn.XLOOKUP(B4110,ESTOQUE!B:B,ESTOQUE!G:G,"",0)</f>
        <v>UND</v>
      </c>
      <c r="F4110" s="152">
        <v>4</v>
      </c>
    </row>
    <row r="4111" spans="1:6" x14ac:dyDescent="0.25">
      <c r="A4111" s="108">
        <v>46173</v>
      </c>
      <c r="B4111" s="152">
        <v>19</v>
      </c>
      <c r="C4111" s="108" t="s">
        <v>19</v>
      </c>
      <c r="D4111" s="110" t="str">
        <f>IF(ISBLANK($B4111),"",IFERROR(VLOOKUP($B4111,ESTOQUE!$B$2:$D$97168,3,FALSE),"Produto não cadastrado"))</f>
        <v>BOTA PVC CANO MEDIO Nº 40</v>
      </c>
      <c r="E4111" s="99" t="str">
        <f>_xlfn.XLOOKUP(B4111,ESTOQUE!B:B,ESTOQUE!G:G,"",0)</f>
        <v>PAR</v>
      </c>
      <c r="F4111" s="152">
        <v>1</v>
      </c>
    </row>
    <row r="4112" spans="1:6" x14ac:dyDescent="0.25">
      <c r="A4112" s="108">
        <v>46173</v>
      </c>
      <c r="B4112" s="152">
        <v>36</v>
      </c>
      <c r="C4112" s="108" t="s">
        <v>19</v>
      </c>
      <c r="D4112" s="110" t="str">
        <f>IF(ISBLANK($B4112),"",IFERROR(VLOOKUP($B4112,ESTOQUE!$B$2:$D$97168,3,FALSE),"Produto não cadastrado"))</f>
        <v>BOTINA OP. BICO PVC Nº 38</v>
      </c>
      <c r="E4112" s="99" t="str">
        <f>_xlfn.XLOOKUP(B4112,ESTOQUE!B:B,ESTOQUE!G:G,"",0)</f>
        <v>PAR</v>
      </c>
      <c r="F4112" s="152">
        <v>1</v>
      </c>
    </row>
    <row r="4113" spans="1:6" x14ac:dyDescent="0.25">
      <c r="A4113" s="108">
        <v>46173</v>
      </c>
      <c r="B4113" s="152">
        <v>37</v>
      </c>
      <c r="C4113" s="108" t="s">
        <v>19</v>
      </c>
      <c r="D4113" s="110" t="str">
        <f>IF(ISBLANK($B4113),"",IFERROR(VLOOKUP($B4113,ESTOQUE!$B$2:$D$97168,3,FALSE),"Produto não cadastrado"))</f>
        <v>BOTINA OP. BICO PVC Nº 39</v>
      </c>
      <c r="E4113" s="99" t="str">
        <f>_xlfn.XLOOKUP(B4113,ESTOQUE!B:B,ESTOQUE!G:G,"",0)</f>
        <v>PAR</v>
      </c>
      <c r="F4113" s="152">
        <v>1</v>
      </c>
    </row>
    <row r="4114" spans="1:6" x14ac:dyDescent="0.25">
      <c r="A4114" s="108">
        <v>46173</v>
      </c>
      <c r="B4114" s="152">
        <v>218</v>
      </c>
      <c r="C4114" s="108" t="s">
        <v>19</v>
      </c>
      <c r="D4114" s="110" t="str">
        <f>IF(ISBLANK($B4114),"",IFERROR(VLOOKUP($B4114,ESTOQUE!$B$2:$D$97168,3,FALSE),"Produto não cadastrado"))</f>
        <v>BOTINA SEGURANÇA METATARSO  41</v>
      </c>
      <c r="E4114" s="99" t="str">
        <f>_xlfn.XLOOKUP(B4114,ESTOQUE!B:B,ESTOQUE!G:G,"",0)</f>
        <v>PAR</v>
      </c>
      <c r="F4114" s="152">
        <v>1</v>
      </c>
    </row>
    <row r="4115" spans="1:6" x14ac:dyDescent="0.25">
      <c r="A4115" s="108">
        <v>46173</v>
      </c>
      <c r="B4115" s="152">
        <v>46</v>
      </c>
      <c r="C4115" s="108" t="s">
        <v>19</v>
      </c>
      <c r="D4115" s="110" t="str">
        <f>IF(ISBLANK($B4115),"",IFERROR(VLOOKUP($B4115,ESTOQUE!$B$2:$D$97168,3,FALSE),"Produto não cadastrado"))</f>
        <v>CALÇA CINZA OP. C/ FAIXA REFLETIVA TAM: G</v>
      </c>
      <c r="E4115" s="99" t="str">
        <f>_xlfn.XLOOKUP(B4115,ESTOQUE!B:B,ESTOQUE!G:G,"",0)</f>
        <v>UND</v>
      </c>
      <c r="F4115" s="152">
        <v>11</v>
      </c>
    </row>
    <row r="4116" spans="1:6" x14ac:dyDescent="0.25">
      <c r="A4116" s="108">
        <v>46173</v>
      </c>
      <c r="B4116" s="152">
        <v>47</v>
      </c>
      <c r="C4116" s="108" t="s">
        <v>19</v>
      </c>
      <c r="D4116" s="110" t="str">
        <f>IF(ISBLANK($B4116),"",IFERROR(VLOOKUP($B4116,ESTOQUE!$B$2:$D$97168,3,FALSE),"Produto não cadastrado"))</f>
        <v>CALÇA CINZA OP. C/ FAIXA REFLETIVA TAM: GG</v>
      </c>
      <c r="E4116" s="99" t="str">
        <f>_xlfn.XLOOKUP(B4116,ESTOQUE!B:B,ESTOQUE!G:G,"",0)</f>
        <v>UND</v>
      </c>
      <c r="F4116" s="152">
        <v>2</v>
      </c>
    </row>
    <row r="4117" spans="1:6" x14ac:dyDescent="0.25">
      <c r="A4117" s="108">
        <v>46173</v>
      </c>
      <c r="B4117" s="152">
        <v>49</v>
      </c>
      <c r="C4117" s="108" t="s">
        <v>19</v>
      </c>
      <c r="D4117" s="110" t="str">
        <f>IF(ISBLANK($B4117),"",IFERROR(VLOOKUP($B4117,ESTOQUE!$B$2:$D$97168,3,FALSE),"Produto não cadastrado"))</f>
        <v>CALÇA CINZA OP. C/ FAIXA REFLETIVA TAM: P</v>
      </c>
      <c r="E4117" s="99" t="str">
        <f>_xlfn.XLOOKUP(B4117,ESTOQUE!B:B,ESTOQUE!G:G,"",0)</f>
        <v>UND</v>
      </c>
      <c r="F4117" s="152">
        <v>2</v>
      </c>
    </row>
    <row r="4118" spans="1:6" x14ac:dyDescent="0.25">
      <c r="A4118" s="108">
        <v>46173</v>
      </c>
      <c r="B4118" s="152">
        <v>67</v>
      </c>
      <c r="C4118" s="108" t="s">
        <v>19</v>
      </c>
      <c r="D4118" s="110" t="str">
        <f>IF(ISBLANK($B4118),"",IFERROR(VLOOKUP($B4118,ESTOQUE!$B$2:$D$97168,3,FALSE),"Produto não cadastrado"))</f>
        <v>CAMISA LARANJA OP. C/ FAIXA REFLETIVA TAM: G</v>
      </c>
      <c r="E4118" s="99" t="str">
        <f>_xlfn.XLOOKUP(B4118,ESTOQUE!B:B,ESTOQUE!G:G,"",0)</f>
        <v>UND</v>
      </c>
      <c r="F4118" s="152">
        <v>6</v>
      </c>
    </row>
    <row r="4119" spans="1:6" x14ac:dyDescent="0.25">
      <c r="A4119" s="108">
        <v>46173</v>
      </c>
      <c r="B4119" s="152">
        <v>70</v>
      </c>
      <c r="C4119" s="108" t="s">
        <v>19</v>
      </c>
      <c r="D4119" s="110" t="str">
        <f>IF(ISBLANK($B4119),"",IFERROR(VLOOKUP($B4119,ESTOQUE!$B$2:$D$97168,3,FALSE),"Produto não cadastrado"))</f>
        <v>CAMISA LARANJA OP. C/ FAIXA REFLETIVA TAM: P</v>
      </c>
      <c r="E4119" s="99" t="str">
        <f>_xlfn.XLOOKUP(B4119,ESTOQUE!B:B,ESTOQUE!G:G,"",0)</f>
        <v>UND</v>
      </c>
      <c r="F4119" s="152">
        <v>1</v>
      </c>
    </row>
    <row r="4120" spans="1:6" x14ac:dyDescent="0.25">
      <c r="A4120" s="108">
        <v>46173</v>
      </c>
      <c r="B4120" s="152">
        <v>117</v>
      </c>
      <c r="C4120" s="108" t="s">
        <v>19</v>
      </c>
      <c r="D4120" s="110" t="str">
        <f>IF(ISBLANK($B4120),"",IFERROR(VLOOKUP($B4120,ESTOQUE!$B$2:$D$97168,3,FALSE),"Produto não cadastrado"))</f>
        <v>LUVA PIGMENTADA</v>
      </c>
      <c r="E4120" s="99" t="str">
        <f>_xlfn.XLOOKUP(B4120,ESTOQUE!B:B,ESTOQUE!G:G,"",0)</f>
        <v>PAR</v>
      </c>
      <c r="F4120" s="152">
        <v>2</v>
      </c>
    </row>
    <row r="4121" spans="1:6" x14ac:dyDescent="0.25">
      <c r="A4121" s="108">
        <v>46173</v>
      </c>
      <c r="B4121" s="152">
        <v>118</v>
      </c>
      <c r="C4121" s="108" t="s">
        <v>19</v>
      </c>
      <c r="D4121" s="110" t="str">
        <f>IF(ISBLANK($B4121),"",IFERROR(VLOOKUP($B4121,ESTOQUE!$B$2:$D$97168,3,FALSE),"Produto não cadastrado"))</f>
        <v>MACACÃO DE PROTEÇÃO TYVEK</v>
      </c>
      <c r="E4121" s="99" t="str">
        <f>_xlfn.XLOOKUP(B4121,ESTOQUE!B:B,ESTOQUE!G:G,"",0)</f>
        <v>UND</v>
      </c>
      <c r="F4121" s="152">
        <v>1</v>
      </c>
    </row>
    <row r="4122" spans="1:6" x14ac:dyDescent="0.25">
      <c r="A4122" s="108">
        <v>46173</v>
      </c>
      <c r="B4122" s="152">
        <v>126</v>
      </c>
      <c r="C4122" s="108" t="s">
        <v>19</v>
      </c>
      <c r="D4122" s="110" t="str">
        <f>IF(ISBLANK($B4122),"",IFERROR(VLOOKUP($B4122,ESTOQUE!$B$2:$D$97168,3,FALSE),"Produto não cadastrado"))</f>
        <v>OCULOS DE PROTEÇÃO ESCURO</v>
      </c>
      <c r="E4122" s="99" t="str">
        <f>_xlfn.XLOOKUP(B4122,ESTOQUE!B:B,ESTOQUE!G:G,"",0)</f>
        <v>UND</v>
      </c>
      <c r="F4122" s="152">
        <v>1</v>
      </c>
    </row>
    <row r="4123" spans="1:6" x14ac:dyDescent="0.25">
      <c r="A4123" s="108">
        <v>46174</v>
      </c>
      <c r="B4123" s="152">
        <v>67</v>
      </c>
      <c r="C4123" s="108" t="s">
        <v>19</v>
      </c>
      <c r="D4123" s="110" t="str">
        <f>IF(ISBLANK($B4123),"",IFERROR(VLOOKUP($B4123,ESTOQUE!$B$2:$D$97168,3,FALSE),"Produto não cadastrado"))</f>
        <v>CAMISA LARANJA OP. C/ FAIXA REFLETIVA TAM: G</v>
      </c>
      <c r="E4123" s="99" t="str">
        <f>_xlfn.XLOOKUP(B4123,ESTOQUE!B:B,ESTOQUE!G:G,"",0)</f>
        <v>UND</v>
      </c>
      <c r="F4123" s="152">
        <v>3</v>
      </c>
    </row>
    <row r="4124" spans="1:6" x14ac:dyDescent="0.25">
      <c r="A4124" s="108">
        <v>46174</v>
      </c>
      <c r="B4124" s="152">
        <v>69</v>
      </c>
      <c r="C4124" s="108" t="s">
        <v>19</v>
      </c>
      <c r="D4124" s="110" t="str">
        <f>IF(ISBLANK($B4124),"",IFERROR(VLOOKUP($B4124,ESTOQUE!$B$2:$D$97168,3,FALSE),"Produto não cadastrado"))</f>
        <v>CAMISA LARANJA OP. C/ FAIXA REFLETIVA TAM: M</v>
      </c>
      <c r="E4124" s="99" t="str">
        <f>_xlfn.XLOOKUP(B4124,ESTOQUE!B:B,ESTOQUE!G:G,"",0)</f>
        <v>UND</v>
      </c>
      <c r="F4124" s="152">
        <v>8</v>
      </c>
    </row>
    <row r="4125" spans="1:6" x14ac:dyDescent="0.25">
      <c r="A4125" s="108">
        <v>46174</v>
      </c>
      <c r="B4125" s="152">
        <v>70</v>
      </c>
      <c r="C4125" s="108" t="s">
        <v>19</v>
      </c>
      <c r="D4125" s="110" t="str">
        <f>IF(ISBLANK($B4125),"",IFERROR(VLOOKUP($B4125,ESTOQUE!$B$2:$D$97168,3,FALSE),"Produto não cadastrado"))</f>
        <v>CAMISA LARANJA OP. C/ FAIXA REFLETIVA TAM: P</v>
      </c>
      <c r="E4125" s="99" t="str">
        <f>_xlfn.XLOOKUP(B4125,ESTOQUE!B:B,ESTOQUE!G:G,"",0)</f>
        <v>UND</v>
      </c>
      <c r="F4125" s="152">
        <v>3</v>
      </c>
    </row>
    <row r="4126" spans="1:6" x14ac:dyDescent="0.25">
      <c r="A4126" s="108">
        <v>46174</v>
      </c>
      <c r="B4126" s="152">
        <v>71</v>
      </c>
      <c r="C4126" s="108" t="s">
        <v>19</v>
      </c>
      <c r="D4126" s="110" t="str">
        <f>IF(ISBLANK($B4126),"",IFERROR(VLOOKUP($B4126,ESTOQUE!$B$2:$D$97168,3,FALSE),"Produto não cadastrado"))</f>
        <v>CAMISA LARANJA OP. C/ FAIXA REFLETIVA TAM: XG</v>
      </c>
      <c r="E4126" s="99" t="str">
        <f>_xlfn.XLOOKUP(B4126,ESTOQUE!B:B,ESTOQUE!G:G,"",0)</f>
        <v>UND</v>
      </c>
      <c r="F4126" s="152">
        <v>1</v>
      </c>
    </row>
    <row r="4127" spans="1:6" x14ac:dyDescent="0.25">
      <c r="A4127" s="108">
        <v>46174</v>
      </c>
      <c r="B4127" s="152">
        <v>80</v>
      </c>
      <c r="C4127" s="108" t="s">
        <v>19</v>
      </c>
      <c r="D4127" s="110" t="str">
        <f>IF(ISBLANK($B4127),"",IFERROR(VLOOKUP($B4127,ESTOQUE!$B$2:$D$97168,3,FALSE),"Produto não cadastrado"))</f>
        <v>CAPACETE LIBUS AZUL CLARO</v>
      </c>
      <c r="E4127" s="99" t="str">
        <f>_xlfn.XLOOKUP(B4127,ESTOQUE!B:B,ESTOQUE!G:G,"",0)</f>
        <v>UND</v>
      </c>
      <c r="F4127" s="152">
        <v>1</v>
      </c>
    </row>
    <row r="4128" spans="1:6" x14ac:dyDescent="0.25">
      <c r="A4128" s="108">
        <v>46174</v>
      </c>
      <c r="B4128" s="152">
        <v>210</v>
      </c>
      <c r="C4128" s="108" t="s">
        <v>19</v>
      </c>
      <c r="D4128" s="110" t="str">
        <f>IF(ISBLANK($B4128),"",IFERROR(VLOOKUP($B4128,ESTOQUE!$B$2:$D$97168,3,FALSE),"Produto não cadastrado"))</f>
        <v>COLETE REFLETIVO LARANJA G</v>
      </c>
      <c r="E4128" s="99" t="str">
        <f>_xlfn.XLOOKUP(B4128,ESTOQUE!B:B,ESTOQUE!G:G,"",0)</f>
        <v>UND</v>
      </c>
      <c r="F4128" s="152">
        <v>1</v>
      </c>
    </row>
    <row r="4129" spans="1:6" x14ac:dyDescent="0.25">
      <c r="A4129" s="108">
        <v>46174</v>
      </c>
      <c r="B4129" s="152">
        <v>186</v>
      </c>
      <c r="C4129" s="108" t="s">
        <v>19</v>
      </c>
      <c r="D4129" s="110" t="str">
        <f>IF(ISBLANK($B4129),"",IFERROR(VLOOKUP($B4129,ESTOQUE!$B$2:$D$97168,3,FALSE),"Produto não cadastrado"))</f>
        <v>COLETE REFLETIVO LARANJA GG</v>
      </c>
      <c r="E4129" s="99" t="str">
        <f>_xlfn.XLOOKUP(B4129,ESTOQUE!B:B,ESTOQUE!G:G,"",0)</f>
        <v>UND</v>
      </c>
      <c r="F4129" s="152">
        <v>1</v>
      </c>
    </row>
    <row r="4130" spans="1:6" x14ac:dyDescent="0.25">
      <c r="A4130" s="108">
        <v>46174</v>
      </c>
      <c r="B4130" s="152">
        <v>97</v>
      </c>
      <c r="C4130" s="108" t="s">
        <v>19</v>
      </c>
      <c r="D4130" s="110" t="str">
        <f>IF(ISBLANK($B4130),"",IFERROR(VLOOKUP($B4130,ESTOQUE!$B$2:$D$97168,3,FALSE),"Produto não cadastrado"))</f>
        <v>COLETE REFLETIVO LARANJA M</v>
      </c>
      <c r="E4130" s="99" t="str">
        <f>_xlfn.XLOOKUP(B4130,ESTOQUE!B:B,ESTOQUE!G:G,"",0)</f>
        <v>UND</v>
      </c>
      <c r="F4130" s="152">
        <v>2</v>
      </c>
    </row>
    <row r="4131" spans="1:6" x14ac:dyDescent="0.25">
      <c r="A4131" s="108">
        <v>46174</v>
      </c>
      <c r="B4131" s="152">
        <v>161</v>
      </c>
      <c r="C4131" s="108" t="s">
        <v>19</v>
      </c>
      <c r="D4131" s="110" t="str">
        <f>IF(ISBLANK($B4131),"",IFERROR(VLOOKUP($B4131,ESTOQUE!$B$2:$D$97168,3,FALSE),"Produto não cadastrado"))</f>
        <v>JUGULAR</v>
      </c>
      <c r="E4131" s="99" t="str">
        <f>_xlfn.XLOOKUP(B4131,ESTOQUE!B:B,ESTOQUE!G:G,"",0)</f>
        <v>UND</v>
      </c>
      <c r="F4131" s="152">
        <v>1</v>
      </c>
    </row>
    <row r="4132" spans="1:6" x14ac:dyDescent="0.25">
      <c r="A4132" s="108">
        <v>46174</v>
      </c>
      <c r="B4132" s="152">
        <v>117</v>
      </c>
      <c r="C4132" s="108" t="s">
        <v>19</v>
      </c>
      <c r="D4132" s="110" t="str">
        <f>IF(ISBLANK($B4132),"",IFERROR(VLOOKUP($B4132,ESTOQUE!$B$2:$D$97168,3,FALSE),"Produto não cadastrado"))</f>
        <v>LUVA PIGMENTADA</v>
      </c>
      <c r="E4132" s="99" t="str">
        <f>_xlfn.XLOOKUP(B4132,ESTOQUE!B:B,ESTOQUE!G:G,"",0)</f>
        <v>PAR</v>
      </c>
      <c r="F4132" s="152">
        <v>3</v>
      </c>
    </row>
    <row r="4133" spans="1:6" x14ac:dyDescent="0.25">
      <c r="A4133" s="108">
        <v>46174</v>
      </c>
      <c r="B4133" s="152">
        <v>207</v>
      </c>
      <c r="C4133" s="108" t="s">
        <v>19</v>
      </c>
      <c r="D4133" s="110" t="str">
        <f>IF(ISBLANK($B4133),"",IFERROR(VLOOKUP($B4133,ESTOQUE!$B$2:$D$97168,3,FALSE),"Produto não cadastrado"))</f>
        <v>LUVA POLIESTER ANTICORTE BANHADA PU TAM 9</v>
      </c>
      <c r="E4133" s="99" t="str">
        <f>_xlfn.XLOOKUP(B4133,ESTOQUE!B:B,ESTOQUE!G:G,"",0)</f>
        <v>PAR</v>
      </c>
      <c r="F4133" s="152">
        <v>2</v>
      </c>
    </row>
    <row r="4134" spans="1:6" x14ac:dyDescent="0.25">
      <c r="A4134" s="108">
        <v>46174</v>
      </c>
      <c r="B4134" s="152">
        <v>125</v>
      </c>
      <c r="C4134" s="108" t="s">
        <v>19</v>
      </c>
      <c r="D4134" s="110" t="str">
        <f>IF(ISBLANK($B4134),"",IFERROR(VLOOKUP($B4134,ESTOQUE!$B$2:$D$97168,3,FALSE),"Produto não cadastrado"))</f>
        <v xml:space="preserve">MASCARA DE SOLDA AUTOMATICA </v>
      </c>
      <c r="E4134" s="99" t="str">
        <f>_xlfn.XLOOKUP(B4134,ESTOQUE!B:B,ESTOQUE!G:G,"",0)</f>
        <v>UND</v>
      </c>
      <c r="F4134" s="152">
        <v>1</v>
      </c>
    </row>
    <row r="4135" spans="1:6" x14ac:dyDescent="0.25">
      <c r="A4135" s="108">
        <v>46174</v>
      </c>
      <c r="B4135" s="152">
        <v>144</v>
      </c>
      <c r="C4135" s="108" t="s">
        <v>19</v>
      </c>
      <c r="D4135" s="110" t="str">
        <f>IF(ISBLANK($B4135),"",IFERROR(VLOOKUP($B4135,ESTOQUE!$B$2:$D$97168,3,FALSE),"Produto não cadastrado"))</f>
        <v>MASCARA PFF2-S C/ FILTRO</v>
      </c>
      <c r="E4135" s="99" t="str">
        <f>_xlfn.XLOOKUP(B4135,ESTOQUE!B:B,ESTOQUE!G:G,"",0)</f>
        <v>UND</v>
      </c>
      <c r="F4135" s="152">
        <v>2</v>
      </c>
    </row>
    <row r="4136" spans="1:6" x14ac:dyDescent="0.25">
      <c r="A4136" s="108">
        <v>46174</v>
      </c>
      <c r="B4136" s="152">
        <v>126</v>
      </c>
      <c r="C4136" s="108" t="s">
        <v>19</v>
      </c>
      <c r="D4136" s="110" t="str">
        <f>IF(ISBLANK($B4136),"",IFERROR(VLOOKUP($B4136,ESTOQUE!$B$2:$D$97168,3,FALSE),"Produto não cadastrado"))</f>
        <v>OCULOS DE PROTEÇÃO ESCURO</v>
      </c>
      <c r="E4136" s="99" t="str">
        <f>_xlfn.XLOOKUP(B4136,ESTOQUE!B:B,ESTOQUE!G:G,"",0)</f>
        <v>UND</v>
      </c>
      <c r="F4136" s="152">
        <v>2</v>
      </c>
    </row>
    <row r="4137" spans="1:6" x14ac:dyDescent="0.25">
      <c r="A4137" s="108">
        <v>46174</v>
      </c>
      <c r="B4137" s="152">
        <v>224</v>
      </c>
      <c r="C4137" s="108" t="s">
        <v>19</v>
      </c>
      <c r="D4137" s="110" t="str">
        <f>IF(ISBLANK($B4137),"",IFERROR(VLOOKUP($B4137,ESTOQUE!$B$2:$D$97168,3,FALSE),"Produto não cadastrado"))</f>
        <v>OCULOS OPERACIONAL SOBRE POR ESCURO</v>
      </c>
      <c r="E4137" s="99" t="str">
        <f>_xlfn.XLOOKUP(B4137,ESTOQUE!B:B,ESTOQUE!G:G,"",0)</f>
        <v>UND</v>
      </c>
      <c r="F4137" s="152">
        <v>1</v>
      </c>
    </row>
    <row r="4138" spans="1:6" x14ac:dyDescent="0.25">
      <c r="A4138" s="108">
        <v>46174</v>
      </c>
      <c r="B4138" s="152">
        <v>190</v>
      </c>
      <c r="C4138" s="108" t="s">
        <v>19</v>
      </c>
      <c r="D4138" s="110" t="str">
        <f>IF(ISBLANK($B4138),"",IFERROR(VLOOKUP($B4138,ESTOQUE!$B$2:$D$97168,3,FALSE),"Produto não cadastrado"))</f>
        <v>AVENTAL DE RASPA TAM 120X60</v>
      </c>
      <c r="E4138" s="99" t="str">
        <f>_xlfn.XLOOKUP(B4138,ESTOQUE!B:B,ESTOQUE!G:G,"",0)</f>
        <v>UND</v>
      </c>
      <c r="F4138" s="152">
        <v>1</v>
      </c>
    </row>
    <row r="4139" spans="1:6" x14ac:dyDescent="0.25">
      <c r="A4139" s="108">
        <v>46175</v>
      </c>
      <c r="B4139" s="152">
        <v>228</v>
      </c>
      <c r="C4139" s="108" t="s">
        <v>19</v>
      </c>
      <c r="D4139" s="110" t="str">
        <f>IF(ISBLANK($B4139),"",IFERROR(VLOOKUP($B4139,ESTOQUE!$B$2:$D$97168,3,FALSE),"Produto não cadastrado"))</f>
        <v xml:space="preserve">BALACLAVA  </v>
      </c>
      <c r="E4139" s="99" t="str">
        <f>_xlfn.XLOOKUP(B4139,ESTOQUE!B:B,ESTOQUE!G:G,"",0)</f>
        <v>UND</v>
      </c>
      <c r="F4139" s="152">
        <v>4</v>
      </c>
    </row>
    <row r="4140" spans="1:6" x14ac:dyDescent="0.25">
      <c r="A4140" s="108">
        <v>46175</v>
      </c>
      <c r="B4140" s="152">
        <v>172</v>
      </c>
      <c r="C4140" s="108" t="s">
        <v>19</v>
      </c>
      <c r="D4140" s="110" t="str">
        <f>IF(ISBLANK($B4140),"",IFERROR(VLOOKUP($B4140,ESTOQUE!$B$2:$D$97168,3,FALSE),"Produto não cadastrado"))</f>
        <v>BOTA PVC CANO CURTO Nº 41</v>
      </c>
      <c r="E4140" s="99" t="str">
        <f>_xlfn.XLOOKUP(B4140,ESTOQUE!B:B,ESTOQUE!G:G,"",0)</f>
        <v>PAR</v>
      </c>
      <c r="F4140" s="152">
        <v>1</v>
      </c>
    </row>
    <row r="4141" spans="1:6" x14ac:dyDescent="0.25">
      <c r="A4141" s="108">
        <v>46175</v>
      </c>
      <c r="B4141" s="152">
        <v>35</v>
      </c>
      <c r="C4141" s="108" t="s">
        <v>19</v>
      </c>
      <c r="D4141" s="110" t="str">
        <f>IF(ISBLANK($B4141),"",IFERROR(VLOOKUP($B4141,ESTOQUE!$B$2:$D$97168,3,FALSE),"Produto não cadastrado"))</f>
        <v>BOTINA OP. BICO PVC Nº 37</v>
      </c>
      <c r="E4141" s="99" t="str">
        <f>_xlfn.XLOOKUP(B4141,ESTOQUE!B:B,ESTOQUE!G:G,"",0)</f>
        <v>PAR</v>
      </c>
      <c r="F4141" s="152">
        <v>1</v>
      </c>
    </row>
    <row r="4142" spans="1:6" x14ac:dyDescent="0.25">
      <c r="A4142" s="108">
        <v>46175</v>
      </c>
      <c r="B4142" s="152">
        <v>219</v>
      </c>
      <c r="C4142" s="108" t="s">
        <v>19</v>
      </c>
      <c r="D4142" s="110" t="str">
        <f>IF(ISBLANK($B4142),"",IFERROR(VLOOKUP($B4142,ESTOQUE!$B$2:$D$97168,3,FALSE),"Produto não cadastrado"))</f>
        <v>BOTINA SEGURANÇA METATARSO  42</v>
      </c>
      <c r="E4142" s="99" t="str">
        <f>_xlfn.XLOOKUP(B4142,ESTOQUE!B:B,ESTOQUE!G:G,"",0)</f>
        <v>PAR</v>
      </c>
      <c r="F4142" s="152">
        <v>1</v>
      </c>
    </row>
    <row r="4143" spans="1:6" x14ac:dyDescent="0.25">
      <c r="A4143" s="108">
        <v>46175</v>
      </c>
      <c r="B4143" s="152">
        <v>46</v>
      </c>
      <c r="C4143" s="108" t="s">
        <v>19</v>
      </c>
      <c r="D4143" s="110" t="str">
        <f>IF(ISBLANK($B4143),"",IFERROR(VLOOKUP($B4143,ESTOQUE!$B$2:$D$97168,3,FALSE),"Produto não cadastrado"))</f>
        <v>CALÇA CINZA OP. C/ FAIXA REFLETIVA TAM: G</v>
      </c>
      <c r="E4143" s="99" t="str">
        <f>_xlfn.XLOOKUP(B4143,ESTOQUE!B:B,ESTOQUE!G:G,"",0)</f>
        <v>UND</v>
      </c>
      <c r="F4143" s="152">
        <v>2</v>
      </c>
    </row>
    <row r="4144" spans="1:6" x14ac:dyDescent="0.25">
      <c r="A4144" s="108">
        <v>46175</v>
      </c>
      <c r="B4144" s="152">
        <v>47</v>
      </c>
      <c r="C4144" s="108" t="s">
        <v>19</v>
      </c>
      <c r="D4144" s="110" t="str">
        <f>IF(ISBLANK($B4144),"",IFERROR(VLOOKUP($B4144,ESTOQUE!$B$2:$D$97168,3,FALSE),"Produto não cadastrado"))</f>
        <v>CALÇA CINZA OP. C/ FAIXA REFLETIVA TAM: GG</v>
      </c>
      <c r="E4144" s="99" t="str">
        <f>_xlfn.XLOOKUP(B4144,ESTOQUE!B:B,ESTOQUE!G:G,"",0)</f>
        <v>UND</v>
      </c>
      <c r="F4144" s="152">
        <v>1</v>
      </c>
    </row>
    <row r="4145" spans="1:6" x14ac:dyDescent="0.25">
      <c r="A4145" s="108">
        <v>46175</v>
      </c>
      <c r="B4145" s="152">
        <v>48</v>
      </c>
      <c r="C4145" s="108" t="s">
        <v>19</v>
      </c>
      <c r="D4145" s="110" t="str">
        <f>IF(ISBLANK($B4145),"",IFERROR(VLOOKUP($B4145,ESTOQUE!$B$2:$D$97168,3,FALSE),"Produto não cadastrado"))</f>
        <v>CALÇA CINZA OP. C/ FAIXA REFLETIVA TAM: M</v>
      </c>
      <c r="E4145" s="99" t="str">
        <f>_xlfn.XLOOKUP(B4145,ESTOQUE!B:B,ESTOQUE!G:G,"",0)</f>
        <v>UND</v>
      </c>
      <c r="F4145" s="152">
        <v>7</v>
      </c>
    </row>
    <row r="4146" spans="1:6" x14ac:dyDescent="0.25">
      <c r="A4146" s="108">
        <v>46175</v>
      </c>
      <c r="B4146" s="152">
        <v>49</v>
      </c>
      <c r="C4146" s="108" t="s">
        <v>19</v>
      </c>
      <c r="D4146" s="110" t="str">
        <f>IF(ISBLANK($B4146),"",IFERROR(VLOOKUP($B4146,ESTOQUE!$B$2:$D$97168,3,FALSE),"Produto não cadastrado"))</f>
        <v>CALÇA CINZA OP. C/ FAIXA REFLETIVA TAM: P</v>
      </c>
      <c r="E4146" s="99" t="str">
        <f>_xlfn.XLOOKUP(B4146,ESTOQUE!B:B,ESTOQUE!G:G,"",0)</f>
        <v>UND</v>
      </c>
      <c r="F4146" s="152">
        <v>2</v>
      </c>
    </row>
    <row r="4147" spans="1:6" x14ac:dyDescent="0.25">
      <c r="A4147" s="108">
        <v>46175</v>
      </c>
      <c r="B4147" s="152">
        <v>67</v>
      </c>
      <c r="C4147" s="108" t="s">
        <v>19</v>
      </c>
      <c r="D4147" s="110" t="str">
        <f>IF(ISBLANK($B4147),"",IFERROR(VLOOKUP($B4147,ESTOQUE!$B$2:$D$97168,3,FALSE),"Produto não cadastrado"))</f>
        <v>CAMISA LARANJA OP. C/ FAIXA REFLETIVA TAM: G</v>
      </c>
      <c r="E4147" s="99" t="str">
        <f>_xlfn.XLOOKUP(B4147,ESTOQUE!B:B,ESTOQUE!G:G,"",0)</f>
        <v>UND</v>
      </c>
      <c r="F4147" s="152">
        <v>2</v>
      </c>
    </row>
    <row r="4148" spans="1:6" x14ac:dyDescent="0.25">
      <c r="A4148" s="108">
        <v>46175</v>
      </c>
      <c r="B4148" s="152">
        <v>69</v>
      </c>
      <c r="C4148" s="108" t="s">
        <v>19</v>
      </c>
      <c r="D4148" s="110" t="str">
        <f>IF(ISBLANK($B4148),"",IFERROR(VLOOKUP($B4148,ESTOQUE!$B$2:$D$97168,3,FALSE),"Produto não cadastrado"))</f>
        <v>CAMISA LARANJA OP. C/ FAIXA REFLETIVA TAM: M</v>
      </c>
      <c r="E4148" s="99" t="str">
        <f>_xlfn.XLOOKUP(B4148,ESTOQUE!B:B,ESTOQUE!G:G,"",0)</f>
        <v>UND</v>
      </c>
      <c r="F4148" s="152">
        <v>4</v>
      </c>
    </row>
    <row r="4149" spans="1:6" x14ac:dyDescent="0.25">
      <c r="A4149" s="108">
        <v>46175</v>
      </c>
      <c r="B4149" s="152">
        <v>70</v>
      </c>
      <c r="C4149" s="108" t="s">
        <v>19</v>
      </c>
      <c r="D4149" s="110" t="str">
        <f>IF(ISBLANK($B4149),"",IFERROR(VLOOKUP($B4149,ESTOQUE!$B$2:$D$97168,3,FALSE),"Produto não cadastrado"))</f>
        <v>CAMISA LARANJA OP. C/ FAIXA REFLETIVA TAM: P</v>
      </c>
      <c r="E4149" s="99" t="str">
        <f>_xlfn.XLOOKUP(B4149,ESTOQUE!B:B,ESTOQUE!G:G,"",0)</f>
        <v>UND</v>
      </c>
      <c r="F4149" s="152">
        <v>4</v>
      </c>
    </row>
    <row r="4150" spans="1:6" x14ac:dyDescent="0.25">
      <c r="A4150" s="108">
        <v>46175</v>
      </c>
      <c r="B4150" s="152">
        <v>84</v>
      </c>
      <c r="C4150" s="108" t="s">
        <v>19</v>
      </c>
      <c r="D4150" s="110" t="str">
        <f>IF(ISBLANK($B4150),"",IFERROR(VLOOKUP($B4150,ESTOQUE!$B$2:$D$97168,3,FALSE),"Produto não cadastrado"))</f>
        <v>CAPACETE LIBUS MARROM</v>
      </c>
      <c r="E4150" s="99" t="str">
        <f>_xlfn.XLOOKUP(B4150,ESTOQUE!B:B,ESTOQUE!G:G,"",0)</f>
        <v>UND</v>
      </c>
      <c r="F4150" s="152">
        <v>1</v>
      </c>
    </row>
    <row r="4151" spans="1:6" x14ac:dyDescent="0.25">
      <c r="A4151" s="108">
        <v>46175</v>
      </c>
      <c r="B4151" s="152">
        <v>97</v>
      </c>
      <c r="C4151" s="108" t="s">
        <v>19</v>
      </c>
      <c r="D4151" s="110" t="str">
        <f>IF(ISBLANK($B4151),"",IFERROR(VLOOKUP($B4151,ESTOQUE!$B$2:$D$97168,3,FALSE),"Produto não cadastrado"))</f>
        <v>COLETE REFLETIVO LARANJA M</v>
      </c>
      <c r="E4151" s="99" t="str">
        <f>_xlfn.XLOOKUP(B4151,ESTOQUE!B:B,ESTOQUE!G:G,"",0)</f>
        <v>UND</v>
      </c>
      <c r="F4151" s="152">
        <v>1</v>
      </c>
    </row>
    <row r="4152" spans="1:6" x14ac:dyDescent="0.25">
      <c r="A4152" s="108">
        <v>46175</v>
      </c>
      <c r="B4152" s="152">
        <v>161</v>
      </c>
      <c r="C4152" s="108" t="s">
        <v>19</v>
      </c>
      <c r="D4152" s="110" t="str">
        <f>IF(ISBLANK($B4152),"",IFERROR(VLOOKUP($B4152,ESTOQUE!$B$2:$D$97168,3,FALSE),"Produto não cadastrado"))</f>
        <v>JUGULAR</v>
      </c>
      <c r="E4152" s="99" t="str">
        <f>_xlfn.XLOOKUP(B4152,ESTOQUE!B:B,ESTOQUE!G:G,"",0)</f>
        <v>UND</v>
      </c>
      <c r="F4152" s="152">
        <v>1</v>
      </c>
    </row>
    <row r="4153" spans="1:6" x14ac:dyDescent="0.25">
      <c r="A4153" s="108">
        <v>46175</v>
      </c>
      <c r="B4153" s="152">
        <v>110</v>
      </c>
      <c r="C4153" s="108" t="s">
        <v>19</v>
      </c>
      <c r="D4153" s="110" t="str">
        <f>IF(ISBLANK($B4153),"",IFERROR(VLOOKUP($B4153,ESTOQUE!$B$2:$D$97168,3,FALSE),"Produto não cadastrado"))</f>
        <v>LUVA DE RASPA CANO LONGO</v>
      </c>
      <c r="E4153" s="99" t="str">
        <f>_xlfn.XLOOKUP(B4153,ESTOQUE!B:B,ESTOQUE!G:G,"",0)</f>
        <v>PAR</v>
      </c>
      <c r="F4153" s="152">
        <v>10</v>
      </c>
    </row>
    <row r="4154" spans="1:6" x14ac:dyDescent="0.25">
      <c r="A4154" s="108">
        <v>46175</v>
      </c>
      <c r="B4154" s="152">
        <v>117</v>
      </c>
      <c r="C4154" s="108" t="s">
        <v>19</v>
      </c>
      <c r="D4154" s="110" t="str">
        <f>IF(ISBLANK($B4154),"",IFERROR(VLOOKUP($B4154,ESTOQUE!$B$2:$D$97168,3,FALSE),"Produto não cadastrado"))</f>
        <v>LUVA PIGMENTADA</v>
      </c>
      <c r="E4154" s="99" t="str">
        <f>_xlfn.XLOOKUP(B4154,ESTOQUE!B:B,ESTOQUE!G:G,"",0)</f>
        <v>PAR</v>
      </c>
      <c r="F4154" s="152">
        <v>5</v>
      </c>
    </row>
    <row r="4155" spans="1:6" x14ac:dyDescent="0.25">
      <c r="A4155" s="108">
        <v>46175</v>
      </c>
      <c r="B4155" s="152">
        <v>207</v>
      </c>
      <c r="C4155" s="108" t="s">
        <v>19</v>
      </c>
      <c r="D4155" s="110" t="str">
        <f>IF(ISBLANK($B4155),"",IFERROR(VLOOKUP($B4155,ESTOQUE!$B$2:$D$97168,3,FALSE),"Produto não cadastrado"))</f>
        <v>LUVA POLIESTER ANTICORTE BANHADA PU TAM 9</v>
      </c>
      <c r="E4155" s="99" t="str">
        <f>_xlfn.XLOOKUP(B4155,ESTOQUE!B:B,ESTOQUE!G:G,"",0)</f>
        <v>PAR</v>
      </c>
      <c r="F4155" s="152">
        <v>2</v>
      </c>
    </row>
    <row r="4156" spans="1:6" x14ac:dyDescent="0.25">
      <c r="A4156" s="108">
        <v>46175</v>
      </c>
      <c r="B4156" s="152">
        <v>118</v>
      </c>
      <c r="C4156" s="108" t="s">
        <v>19</v>
      </c>
      <c r="D4156" s="110" t="str">
        <f>IF(ISBLANK($B4156),"",IFERROR(VLOOKUP($B4156,ESTOQUE!$B$2:$D$97168,3,FALSE),"Produto não cadastrado"))</f>
        <v>MACACÃO DE PROTEÇÃO TYVEK</v>
      </c>
      <c r="E4156" s="99" t="str">
        <f>_xlfn.XLOOKUP(B4156,ESTOQUE!B:B,ESTOQUE!G:G,"",0)</f>
        <v>UND</v>
      </c>
      <c r="F4156" s="152">
        <v>2</v>
      </c>
    </row>
    <row r="4157" spans="1:6" x14ac:dyDescent="0.25">
      <c r="A4157" s="108">
        <v>46175</v>
      </c>
      <c r="B4157" s="152">
        <v>121</v>
      </c>
      <c r="C4157" s="108" t="s">
        <v>19</v>
      </c>
      <c r="D4157" s="110" t="str">
        <f>IF(ISBLANK($B4157),"",IFERROR(VLOOKUP($B4157,ESTOQUE!$B$2:$D$97168,3,FALSE),"Produto não cadastrado"))</f>
        <v>MANGOTE DE RASPA</v>
      </c>
      <c r="E4157" s="99" t="str">
        <f>_xlfn.XLOOKUP(B4157,ESTOQUE!B:B,ESTOQUE!G:G,"",0)</f>
        <v>UND</v>
      </c>
      <c r="F4157" s="152">
        <v>1</v>
      </c>
    </row>
    <row r="4158" spans="1:6" x14ac:dyDescent="0.25">
      <c r="A4158" s="108">
        <v>46175</v>
      </c>
      <c r="B4158" s="152">
        <v>144</v>
      </c>
      <c r="C4158" s="108" t="s">
        <v>19</v>
      </c>
      <c r="D4158" s="110" t="str">
        <f>IF(ISBLANK($B4158),"",IFERROR(VLOOKUP($B4158,ESTOQUE!$B$2:$D$97168,3,FALSE),"Produto não cadastrado"))</f>
        <v>MASCARA PFF2-S C/ FILTRO</v>
      </c>
      <c r="E4158" s="99" t="str">
        <f>_xlfn.XLOOKUP(B4158,ESTOQUE!B:B,ESTOQUE!G:G,"",0)</f>
        <v>UND</v>
      </c>
      <c r="F4158" s="152">
        <v>1</v>
      </c>
    </row>
    <row r="4159" spans="1:6" x14ac:dyDescent="0.25">
      <c r="A4159" s="108">
        <v>46175</v>
      </c>
      <c r="B4159" s="152">
        <v>129</v>
      </c>
      <c r="C4159" s="108" t="s">
        <v>19</v>
      </c>
      <c r="D4159" s="110" t="str">
        <f>IF(ISBLANK($B4159),"",IFERROR(VLOOKUP($B4159,ESTOQUE!$B$2:$D$97168,3,FALSE),"Produto não cadastrado"))</f>
        <v>PERNEIRA DE RASPA</v>
      </c>
      <c r="E4159" s="99" t="str">
        <f>_xlfn.XLOOKUP(B4159,ESTOQUE!B:B,ESTOQUE!G:G,"",0)</f>
        <v>PAR</v>
      </c>
      <c r="F4159" s="152">
        <v>10</v>
      </c>
    </row>
    <row r="4160" spans="1:6" x14ac:dyDescent="0.25">
      <c r="A4160" s="108">
        <v>46175</v>
      </c>
      <c r="B4160" s="152">
        <v>130</v>
      </c>
      <c r="C4160" s="108" t="s">
        <v>19</v>
      </c>
      <c r="D4160" s="110" t="str">
        <f>IF(ISBLANK($B4160),"",IFERROR(VLOOKUP($B4160,ESTOQUE!$B$2:$D$97168,3,FALSE),"Produto não cadastrado"))</f>
        <v>PROTETOR AUDITIVO TIPO CONCHA L-300</v>
      </c>
      <c r="E4160" s="99" t="str">
        <f>_xlfn.XLOOKUP(B4160,ESTOQUE!B:B,ESTOQUE!G:G,"",0)</f>
        <v>UND</v>
      </c>
      <c r="F4160" s="152">
        <v>1</v>
      </c>
    </row>
    <row r="4161" spans="1:6" x14ac:dyDescent="0.25">
      <c r="A4161" s="108">
        <v>46175</v>
      </c>
      <c r="B4161" s="152">
        <v>139</v>
      </c>
      <c r="C4161" s="108" t="s">
        <v>19</v>
      </c>
      <c r="D4161" s="110" t="str">
        <f>IF(ISBLANK($B4161),"",IFERROR(VLOOKUP($B4161,ESTOQUE!$B$2:$D$97168,3,FALSE),"Produto não cadastrado"))</f>
        <v>PROTETOR AURICULAR TIPO PLUG</v>
      </c>
      <c r="E4161" s="99" t="str">
        <f>_xlfn.XLOOKUP(B4161,ESTOQUE!B:B,ESTOQUE!G:G,"",0)</f>
        <v>UND</v>
      </c>
      <c r="F4161" s="152">
        <v>3</v>
      </c>
    </row>
    <row r="4162" spans="1:6" x14ac:dyDescent="0.25">
      <c r="A4162" s="108">
        <v>46176</v>
      </c>
      <c r="B4162" s="152">
        <v>228</v>
      </c>
      <c r="C4162" s="108" t="s">
        <v>19</v>
      </c>
      <c r="D4162" s="110" t="str">
        <f>IF(ISBLANK($B4162),"",IFERROR(VLOOKUP($B4162,ESTOQUE!$B$2:$D$97168,3,FALSE),"Produto não cadastrado"))</f>
        <v xml:space="preserve">BALACLAVA  </v>
      </c>
      <c r="E4162" s="99" t="str">
        <f>_xlfn.XLOOKUP(B4162,ESTOQUE!B:B,ESTOQUE!G:G,"",0)</f>
        <v>UND</v>
      </c>
      <c r="F4162" s="152">
        <v>25</v>
      </c>
    </row>
    <row r="4163" spans="1:6" x14ac:dyDescent="0.25">
      <c r="A4163" s="108">
        <v>46176</v>
      </c>
      <c r="B4163" s="152">
        <v>171</v>
      </c>
      <c r="C4163" s="108" t="s">
        <v>19</v>
      </c>
      <c r="D4163" s="110" t="str">
        <f>IF(ISBLANK($B4163),"",IFERROR(VLOOKUP($B4163,ESTOQUE!$B$2:$D$97168,3,FALSE),"Produto não cadastrado"))</f>
        <v>BOTA PVC CANO CURTO Nº 40</v>
      </c>
      <c r="E4163" s="99" t="str">
        <f>_xlfn.XLOOKUP(B4163,ESTOQUE!B:B,ESTOQUE!G:G,"",0)</f>
        <v>PAR</v>
      </c>
      <c r="F4163" s="152">
        <v>1</v>
      </c>
    </row>
    <row r="4164" spans="1:6" x14ac:dyDescent="0.25">
      <c r="A4164" s="108">
        <v>46176</v>
      </c>
      <c r="B4164" s="152">
        <v>218</v>
      </c>
      <c r="C4164" s="108" t="s">
        <v>19</v>
      </c>
      <c r="D4164" s="110" t="str">
        <f>IF(ISBLANK($B4164),"",IFERROR(VLOOKUP($B4164,ESTOQUE!$B$2:$D$97168,3,FALSE),"Produto não cadastrado"))</f>
        <v>BOTINA SEGURANÇA METATARSO  41</v>
      </c>
      <c r="E4164" s="99" t="str">
        <f>_xlfn.XLOOKUP(B4164,ESTOQUE!B:B,ESTOQUE!G:G,"",0)</f>
        <v>PAR</v>
      </c>
      <c r="F4164" s="152">
        <v>1</v>
      </c>
    </row>
    <row r="4165" spans="1:6" x14ac:dyDescent="0.25">
      <c r="A4165" s="108">
        <v>46176</v>
      </c>
      <c r="B4165" s="152">
        <v>217</v>
      </c>
      <c r="C4165" s="108" t="s">
        <v>19</v>
      </c>
      <c r="D4165" s="110" t="str">
        <f>IF(ISBLANK($B4165),"",IFERROR(VLOOKUP($B4165,ESTOQUE!$B$2:$D$97168,3,FALSE),"Produto não cadastrado"))</f>
        <v>BOTINA SEGURANÇA METATARSO  40</v>
      </c>
      <c r="E4165" s="99" t="str">
        <f>_xlfn.XLOOKUP(B4165,ESTOQUE!B:B,ESTOQUE!G:G,"",0)</f>
        <v>PAR</v>
      </c>
      <c r="F4165" s="152">
        <v>2</v>
      </c>
    </row>
    <row r="4166" spans="1:6" x14ac:dyDescent="0.25">
      <c r="A4166" s="108">
        <v>46176</v>
      </c>
      <c r="B4166" s="152">
        <v>218</v>
      </c>
      <c r="C4166" s="108" t="s">
        <v>19</v>
      </c>
      <c r="D4166" s="110" t="str">
        <f>IF(ISBLANK($B4166),"",IFERROR(VLOOKUP($B4166,ESTOQUE!$B$2:$D$97168,3,FALSE),"Produto não cadastrado"))</f>
        <v>BOTINA SEGURANÇA METATARSO  41</v>
      </c>
      <c r="E4166" s="99" t="str">
        <f>_xlfn.XLOOKUP(B4166,ESTOQUE!B:B,ESTOQUE!G:G,"",0)</f>
        <v>PAR</v>
      </c>
      <c r="F4166" s="152">
        <v>1</v>
      </c>
    </row>
    <row r="4167" spans="1:6" x14ac:dyDescent="0.25">
      <c r="A4167" s="108">
        <v>46176</v>
      </c>
      <c r="B4167" s="152">
        <v>46</v>
      </c>
      <c r="C4167" s="108" t="s">
        <v>19</v>
      </c>
      <c r="D4167" s="110" t="str">
        <f>IF(ISBLANK($B4167),"",IFERROR(VLOOKUP($B4167,ESTOQUE!$B$2:$D$97168,3,FALSE),"Produto não cadastrado"))</f>
        <v>CALÇA CINZA OP. C/ FAIXA REFLETIVA TAM: G</v>
      </c>
      <c r="E4167" s="99" t="str">
        <f>_xlfn.XLOOKUP(B4167,ESTOQUE!B:B,ESTOQUE!G:G,"",0)</f>
        <v>UND</v>
      </c>
      <c r="F4167" s="152">
        <v>4</v>
      </c>
    </row>
    <row r="4168" spans="1:6" x14ac:dyDescent="0.25">
      <c r="A4168" s="108">
        <v>46176</v>
      </c>
      <c r="B4168" s="152">
        <v>48</v>
      </c>
      <c r="C4168" s="108" t="s">
        <v>19</v>
      </c>
      <c r="D4168" s="110" t="str">
        <f>IF(ISBLANK($B4168),"",IFERROR(VLOOKUP($B4168,ESTOQUE!$B$2:$D$97168,3,FALSE),"Produto não cadastrado"))</f>
        <v>CALÇA CINZA OP. C/ FAIXA REFLETIVA TAM: M</v>
      </c>
      <c r="E4168" s="99" t="str">
        <f>_xlfn.XLOOKUP(B4168,ESTOQUE!B:B,ESTOQUE!G:G,"",0)</f>
        <v>UND</v>
      </c>
      <c r="F4168" s="152">
        <v>5</v>
      </c>
    </row>
    <row r="4169" spans="1:6" x14ac:dyDescent="0.25">
      <c r="A4169" s="108">
        <v>46176</v>
      </c>
      <c r="B4169" s="152">
        <v>49</v>
      </c>
      <c r="C4169" s="108" t="s">
        <v>19</v>
      </c>
      <c r="D4169" s="110" t="str">
        <f>IF(ISBLANK($B4169),"",IFERROR(VLOOKUP($B4169,ESTOQUE!$B$2:$D$97168,3,FALSE),"Produto não cadastrado"))</f>
        <v>CALÇA CINZA OP. C/ FAIXA REFLETIVA TAM: P</v>
      </c>
      <c r="E4169" s="99" t="str">
        <f>_xlfn.XLOOKUP(B4169,ESTOQUE!B:B,ESTOQUE!G:G,"",0)</f>
        <v>UND</v>
      </c>
      <c r="F4169" s="152">
        <v>2</v>
      </c>
    </row>
    <row r="4170" spans="1:6" x14ac:dyDescent="0.25">
      <c r="A4170" s="108">
        <v>46176</v>
      </c>
      <c r="B4170" s="152">
        <v>67</v>
      </c>
      <c r="C4170" s="108" t="s">
        <v>19</v>
      </c>
      <c r="D4170" s="110" t="str">
        <f>IF(ISBLANK($B4170),"",IFERROR(VLOOKUP($B4170,ESTOQUE!$B$2:$D$97168,3,FALSE),"Produto não cadastrado"))</f>
        <v>CAMISA LARANJA OP. C/ FAIXA REFLETIVA TAM: G</v>
      </c>
      <c r="E4170" s="99" t="str">
        <f>_xlfn.XLOOKUP(B4170,ESTOQUE!B:B,ESTOQUE!G:G,"",0)</f>
        <v>UND</v>
      </c>
      <c r="F4170" s="152">
        <v>1</v>
      </c>
    </row>
    <row r="4171" spans="1:6" x14ac:dyDescent="0.25">
      <c r="A4171" s="108">
        <v>46176</v>
      </c>
      <c r="B4171" s="152">
        <v>68</v>
      </c>
      <c r="C4171" s="108" t="s">
        <v>19</v>
      </c>
      <c r="D4171" s="110" t="str">
        <f>IF(ISBLANK($B4171),"",IFERROR(VLOOKUP($B4171,ESTOQUE!$B$2:$D$97168,3,FALSE),"Produto não cadastrado"))</f>
        <v>CAMISA LARANJA OP. C/ FAIXA REFLETIVA TAM: GG</v>
      </c>
      <c r="E4171" s="99" t="str">
        <f>_xlfn.XLOOKUP(B4171,ESTOQUE!B:B,ESTOQUE!G:G,"",0)</f>
        <v>UND</v>
      </c>
      <c r="F4171" s="152">
        <v>1</v>
      </c>
    </row>
    <row r="4172" spans="1:6" x14ac:dyDescent="0.25">
      <c r="A4172" s="108">
        <v>46176</v>
      </c>
      <c r="B4172" s="152">
        <v>69</v>
      </c>
      <c r="C4172" s="108" t="s">
        <v>19</v>
      </c>
      <c r="D4172" s="110" t="str">
        <f>IF(ISBLANK($B4172),"",IFERROR(VLOOKUP($B4172,ESTOQUE!$B$2:$D$97168,3,FALSE),"Produto não cadastrado"))</f>
        <v>CAMISA LARANJA OP. C/ FAIXA REFLETIVA TAM: M</v>
      </c>
      <c r="E4172" s="99" t="str">
        <f>_xlfn.XLOOKUP(B4172,ESTOQUE!B:B,ESTOQUE!G:G,"",0)</f>
        <v>UND</v>
      </c>
      <c r="F4172" s="152">
        <v>1</v>
      </c>
    </row>
    <row r="4173" spans="1:6" x14ac:dyDescent="0.25">
      <c r="A4173" s="108">
        <v>46176</v>
      </c>
      <c r="B4173" s="152">
        <v>70</v>
      </c>
      <c r="C4173" s="108" t="s">
        <v>19</v>
      </c>
      <c r="D4173" s="110" t="str">
        <f>IF(ISBLANK($B4173),"",IFERROR(VLOOKUP($B4173,ESTOQUE!$B$2:$D$97168,3,FALSE),"Produto não cadastrado"))</f>
        <v>CAMISA LARANJA OP. C/ FAIXA REFLETIVA TAM: P</v>
      </c>
      <c r="E4173" s="99" t="str">
        <f>_xlfn.XLOOKUP(B4173,ESTOQUE!B:B,ESTOQUE!G:G,"",0)</f>
        <v>UND</v>
      </c>
      <c r="F4173" s="152">
        <v>1</v>
      </c>
    </row>
    <row r="4174" spans="1:6" x14ac:dyDescent="0.25">
      <c r="A4174" s="108">
        <v>46176</v>
      </c>
      <c r="B4174" s="152">
        <v>161</v>
      </c>
      <c r="C4174" s="108" t="s">
        <v>19</v>
      </c>
      <c r="D4174" s="110" t="str">
        <f>IF(ISBLANK($B4174),"",IFERROR(VLOOKUP($B4174,ESTOQUE!$B$2:$D$97168,3,FALSE),"Produto não cadastrado"))</f>
        <v>JUGULAR</v>
      </c>
      <c r="E4174" s="99" t="str">
        <f>_xlfn.XLOOKUP(B4174,ESTOQUE!B:B,ESTOQUE!G:G,"",0)</f>
        <v>UND</v>
      </c>
      <c r="F4174" s="152">
        <v>30</v>
      </c>
    </row>
    <row r="4175" spans="1:6" x14ac:dyDescent="0.25">
      <c r="A4175" s="108">
        <v>46176</v>
      </c>
      <c r="B4175" s="152">
        <v>114</v>
      </c>
      <c r="C4175" s="108" t="s">
        <v>19</v>
      </c>
      <c r="D4175" s="110" t="str">
        <f>IF(ISBLANK($B4175),"",IFERROR(VLOOKUP($B4175,ESTOQUE!$B$2:$D$97168,3,FALSE),"Produto não cadastrado"))</f>
        <v xml:space="preserve">LUVA LATEX NITRILICA </v>
      </c>
      <c r="E4175" s="99" t="str">
        <f>_xlfn.XLOOKUP(B4175,ESTOQUE!B:B,ESTOQUE!G:G,"",0)</f>
        <v>PAR</v>
      </c>
      <c r="F4175" s="152">
        <v>2</v>
      </c>
    </row>
    <row r="4176" spans="1:6" x14ac:dyDescent="0.25">
      <c r="A4176" s="108">
        <v>46176</v>
      </c>
      <c r="B4176" s="152">
        <v>117</v>
      </c>
      <c r="C4176" s="108" t="s">
        <v>19</v>
      </c>
      <c r="D4176" s="110" t="str">
        <f>IF(ISBLANK($B4176),"",IFERROR(VLOOKUP($B4176,ESTOQUE!$B$2:$D$97168,3,FALSE),"Produto não cadastrado"))</f>
        <v>LUVA PIGMENTADA</v>
      </c>
      <c r="E4176" s="99" t="str">
        <f>_xlfn.XLOOKUP(B4176,ESTOQUE!B:B,ESTOQUE!G:G,"",0)</f>
        <v>PAR</v>
      </c>
      <c r="F4176" s="152">
        <v>7</v>
      </c>
    </row>
    <row r="4177" spans="1:6" x14ac:dyDescent="0.25">
      <c r="A4177" s="108">
        <v>46176</v>
      </c>
      <c r="B4177" s="152">
        <v>207</v>
      </c>
      <c r="C4177" s="108" t="s">
        <v>19</v>
      </c>
      <c r="D4177" s="110" t="str">
        <f>IF(ISBLANK($B4177),"",IFERROR(VLOOKUP($B4177,ESTOQUE!$B$2:$D$97168,3,FALSE),"Produto não cadastrado"))</f>
        <v>LUVA POLIESTER ANTICORTE BANHADA PU TAM 9</v>
      </c>
      <c r="E4177" s="99" t="str">
        <f>_xlfn.XLOOKUP(B4177,ESTOQUE!B:B,ESTOQUE!G:G,"",0)</f>
        <v>PAR</v>
      </c>
      <c r="F4177" s="152">
        <v>2</v>
      </c>
    </row>
    <row r="4178" spans="1:6" x14ac:dyDescent="0.25">
      <c r="A4178" s="108">
        <v>46176</v>
      </c>
      <c r="B4178" s="152">
        <v>118</v>
      </c>
      <c r="C4178" s="108" t="s">
        <v>19</v>
      </c>
      <c r="D4178" s="110" t="str">
        <f>IF(ISBLANK($B4178),"",IFERROR(VLOOKUP($B4178,ESTOQUE!$B$2:$D$97168,3,FALSE),"Produto não cadastrado"))</f>
        <v>MACACÃO DE PROTEÇÃO TYVEK</v>
      </c>
      <c r="E4178" s="99" t="str">
        <f>_xlfn.XLOOKUP(B4178,ESTOQUE!B:B,ESTOQUE!G:G,"",0)</f>
        <v>UND</v>
      </c>
      <c r="F4178" s="152">
        <v>55</v>
      </c>
    </row>
    <row r="4179" spans="1:6" x14ac:dyDescent="0.25">
      <c r="A4179" s="108">
        <v>46176</v>
      </c>
      <c r="B4179" s="152">
        <v>129</v>
      </c>
      <c r="C4179" s="108" t="s">
        <v>19</v>
      </c>
      <c r="D4179" s="110" t="str">
        <f>IF(ISBLANK($B4179),"",IFERROR(VLOOKUP($B4179,ESTOQUE!$B$2:$D$97168,3,FALSE),"Produto não cadastrado"))</f>
        <v>PERNEIRA DE RASPA</v>
      </c>
      <c r="E4179" s="99" t="str">
        <f>_xlfn.XLOOKUP(B4179,ESTOQUE!B:B,ESTOQUE!G:G,"",0)</f>
        <v>PAR</v>
      </c>
      <c r="F4179" s="152">
        <v>1</v>
      </c>
    </row>
    <row r="4180" spans="1:6" x14ac:dyDescent="0.25">
      <c r="A4180" s="108">
        <v>46176</v>
      </c>
      <c r="B4180" s="152">
        <v>144</v>
      </c>
      <c r="C4180" s="108" t="s">
        <v>19</v>
      </c>
      <c r="D4180" s="110" t="str">
        <f>IF(ISBLANK($B4180),"",IFERROR(VLOOKUP($B4180,ESTOQUE!$B$2:$D$97168,3,FALSE),"Produto não cadastrado"))</f>
        <v>MASCARA PFF2-S C/ FILTRO</v>
      </c>
      <c r="E4180" s="99" t="str">
        <f>_xlfn.XLOOKUP(B4180,ESTOQUE!B:B,ESTOQUE!G:G,"",0)</f>
        <v>UND</v>
      </c>
      <c r="F4180" s="152">
        <v>6</v>
      </c>
    </row>
    <row r="4181" spans="1:6" x14ac:dyDescent="0.25">
      <c r="A4181" s="108">
        <v>46176</v>
      </c>
      <c r="B4181" s="152">
        <v>126</v>
      </c>
      <c r="C4181" s="108" t="s">
        <v>19</v>
      </c>
      <c r="D4181" s="110" t="str">
        <f>IF(ISBLANK($B4181),"",IFERROR(VLOOKUP($B4181,ESTOQUE!$B$2:$D$97168,3,FALSE),"Produto não cadastrado"))</f>
        <v>OCULOS DE PROTEÇÃO ESCURO</v>
      </c>
      <c r="E4181" s="99" t="str">
        <f>_xlfn.XLOOKUP(B4181,ESTOQUE!B:B,ESTOQUE!G:G,"",0)</f>
        <v>UND</v>
      </c>
      <c r="F4181" s="152">
        <v>1</v>
      </c>
    </row>
    <row r="4182" spans="1:6" x14ac:dyDescent="0.25">
      <c r="A4182" s="108">
        <v>46176</v>
      </c>
      <c r="B4182" s="152">
        <v>124</v>
      </c>
      <c r="C4182" s="108" t="s">
        <v>19</v>
      </c>
      <c r="D4182" s="110" t="str">
        <f>IF(ISBLANK($B4182),"",IFERROR(VLOOKUP($B4182,ESTOQUE!$B$2:$D$97168,3,FALSE),"Produto não cadastrado"))</f>
        <v xml:space="preserve">OCULOS DE PROTEÇÃO INCOLOR </v>
      </c>
      <c r="E4182" s="99" t="str">
        <f>_xlfn.XLOOKUP(B4182,ESTOQUE!B:B,ESTOQUE!G:G,"",0)</f>
        <v>UND</v>
      </c>
      <c r="F4182" s="152">
        <v>1</v>
      </c>
    </row>
    <row r="4183" spans="1:6" x14ac:dyDescent="0.25">
      <c r="A4183" s="108">
        <v>46176</v>
      </c>
      <c r="B4183" s="152">
        <v>225</v>
      </c>
      <c r="C4183" s="108" t="s">
        <v>19</v>
      </c>
      <c r="D4183" s="110" t="str">
        <f>IF(ISBLANK($B4183),"",IFERROR(VLOOKUP($B4183,ESTOQUE!$B$2:$D$97168,3,FALSE),"Produto não cadastrado"))</f>
        <v>OCULOS OPERACIONAL SOBRE POR INCOLOR</v>
      </c>
      <c r="E4183" s="99" t="str">
        <f>_xlfn.XLOOKUP(B4183,ESTOQUE!B:B,ESTOQUE!G:G,"",0)</f>
        <v>UND</v>
      </c>
      <c r="F4183" s="152">
        <v>1</v>
      </c>
    </row>
    <row r="4184" spans="1:6" x14ac:dyDescent="0.25">
      <c r="A4184" s="108">
        <v>46176</v>
      </c>
      <c r="B4184" s="152">
        <v>130</v>
      </c>
      <c r="C4184" s="108" t="s">
        <v>19</v>
      </c>
      <c r="D4184" s="110" t="str">
        <f>IF(ISBLANK($B4184),"",IFERROR(VLOOKUP($B4184,ESTOQUE!$B$2:$D$97168,3,FALSE),"Produto não cadastrado"))</f>
        <v>PROTETOR AUDITIVO TIPO CONCHA L-300</v>
      </c>
      <c r="E4184" s="99" t="str">
        <f>_xlfn.XLOOKUP(B4184,ESTOQUE!B:B,ESTOQUE!G:G,"",0)</f>
        <v>UND</v>
      </c>
      <c r="F4184" s="152">
        <v>1</v>
      </c>
    </row>
    <row r="4185" spans="1:6" x14ac:dyDescent="0.25">
      <c r="A4185" s="108">
        <v>46176</v>
      </c>
      <c r="B4185" s="152">
        <v>228</v>
      </c>
      <c r="C4185" s="108" t="s">
        <v>19</v>
      </c>
      <c r="D4185" s="110" t="str">
        <f>IF(ISBLANK($B4185),"",IFERROR(VLOOKUP($B4185,ESTOQUE!$B$2:$D$97168,3,FALSE),"Produto não cadastrado"))</f>
        <v xml:space="preserve">BALACLAVA  </v>
      </c>
      <c r="E4185" s="99" t="str">
        <f>_xlfn.XLOOKUP(B4185,ESTOQUE!B:B,ESTOQUE!G:G,"",0)</f>
        <v>UND</v>
      </c>
      <c r="F4185" s="152">
        <v>3</v>
      </c>
    </row>
    <row r="4186" spans="1:6" x14ac:dyDescent="0.25">
      <c r="A4186" s="108">
        <v>46178</v>
      </c>
      <c r="B4186" s="152">
        <v>21</v>
      </c>
      <c r="C4186" s="108" t="s">
        <v>19</v>
      </c>
      <c r="D4186" s="110" t="str">
        <f>IF(ISBLANK($B4186),"",IFERROR(VLOOKUP($B4186,ESTOQUE!$B$2:$D$97168,3,FALSE),"Produto não cadastrado"))</f>
        <v>BOTA PVC CANO MEDIO Nº 42</v>
      </c>
      <c r="E4186" s="99" t="str">
        <f>_xlfn.XLOOKUP(B4186,ESTOQUE!B:B,ESTOQUE!G:G,"",0)</f>
        <v>PAR</v>
      </c>
      <c r="F4186" s="152">
        <v>1</v>
      </c>
    </row>
    <row r="4187" spans="1:6" x14ac:dyDescent="0.25">
      <c r="A4187" s="108">
        <v>46178</v>
      </c>
      <c r="B4187" s="152">
        <v>174</v>
      </c>
      <c r="C4187" s="108" t="s">
        <v>19</v>
      </c>
      <c r="D4187" s="110" t="str">
        <f>IF(ISBLANK($B4187),"",IFERROR(VLOOKUP($B4187,ESTOQUE!$B$2:$D$97168,3,FALSE),"Produto não cadastrado"))</f>
        <v>BOTA PVC CANO CURTO Nº 43</v>
      </c>
      <c r="E4187" s="99" t="str">
        <f>_xlfn.XLOOKUP(B4187,ESTOQUE!B:B,ESTOQUE!G:G,"",0)</f>
        <v>PAR</v>
      </c>
      <c r="F4187" s="152">
        <v>2</v>
      </c>
    </row>
    <row r="4188" spans="1:6" x14ac:dyDescent="0.25">
      <c r="A4188" s="108">
        <v>46178</v>
      </c>
      <c r="B4188" s="152">
        <v>268</v>
      </c>
      <c r="C4188" s="108" t="s">
        <v>19</v>
      </c>
      <c r="D4188" s="110" t="str">
        <f>IF(ISBLANK($B4188),"",IFERROR(VLOOKUP($B4188,ESTOQUE!$B$2:$D$97168,3,FALSE),"Produto não cadastrado"))</f>
        <v>BOTA PVC CANO CURTO N  39</v>
      </c>
      <c r="E4188" s="99" t="str">
        <f>_xlfn.XLOOKUP(B4188,ESTOQUE!B:B,ESTOQUE!G:G,"",0)</f>
        <v>PAR</v>
      </c>
      <c r="F4188" s="152">
        <v>1</v>
      </c>
    </row>
    <row r="4189" spans="1:6" x14ac:dyDescent="0.25">
      <c r="A4189" s="108">
        <v>46178</v>
      </c>
      <c r="B4189" s="152">
        <v>218</v>
      </c>
      <c r="C4189" s="108" t="s">
        <v>19</v>
      </c>
      <c r="D4189" s="110" t="str">
        <f>IF(ISBLANK($B4189),"",IFERROR(VLOOKUP($B4189,ESTOQUE!$B$2:$D$97168,3,FALSE),"Produto não cadastrado"))</f>
        <v>BOTINA SEGURANÇA METATARSO  41</v>
      </c>
      <c r="E4189" s="99" t="str">
        <f>_xlfn.XLOOKUP(B4189,ESTOQUE!B:B,ESTOQUE!G:G,"",0)</f>
        <v>PAR</v>
      </c>
      <c r="F4189" s="152">
        <v>1</v>
      </c>
    </row>
    <row r="4190" spans="1:6" x14ac:dyDescent="0.25">
      <c r="A4190" s="108">
        <v>46178</v>
      </c>
      <c r="B4190" s="152">
        <v>46</v>
      </c>
      <c r="C4190" s="108" t="s">
        <v>19</v>
      </c>
      <c r="D4190" s="110" t="str">
        <f>IF(ISBLANK($B4190),"",IFERROR(VLOOKUP($B4190,ESTOQUE!$B$2:$D$97168,3,FALSE),"Produto não cadastrado"))</f>
        <v>CALÇA CINZA OP. C/ FAIXA REFLETIVA TAM: G</v>
      </c>
      <c r="E4190" s="99" t="str">
        <f>_xlfn.XLOOKUP(B4190,ESTOQUE!B:B,ESTOQUE!G:G,"",0)</f>
        <v>UND</v>
      </c>
      <c r="F4190" s="152">
        <v>4</v>
      </c>
    </row>
    <row r="4191" spans="1:6" x14ac:dyDescent="0.25">
      <c r="A4191" s="108">
        <v>46178</v>
      </c>
      <c r="B4191" s="152">
        <v>49</v>
      </c>
      <c r="C4191" s="108" t="s">
        <v>19</v>
      </c>
      <c r="D4191" s="110" t="str">
        <f>IF(ISBLANK($B4191),"",IFERROR(VLOOKUP($B4191,ESTOQUE!$B$2:$D$97168,3,FALSE),"Produto não cadastrado"))</f>
        <v>CALÇA CINZA OP. C/ FAIXA REFLETIVA TAM: P</v>
      </c>
      <c r="E4191" s="99" t="str">
        <f>_xlfn.XLOOKUP(B4191,ESTOQUE!B:B,ESTOQUE!G:G,"",0)</f>
        <v>UND</v>
      </c>
      <c r="F4191" s="152">
        <v>3</v>
      </c>
    </row>
    <row r="4192" spans="1:6" x14ac:dyDescent="0.25">
      <c r="A4192" s="108">
        <v>46178</v>
      </c>
      <c r="B4192" s="152">
        <v>67</v>
      </c>
      <c r="C4192" s="108" t="s">
        <v>19</v>
      </c>
      <c r="D4192" s="110" t="str">
        <f>IF(ISBLANK($B4192),"",IFERROR(VLOOKUP($B4192,ESTOQUE!$B$2:$D$97168,3,FALSE),"Produto não cadastrado"))</f>
        <v>CAMISA LARANJA OP. C/ FAIXA REFLETIVA TAM: G</v>
      </c>
      <c r="E4192" s="99" t="str">
        <f>_xlfn.XLOOKUP(B4192,ESTOQUE!B:B,ESTOQUE!G:G,"",0)</f>
        <v>UND</v>
      </c>
      <c r="F4192" s="152">
        <v>1</v>
      </c>
    </row>
    <row r="4193" spans="1:6" x14ac:dyDescent="0.25">
      <c r="A4193" s="108">
        <v>46178</v>
      </c>
      <c r="B4193" s="152">
        <v>69</v>
      </c>
      <c r="C4193" s="108" t="s">
        <v>19</v>
      </c>
      <c r="D4193" s="110" t="str">
        <f>IF(ISBLANK($B4193),"",IFERROR(VLOOKUP($B4193,ESTOQUE!$B$2:$D$97168,3,FALSE),"Produto não cadastrado"))</f>
        <v>CAMISA LARANJA OP. C/ FAIXA REFLETIVA TAM: M</v>
      </c>
      <c r="E4193" s="99" t="str">
        <f>_xlfn.XLOOKUP(B4193,ESTOQUE!B:B,ESTOQUE!G:G,"",0)</f>
        <v>UND</v>
      </c>
      <c r="F4193" s="152">
        <v>2</v>
      </c>
    </row>
    <row r="4194" spans="1:6" x14ac:dyDescent="0.25">
      <c r="A4194" s="108">
        <v>46178</v>
      </c>
      <c r="B4194" s="152">
        <v>70</v>
      </c>
      <c r="C4194" s="108" t="s">
        <v>19</v>
      </c>
      <c r="D4194" s="110" t="str">
        <f>IF(ISBLANK($B4194),"",IFERROR(VLOOKUP($B4194,ESTOQUE!$B$2:$D$97168,3,FALSE),"Produto não cadastrado"))</f>
        <v>CAMISA LARANJA OP. C/ FAIXA REFLETIVA TAM: P</v>
      </c>
      <c r="E4194" s="99" t="str">
        <f>_xlfn.XLOOKUP(B4194,ESTOQUE!B:B,ESTOQUE!G:G,"",0)</f>
        <v>UND</v>
      </c>
      <c r="F4194" s="152">
        <v>1</v>
      </c>
    </row>
    <row r="4195" spans="1:6" x14ac:dyDescent="0.25">
      <c r="A4195" s="108">
        <v>46178</v>
      </c>
      <c r="B4195" s="152">
        <v>77</v>
      </c>
      <c r="C4195" s="108" t="s">
        <v>19</v>
      </c>
      <c r="D4195" s="110" t="str">
        <f>IF(ISBLANK($B4195),"",IFERROR(VLOOKUP($B4195,ESTOQUE!$B$2:$D$97168,3,FALSE),"Produto não cadastrado"))</f>
        <v>CAPACETE CAMPER CINZA</v>
      </c>
      <c r="E4195" s="99" t="str">
        <f>_xlfn.XLOOKUP(B4195,ESTOQUE!B:B,ESTOQUE!G:G,"",0)</f>
        <v>UND</v>
      </c>
      <c r="F4195" s="152">
        <v>1</v>
      </c>
    </row>
    <row r="4196" spans="1:6" x14ac:dyDescent="0.25">
      <c r="A4196" s="108">
        <v>46178</v>
      </c>
      <c r="B4196" s="152">
        <v>94</v>
      </c>
      <c r="C4196" s="108" t="s">
        <v>19</v>
      </c>
      <c r="D4196" s="110" t="str">
        <f>IF(ISBLANK($B4196),"",IFERROR(VLOOKUP($B4196,ESTOQUE!$B$2:$D$97168,3,FALSE),"Produto não cadastrado"))</f>
        <v>CARNEIRA P/ CAPACETE CAMPER</v>
      </c>
      <c r="E4196" s="99" t="str">
        <f>_xlfn.XLOOKUP(B4196,ESTOQUE!B:B,ESTOQUE!G:G,"",0)</f>
        <v>UND</v>
      </c>
      <c r="F4196" s="152">
        <v>1</v>
      </c>
    </row>
    <row r="4197" spans="1:6" x14ac:dyDescent="0.25">
      <c r="A4197" s="108">
        <v>46178</v>
      </c>
      <c r="B4197" s="152">
        <v>97</v>
      </c>
      <c r="C4197" s="108" t="s">
        <v>19</v>
      </c>
      <c r="D4197" s="110" t="str">
        <f>IF(ISBLANK($B4197),"",IFERROR(VLOOKUP($B4197,ESTOQUE!$B$2:$D$97168,3,FALSE),"Produto não cadastrado"))</f>
        <v>COLETE REFLETIVO LARANJA M</v>
      </c>
      <c r="E4197" s="99" t="str">
        <f>_xlfn.XLOOKUP(B4197,ESTOQUE!B:B,ESTOQUE!G:G,"",0)</f>
        <v>UND</v>
      </c>
      <c r="F4197" s="152">
        <v>1</v>
      </c>
    </row>
    <row r="4198" spans="1:6" x14ac:dyDescent="0.25">
      <c r="A4198" s="108">
        <v>46178</v>
      </c>
      <c r="B4198" s="152">
        <v>114</v>
      </c>
      <c r="C4198" s="108" t="s">
        <v>19</v>
      </c>
      <c r="D4198" s="110" t="str">
        <f>IF(ISBLANK($B4198),"",IFERROR(VLOOKUP($B4198,ESTOQUE!$B$2:$D$97168,3,FALSE),"Produto não cadastrado"))</f>
        <v xml:space="preserve">LUVA LATEX NITRILICA </v>
      </c>
      <c r="E4198" s="99" t="str">
        <f>_xlfn.XLOOKUP(B4198,ESTOQUE!B:B,ESTOQUE!G:G,"",0)</f>
        <v>PAR</v>
      </c>
      <c r="F4198" s="152">
        <v>1</v>
      </c>
    </row>
    <row r="4199" spans="1:6" x14ac:dyDescent="0.25">
      <c r="A4199" s="108">
        <v>46178</v>
      </c>
      <c r="B4199" s="152">
        <v>117</v>
      </c>
      <c r="C4199" s="108" t="s">
        <v>19</v>
      </c>
      <c r="D4199" s="110" t="str">
        <f>IF(ISBLANK($B4199),"",IFERROR(VLOOKUP($B4199,ESTOQUE!$B$2:$D$97168,3,FALSE),"Produto não cadastrado"))</f>
        <v>LUVA PIGMENTADA</v>
      </c>
      <c r="E4199" s="99" t="str">
        <f>_xlfn.XLOOKUP(B4199,ESTOQUE!B:B,ESTOQUE!G:G,"",0)</f>
        <v>PAR</v>
      </c>
      <c r="F4199" s="152">
        <v>2</v>
      </c>
    </row>
    <row r="4200" spans="1:6" x14ac:dyDescent="0.25">
      <c r="A4200" s="108">
        <v>46178</v>
      </c>
      <c r="B4200" s="152">
        <v>118</v>
      </c>
      <c r="C4200" s="108" t="s">
        <v>19</v>
      </c>
      <c r="D4200" s="110" t="str">
        <f>IF(ISBLANK($B4200),"",IFERROR(VLOOKUP($B4200,ESTOQUE!$B$2:$D$97168,3,FALSE),"Produto não cadastrado"))</f>
        <v>MACACÃO DE PROTEÇÃO TYVEK</v>
      </c>
      <c r="E4200" s="99" t="str">
        <f>_xlfn.XLOOKUP(B4200,ESTOQUE!B:B,ESTOQUE!G:G,"",0)</f>
        <v>UND</v>
      </c>
      <c r="F4200" s="152">
        <v>25</v>
      </c>
    </row>
    <row r="4201" spans="1:6" x14ac:dyDescent="0.25">
      <c r="A4201" s="108">
        <v>46178</v>
      </c>
      <c r="B4201" s="152">
        <v>144</v>
      </c>
      <c r="C4201" s="108" t="s">
        <v>19</v>
      </c>
      <c r="D4201" s="110" t="str">
        <f>IF(ISBLANK($B4201),"",IFERROR(VLOOKUP($B4201,ESTOQUE!$B$2:$D$97168,3,FALSE),"Produto não cadastrado"))</f>
        <v>MASCARA PFF2-S C/ FILTRO</v>
      </c>
      <c r="E4201" s="99" t="str">
        <f>_xlfn.XLOOKUP(B4201,ESTOQUE!B:B,ESTOQUE!G:G,"",0)</f>
        <v>UND</v>
      </c>
      <c r="F4201" s="152">
        <v>6</v>
      </c>
    </row>
    <row r="4202" spans="1:6" x14ac:dyDescent="0.25">
      <c r="A4202" s="108">
        <v>46178</v>
      </c>
      <c r="B4202" s="152">
        <v>126</v>
      </c>
      <c r="C4202" s="108" t="s">
        <v>19</v>
      </c>
      <c r="D4202" s="110" t="str">
        <f>IF(ISBLANK($B4202),"",IFERROR(VLOOKUP($B4202,ESTOQUE!$B$2:$D$97168,3,FALSE),"Produto não cadastrado"))</f>
        <v>OCULOS DE PROTEÇÃO ESCURO</v>
      </c>
      <c r="E4202" s="99" t="str">
        <f>_xlfn.XLOOKUP(B4202,ESTOQUE!B:B,ESTOQUE!G:G,"",0)</f>
        <v>UND</v>
      </c>
      <c r="F4202" s="152">
        <v>4</v>
      </c>
    </row>
    <row r="4203" spans="1:6" x14ac:dyDescent="0.25">
      <c r="A4203" s="108">
        <v>46178</v>
      </c>
      <c r="B4203" s="152">
        <v>124</v>
      </c>
      <c r="C4203" s="108" t="s">
        <v>19</v>
      </c>
      <c r="D4203" s="110" t="str">
        <f>IF(ISBLANK($B4203),"",IFERROR(VLOOKUP($B4203,ESTOQUE!$B$2:$D$97168,3,FALSE),"Produto não cadastrado"))</f>
        <v xml:space="preserve">OCULOS DE PROTEÇÃO INCOLOR </v>
      </c>
      <c r="E4203" s="99" t="str">
        <f>_xlfn.XLOOKUP(B4203,ESTOQUE!B:B,ESTOQUE!G:G,"",0)</f>
        <v>UND</v>
      </c>
      <c r="F4203" s="152">
        <v>1</v>
      </c>
    </row>
    <row r="4204" spans="1:6" x14ac:dyDescent="0.25">
      <c r="A4204" s="108">
        <v>46178</v>
      </c>
      <c r="B4204" s="152">
        <v>137</v>
      </c>
      <c r="C4204" s="108" t="s">
        <v>19</v>
      </c>
      <c r="D4204" s="110" t="str">
        <f>IF(ISBLANK($B4204),"",IFERROR(VLOOKUP($B4204,ESTOQUE!$B$2:$D$97168,3,FALSE),"Produto não cadastrado"))</f>
        <v xml:space="preserve">TOUCA ARABE </v>
      </c>
      <c r="E4204" s="99" t="str">
        <f>_xlfn.XLOOKUP(B4204,ESTOQUE!B:B,ESTOQUE!G:G,"",0)</f>
        <v>UND</v>
      </c>
      <c r="F4204" s="152">
        <v>2</v>
      </c>
    </row>
    <row r="4205" spans="1:6" x14ac:dyDescent="0.25">
      <c r="A4205" s="108">
        <v>46178</v>
      </c>
      <c r="B4205" s="152">
        <v>142</v>
      </c>
      <c r="C4205" s="108" t="s">
        <v>19</v>
      </c>
      <c r="D4205" s="110" t="str">
        <f>IF(ISBLANK($B4205),"",IFERROR(VLOOKUP($B4205,ESTOQUE!$B$2:$D$97168,3,FALSE),"Produto não cadastrado"))</f>
        <v>TRAVA QUEDA P/ CABO DE AÇO 8mm</v>
      </c>
      <c r="E4205" s="99" t="str">
        <f>_xlfn.XLOOKUP(B4205,ESTOQUE!B:B,ESTOQUE!G:G,"",0)</f>
        <v>UND</v>
      </c>
      <c r="F4205" s="152">
        <v>5</v>
      </c>
    </row>
    <row r="4206" spans="1:6" x14ac:dyDescent="0.25">
      <c r="A4206" s="108">
        <v>46179</v>
      </c>
      <c r="B4206" s="152">
        <v>2</v>
      </c>
      <c r="C4206" s="108" t="s">
        <v>19</v>
      </c>
      <c r="D4206" s="110" t="str">
        <f>IF(ISBLANK($B4206),"",IFERROR(VLOOKUP($B4206,ESTOQUE!$B$2:$D$97168,3,FALSE),"Produto não cadastrado"))</f>
        <v>AVENTAL DE RASPA TAM 1X60MT</v>
      </c>
      <c r="E4206" s="99" t="str">
        <f>_xlfn.XLOOKUP(B4206,ESTOQUE!B:B,ESTOQUE!G:G,"",0)</f>
        <v>UND</v>
      </c>
      <c r="F4206" s="152">
        <v>1</v>
      </c>
    </row>
    <row r="4207" spans="1:6" x14ac:dyDescent="0.25">
      <c r="A4207" s="108">
        <v>46179</v>
      </c>
      <c r="B4207" s="152">
        <v>190</v>
      </c>
      <c r="C4207" s="108" t="s">
        <v>19</v>
      </c>
      <c r="D4207" s="110" t="str">
        <f>IF(ISBLANK($B4207),"",IFERROR(VLOOKUP($B4207,ESTOQUE!$B$2:$D$97168,3,FALSE),"Produto não cadastrado"))</f>
        <v>AVENTAL DE RASPA TAM 120X60</v>
      </c>
      <c r="E4207" s="99" t="str">
        <f>_xlfn.XLOOKUP(B4207,ESTOQUE!B:B,ESTOQUE!G:G,"",0)</f>
        <v>UND</v>
      </c>
      <c r="F4207" s="152">
        <v>6</v>
      </c>
    </row>
    <row r="4208" spans="1:6" x14ac:dyDescent="0.25">
      <c r="A4208" s="108">
        <v>46179</v>
      </c>
      <c r="B4208" s="152">
        <v>228</v>
      </c>
      <c r="C4208" s="108" t="s">
        <v>19</v>
      </c>
      <c r="D4208" s="110" t="str">
        <f>IF(ISBLANK($B4208),"",IFERROR(VLOOKUP($B4208,ESTOQUE!$B$2:$D$97168,3,FALSE),"Produto não cadastrado"))</f>
        <v xml:space="preserve">BALACLAVA  </v>
      </c>
      <c r="E4208" s="99" t="str">
        <f>_xlfn.XLOOKUP(B4208,ESTOQUE!B:B,ESTOQUE!G:G,"",0)</f>
        <v>UND</v>
      </c>
      <c r="F4208" s="152">
        <v>1</v>
      </c>
    </row>
    <row r="4209" spans="1:6" x14ac:dyDescent="0.25">
      <c r="A4209" s="108">
        <v>46179</v>
      </c>
      <c r="B4209" s="152">
        <v>218</v>
      </c>
      <c r="C4209" s="108" t="s">
        <v>19</v>
      </c>
      <c r="D4209" s="110" t="str">
        <f>IF(ISBLANK($B4209),"",IFERROR(VLOOKUP($B4209,ESTOQUE!$B$2:$D$97168,3,FALSE),"Produto não cadastrado"))</f>
        <v>BOTINA SEGURANÇA METATARSO  41</v>
      </c>
      <c r="E4209" s="99" t="str">
        <f>_xlfn.XLOOKUP(B4209,ESTOQUE!B:B,ESTOQUE!G:G,"",0)</f>
        <v>PAR</v>
      </c>
      <c r="F4209" s="152">
        <v>2</v>
      </c>
    </row>
    <row r="4210" spans="1:6" x14ac:dyDescent="0.25">
      <c r="A4210" s="108">
        <v>46179</v>
      </c>
      <c r="B4210" s="152">
        <v>48</v>
      </c>
      <c r="C4210" s="108" t="s">
        <v>19</v>
      </c>
      <c r="D4210" s="110" t="str">
        <f>IF(ISBLANK($B4210),"",IFERROR(VLOOKUP($B4210,ESTOQUE!$B$2:$D$97168,3,FALSE),"Produto não cadastrado"))</f>
        <v>CALÇA CINZA OP. C/ FAIXA REFLETIVA TAM: M</v>
      </c>
      <c r="E4210" s="99" t="str">
        <f>_xlfn.XLOOKUP(B4210,ESTOQUE!B:B,ESTOQUE!G:G,"",0)</f>
        <v>UND</v>
      </c>
      <c r="F4210" s="152">
        <v>7</v>
      </c>
    </row>
    <row r="4211" spans="1:6" x14ac:dyDescent="0.25">
      <c r="A4211" s="108">
        <v>46179</v>
      </c>
      <c r="B4211" s="152">
        <v>49</v>
      </c>
      <c r="C4211" s="108" t="s">
        <v>19</v>
      </c>
      <c r="D4211" s="110" t="str">
        <f>IF(ISBLANK($B4211),"",IFERROR(VLOOKUP($B4211,ESTOQUE!$B$2:$D$97168,3,FALSE),"Produto não cadastrado"))</f>
        <v>CALÇA CINZA OP. C/ FAIXA REFLETIVA TAM: P</v>
      </c>
      <c r="E4211" s="99" t="str">
        <f>_xlfn.XLOOKUP(B4211,ESTOQUE!B:B,ESTOQUE!G:G,"",0)</f>
        <v>UND</v>
      </c>
      <c r="F4211" s="152">
        <v>4</v>
      </c>
    </row>
    <row r="4212" spans="1:6" x14ac:dyDescent="0.25">
      <c r="A4212" s="108">
        <v>46179</v>
      </c>
      <c r="B4212" s="152">
        <v>46</v>
      </c>
      <c r="C4212" s="108" t="s">
        <v>19</v>
      </c>
      <c r="D4212" s="110" t="str">
        <f>IF(ISBLANK($B4212),"",IFERROR(VLOOKUP($B4212,ESTOQUE!$B$2:$D$97168,3,FALSE),"Produto não cadastrado"))</f>
        <v>CALÇA CINZA OP. C/ FAIXA REFLETIVA TAM: G</v>
      </c>
      <c r="E4212" s="99" t="str">
        <f>_xlfn.XLOOKUP(B4212,ESTOQUE!B:B,ESTOQUE!G:G,"",0)</f>
        <v>UND</v>
      </c>
      <c r="F4212" s="152">
        <v>1</v>
      </c>
    </row>
    <row r="4213" spans="1:6" x14ac:dyDescent="0.25">
      <c r="A4213" s="108">
        <v>46179</v>
      </c>
      <c r="B4213" s="152">
        <v>67</v>
      </c>
      <c r="C4213" s="108" t="s">
        <v>19</v>
      </c>
      <c r="D4213" s="110" t="str">
        <f>IF(ISBLANK($B4213),"",IFERROR(VLOOKUP($B4213,ESTOQUE!$B$2:$D$97168,3,FALSE),"Produto não cadastrado"))</f>
        <v>CAMISA LARANJA OP. C/ FAIXA REFLETIVA TAM: G</v>
      </c>
      <c r="E4213" s="99" t="str">
        <f>_xlfn.XLOOKUP(B4213,ESTOQUE!B:B,ESTOQUE!G:G,"",0)</f>
        <v>UND</v>
      </c>
      <c r="F4213" s="152">
        <v>3</v>
      </c>
    </row>
    <row r="4214" spans="1:6" x14ac:dyDescent="0.25">
      <c r="A4214" s="108">
        <v>46179</v>
      </c>
      <c r="B4214" s="152">
        <v>69</v>
      </c>
      <c r="C4214" s="108" t="s">
        <v>19</v>
      </c>
      <c r="D4214" s="110" t="str">
        <f>IF(ISBLANK($B4214),"",IFERROR(VLOOKUP($B4214,ESTOQUE!$B$2:$D$97168,3,FALSE),"Produto não cadastrado"))</f>
        <v>CAMISA LARANJA OP. C/ FAIXA REFLETIVA TAM: M</v>
      </c>
      <c r="E4214" s="99" t="str">
        <f>_xlfn.XLOOKUP(B4214,ESTOQUE!B:B,ESTOQUE!G:G,"",0)</f>
        <v>UND</v>
      </c>
      <c r="F4214" s="152">
        <v>7</v>
      </c>
    </row>
    <row r="4215" spans="1:6" x14ac:dyDescent="0.25">
      <c r="A4215" s="108">
        <v>46179</v>
      </c>
      <c r="B4215" s="152">
        <v>70</v>
      </c>
      <c r="C4215" s="108" t="s">
        <v>19</v>
      </c>
      <c r="D4215" s="110" t="str">
        <f>IF(ISBLANK($B4215),"",IFERROR(VLOOKUP($B4215,ESTOQUE!$B$2:$D$97168,3,FALSE),"Produto não cadastrado"))</f>
        <v>CAMISA LARANJA OP. C/ FAIXA REFLETIVA TAM: P</v>
      </c>
      <c r="E4215" s="99" t="str">
        <f>_xlfn.XLOOKUP(B4215,ESTOQUE!B:B,ESTOQUE!G:G,"",0)</f>
        <v>UND</v>
      </c>
      <c r="F4215" s="152">
        <v>4</v>
      </c>
    </row>
    <row r="4216" spans="1:6" x14ac:dyDescent="0.25">
      <c r="A4216" s="108">
        <v>46179</v>
      </c>
      <c r="B4216" s="152">
        <v>161</v>
      </c>
      <c r="C4216" s="108" t="s">
        <v>19</v>
      </c>
      <c r="D4216" s="110" t="str">
        <f>IF(ISBLANK($B4216),"",IFERROR(VLOOKUP($B4216,ESTOQUE!$B$2:$D$97168,3,FALSE),"Produto não cadastrado"))</f>
        <v>JUGULAR</v>
      </c>
      <c r="E4216" s="99" t="str">
        <f>_xlfn.XLOOKUP(B4216,ESTOQUE!B:B,ESTOQUE!G:G,"",0)</f>
        <v>UND</v>
      </c>
      <c r="F4216" s="152">
        <v>1</v>
      </c>
    </row>
    <row r="4217" spans="1:6" x14ac:dyDescent="0.25">
      <c r="A4217" s="108">
        <v>46179</v>
      </c>
      <c r="B4217" s="152">
        <v>141</v>
      </c>
      <c r="C4217" s="108" t="s">
        <v>19</v>
      </c>
      <c r="D4217" s="110" t="str">
        <f>IF(ISBLANK($B4217),"",IFERROR(VLOOKUP($B4217,ESTOQUE!$B$2:$D$97168,3,FALSE),"Produto não cadastrado"))</f>
        <v xml:space="preserve">LUVA DE VAQUETA </v>
      </c>
      <c r="E4217" s="99" t="str">
        <f>_xlfn.XLOOKUP(B4217,ESTOQUE!B:B,ESTOQUE!G:G,"",0)</f>
        <v>PAR</v>
      </c>
      <c r="F4217" s="152">
        <v>1</v>
      </c>
    </row>
    <row r="4218" spans="1:6" x14ac:dyDescent="0.25">
      <c r="A4218" s="108">
        <v>46179</v>
      </c>
      <c r="B4218" s="152">
        <v>189</v>
      </c>
      <c r="C4218" s="108" t="s">
        <v>19</v>
      </c>
      <c r="D4218" s="110" t="str">
        <f>IF(ISBLANK($B4218),"",IFERROR(VLOOKUP($B4218,ESTOQUE!$B$2:$D$97168,3,FALSE),"Produto não cadastrado"))</f>
        <v xml:space="preserve">LUVA DE VAQUETA MISTA </v>
      </c>
      <c r="E4218" s="99" t="str">
        <f>_xlfn.XLOOKUP(B4218,ESTOQUE!B:B,ESTOQUE!G:G,"",0)</f>
        <v>UND</v>
      </c>
      <c r="F4218" s="152">
        <v>48</v>
      </c>
    </row>
    <row r="4219" spans="1:6" x14ac:dyDescent="0.25">
      <c r="A4219" s="108">
        <v>46179</v>
      </c>
      <c r="B4219" s="152">
        <v>114</v>
      </c>
      <c r="C4219" s="108" t="s">
        <v>19</v>
      </c>
      <c r="D4219" s="110" t="str">
        <f>IF(ISBLANK($B4219),"",IFERROR(VLOOKUP($B4219,ESTOQUE!$B$2:$D$97168,3,FALSE),"Produto não cadastrado"))</f>
        <v xml:space="preserve">LUVA LATEX NITRILICA </v>
      </c>
      <c r="E4219" s="99" t="str">
        <f>_xlfn.XLOOKUP(B4219,ESTOQUE!B:B,ESTOQUE!G:G,"",0)</f>
        <v>PAR</v>
      </c>
      <c r="F4219" s="152">
        <v>1</v>
      </c>
    </row>
    <row r="4220" spans="1:6" x14ac:dyDescent="0.25">
      <c r="A4220" s="108">
        <v>46179</v>
      </c>
      <c r="B4220" s="152">
        <v>117</v>
      </c>
      <c r="C4220" s="108" t="s">
        <v>19</v>
      </c>
      <c r="D4220" s="110" t="str">
        <f>IF(ISBLANK($B4220),"",IFERROR(VLOOKUP($B4220,ESTOQUE!$B$2:$D$97168,3,FALSE),"Produto não cadastrado"))</f>
        <v>LUVA PIGMENTADA</v>
      </c>
      <c r="E4220" s="99" t="str">
        <f>_xlfn.XLOOKUP(B4220,ESTOQUE!B:B,ESTOQUE!G:G,"",0)</f>
        <v>PAR</v>
      </c>
      <c r="F4220" s="152">
        <v>19</v>
      </c>
    </row>
    <row r="4221" spans="1:6" x14ac:dyDescent="0.25">
      <c r="A4221" s="108">
        <v>46179</v>
      </c>
      <c r="B4221" s="152">
        <v>207</v>
      </c>
      <c r="C4221" s="108" t="s">
        <v>19</v>
      </c>
      <c r="D4221" s="110" t="str">
        <f>IF(ISBLANK($B4221),"",IFERROR(VLOOKUP($B4221,ESTOQUE!$B$2:$D$97168,3,FALSE),"Produto não cadastrado"))</f>
        <v>LUVA POLIESTER ANTICORTE BANHADA PU TAM 9</v>
      </c>
      <c r="E4221" s="99" t="str">
        <f>_xlfn.XLOOKUP(B4221,ESTOQUE!B:B,ESTOQUE!G:G,"",0)</f>
        <v>PAR</v>
      </c>
      <c r="F4221" s="152">
        <v>1</v>
      </c>
    </row>
    <row r="4222" spans="1:6" x14ac:dyDescent="0.25">
      <c r="A4222" s="108">
        <v>46179</v>
      </c>
      <c r="B4222" s="152">
        <v>118</v>
      </c>
      <c r="C4222" s="108" t="s">
        <v>19</v>
      </c>
      <c r="D4222" s="110" t="str">
        <f>IF(ISBLANK($B4222),"",IFERROR(VLOOKUP($B4222,ESTOQUE!$B$2:$D$97168,3,FALSE),"Produto não cadastrado"))</f>
        <v>MACACÃO DE PROTEÇÃO TYVEK</v>
      </c>
      <c r="E4222" s="99" t="str">
        <f>_xlfn.XLOOKUP(B4222,ESTOQUE!B:B,ESTOQUE!G:G,"",0)</f>
        <v>UND</v>
      </c>
      <c r="F4222" s="152">
        <v>9</v>
      </c>
    </row>
    <row r="4223" spans="1:6" x14ac:dyDescent="0.25">
      <c r="A4223" s="108">
        <v>46179</v>
      </c>
      <c r="B4223" s="152">
        <v>125</v>
      </c>
      <c r="C4223" s="108" t="s">
        <v>19</v>
      </c>
      <c r="D4223" s="110" t="str">
        <f>IF(ISBLANK($B4223),"",IFERROR(VLOOKUP($B4223,ESTOQUE!$B$2:$D$97168,3,FALSE),"Produto não cadastrado"))</f>
        <v xml:space="preserve">MASCARA DE SOLDA AUTOMATICA </v>
      </c>
      <c r="E4223" s="99" t="str">
        <f>_xlfn.XLOOKUP(B4223,ESTOQUE!B:B,ESTOQUE!G:G,"",0)</f>
        <v>UND</v>
      </c>
      <c r="F4223" s="152">
        <v>1</v>
      </c>
    </row>
    <row r="4224" spans="1:6" x14ac:dyDescent="0.25">
      <c r="A4224" s="108">
        <v>46179</v>
      </c>
      <c r="B4224" s="152">
        <v>144</v>
      </c>
      <c r="C4224" s="108" t="s">
        <v>19</v>
      </c>
      <c r="D4224" s="110" t="str">
        <f>IF(ISBLANK($B4224),"",IFERROR(VLOOKUP($B4224,ESTOQUE!$B$2:$D$97168,3,FALSE),"Produto não cadastrado"))</f>
        <v>MASCARA PFF2-S C/ FILTRO</v>
      </c>
      <c r="E4224" s="99" t="str">
        <f>_xlfn.XLOOKUP(B4224,ESTOQUE!B:B,ESTOQUE!G:G,"",0)</f>
        <v>UND</v>
      </c>
      <c r="F4224" s="152">
        <v>2</v>
      </c>
    </row>
    <row r="4225" spans="1:6" x14ac:dyDescent="0.25">
      <c r="A4225" s="108">
        <v>46179</v>
      </c>
      <c r="B4225" s="152">
        <v>224</v>
      </c>
      <c r="C4225" s="108" t="s">
        <v>19</v>
      </c>
      <c r="D4225" s="110" t="str">
        <f>IF(ISBLANK($B4225),"",IFERROR(VLOOKUP($B4225,ESTOQUE!$B$2:$D$97168,3,FALSE),"Produto não cadastrado"))</f>
        <v>OCULOS OPERACIONAL SOBRE POR ESCURO</v>
      </c>
      <c r="E4225" s="99" t="str">
        <f>_xlfn.XLOOKUP(B4225,ESTOQUE!B:B,ESTOQUE!G:G,"",0)</f>
        <v>UND</v>
      </c>
      <c r="F4225" s="152">
        <v>3</v>
      </c>
    </row>
    <row r="4226" spans="1:6" x14ac:dyDescent="0.25">
      <c r="A4226" s="108">
        <v>46179</v>
      </c>
      <c r="B4226" s="152">
        <v>139</v>
      </c>
      <c r="C4226" s="108" t="s">
        <v>19</v>
      </c>
      <c r="D4226" s="110" t="str">
        <f>IF(ISBLANK($B4226),"",IFERROR(VLOOKUP($B4226,ESTOQUE!$B$2:$D$97168,3,FALSE),"Produto não cadastrado"))</f>
        <v>PROTETOR AURICULAR TIPO PLUG</v>
      </c>
      <c r="E4226" s="99" t="str">
        <f>_xlfn.XLOOKUP(B4226,ESTOQUE!B:B,ESTOQUE!G:G,"",0)</f>
        <v>UND</v>
      </c>
      <c r="F4226" s="152">
        <v>1</v>
      </c>
    </row>
    <row r="4227" spans="1:6" x14ac:dyDescent="0.25">
      <c r="A4227" s="108">
        <v>46180</v>
      </c>
      <c r="B4227" s="152">
        <v>228</v>
      </c>
      <c r="C4227" s="108" t="s">
        <v>19</v>
      </c>
      <c r="D4227" s="110" t="str">
        <f>IF(ISBLANK($B4227),"",IFERROR(VLOOKUP($B4227,ESTOQUE!$B$2:$D$97168,3,FALSE),"Produto não cadastrado"))</f>
        <v xml:space="preserve">BALACLAVA  </v>
      </c>
      <c r="E4227" s="99" t="str">
        <f>_xlfn.XLOOKUP(B4227,ESTOQUE!B:B,ESTOQUE!G:G,"",0)</f>
        <v>UND</v>
      </c>
      <c r="F4227" s="152">
        <v>1</v>
      </c>
    </row>
    <row r="4228" spans="1:6" x14ac:dyDescent="0.25">
      <c r="A4228" s="108">
        <v>46180</v>
      </c>
      <c r="B4228" s="152">
        <v>46</v>
      </c>
      <c r="C4228" s="108" t="s">
        <v>19</v>
      </c>
      <c r="D4228" s="110" t="str">
        <f>IF(ISBLANK($B4228),"",IFERROR(VLOOKUP($B4228,ESTOQUE!$B$2:$D$97168,3,FALSE),"Produto não cadastrado"))</f>
        <v>CALÇA CINZA OP. C/ FAIXA REFLETIVA TAM: G</v>
      </c>
      <c r="E4228" s="99" t="str">
        <f>_xlfn.XLOOKUP(B4228,ESTOQUE!B:B,ESTOQUE!G:G,"",0)</f>
        <v>UND</v>
      </c>
      <c r="F4228" s="152">
        <v>1</v>
      </c>
    </row>
    <row r="4229" spans="1:6" x14ac:dyDescent="0.25">
      <c r="A4229" s="108">
        <v>46180</v>
      </c>
      <c r="B4229" s="152">
        <v>48</v>
      </c>
      <c r="C4229" s="108" t="s">
        <v>19</v>
      </c>
      <c r="D4229" s="110" t="str">
        <f>IF(ISBLANK($B4229),"",IFERROR(VLOOKUP($B4229,ESTOQUE!$B$2:$D$97168,3,FALSE),"Produto não cadastrado"))</f>
        <v>CALÇA CINZA OP. C/ FAIXA REFLETIVA TAM: M</v>
      </c>
      <c r="E4229" s="99" t="str">
        <f>_xlfn.XLOOKUP(B4229,ESTOQUE!B:B,ESTOQUE!G:G,"",0)</f>
        <v>UND</v>
      </c>
      <c r="F4229" s="152">
        <v>5</v>
      </c>
    </row>
    <row r="4230" spans="1:6" x14ac:dyDescent="0.25">
      <c r="A4230" s="108">
        <v>46180</v>
      </c>
      <c r="B4230" s="152">
        <v>49</v>
      </c>
      <c r="C4230" s="108" t="s">
        <v>19</v>
      </c>
      <c r="D4230" s="110" t="str">
        <f>IF(ISBLANK($B4230),"",IFERROR(VLOOKUP($B4230,ESTOQUE!$B$2:$D$97168,3,FALSE),"Produto não cadastrado"))</f>
        <v>CALÇA CINZA OP. C/ FAIXA REFLETIVA TAM: P</v>
      </c>
      <c r="E4230" s="99" t="str">
        <f>_xlfn.XLOOKUP(B4230,ESTOQUE!B:B,ESTOQUE!G:G,"",0)</f>
        <v>UND</v>
      </c>
      <c r="F4230" s="152">
        <v>6</v>
      </c>
    </row>
    <row r="4231" spans="1:6" x14ac:dyDescent="0.25">
      <c r="A4231" s="108">
        <v>46180</v>
      </c>
      <c r="B4231" s="152">
        <v>67</v>
      </c>
      <c r="C4231" s="108" t="s">
        <v>19</v>
      </c>
      <c r="D4231" s="110" t="str">
        <f>IF(ISBLANK($B4231),"",IFERROR(VLOOKUP($B4231,ESTOQUE!$B$2:$D$97168,3,FALSE),"Produto não cadastrado"))</f>
        <v>CAMISA LARANJA OP. C/ FAIXA REFLETIVA TAM: G</v>
      </c>
      <c r="E4231" s="99" t="str">
        <f>_xlfn.XLOOKUP(B4231,ESTOQUE!B:B,ESTOQUE!G:G,"",0)</f>
        <v>UND</v>
      </c>
      <c r="F4231" s="152">
        <v>3</v>
      </c>
    </row>
    <row r="4232" spans="1:6" x14ac:dyDescent="0.25">
      <c r="A4232" s="108">
        <v>46180</v>
      </c>
      <c r="B4232" s="152">
        <v>69</v>
      </c>
      <c r="C4232" s="108" t="s">
        <v>19</v>
      </c>
      <c r="D4232" s="110" t="str">
        <f>IF(ISBLANK($B4232),"",IFERROR(VLOOKUP($B4232,ESTOQUE!$B$2:$D$97168,3,FALSE),"Produto não cadastrado"))</f>
        <v>CAMISA LARANJA OP. C/ FAIXA REFLETIVA TAM: M</v>
      </c>
      <c r="E4232" s="99" t="str">
        <f>_xlfn.XLOOKUP(B4232,ESTOQUE!B:B,ESTOQUE!G:G,"",0)</f>
        <v>UND</v>
      </c>
      <c r="F4232" s="152">
        <v>4</v>
      </c>
    </row>
    <row r="4233" spans="1:6" x14ac:dyDescent="0.25">
      <c r="A4233" s="108">
        <v>46180</v>
      </c>
      <c r="B4233" s="152">
        <v>71</v>
      </c>
      <c r="C4233" s="108" t="s">
        <v>19</v>
      </c>
      <c r="D4233" s="110" t="str">
        <f>IF(ISBLANK($B4233),"",IFERROR(VLOOKUP($B4233,ESTOQUE!$B$2:$D$97168,3,FALSE),"Produto não cadastrado"))</f>
        <v>CAMISA LARANJA OP. C/ FAIXA REFLETIVA TAM: XG</v>
      </c>
      <c r="E4233" s="99" t="str">
        <f>_xlfn.XLOOKUP(B4233,ESTOQUE!B:B,ESTOQUE!G:G,"",0)</f>
        <v>UND</v>
      </c>
      <c r="F4233" s="152">
        <v>1</v>
      </c>
    </row>
    <row r="4234" spans="1:6" x14ac:dyDescent="0.25">
      <c r="A4234" s="108">
        <v>46180</v>
      </c>
      <c r="B4234" s="152">
        <v>216</v>
      </c>
      <c r="C4234" s="108" t="s">
        <v>19</v>
      </c>
      <c r="D4234" s="110" t="str">
        <f>IF(ISBLANK($B4234),"",IFERROR(VLOOKUP($B4234,ESTOQUE!$B$2:$D$97168,3,FALSE),"Produto não cadastrado"))</f>
        <v>BOTINA SEGURANÇA METATARSO  39</v>
      </c>
      <c r="E4234" s="99" t="str">
        <f>_xlfn.XLOOKUP(B4234,ESTOQUE!B:B,ESTOQUE!G:G,"",0)</f>
        <v>PAR</v>
      </c>
      <c r="F4234" s="152">
        <v>1</v>
      </c>
    </row>
    <row r="4235" spans="1:6" x14ac:dyDescent="0.25">
      <c r="A4235" s="108">
        <v>46180</v>
      </c>
      <c r="B4235" s="152">
        <v>161</v>
      </c>
      <c r="C4235" s="108" t="s">
        <v>19</v>
      </c>
      <c r="D4235" s="110" t="str">
        <f>IF(ISBLANK($B4235),"",IFERROR(VLOOKUP($B4235,ESTOQUE!$B$2:$D$97168,3,FALSE),"Produto não cadastrado"))</f>
        <v>JUGULAR</v>
      </c>
      <c r="E4235" s="99" t="str">
        <f>_xlfn.XLOOKUP(B4235,ESTOQUE!B:B,ESTOQUE!G:G,"",0)</f>
        <v>UND</v>
      </c>
      <c r="F4235" s="152">
        <v>1</v>
      </c>
    </row>
    <row r="4236" spans="1:6" x14ac:dyDescent="0.25">
      <c r="A4236" s="108">
        <v>46180</v>
      </c>
      <c r="B4236" s="152">
        <v>117</v>
      </c>
      <c r="C4236" s="108" t="s">
        <v>19</v>
      </c>
      <c r="D4236" s="110" t="str">
        <f>IF(ISBLANK($B4236),"",IFERROR(VLOOKUP($B4236,ESTOQUE!$B$2:$D$97168,3,FALSE),"Produto não cadastrado"))</f>
        <v>LUVA PIGMENTADA</v>
      </c>
      <c r="E4236" s="99" t="str">
        <f>_xlfn.XLOOKUP(B4236,ESTOQUE!B:B,ESTOQUE!G:G,"",0)</f>
        <v>PAR</v>
      </c>
      <c r="F4236" s="152">
        <v>1</v>
      </c>
    </row>
    <row r="4237" spans="1:6" x14ac:dyDescent="0.25">
      <c r="A4237" s="108">
        <v>46180</v>
      </c>
      <c r="B4237" s="152">
        <v>144</v>
      </c>
      <c r="C4237" s="108" t="s">
        <v>19</v>
      </c>
      <c r="D4237" s="110" t="str">
        <f>IF(ISBLANK($B4237),"",IFERROR(VLOOKUP($B4237,ESTOQUE!$B$2:$D$97168,3,FALSE),"Produto não cadastrado"))</f>
        <v>MASCARA PFF2-S C/ FILTRO</v>
      </c>
      <c r="E4237" s="99" t="str">
        <f>_xlfn.XLOOKUP(B4237,ESTOQUE!B:B,ESTOQUE!G:G,"",0)</f>
        <v>UND</v>
      </c>
      <c r="F4237" s="152">
        <v>4</v>
      </c>
    </row>
    <row r="4238" spans="1:6" x14ac:dyDescent="0.25">
      <c r="A4238" s="108">
        <v>46180</v>
      </c>
      <c r="B4238" s="152">
        <v>126</v>
      </c>
      <c r="C4238" s="108" t="s">
        <v>19</v>
      </c>
      <c r="D4238" s="110" t="str">
        <f>IF(ISBLANK($B4238),"",IFERROR(VLOOKUP($B4238,ESTOQUE!$B$2:$D$97168,3,FALSE),"Produto não cadastrado"))</f>
        <v>OCULOS DE PROTEÇÃO ESCURO</v>
      </c>
      <c r="E4238" s="99" t="str">
        <f>_xlfn.XLOOKUP(B4238,ESTOQUE!B:B,ESTOQUE!G:G,"",0)</f>
        <v>UND</v>
      </c>
      <c r="F4238" s="152">
        <v>1</v>
      </c>
    </row>
    <row r="4239" spans="1:6" x14ac:dyDescent="0.25">
      <c r="A4239" s="108">
        <v>46182</v>
      </c>
      <c r="B4239" s="152">
        <v>228</v>
      </c>
      <c r="C4239" s="108" t="s">
        <v>19</v>
      </c>
      <c r="D4239" s="110" t="str">
        <f>IF(ISBLANK($B4239),"",IFERROR(VLOOKUP($B4239,ESTOQUE!$B$2:$D$97168,3,FALSE),"Produto não cadastrado"))</f>
        <v xml:space="preserve">BALACLAVA  </v>
      </c>
      <c r="E4239" s="99" t="str">
        <f>_xlfn.XLOOKUP(B4239,ESTOQUE!B:B,ESTOQUE!G:G,"",0)</f>
        <v>UND</v>
      </c>
      <c r="F4239" s="152">
        <v>4</v>
      </c>
    </row>
    <row r="4240" spans="1:6" x14ac:dyDescent="0.25">
      <c r="A4240" s="108">
        <v>46182</v>
      </c>
      <c r="B4240" s="152">
        <v>218</v>
      </c>
      <c r="C4240" s="108" t="s">
        <v>19</v>
      </c>
      <c r="D4240" s="110" t="str">
        <f>IF(ISBLANK($B4240),"",IFERROR(VLOOKUP($B4240,ESTOQUE!$B$2:$D$97168,3,FALSE),"Produto não cadastrado"))</f>
        <v>BOTINA SEGURANÇA METATARSO  41</v>
      </c>
      <c r="E4240" s="99" t="str">
        <f>_xlfn.XLOOKUP(B4240,ESTOQUE!B:B,ESTOQUE!G:G,"",0)</f>
        <v>PAR</v>
      </c>
      <c r="F4240" s="152">
        <v>1</v>
      </c>
    </row>
    <row r="4241" spans="1:6" x14ac:dyDescent="0.25">
      <c r="A4241" s="108">
        <v>46182</v>
      </c>
      <c r="B4241" s="152">
        <v>219</v>
      </c>
      <c r="C4241" s="108" t="s">
        <v>19</v>
      </c>
      <c r="D4241" s="110" t="str">
        <f>IF(ISBLANK($B4241),"",IFERROR(VLOOKUP($B4241,ESTOQUE!$B$2:$D$97168,3,FALSE),"Produto não cadastrado"))</f>
        <v>BOTINA SEGURANÇA METATARSO  42</v>
      </c>
      <c r="E4241" s="99" t="str">
        <f>_xlfn.XLOOKUP(B4241,ESTOQUE!B:B,ESTOQUE!G:G,"",0)</f>
        <v>PAR</v>
      </c>
      <c r="F4241" s="152">
        <v>1</v>
      </c>
    </row>
    <row r="4242" spans="1:6" x14ac:dyDescent="0.25">
      <c r="A4242" s="108">
        <v>46182</v>
      </c>
      <c r="B4242" s="152">
        <v>220</v>
      </c>
      <c r="C4242" s="108" t="s">
        <v>19</v>
      </c>
      <c r="D4242" s="110" t="str">
        <f>IF(ISBLANK($B4242),"",IFERROR(VLOOKUP($B4242,ESTOQUE!$B$2:$D$97168,3,FALSE),"Produto não cadastrado"))</f>
        <v>BOTINA SEGURANÇA METATARSO  43</v>
      </c>
      <c r="E4242" s="99" t="str">
        <f>_xlfn.XLOOKUP(B4242,ESTOQUE!B:B,ESTOQUE!G:G,"",0)</f>
        <v>PAR</v>
      </c>
      <c r="F4242" s="152">
        <v>1</v>
      </c>
    </row>
    <row r="4243" spans="1:6" x14ac:dyDescent="0.25">
      <c r="A4243" s="108">
        <v>46182</v>
      </c>
      <c r="B4243" s="152">
        <v>46</v>
      </c>
      <c r="C4243" s="108" t="s">
        <v>19</v>
      </c>
      <c r="D4243" s="110" t="str">
        <f>IF(ISBLANK($B4243),"",IFERROR(VLOOKUP($B4243,ESTOQUE!$B$2:$D$97168,3,FALSE),"Produto não cadastrado"))</f>
        <v>CALÇA CINZA OP. C/ FAIXA REFLETIVA TAM: G</v>
      </c>
      <c r="E4243" s="99" t="str">
        <f>_xlfn.XLOOKUP(B4243,ESTOQUE!B:B,ESTOQUE!G:G,"",0)</f>
        <v>UND</v>
      </c>
      <c r="F4243" s="152">
        <v>5</v>
      </c>
    </row>
    <row r="4244" spans="1:6" x14ac:dyDescent="0.25">
      <c r="A4244" s="108">
        <v>46182</v>
      </c>
      <c r="B4244" s="152">
        <v>47</v>
      </c>
      <c r="C4244" s="108" t="s">
        <v>19</v>
      </c>
      <c r="D4244" s="110" t="str">
        <f>IF(ISBLANK($B4244),"",IFERROR(VLOOKUP($B4244,ESTOQUE!$B$2:$D$97168,3,FALSE),"Produto não cadastrado"))</f>
        <v>CALÇA CINZA OP. C/ FAIXA REFLETIVA TAM: GG</v>
      </c>
      <c r="E4244" s="99" t="str">
        <f>_xlfn.XLOOKUP(B4244,ESTOQUE!B:B,ESTOQUE!G:G,"",0)</f>
        <v>UND</v>
      </c>
      <c r="F4244" s="152">
        <v>1</v>
      </c>
    </row>
    <row r="4245" spans="1:6" x14ac:dyDescent="0.25">
      <c r="A4245" s="108">
        <v>46182</v>
      </c>
      <c r="B4245" s="152">
        <v>49</v>
      </c>
      <c r="C4245" s="108" t="s">
        <v>19</v>
      </c>
      <c r="D4245" s="110" t="str">
        <f>IF(ISBLANK($B4245),"",IFERROR(VLOOKUP($B4245,ESTOQUE!$B$2:$D$97168,3,FALSE),"Produto não cadastrado"))</f>
        <v>CALÇA CINZA OP. C/ FAIXA REFLETIVA TAM: P</v>
      </c>
      <c r="E4245" s="99" t="str">
        <f>_xlfn.XLOOKUP(B4245,ESTOQUE!B:B,ESTOQUE!G:G,"",0)</f>
        <v>UND</v>
      </c>
      <c r="F4245" s="152">
        <v>2</v>
      </c>
    </row>
    <row r="4246" spans="1:6" x14ac:dyDescent="0.25">
      <c r="A4246" s="108">
        <v>46182</v>
      </c>
      <c r="B4246" s="152">
        <v>67</v>
      </c>
      <c r="C4246" s="108" t="s">
        <v>19</v>
      </c>
      <c r="D4246" s="110" t="str">
        <f>IF(ISBLANK($B4246),"",IFERROR(VLOOKUP($B4246,ESTOQUE!$B$2:$D$97168,3,FALSE),"Produto não cadastrado"))</f>
        <v>CAMISA LARANJA OP. C/ FAIXA REFLETIVA TAM: G</v>
      </c>
      <c r="E4246" s="99" t="str">
        <f>_xlfn.XLOOKUP(B4246,ESTOQUE!B:B,ESTOQUE!G:G,"",0)</f>
        <v>UND</v>
      </c>
      <c r="F4246" s="152">
        <v>4</v>
      </c>
    </row>
    <row r="4247" spans="1:6" x14ac:dyDescent="0.25">
      <c r="A4247" s="108">
        <v>46182</v>
      </c>
      <c r="B4247" s="152">
        <v>68</v>
      </c>
      <c r="C4247" s="108" t="s">
        <v>19</v>
      </c>
      <c r="D4247" s="110" t="str">
        <f>IF(ISBLANK($B4247),"",IFERROR(VLOOKUP($B4247,ESTOQUE!$B$2:$D$97168,3,FALSE),"Produto não cadastrado"))</f>
        <v>CAMISA LARANJA OP. C/ FAIXA REFLETIVA TAM: GG</v>
      </c>
      <c r="E4247" s="99" t="str">
        <f>_xlfn.XLOOKUP(B4247,ESTOQUE!B:B,ESTOQUE!G:G,"",0)</f>
        <v>UND</v>
      </c>
      <c r="F4247" s="152">
        <v>2</v>
      </c>
    </row>
    <row r="4248" spans="1:6" x14ac:dyDescent="0.25">
      <c r="A4248" s="108">
        <v>46182</v>
      </c>
      <c r="B4248" s="152">
        <v>70</v>
      </c>
      <c r="C4248" s="108" t="s">
        <v>19</v>
      </c>
      <c r="D4248" s="110" t="str">
        <f>IF(ISBLANK($B4248),"",IFERROR(VLOOKUP($B4248,ESTOQUE!$B$2:$D$97168,3,FALSE),"Produto não cadastrado"))</f>
        <v>CAMISA LARANJA OP. C/ FAIXA REFLETIVA TAM: P</v>
      </c>
      <c r="E4248" s="99" t="str">
        <f>_xlfn.XLOOKUP(B4248,ESTOQUE!B:B,ESTOQUE!G:G,"",0)</f>
        <v>UND</v>
      </c>
      <c r="F4248" s="152">
        <v>2</v>
      </c>
    </row>
    <row r="4249" spans="1:6" x14ac:dyDescent="0.25">
      <c r="A4249" s="108">
        <v>46182</v>
      </c>
      <c r="B4249" s="152">
        <v>98</v>
      </c>
      <c r="C4249" s="108" t="s">
        <v>19</v>
      </c>
      <c r="D4249" s="110" t="str">
        <f>IF(ISBLANK($B4249),"",IFERROR(VLOOKUP($B4249,ESTOQUE!$B$2:$D$97168,3,FALSE),"Produto não cadastrado"))</f>
        <v>COLETE REFLETIVO LARANJA XGG</v>
      </c>
      <c r="E4249" s="99" t="str">
        <f>_xlfn.XLOOKUP(B4249,ESTOQUE!B:B,ESTOQUE!G:G,"",0)</f>
        <v>UND</v>
      </c>
      <c r="F4249" s="152">
        <v>1</v>
      </c>
    </row>
    <row r="4250" spans="1:6" x14ac:dyDescent="0.25">
      <c r="A4250" s="108">
        <v>46182</v>
      </c>
      <c r="B4250" s="152">
        <v>114</v>
      </c>
      <c r="C4250" s="108" t="s">
        <v>19</v>
      </c>
      <c r="D4250" s="110" t="str">
        <f>IF(ISBLANK($B4250),"",IFERROR(VLOOKUP($B4250,ESTOQUE!$B$2:$D$97168,3,FALSE),"Produto não cadastrado"))</f>
        <v xml:space="preserve">LUVA LATEX NITRILICA </v>
      </c>
      <c r="E4250" s="99" t="str">
        <f>_xlfn.XLOOKUP(B4250,ESTOQUE!B:B,ESTOQUE!G:G,"",0)</f>
        <v>PAR</v>
      </c>
      <c r="F4250" s="152">
        <v>2</v>
      </c>
    </row>
    <row r="4251" spans="1:6" x14ac:dyDescent="0.25">
      <c r="A4251" s="108">
        <v>46182</v>
      </c>
      <c r="B4251" s="152">
        <v>117</v>
      </c>
      <c r="C4251" s="108" t="s">
        <v>19</v>
      </c>
      <c r="D4251" s="110" t="str">
        <f>IF(ISBLANK($B4251),"",IFERROR(VLOOKUP($B4251,ESTOQUE!$B$2:$D$97168,3,FALSE),"Produto não cadastrado"))</f>
        <v>LUVA PIGMENTADA</v>
      </c>
      <c r="E4251" s="99" t="str">
        <f>_xlfn.XLOOKUP(B4251,ESTOQUE!B:B,ESTOQUE!G:G,"",0)</f>
        <v>PAR</v>
      </c>
      <c r="F4251" s="152">
        <v>1</v>
      </c>
    </row>
    <row r="4252" spans="1:6" x14ac:dyDescent="0.25">
      <c r="A4252" s="108">
        <v>46182</v>
      </c>
      <c r="B4252" s="152">
        <v>118</v>
      </c>
      <c r="C4252" s="108" t="s">
        <v>19</v>
      </c>
      <c r="D4252" s="110" t="str">
        <f>IF(ISBLANK($B4252),"",IFERROR(VLOOKUP($B4252,ESTOQUE!$B$2:$D$97168,3,FALSE),"Produto não cadastrado"))</f>
        <v>MACACÃO DE PROTEÇÃO TYVEK</v>
      </c>
      <c r="E4252" s="99" t="str">
        <f>_xlfn.XLOOKUP(B4252,ESTOQUE!B:B,ESTOQUE!G:G,"",0)</f>
        <v>UND</v>
      </c>
      <c r="F4252" s="152">
        <v>25</v>
      </c>
    </row>
    <row r="4253" spans="1:6" x14ac:dyDescent="0.25">
      <c r="A4253" s="108">
        <v>46182</v>
      </c>
      <c r="B4253" s="152">
        <v>144</v>
      </c>
      <c r="C4253" s="108" t="s">
        <v>19</v>
      </c>
      <c r="D4253" s="110" t="str">
        <f>IF(ISBLANK($B4253),"",IFERROR(VLOOKUP($B4253,ESTOQUE!$B$2:$D$97168,3,FALSE),"Produto não cadastrado"))</f>
        <v>MASCARA PFF2-S C/ FILTRO</v>
      </c>
      <c r="E4253" s="99" t="str">
        <f>_xlfn.XLOOKUP(B4253,ESTOQUE!B:B,ESTOQUE!G:G,"",0)</f>
        <v>UND</v>
      </c>
      <c r="F4253" s="152">
        <v>55</v>
      </c>
    </row>
    <row r="4254" spans="1:6" x14ac:dyDescent="0.25">
      <c r="A4254" s="108">
        <v>46182</v>
      </c>
      <c r="B4254" s="152">
        <v>126</v>
      </c>
      <c r="C4254" s="108" t="s">
        <v>19</v>
      </c>
      <c r="D4254" s="110" t="str">
        <f>IF(ISBLANK($B4254),"",IFERROR(VLOOKUP($B4254,ESTOQUE!$B$2:$D$97168,3,FALSE),"Produto não cadastrado"))</f>
        <v>OCULOS DE PROTEÇÃO ESCURO</v>
      </c>
      <c r="E4254" s="99" t="str">
        <f>_xlfn.XLOOKUP(B4254,ESTOQUE!B:B,ESTOQUE!G:G,"",0)</f>
        <v>UND</v>
      </c>
      <c r="F4254" s="152">
        <v>15</v>
      </c>
    </row>
    <row r="4255" spans="1:6" x14ac:dyDescent="0.25">
      <c r="A4255" s="108">
        <v>46182</v>
      </c>
      <c r="B4255" s="152">
        <v>130</v>
      </c>
      <c r="C4255" s="108" t="s">
        <v>19</v>
      </c>
      <c r="D4255" s="110" t="str">
        <f>IF(ISBLANK($B4255),"",IFERROR(VLOOKUP($B4255,ESTOQUE!$B$2:$D$97168,3,FALSE),"Produto não cadastrado"))</f>
        <v>PROTETOR AUDITIVO TIPO CONCHA L-300</v>
      </c>
      <c r="E4255" s="99" t="str">
        <f>_xlfn.XLOOKUP(B4255,ESTOQUE!B:B,ESTOQUE!G:G,"",0)</f>
        <v>UND</v>
      </c>
      <c r="F4255" s="152">
        <v>1</v>
      </c>
    </row>
    <row r="4256" spans="1:6" x14ac:dyDescent="0.25">
      <c r="A4256" s="108">
        <v>46183</v>
      </c>
      <c r="B4256" s="152">
        <v>228</v>
      </c>
      <c r="C4256" s="108" t="s">
        <v>19</v>
      </c>
      <c r="D4256" s="110" t="str">
        <f>IF(ISBLANK($B4256),"",IFERROR(VLOOKUP($B4256,ESTOQUE!$B$2:$D$97168,3,FALSE),"Produto não cadastrado"))</f>
        <v xml:space="preserve">BALACLAVA  </v>
      </c>
      <c r="E4256" s="99" t="str">
        <f>_xlfn.XLOOKUP(B4256,ESTOQUE!B:B,ESTOQUE!G:G,"",0)</f>
        <v>UND</v>
      </c>
      <c r="F4256" s="152">
        <v>6</v>
      </c>
    </row>
    <row r="4257" spans="1:6" x14ac:dyDescent="0.25">
      <c r="A4257" s="108">
        <v>46183</v>
      </c>
      <c r="B4257" s="152">
        <v>216</v>
      </c>
      <c r="C4257" s="108" t="s">
        <v>19</v>
      </c>
      <c r="D4257" s="110" t="str">
        <f>IF(ISBLANK($B4257),"",IFERROR(VLOOKUP($B4257,ESTOQUE!$B$2:$D$97168,3,FALSE),"Produto não cadastrado"))</f>
        <v>BOTINA SEGURANÇA METATARSO  39</v>
      </c>
      <c r="E4257" s="99" t="str">
        <f>_xlfn.XLOOKUP(B4257,ESTOQUE!B:B,ESTOQUE!G:G,"",0)</f>
        <v>PAR</v>
      </c>
      <c r="F4257" s="152">
        <v>2</v>
      </c>
    </row>
    <row r="4258" spans="1:6" x14ac:dyDescent="0.25">
      <c r="A4258" s="108">
        <v>46183</v>
      </c>
      <c r="B4258" s="152">
        <v>218</v>
      </c>
      <c r="C4258" s="108" t="s">
        <v>19</v>
      </c>
      <c r="D4258" s="110" t="str">
        <f>IF(ISBLANK($B4258),"",IFERROR(VLOOKUP($B4258,ESTOQUE!$B$2:$D$97168,3,FALSE),"Produto não cadastrado"))</f>
        <v>BOTINA SEGURANÇA METATARSO  41</v>
      </c>
      <c r="E4258" s="99" t="str">
        <f>_xlfn.XLOOKUP(B4258,ESTOQUE!B:B,ESTOQUE!G:G,"",0)</f>
        <v>PAR</v>
      </c>
      <c r="F4258" s="152">
        <v>1</v>
      </c>
    </row>
    <row r="4259" spans="1:6" x14ac:dyDescent="0.25">
      <c r="A4259" s="108">
        <v>46183</v>
      </c>
      <c r="B4259" s="152">
        <v>40</v>
      </c>
      <c r="C4259" s="108" t="s">
        <v>19</v>
      </c>
      <c r="D4259" s="110" t="str">
        <f>IF(ISBLANK($B4259),"",IFERROR(VLOOKUP($B4259,ESTOQUE!$B$2:$D$97168,3,FALSE),"Produto não cadastrado"))</f>
        <v>BOTINA OP. BICO PVC Nº 42</v>
      </c>
      <c r="E4259" s="99" t="str">
        <f>_xlfn.XLOOKUP(B4259,ESTOQUE!B:B,ESTOQUE!G:G,"",0)</f>
        <v>PAR</v>
      </c>
      <c r="F4259" s="152">
        <v>1</v>
      </c>
    </row>
    <row r="4260" spans="1:6" x14ac:dyDescent="0.25">
      <c r="A4260" s="108">
        <v>46183</v>
      </c>
      <c r="B4260" s="152">
        <v>46</v>
      </c>
      <c r="C4260" s="108" t="s">
        <v>19</v>
      </c>
      <c r="D4260" s="110" t="str">
        <f>IF(ISBLANK($B4260),"",IFERROR(VLOOKUP($B4260,ESTOQUE!$B$2:$D$97168,3,FALSE),"Produto não cadastrado"))</f>
        <v>CALÇA CINZA OP. C/ FAIXA REFLETIVA TAM: G</v>
      </c>
      <c r="E4260" s="99" t="str">
        <f>_xlfn.XLOOKUP(B4260,ESTOQUE!B:B,ESTOQUE!G:G,"",0)</f>
        <v>UND</v>
      </c>
      <c r="F4260" s="152">
        <v>5</v>
      </c>
    </row>
    <row r="4261" spans="1:6" x14ac:dyDescent="0.25">
      <c r="A4261" s="108">
        <v>46183</v>
      </c>
      <c r="B4261" s="152">
        <v>48</v>
      </c>
      <c r="C4261" s="108" t="s">
        <v>19</v>
      </c>
      <c r="D4261" s="110" t="str">
        <f>IF(ISBLANK($B4261),"",IFERROR(VLOOKUP($B4261,ESTOQUE!$B$2:$D$97168,3,FALSE),"Produto não cadastrado"))</f>
        <v>CALÇA CINZA OP. C/ FAIXA REFLETIVA TAM: M</v>
      </c>
      <c r="E4261" s="99" t="str">
        <f>_xlfn.XLOOKUP(B4261,ESTOQUE!B:B,ESTOQUE!G:G,"",0)</f>
        <v>UND</v>
      </c>
      <c r="F4261" s="152">
        <v>3</v>
      </c>
    </row>
    <row r="4262" spans="1:6" x14ac:dyDescent="0.25">
      <c r="A4262" s="108">
        <v>46183</v>
      </c>
      <c r="B4262" s="152">
        <v>49</v>
      </c>
      <c r="C4262" s="108" t="s">
        <v>19</v>
      </c>
      <c r="D4262" s="110" t="str">
        <f>IF(ISBLANK($B4262),"",IFERROR(VLOOKUP($B4262,ESTOQUE!$B$2:$D$97168,3,FALSE),"Produto não cadastrado"))</f>
        <v>CALÇA CINZA OP. C/ FAIXA REFLETIVA TAM: P</v>
      </c>
      <c r="E4262" s="99" t="str">
        <f>_xlfn.XLOOKUP(B4262,ESTOQUE!B:B,ESTOQUE!G:G,"",0)</f>
        <v>UND</v>
      </c>
      <c r="F4262" s="152">
        <v>4</v>
      </c>
    </row>
    <row r="4263" spans="1:6" x14ac:dyDescent="0.25">
      <c r="A4263" s="108">
        <v>46183</v>
      </c>
      <c r="B4263" s="152">
        <v>69</v>
      </c>
      <c r="C4263" s="108" t="s">
        <v>19</v>
      </c>
      <c r="D4263" s="110" t="str">
        <f>IF(ISBLANK($B4263),"",IFERROR(VLOOKUP($B4263,ESTOQUE!$B$2:$D$97168,3,FALSE),"Produto não cadastrado"))</f>
        <v>CAMISA LARANJA OP. C/ FAIXA REFLETIVA TAM: M</v>
      </c>
      <c r="E4263" s="99" t="str">
        <f>_xlfn.XLOOKUP(B4263,ESTOQUE!B:B,ESTOQUE!G:G,"",0)</f>
        <v>UND</v>
      </c>
      <c r="F4263" s="152">
        <v>5</v>
      </c>
    </row>
    <row r="4264" spans="1:6" x14ac:dyDescent="0.25">
      <c r="A4264" s="108">
        <v>46183</v>
      </c>
      <c r="B4264" s="152">
        <v>70</v>
      </c>
      <c r="C4264" s="108" t="s">
        <v>19</v>
      </c>
      <c r="D4264" s="110" t="str">
        <f>IF(ISBLANK($B4264),"",IFERROR(VLOOKUP($B4264,ESTOQUE!$B$2:$D$97168,3,FALSE),"Produto não cadastrado"))</f>
        <v>CAMISA LARANJA OP. C/ FAIXA REFLETIVA TAM: P</v>
      </c>
      <c r="E4264" s="99" t="str">
        <f>_xlfn.XLOOKUP(B4264,ESTOQUE!B:B,ESTOQUE!G:G,"",0)</f>
        <v>UND</v>
      </c>
      <c r="F4264" s="152">
        <v>4</v>
      </c>
    </row>
    <row r="4265" spans="1:6" x14ac:dyDescent="0.25">
      <c r="A4265" s="108">
        <v>46183</v>
      </c>
      <c r="B4265" s="152">
        <v>73</v>
      </c>
      <c r="C4265" s="108" t="s">
        <v>19</v>
      </c>
      <c r="D4265" s="110" t="str">
        <f>IF(ISBLANK($B4265),"",IFERROR(VLOOKUP($B4265,ESTOQUE!$B$2:$D$97168,3,FALSE),"Produto não cadastrado"))</f>
        <v>CAPA DE CHUVA GG</v>
      </c>
      <c r="E4265" s="99" t="str">
        <f>_xlfn.XLOOKUP(B4265,ESTOQUE!B:B,ESTOQUE!G:G,"",0)</f>
        <v>UND</v>
      </c>
      <c r="F4265" s="152">
        <v>20</v>
      </c>
    </row>
    <row r="4266" spans="1:6" x14ac:dyDescent="0.25">
      <c r="A4266" s="108">
        <v>46183</v>
      </c>
      <c r="B4266" s="152">
        <v>189</v>
      </c>
      <c r="C4266" s="108" t="s">
        <v>19</v>
      </c>
      <c r="D4266" s="110" t="str">
        <f>IF(ISBLANK($B4266),"",IFERROR(VLOOKUP($B4266,ESTOQUE!$B$2:$D$97168,3,FALSE),"Produto não cadastrado"))</f>
        <v xml:space="preserve">LUVA DE VAQUETA MISTA </v>
      </c>
      <c r="E4266" s="99" t="str">
        <f>_xlfn.XLOOKUP(B4266,ESTOQUE!B:B,ESTOQUE!G:G,"",0)</f>
        <v>UND</v>
      </c>
      <c r="F4266" s="152">
        <v>26</v>
      </c>
    </row>
    <row r="4267" spans="1:6" x14ac:dyDescent="0.25">
      <c r="A4267" s="108">
        <v>46183</v>
      </c>
      <c r="B4267" s="152">
        <v>114</v>
      </c>
      <c r="C4267" s="108" t="s">
        <v>19</v>
      </c>
      <c r="D4267" s="110" t="str">
        <f>IF(ISBLANK($B4267),"",IFERROR(VLOOKUP($B4267,ESTOQUE!$B$2:$D$97168,3,FALSE),"Produto não cadastrado"))</f>
        <v xml:space="preserve">LUVA LATEX NITRILICA </v>
      </c>
      <c r="E4267" s="99" t="str">
        <f>_xlfn.XLOOKUP(B4267,ESTOQUE!B:B,ESTOQUE!G:G,"",0)</f>
        <v>PAR</v>
      </c>
      <c r="F4267" s="152">
        <v>3</v>
      </c>
    </row>
    <row r="4268" spans="1:6" x14ac:dyDescent="0.25">
      <c r="A4268" s="108">
        <v>46183</v>
      </c>
      <c r="B4268" s="152">
        <v>207</v>
      </c>
      <c r="C4268" s="108" t="s">
        <v>19</v>
      </c>
      <c r="D4268" s="110" t="str">
        <f>IF(ISBLANK($B4268),"",IFERROR(VLOOKUP($B4268,ESTOQUE!$B$2:$D$97168,3,FALSE),"Produto não cadastrado"))</f>
        <v>LUVA POLIESTER ANTICORTE BANHADA PU TAM 9</v>
      </c>
      <c r="E4268" s="99" t="str">
        <f>_xlfn.XLOOKUP(B4268,ESTOQUE!B:B,ESTOQUE!G:G,"",0)</f>
        <v>PAR</v>
      </c>
      <c r="F4268" s="152">
        <v>61</v>
      </c>
    </row>
    <row r="4269" spans="1:6" x14ac:dyDescent="0.25">
      <c r="A4269" s="108">
        <v>46183</v>
      </c>
      <c r="B4269" s="152">
        <v>118</v>
      </c>
      <c r="C4269" s="108" t="s">
        <v>19</v>
      </c>
      <c r="D4269" s="110" t="str">
        <f>IF(ISBLANK($B4269),"",IFERROR(VLOOKUP($B4269,ESTOQUE!$B$2:$D$97168,3,FALSE),"Produto não cadastrado"))</f>
        <v>MACACÃO DE PROTEÇÃO TYVEK</v>
      </c>
      <c r="E4269" s="99" t="str">
        <f>_xlfn.XLOOKUP(B4269,ESTOQUE!B:B,ESTOQUE!G:G,"",0)</f>
        <v>UND</v>
      </c>
      <c r="F4269" s="152">
        <v>28</v>
      </c>
    </row>
    <row r="4270" spans="1:6" x14ac:dyDescent="0.25">
      <c r="A4270" s="108">
        <v>46183</v>
      </c>
      <c r="B4270" s="152">
        <v>144</v>
      </c>
      <c r="C4270" s="108" t="s">
        <v>19</v>
      </c>
      <c r="D4270" s="110" t="str">
        <f>IF(ISBLANK($B4270),"",IFERROR(VLOOKUP($B4270,ESTOQUE!$B$2:$D$97168,3,FALSE),"Produto não cadastrado"))</f>
        <v>MASCARA PFF2-S C/ FILTRO</v>
      </c>
      <c r="E4270" s="99" t="str">
        <f>_xlfn.XLOOKUP(B4270,ESTOQUE!B:B,ESTOQUE!G:G,"",0)</f>
        <v>UND</v>
      </c>
      <c r="F4270" s="152">
        <v>107</v>
      </c>
    </row>
    <row r="4271" spans="1:6" x14ac:dyDescent="0.25">
      <c r="A4271" s="108">
        <v>46183</v>
      </c>
      <c r="B4271" s="152">
        <v>126</v>
      </c>
      <c r="C4271" s="108" t="s">
        <v>19</v>
      </c>
      <c r="D4271" s="110" t="str">
        <f>IF(ISBLANK($B4271),"",IFERROR(VLOOKUP($B4271,ESTOQUE!$B$2:$D$97168,3,FALSE),"Produto não cadastrado"))</f>
        <v>OCULOS DE PROTEÇÃO ESCURO</v>
      </c>
      <c r="E4271" s="99" t="str">
        <f>_xlfn.XLOOKUP(B4271,ESTOQUE!B:B,ESTOQUE!G:G,"",0)</f>
        <v>UND</v>
      </c>
      <c r="F4271" s="152">
        <v>3</v>
      </c>
    </row>
    <row r="4272" spans="1:6" x14ac:dyDescent="0.25">
      <c r="A4272" s="108">
        <v>46184</v>
      </c>
      <c r="B4272" s="152">
        <v>228</v>
      </c>
      <c r="C4272" s="108" t="s">
        <v>19</v>
      </c>
      <c r="D4272" s="110" t="str">
        <f>IF(ISBLANK($B4272),"",IFERROR(VLOOKUP($B4272,ESTOQUE!$B$2:$D$97168,3,FALSE),"Produto não cadastrado"))</f>
        <v xml:space="preserve">BALACLAVA  </v>
      </c>
      <c r="E4272" s="99" t="str">
        <f>_xlfn.XLOOKUP(B4272,ESTOQUE!B:B,ESTOQUE!G:G,"",0)</f>
        <v>UND</v>
      </c>
      <c r="F4272" s="152">
        <v>3</v>
      </c>
    </row>
    <row r="4273" spans="1:6" x14ac:dyDescent="0.25">
      <c r="A4273" s="108">
        <v>46184</v>
      </c>
      <c r="B4273" s="152">
        <v>20</v>
      </c>
      <c r="C4273" s="108" t="s">
        <v>19</v>
      </c>
      <c r="D4273" s="110" t="str">
        <f>IF(ISBLANK($B4273),"",IFERROR(VLOOKUP($B4273,ESTOQUE!$B$2:$D$97168,3,FALSE),"Produto não cadastrado"))</f>
        <v>BOTA PVC CANO MEDIO Nº 41</v>
      </c>
      <c r="E4273" s="99" t="str">
        <f>_xlfn.XLOOKUP(B4273,ESTOQUE!B:B,ESTOQUE!G:G,"",0)</f>
        <v>PAR</v>
      </c>
      <c r="F4273" s="152">
        <v>1</v>
      </c>
    </row>
    <row r="4274" spans="1:6" x14ac:dyDescent="0.25">
      <c r="A4274" s="108">
        <v>46184</v>
      </c>
      <c r="B4274" s="152">
        <v>217</v>
      </c>
      <c r="C4274" s="108" t="s">
        <v>19</v>
      </c>
      <c r="D4274" s="110" t="str">
        <f>IF(ISBLANK($B4274),"",IFERROR(VLOOKUP($B4274,ESTOQUE!$B$2:$D$97168,3,FALSE),"Produto não cadastrado"))</f>
        <v>BOTINA SEGURANÇA METATARSO  40</v>
      </c>
      <c r="E4274" s="99" t="str">
        <f>_xlfn.XLOOKUP(B4274,ESTOQUE!B:B,ESTOQUE!G:G,"",0)</f>
        <v>PAR</v>
      </c>
      <c r="F4274" s="152">
        <v>1</v>
      </c>
    </row>
    <row r="4275" spans="1:6" x14ac:dyDescent="0.25">
      <c r="A4275" s="108">
        <v>46184</v>
      </c>
      <c r="B4275" s="152">
        <v>46</v>
      </c>
      <c r="C4275" s="108" t="s">
        <v>19</v>
      </c>
      <c r="D4275" s="110" t="str">
        <f>IF(ISBLANK($B4275),"",IFERROR(VLOOKUP($B4275,ESTOQUE!$B$2:$D$97168,3,FALSE),"Produto não cadastrado"))</f>
        <v>CALÇA CINZA OP. C/ FAIXA REFLETIVA TAM: G</v>
      </c>
      <c r="E4275" s="99" t="str">
        <f>_xlfn.XLOOKUP(B4275,ESTOQUE!B:B,ESTOQUE!G:G,"",0)</f>
        <v>UND</v>
      </c>
      <c r="F4275" s="152">
        <v>3</v>
      </c>
    </row>
    <row r="4276" spans="1:6" x14ac:dyDescent="0.25">
      <c r="A4276" s="108">
        <v>46184</v>
      </c>
      <c r="B4276" s="152">
        <v>47</v>
      </c>
      <c r="C4276" s="108" t="s">
        <v>19</v>
      </c>
      <c r="D4276" s="110" t="str">
        <f>IF(ISBLANK($B4276),"",IFERROR(VLOOKUP($B4276,ESTOQUE!$B$2:$D$97168,3,FALSE),"Produto não cadastrado"))</f>
        <v>CALÇA CINZA OP. C/ FAIXA REFLETIVA TAM: GG</v>
      </c>
      <c r="E4276" s="99" t="str">
        <f>_xlfn.XLOOKUP(B4276,ESTOQUE!B:B,ESTOQUE!G:G,"",0)</f>
        <v>UND</v>
      </c>
      <c r="F4276" s="152">
        <v>1</v>
      </c>
    </row>
    <row r="4277" spans="1:6" x14ac:dyDescent="0.25">
      <c r="A4277" s="108">
        <v>46184</v>
      </c>
      <c r="B4277" s="152">
        <v>48</v>
      </c>
      <c r="C4277" s="108" t="s">
        <v>19</v>
      </c>
      <c r="D4277" s="110" t="str">
        <f>IF(ISBLANK($B4277),"",IFERROR(VLOOKUP($B4277,ESTOQUE!$B$2:$D$97168,3,FALSE),"Produto não cadastrado"))</f>
        <v>CALÇA CINZA OP. C/ FAIXA REFLETIVA TAM: M</v>
      </c>
      <c r="E4277" s="99" t="str">
        <f>_xlfn.XLOOKUP(B4277,ESTOQUE!B:B,ESTOQUE!G:G,"",0)</f>
        <v>UND</v>
      </c>
      <c r="F4277" s="152">
        <v>1</v>
      </c>
    </row>
    <row r="4278" spans="1:6" x14ac:dyDescent="0.25">
      <c r="A4278" s="108">
        <v>46184</v>
      </c>
      <c r="B4278" s="152">
        <v>49</v>
      </c>
      <c r="C4278" s="108" t="s">
        <v>19</v>
      </c>
      <c r="D4278" s="110" t="str">
        <f>IF(ISBLANK($B4278),"",IFERROR(VLOOKUP($B4278,ESTOQUE!$B$2:$D$97168,3,FALSE),"Produto não cadastrado"))</f>
        <v>CALÇA CINZA OP. C/ FAIXA REFLETIVA TAM: P</v>
      </c>
      <c r="E4278" s="99" t="str">
        <f>_xlfn.XLOOKUP(B4278,ESTOQUE!B:B,ESTOQUE!G:G,"",0)</f>
        <v>UND</v>
      </c>
      <c r="F4278" s="152">
        <v>2</v>
      </c>
    </row>
    <row r="4279" spans="1:6" x14ac:dyDescent="0.25">
      <c r="A4279" s="108">
        <v>46184</v>
      </c>
      <c r="B4279" s="152">
        <v>67</v>
      </c>
      <c r="C4279" s="108" t="s">
        <v>19</v>
      </c>
      <c r="D4279" s="110" t="str">
        <f>IF(ISBLANK($B4279),"",IFERROR(VLOOKUP($B4279,ESTOQUE!$B$2:$D$97168,3,FALSE),"Produto não cadastrado"))</f>
        <v>CAMISA LARANJA OP. C/ FAIXA REFLETIVA TAM: G</v>
      </c>
      <c r="E4279" s="99" t="str">
        <f>_xlfn.XLOOKUP(B4279,ESTOQUE!B:B,ESTOQUE!G:G,"",0)</f>
        <v>UND</v>
      </c>
      <c r="F4279" s="152">
        <v>2</v>
      </c>
    </row>
    <row r="4280" spans="1:6" x14ac:dyDescent="0.25">
      <c r="A4280" s="108">
        <v>46184</v>
      </c>
      <c r="B4280" s="152">
        <v>68</v>
      </c>
      <c r="C4280" s="108" t="s">
        <v>19</v>
      </c>
      <c r="D4280" s="110" t="str">
        <f>IF(ISBLANK($B4280),"",IFERROR(VLOOKUP($B4280,ESTOQUE!$B$2:$D$97168,3,FALSE),"Produto não cadastrado"))</f>
        <v>CAMISA LARANJA OP. C/ FAIXA REFLETIVA TAM: GG</v>
      </c>
      <c r="E4280" s="99" t="str">
        <f>_xlfn.XLOOKUP(B4280,ESTOQUE!B:B,ESTOQUE!G:G,"",0)</f>
        <v>UND</v>
      </c>
      <c r="F4280" s="152">
        <v>1</v>
      </c>
    </row>
    <row r="4281" spans="1:6" x14ac:dyDescent="0.25">
      <c r="A4281" s="108">
        <v>46184</v>
      </c>
      <c r="B4281" s="152">
        <v>69</v>
      </c>
      <c r="C4281" s="108" t="s">
        <v>19</v>
      </c>
      <c r="D4281" s="110" t="str">
        <f>IF(ISBLANK($B4281),"",IFERROR(VLOOKUP($B4281,ESTOQUE!$B$2:$D$97168,3,FALSE),"Produto não cadastrado"))</f>
        <v>CAMISA LARANJA OP. C/ FAIXA REFLETIVA TAM: M</v>
      </c>
      <c r="E4281" s="99" t="str">
        <f>_xlfn.XLOOKUP(B4281,ESTOQUE!B:B,ESTOQUE!G:G,"",0)</f>
        <v>UND</v>
      </c>
      <c r="F4281" s="152">
        <v>2</v>
      </c>
    </row>
    <row r="4282" spans="1:6" x14ac:dyDescent="0.25">
      <c r="A4282" s="108">
        <v>46184</v>
      </c>
      <c r="B4282" s="152">
        <v>82</v>
      </c>
      <c r="C4282" s="108" t="s">
        <v>19</v>
      </c>
      <c r="D4282" s="110" t="str">
        <f>IF(ISBLANK($B4282),"",IFERROR(VLOOKUP($B4282,ESTOQUE!$B$2:$D$97168,3,FALSE),"Produto não cadastrado"))</f>
        <v>CAPACETE LIBUS CINZA</v>
      </c>
      <c r="E4282" s="99" t="str">
        <f>_xlfn.XLOOKUP(B4282,ESTOQUE!B:B,ESTOQUE!G:G,"",0)</f>
        <v>UND</v>
      </c>
      <c r="F4282" s="152">
        <v>1</v>
      </c>
    </row>
    <row r="4283" spans="1:6" x14ac:dyDescent="0.25">
      <c r="A4283" s="108">
        <v>46184</v>
      </c>
      <c r="B4283" s="152">
        <v>97</v>
      </c>
      <c r="C4283" s="108" t="s">
        <v>19</v>
      </c>
      <c r="D4283" s="110" t="str">
        <f>IF(ISBLANK($B4283),"",IFERROR(VLOOKUP($B4283,ESTOQUE!$B$2:$D$97168,3,FALSE),"Produto não cadastrado"))</f>
        <v>COLETE REFLETIVO LARANJA M</v>
      </c>
      <c r="E4283" s="99" t="str">
        <f>_xlfn.XLOOKUP(B4283,ESTOQUE!B:B,ESTOQUE!G:G,"",0)</f>
        <v>UND</v>
      </c>
      <c r="F4283" s="152">
        <v>1</v>
      </c>
    </row>
    <row r="4284" spans="1:6" x14ac:dyDescent="0.25">
      <c r="A4284" s="108">
        <v>46184</v>
      </c>
      <c r="B4284" s="152">
        <v>161</v>
      </c>
      <c r="C4284" s="108" t="s">
        <v>19</v>
      </c>
      <c r="D4284" s="110" t="str">
        <f>IF(ISBLANK($B4284),"",IFERROR(VLOOKUP($B4284,ESTOQUE!$B$2:$D$97168,3,FALSE),"Produto não cadastrado"))</f>
        <v>JUGULAR</v>
      </c>
      <c r="E4284" s="99" t="str">
        <f>_xlfn.XLOOKUP(B4284,ESTOQUE!B:B,ESTOQUE!G:G,"",0)</f>
        <v>UND</v>
      </c>
      <c r="F4284" s="152">
        <v>2</v>
      </c>
    </row>
    <row r="4285" spans="1:6" x14ac:dyDescent="0.25">
      <c r="A4285" s="108">
        <v>46184</v>
      </c>
      <c r="B4285" s="152">
        <v>141</v>
      </c>
      <c r="C4285" s="108" t="s">
        <v>19</v>
      </c>
      <c r="D4285" s="110" t="str">
        <f>IF(ISBLANK($B4285),"",IFERROR(VLOOKUP($B4285,ESTOQUE!$B$2:$D$97168,3,FALSE),"Produto não cadastrado"))</f>
        <v xml:space="preserve">LUVA DE VAQUETA </v>
      </c>
      <c r="E4285" s="99" t="str">
        <f>_xlfn.XLOOKUP(B4285,ESTOQUE!B:B,ESTOQUE!G:G,"",0)</f>
        <v>PAR</v>
      </c>
      <c r="F4285" s="152">
        <v>1</v>
      </c>
    </row>
    <row r="4286" spans="1:6" x14ac:dyDescent="0.25">
      <c r="A4286" s="108">
        <v>46184</v>
      </c>
      <c r="B4286" s="152">
        <v>114</v>
      </c>
      <c r="C4286" s="108" t="s">
        <v>19</v>
      </c>
      <c r="D4286" s="110" t="str">
        <f>IF(ISBLANK($B4286),"",IFERROR(VLOOKUP($B4286,ESTOQUE!$B$2:$D$97168,3,FALSE),"Produto não cadastrado"))</f>
        <v xml:space="preserve">LUVA LATEX NITRILICA </v>
      </c>
      <c r="E4286" s="99" t="str">
        <f>_xlfn.XLOOKUP(B4286,ESTOQUE!B:B,ESTOQUE!G:G,"",0)</f>
        <v>PAR</v>
      </c>
      <c r="F4286" s="152">
        <v>4</v>
      </c>
    </row>
    <row r="4287" spans="1:6" x14ac:dyDescent="0.25">
      <c r="A4287" s="108">
        <v>46184</v>
      </c>
      <c r="B4287" s="152">
        <v>117</v>
      </c>
      <c r="C4287" s="108" t="s">
        <v>19</v>
      </c>
      <c r="D4287" s="110" t="str">
        <f>IF(ISBLANK($B4287),"",IFERROR(VLOOKUP($B4287,ESTOQUE!$B$2:$D$97168,3,FALSE),"Produto não cadastrado"))</f>
        <v>LUVA PIGMENTADA</v>
      </c>
      <c r="E4287" s="99" t="str">
        <f>_xlfn.XLOOKUP(B4287,ESTOQUE!B:B,ESTOQUE!G:G,"",0)</f>
        <v>PAR</v>
      </c>
      <c r="F4287" s="152">
        <v>2</v>
      </c>
    </row>
    <row r="4288" spans="1:6" x14ac:dyDescent="0.25">
      <c r="A4288" s="108">
        <v>46184</v>
      </c>
      <c r="B4288" s="152">
        <v>207</v>
      </c>
      <c r="C4288" s="108" t="s">
        <v>19</v>
      </c>
      <c r="D4288" s="110" t="str">
        <f>IF(ISBLANK($B4288),"",IFERROR(VLOOKUP($B4288,ESTOQUE!$B$2:$D$97168,3,FALSE),"Produto não cadastrado"))</f>
        <v>LUVA POLIESTER ANTICORTE BANHADA PU TAM 9</v>
      </c>
      <c r="E4288" s="99" t="str">
        <f>_xlfn.XLOOKUP(B4288,ESTOQUE!B:B,ESTOQUE!G:G,"",0)</f>
        <v>PAR</v>
      </c>
      <c r="F4288" s="152">
        <v>9</v>
      </c>
    </row>
    <row r="4289" spans="1:6" x14ac:dyDescent="0.25">
      <c r="A4289" s="108">
        <v>46184</v>
      </c>
      <c r="B4289" s="152">
        <v>118</v>
      </c>
      <c r="C4289" s="108" t="s">
        <v>19</v>
      </c>
      <c r="D4289" s="110" t="str">
        <f>IF(ISBLANK($B4289),"",IFERROR(VLOOKUP($B4289,ESTOQUE!$B$2:$D$97168,3,FALSE),"Produto não cadastrado"))</f>
        <v>MACACÃO DE PROTEÇÃO TYVEK</v>
      </c>
      <c r="E4289" s="99" t="str">
        <f>_xlfn.XLOOKUP(B4289,ESTOQUE!B:B,ESTOQUE!G:G,"",0)</f>
        <v>UND</v>
      </c>
      <c r="F4289" s="152">
        <v>2</v>
      </c>
    </row>
    <row r="4290" spans="1:6" x14ac:dyDescent="0.25">
      <c r="A4290" s="108">
        <v>46184</v>
      </c>
      <c r="B4290" s="152">
        <v>125</v>
      </c>
      <c r="C4290" s="108" t="s">
        <v>19</v>
      </c>
      <c r="D4290" s="110" t="str">
        <f>IF(ISBLANK($B4290),"",IFERROR(VLOOKUP($B4290,ESTOQUE!$B$2:$D$97168,3,FALSE),"Produto não cadastrado"))</f>
        <v xml:space="preserve">MASCARA DE SOLDA AUTOMATICA </v>
      </c>
      <c r="E4290" s="99" t="str">
        <f>_xlfn.XLOOKUP(B4290,ESTOQUE!B:B,ESTOQUE!G:G,"",0)</f>
        <v>UND</v>
      </c>
      <c r="F4290" s="152">
        <v>2</v>
      </c>
    </row>
    <row r="4291" spans="1:6" x14ac:dyDescent="0.25">
      <c r="A4291" s="108">
        <v>46184</v>
      </c>
      <c r="B4291" s="152">
        <v>144</v>
      </c>
      <c r="C4291" s="108" t="s">
        <v>19</v>
      </c>
      <c r="D4291" s="110" t="str">
        <f>IF(ISBLANK($B4291),"",IFERROR(VLOOKUP($B4291,ESTOQUE!$B$2:$D$97168,3,FALSE),"Produto não cadastrado"))</f>
        <v>MASCARA PFF2-S C/ FILTRO</v>
      </c>
      <c r="E4291" s="99" t="str">
        <f>_xlfn.XLOOKUP(B4291,ESTOQUE!B:B,ESTOQUE!G:G,"",0)</f>
        <v>UND</v>
      </c>
      <c r="F4291" s="152">
        <v>6</v>
      </c>
    </row>
    <row r="4292" spans="1:6" x14ac:dyDescent="0.25">
      <c r="A4292" s="108">
        <v>46184</v>
      </c>
      <c r="B4292" s="152">
        <v>126</v>
      </c>
      <c r="C4292" s="108" t="s">
        <v>19</v>
      </c>
      <c r="D4292" s="110" t="str">
        <f>IF(ISBLANK($B4292),"",IFERROR(VLOOKUP($B4292,ESTOQUE!$B$2:$D$97168,3,FALSE),"Produto não cadastrado"))</f>
        <v>OCULOS DE PROTEÇÃO ESCURO</v>
      </c>
      <c r="E4292" s="99" t="str">
        <f>_xlfn.XLOOKUP(B4292,ESTOQUE!B:B,ESTOQUE!G:G,"",0)</f>
        <v>UND</v>
      </c>
      <c r="F4292" s="152">
        <v>4</v>
      </c>
    </row>
    <row r="4293" spans="1:6" x14ac:dyDescent="0.25">
      <c r="A4293" s="108">
        <v>46184</v>
      </c>
      <c r="B4293" s="152">
        <v>124</v>
      </c>
      <c r="C4293" s="108" t="s">
        <v>19</v>
      </c>
      <c r="D4293" s="110" t="str">
        <f>IF(ISBLANK($B4293),"",IFERROR(VLOOKUP($B4293,ESTOQUE!$B$2:$D$97168,3,FALSE),"Produto não cadastrado"))</f>
        <v xml:space="preserve">OCULOS DE PROTEÇÃO INCOLOR </v>
      </c>
      <c r="E4293" s="99" t="str">
        <f>_xlfn.XLOOKUP(B4293,ESTOQUE!B:B,ESTOQUE!G:G,"",0)</f>
        <v>UND</v>
      </c>
      <c r="F4293" s="152">
        <v>1</v>
      </c>
    </row>
    <row r="4294" spans="1:6" x14ac:dyDescent="0.25">
      <c r="A4294" s="108">
        <v>46184</v>
      </c>
      <c r="B4294" s="152">
        <v>224</v>
      </c>
      <c r="C4294" s="108" t="s">
        <v>19</v>
      </c>
      <c r="D4294" s="110" t="str">
        <f>IF(ISBLANK($B4294),"",IFERROR(VLOOKUP($B4294,ESTOQUE!$B$2:$D$97168,3,FALSE),"Produto não cadastrado"))</f>
        <v>OCULOS OPERACIONAL SOBRE POR ESCURO</v>
      </c>
      <c r="E4294" s="99" t="str">
        <f>_xlfn.XLOOKUP(B4294,ESTOQUE!B:B,ESTOQUE!G:G,"",0)</f>
        <v>UND</v>
      </c>
      <c r="F4294" s="152">
        <v>1</v>
      </c>
    </row>
    <row r="4295" spans="1:6" x14ac:dyDescent="0.25">
      <c r="A4295" s="108">
        <v>46184</v>
      </c>
      <c r="B4295" s="152">
        <v>137</v>
      </c>
      <c r="C4295" s="108" t="s">
        <v>19</v>
      </c>
      <c r="D4295" s="110" t="str">
        <f>IF(ISBLANK($B4295),"",IFERROR(VLOOKUP($B4295,ESTOQUE!$B$2:$D$97168,3,FALSE),"Produto não cadastrado"))</f>
        <v xml:space="preserve">TOUCA ARABE </v>
      </c>
      <c r="E4295" s="99" t="str">
        <f>_xlfn.XLOOKUP(B4295,ESTOQUE!B:B,ESTOQUE!G:G,"",0)</f>
        <v>UND</v>
      </c>
      <c r="F4295" s="152">
        <v>1</v>
      </c>
    </row>
    <row r="4296" spans="1:6" x14ac:dyDescent="0.25">
      <c r="A4296" s="108"/>
      <c r="B4296" s="152"/>
      <c r="C4296" s="108" t="s">
        <v>19</v>
      </c>
      <c r="D4296" s="110" t="str">
        <f>IF(ISBLANK($B4296),"",IFERROR(VLOOKUP($B4296,ESTOQUE!$B$2:$D$97168,3,FALSE),"Produto não cadastrado"))</f>
        <v/>
      </c>
      <c r="E4296" s="99">
        <f>_xlfn.XLOOKUP(B4296,ESTOQUE!B:B,ESTOQUE!G:G,"",0)</f>
        <v>0</v>
      </c>
      <c r="F4296" s="152"/>
    </row>
    <row r="4297" spans="1:6" x14ac:dyDescent="0.25">
      <c r="A4297" s="108"/>
      <c r="B4297" s="152"/>
      <c r="C4297" s="108" t="s">
        <v>19</v>
      </c>
      <c r="D4297" s="110" t="str">
        <f>IF(ISBLANK($B4297),"",IFERROR(VLOOKUP($B4297,ESTOQUE!$B$2:$D$97168,3,FALSE),"Produto não cadastrado"))</f>
        <v/>
      </c>
      <c r="E4297" s="99">
        <f>_xlfn.XLOOKUP(B4297,ESTOQUE!B:B,ESTOQUE!G:G,"",0)</f>
        <v>0</v>
      </c>
      <c r="F4297" s="152"/>
    </row>
    <row r="4298" spans="1:6" x14ac:dyDescent="0.25">
      <c r="A4298" s="108"/>
      <c r="B4298" s="152"/>
      <c r="C4298" s="108" t="s">
        <v>19</v>
      </c>
      <c r="D4298" s="110" t="str">
        <f>IF(ISBLANK($B4298),"",IFERROR(VLOOKUP($B4298,ESTOQUE!$B$2:$D$97168,3,FALSE),"Produto não cadastrado"))</f>
        <v/>
      </c>
      <c r="E4298" s="99">
        <f>_xlfn.XLOOKUP(B4298,ESTOQUE!B:B,ESTOQUE!G:G,"",0)</f>
        <v>0</v>
      </c>
      <c r="F4298" s="152"/>
    </row>
    <row r="4299" spans="1:6" x14ac:dyDescent="0.25">
      <c r="A4299" s="108"/>
      <c r="B4299" s="152"/>
      <c r="C4299" s="108" t="s">
        <v>19</v>
      </c>
      <c r="D4299" s="110" t="str">
        <f>IF(ISBLANK($B4299),"",IFERROR(VLOOKUP($B4299,ESTOQUE!$B$2:$D$97168,3,FALSE),"Produto não cadastrado"))</f>
        <v/>
      </c>
      <c r="E4299" s="99">
        <f>_xlfn.XLOOKUP(B4299,ESTOQUE!B:B,ESTOQUE!G:G,"",0)</f>
        <v>0</v>
      </c>
      <c r="F4299" s="152"/>
    </row>
    <row r="4300" spans="1:6" x14ac:dyDescent="0.25">
      <c r="A4300" s="108"/>
      <c r="B4300" s="152"/>
      <c r="C4300" s="108" t="s">
        <v>19</v>
      </c>
      <c r="D4300" s="110" t="str">
        <f>IF(ISBLANK($B4300),"",IFERROR(VLOOKUP($B4300,ESTOQUE!$B$2:$D$97168,3,FALSE),"Produto não cadastrado"))</f>
        <v/>
      </c>
      <c r="E4300" s="99">
        <f>_xlfn.XLOOKUP(B4300,ESTOQUE!B:B,ESTOQUE!G:G,"",0)</f>
        <v>0</v>
      </c>
      <c r="F4300" s="152"/>
    </row>
    <row r="4301" spans="1:6" x14ac:dyDescent="0.25">
      <c r="A4301" s="108"/>
      <c r="B4301" s="152"/>
      <c r="C4301" s="108" t="s">
        <v>19</v>
      </c>
      <c r="D4301" s="110" t="str">
        <f>IF(ISBLANK($B4301),"",IFERROR(VLOOKUP($B4301,ESTOQUE!$B$2:$D$97168,3,FALSE),"Produto não cadastrado"))</f>
        <v/>
      </c>
      <c r="E4301" s="99">
        <f>_xlfn.XLOOKUP(B4301,ESTOQUE!B:B,ESTOQUE!G:G,"",0)</f>
        <v>0</v>
      </c>
      <c r="F4301" s="152"/>
    </row>
    <row r="4302" spans="1:6" x14ac:dyDescent="0.25">
      <c r="A4302" s="108"/>
      <c r="B4302" s="152"/>
      <c r="C4302" s="108" t="s">
        <v>19</v>
      </c>
      <c r="D4302" s="110" t="str">
        <f>IF(ISBLANK($B4302),"",IFERROR(VLOOKUP($B4302,ESTOQUE!$B$2:$D$97168,3,FALSE),"Produto não cadastrado"))</f>
        <v/>
      </c>
      <c r="E4302" s="99">
        <f>_xlfn.XLOOKUP(B4302,ESTOQUE!B:B,ESTOQUE!G:G,"",0)</f>
        <v>0</v>
      </c>
      <c r="F4302" s="152"/>
    </row>
    <row r="4303" spans="1:6" x14ac:dyDescent="0.25">
      <c r="A4303" s="108"/>
      <c r="B4303" s="152"/>
      <c r="C4303" s="108" t="s">
        <v>19</v>
      </c>
      <c r="D4303" s="110" t="str">
        <f>IF(ISBLANK($B4303),"",IFERROR(VLOOKUP($B4303,ESTOQUE!$B$2:$D$97168,3,FALSE),"Produto não cadastrado"))</f>
        <v/>
      </c>
      <c r="E4303" s="99">
        <f>_xlfn.XLOOKUP(B4303,ESTOQUE!B:B,ESTOQUE!G:G,"",0)</f>
        <v>0</v>
      </c>
      <c r="F4303" s="152"/>
    </row>
    <row r="4304" spans="1:6" x14ac:dyDescent="0.25">
      <c r="A4304" s="108"/>
      <c r="B4304" s="152"/>
      <c r="C4304" s="108" t="s">
        <v>19</v>
      </c>
      <c r="D4304" s="110" t="str">
        <f>IF(ISBLANK($B4304),"",IFERROR(VLOOKUP($B4304,ESTOQUE!$B$2:$D$97168,3,FALSE),"Produto não cadastrado"))</f>
        <v/>
      </c>
      <c r="E4304" s="99">
        <f>_xlfn.XLOOKUP(B4304,ESTOQUE!B:B,ESTOQUE!G:G,"",0)</f>
        <v>0</v>
      </c>
      <c r="F4304" s="152"/>
    </row>
    <row r="4305" spans="1:6" x14ac:dyDescent="0.25">
      <c r="A4305" s="108"/>
      <c r="B4305" s="152"/>
      <c r="C4305" s="108" t="s">
        <v>19</v>
      </c>
      <c r="D4305" s="110" t="str">
        <f>IF(ISBLANK($B4305),"",IFERROR(VLOOKUP($B4305,ESTOQUE!$B$2:$D$97168,3,FALSE),"Produto não cadastrado"))</f>
        <v/>
      </c>
      <c r="E4305" s="99">
        <f>_xlfn.XLOOKUP(B4305,ESTOQUE!B:B,ESTOQUE!G:G,"",0)</f>
        <v>0</v>
      </c>
      <c r="F4305" s="152"/>
    </row>
    <row r="4306" spans="1:6" x14ac:dyDescent="0.25">
      <c r="A4306" s="108"/>
      <c r="B4306" s="152"/>
      <c r="C4306" s="108" t="s">
        <v>19</v>
      </c>
      <c r="D4306" s="110" t="str">
        <f>IF(ISBLANK($B4306),"",IFERROR(VLOOKUP($B4306,ESTOQUE!$B$2:$D$97168,3,FALSE),"Produto não cadastrado"))</f>
        <v/>
      </c>
      <c r="E4306" s="99">
        <f>_xlfn.XLOOKUP(B4306,ESTOQUE!B:B,ESTOQUE!G:G,"",0)</f>
        <v>0</v>
      </c>
      <c r="F4306" s="152"/>
    </row>
    <row r="4307" spans="1:6" x14ac:dyDescent="0.25">
      <c r="A4307" s="108"/>
      <c r="B4307" s="152"/>
      <c r="C4307" s="108" t="s">
        <v>19</v>
      </c>
      <c r="D4307" s="110" t="str">
        <f>IF(ISBLANK($B4307),"",IFERROR(VLOOKUP($B4307,ESTOQUE!$B$2:$D$97168,3,FALSE),"Produto não cadastrado"))</f>
        <v/>
      </c>
      <c r="E4307" s="99">
        <f>_xlfn.XLOOKUP(B4307,ESTOQUE!B:B,ESTOQUE!G:G,"",0)</f>
        <v>0</v>
      </c>
      <c r="F4307" s="152"/>
    </row>
    <row r="4308" spans="1:6" x14ac:dyDescent="0.25">
      <c r="A4308" s="108"/>
      <c r="B4308" s="152"/>
      <c r="C4308" s="108" t="s">
        <v>19</v>
      </c>
      <c r="D4308" s="110" t="str">
        <f>IF(ISBLANK($B4308),"",IFERROR(VLOOKUP($B4308,ESTOQUE!$B$2:$D$97168,3,FALSE),"Produto não cadastrado"))</f>
        <v/>
      </c>
      <c r="E4308" s="99">
        <f>_xlfn.XLOOKUP(B4308,ESTOQUE!B:B,ESTOQUE!G:G,"",0)</f>
        <v>0</v>
      </c>
      <c r="F4308" s="152"/>
    </row>
    <row r="4309" spans="1:6" x14ac:dyDescent="0.25">
      <c r="A4309" s="108"/>
      <c r="B4309" s="152"/>
      <c r="C4309" s="108" t="s">
        <v>19</v>
      </c>
      <c r="D4309" s="110" t="str">
        <f>IF(ISBLANK($B4309),"",IFERROR(VLOOKUP($B4309,ESTOQUE!$B$2:$D$97168,3,FALSE),"Produto não cadastrado"))</f>
        <v/>
      </c>
      <c r="E4309" s="99">
        <f>_xlfn.XLOOKUP(B4309,ESTOQUE!B:B,ESTOQUE!G:G,"",0)</f>
        <v>0</v>
      </c>
      <c r="F4309" s="152"/>
    </row>
    <row r="4310" spans="1:6" x14ac:dyDescent="0.25">
      <c r="A4310" s="108"/>
      <c r="B4310" s="152"/>
      <c r="C4310" s="108" t="s">
        <v>19</v>
      </c>
      <c r="D4310" s="110" t="str">
        <f>IF(ISBLANK($B4310),"",IFERROR(VLOOKUP($B4310,ESTOQUE!$B$2:$D$97168,3,FALSE),"Produto não cadastrado"))</f>
        <v/>
      </c>
      <c r="E4310" s="99">
        <f>_xlfn.XLOOKUP(B4310,ESTOQUE!B:B,ESTOQUE!G:G,"",0)</f>
        <v>0</v>
      </c>
      <c r="F4310" s="152"/>
    </row>
    <row r="4311" spans="1:6" x14ac:dyDescent="0.25">
      <c r="A4311" s="108"/>
      <c r="B4311" s="152"/>
      <c r="C4311" s="108" t="s">
        <v>19</v>
      </c>
      <c r="D4311" s="110" t="str">
        <f>IF(ISBLANK($B4311),"",IFERROR(VLOOKUP($B4311,ESTOQUE!$B$2:$D$97168,3,FALSE),"Produto não cadastrado"))</f>
        <v/>
      </c>
      <c r="E4311" s="99">
        <f>_xlfn.XLOOKUP(B4311,ESTOQUE!B:B,ESTOQUE!G:G,"",0)</f>
        <v>0</v>
      </c>
      <c r="F4311" s="152"/>
    </row>
    <row r="4312" spans="1:6" x14ac:dyDescent="0.25">
      <c r="A4312" s="108"/>
      <c r="B4312" s="152"/>
      <c r="C4312" s="108" t="s">
        <v>19</v>
      </c>
      <c r="D4312" s="110" t="str">
        <f>IF(ISBLANK($B4312),"",IFERROR(VLOOKUP($B4312,ESTOQUE!$B$2:$D$97168,3,FALSE),"Produto não cadastrado"))</f>
        <v/>
      </c>
      <c r="E4312" s="99">
        <f>_xlfn.XLOOKUP(B4312,ESTOQUE!B:B,ESTOQUE!G:G,"",0)</f>
        <v>0</v>
      </c>
      <c r="F4312" s="152"/>
    </row>
    <row r="4313" spans="1:6" x14ac:dyDescent="0.25">
      <c r="A4313" s="108"/>
      <c r="B4313" s="152"/>
      <c r="C4313" s="108" t="s">
        <v>19</v>
      </c>
      <c r="D4313" s="110" t="str">
        <f>IF(ISBLANK($B4313),"",IFERROR(VLOOKUP($B4313,ESTOQUE!$B$2:$D$97168,3,FALSE),"Produto não cadastrado"))</f>
        <v/>
      </c>
      <c r="E4313" s="99">
        <f>_xlfn.XLOOKUP(B4313,ESTOQUE!B:B,ESTOQUE!G:G,"",0)</f>
        <v>0</v>
      </c>
      <c r="F4313" s="152"/>
    </row>
    <row r="4314" spans="1:6" x14ac:dyDescent="0.25">
      <c r="A4314" s="108"/>
      <c r="B4314" s="152"/>
      <c r="C4314" s="108" t="s">
        <v>19</v>
      </c>
      <c r="D4314" s="110" t="str">
        <f>IF(ISBLANK($B4314),"",IFERROR(VLOOKUP($B4314,ESTOQUE!$B$2:$D$97168,3,FALSE),"Produto não cadastrado"))</f>
        <v/>
      </c>
      <c r="E4314" s="99">
        <f>_xlfn.XLOOKUP(B4314,ESTOQUE!B:B,ESTOQUE!G:G,"",0)</f>
        <v>0</v>
      </c>
      <c r="F4314" s="152"/>
    </row>
    <row r="4315" spans="1:6" x14ac:dyDescent="0.25">
      <c r="A4315" s="108"/>
      <c r="B4315" s="152"/>
      <c r="C4315" s="108" t="s">
        <v>19</v>
      </c>
      <c r="D4315" s="110" t="str">
        <f>IF(ISBLANK($B4315),"",IFERROR(VLOOKUP($B4315,ESTOQUE!$B$2:$D$97168,3,FALSE),"Produto não cadastrado"))</f>
        <v/>
      </c>
      <c r="E4315" s="99">
        <f>_xlfn.XLOOKUP(B4315,ESTOQUE!B:B,ESTOQUE!G:G,"",0)</f>
        <v>0</v>
      </c>
      <c r="F4315" s="152"/>
    </row>
    <row r="4316" spans="1:6" x14ac:dyDescent="0.25">
      <c r="A4316" s="108"/>
      <c r="B4316" s="152"/>
      <c r="C4316" s="108" t="s">
        <v>19</v>
      </c>
      <c r="D4316" s="110" t="str">
        <f>IF(ISBLANK($B4316),"",IFERROR(VLOOKUP($B4316,ESTOQUE!$B$2:$D$97168,3,FALSE),"Produto não cadastrado"))</f>
        <v/>
      </c>
      <c r="E4316" s="99">
        <f>_xlfn.XLOOKUP(B4316,ESTOQUE!B:B,ESTOQUE!G:G,"",0)</f>
        <v>0</v>
      </c>
      <c r="F4316" s="152"/>
    </row>
    <row r="4317" spans="1:6" x14ac:dyDescent="0.25">
      <c r="A4317" s="108"/>
      <c r="B4317" s="152"/>
      <c r="C4317" s="108" t="s">
        <v>19</v>
      </c>
      <c r="D4317" s="110" t="str">
        <f>IF(ISBLANK($B4317),"",IFERROR(VLOOKUP($B4317,ESTOQUE!$B$2:$D$97168,3,FALSE),"Produto não cadastrado"))</f>
        <v/>
      </c>
      <c r="E4317" s="99">
        <f>_xlfn.XLOOKUP(B4317,ESTOQUE!B:B,ESTOQUE!G:G,"",0)</f>
        <v>0</v>
      </c>
      <c r="F4317" s="152"/>
    </row>
    <row r="4318" spans="1:6" x14ac:dyDescent="0.25">
      <c r="A4318" s="108"/>
      <c r="B4318" s="152"/>
      <c r="C4318" s="108" t="s">
        <v>19</v>
      </c>
      <c r="D4318" s="110" t="str">
        <f>IF(ISBLANK($B4318),"",IFERROR(VLOOKUP($B4318,ESTOQUE!$B$2:$D$97168,3,FALSE),"Produto não cadastrado"))</f>
        <v/>
      </c>
      <c r="E4318" s="99">
        <f>_xlfn.XLOOKUP(B4318,ESTOQUE!B:B,ESTOQUE!G:G,"",0)</f>
        <v>0</v>
      </c>
      <c r="F4318" s="152"/>
    </row>
    <row r="4319" spans="1:6" x14ac:dyDescent="0.25">
      <c r="A4319" s="108"/>
      <c r="B4319" s="152"/>
      <c r="C4319" s="108" t="s">
        <v>19</v>
      </c>
      <c r="D4319" s="110" t="str">
        <f>IF(ISBLANK($B4319),"",IFERROR(VLOOKUP($B4319,ESTOQUE!$B$2:$D$97168,3,FALSE),"Produto não cadastrado"))</f>
        <v/>
      </c>
      <c r="E4319" s="99">
        <f>_xlfn.XLOOKUP(B4319,ESTOQUE!B:B,ESTOQUE!G:G,"",0)</f>
        <v>0</v>
      </c>
      <c r="F4319" s="152"/>
    </row>
    <row r="4320" spans="1:6" x14ac:dyDescent="0.25">
      <c r="A4320" s="108"/>
      <c r="B4320" s="152"/>
      <c r="C4320" s="108" t="s">
        <v>19</v>
      </c>
      <c r="D4320" s="110" t="str">
        <f>IF(ISBLANK($B4320),"",IFERROR(VLOOKUP($B4320,ESTOQUE!$B$2:$D$97168,3,FALSE),"Produto não cadastrado"))</f>
        <v/>
      </c>
      <c r="E4320" s="99">
        <f>_xlfn.XLOOKUP(B4320,ESTOQUE!B:B,ESTOQUE!G:G,"",0)</f>
        <v>0</v>
      </c>
      <c r="F4320" s="152"/>
    </row>
    <row r="4321" spans="1:6" x14ac:dyDescent="0.25">
      <c r="A4321" s="108"/>
      <c r="B4321" s="152"/>
      <c r="C4321" s="108" t="s">
        <v>19</v>
      </c>
      <c r="D4321" s="110" t="str">
        <f>IF(ISBLANK($B4321),"",IFERROR(VLOOKUP($B4321,ESTOQUE!$B$2:$D$97168,3,FALSE),"Produto não cadastrado"))</f>
        <v/>
      </c>
      <c r="E4321" s="99">
        <f>_xlfn.XLOOKUP(B4321,ESTOQUE!B:B,ESTOQUE!G:G,"",0)</f>
        <v>0</v>
      </c>
      <c r="F4321" s="152"/>
    </row>
    <row r="4322" spans="1:6" x14ac:dyDescent="0.25">
      <c r="A4322" s="108"/>
      <c r="B4322" s="152"/>
      <c r="C4322" s="108" t="s">
        <v>19</v>
      </c>
      <c r="D4322" s="110" t="str">
        <f>IF(ISBLANK($B4322),"",IFERROR(VLOOKUP($B4322,ESTOQUE!$B$2:$D$97168,3,FALSE),"Produto não cadastrado"))</f>
        <v/>
      </c>
      <c r="E4322" s="99">
        <f>_xlfn.XLOOKUP(B4322,ESTOQUE!B:B,ESTOQUE!G:G,"",0)</f>
        <v>0</v>
      </c>
      <c r="F4322" s="152"/>
    </row>
    <row r="4323" spans="1:6" x14ac:dyDescent="0.25">
      <c r="A4323" s="108"/>
      <c r="B4323" s="152"/>
      <c r="C4323" s="108" t="s">
        <v>19</v>
      </c>
      <c r="D4323" s="110" t="str">
        <f>IF(ISBLANK($B4323),"",IFERROR(VLOOKUP($B4323,ESTOQUE!$B$2:$D$97168,3,FALSE),"Produto não cadastrado"))</f>
        <v/>
      </c>
      <c r="E4323" s="99">
        <f>_xlfn.XLOOKUP(B4323,ESTOQUE!B:B,ESTOQUE!G:G,"",0)</f>
        <v>0</v>
      </c>
      <c r="F4323" s="152"/>
    </row>
    <row r="4324" spans="1:6" x14ac:dyDescent="0.25">
      <c r="A4324" s="108"/>
      <c r="B4324" s="152"/>
      <c r="C4324" s="108" t="s">
        <v>19</v>
      </c>
      <c r="D4324" s="110" t="str">
        <f>IF(ISBLANK($B4324),"",IFERROR(VLOOKUP($B4324,ESTOQUE!$B$2:$D$97168,3,FALSE),"Produto não cadastrado"))</f>
        <v/>
      </c>
      <c r="E4324" s="99">
        <f>_xlfn.XLOOKUP(B4324,ESTOQUE!B:B,ESTOQUE!G:G,"",0)</f>
        <v>0</v>
      </c>
      <c r="F4324" s="152"/>
    </row>
    <row r="4325" spans="1:6" x14ac:dyDescent="0.25">
      <c r="A4325" s="108"/>
      <c r="B4325" s="152"/>
      <c r="C4325" s="108" t="s">
        <v>19</v>
      </c>
      <c r="D4325" s="110" t="str">
        <f>IF(ISBLANK($B4325),"",IFERROR(VLOOKUP($B4325,ESTOQUE!$B$2:$D$97168,3,FALSE),"Produto não cadastrado"))</f>
        <v/>
      </c>
      <c r="E4325" s="99">
        <f>_xlfn.XLOOKUP(B4325,ESTOQUE!B:B,ESTOQUE!G:G,"",0)</f>
        <v>0</v>
      </c>
      <c r="F4325" s="152"/>
    </row>
    <row r="4326" spans="1:6" x14ac:dyDescent="0.25">
      <c r="A4326" s="108"/>
      <c r="B4326" s="152"/>
      <c r="C4326" s="108" t="s">
        <v>19</v>
      </c>
      <c r="D4326" s="110" t="str">
        <f>IF(ISBLANK($B4326),"",IFERROR(VLOOKUP($B4326,ESTOQUE!$B$2:$D$97168,3,FALSE),"Produto não cadastrado"))</f>
        <v/>
      </c>
      <c r="E4326" s="99">
        <f>_xlfn.XLOOKUP(B4326,ESTOQUE!B:B,ESTOQUE!G:G,"",0)</f>
        <v>0</v>
      </c>
      <c r="F4326" s="152"/>
    </row>
    <row r="4327" spans="1:6" x14ac:dyDescent="0.25">
      <c r="A4327" s="108"/>
      <c r="B4327" s="152"/>
      <c r="C4327" s="108" t="s">
        <v>19</v>
      </c>
      <c r="D4327" s="110" t="str">
        <f>IF(ISBLANK($B4327),"",IFERROR(VLOOKUP($B4327,ESTOQUE!$B$2:$D$97168,3,FALSE),"Produto não cadastrado"))</f>
        <v/>
      </c>
      <c r="E4327" s="99">
        <f>_xlfn.XLOOKUP(B4327,ESTOQUE!B:B,ESTOQUE!G:G,"",0)</f>
        <v>0</v>
      </c>
      <c r="F4327" s="152"/>
    </row>
    <row r="4328" spans="1:6" x14ac:dyDescent="0.25">
      <c r="A4328" s="108"/>
      <c r="B4328" s="152"/>
      <c r="C4328" s="108" t="s">
        <v>19</v>
      </c>
      <c r="D4328" s="110" t="str">
        <f>IF(ISBLANK($B4328),"",IFERROR(VLOOKUP($B4328,ESTOQUE!$B$2:$D$97168,3,FALSE),"Produto não cadastrado"))</f>
        <v/>
      </c>
      <c r="E4328" s="99">
        <f>_xlfn.XLOOKUP(B4328,ESTOQUE!B:B,ESTOQUE!G:G,"",0)</f>
        <v>0</v>
      </c>
      <c r="F4328" s="152"/>
    </row>
    <row r="4329" spans="1:6" x14ac:dyDescent="0.25">
      <c r="A4329" s="108"/>
      <c r="B4329" s="152"/>
      <c r="C4329" s="108" t="s">
        <v>19</v>
      </c>
      <c r="D4329" s="110" t="str">
        <f>IF(ISBLANK($B4329),"",IFERROR(VLOOKUP($B4329,ESTOQUE!$B$2:$D$97168,3,FALSE),"Produto não cadastrado"))</f>
        <v/>
      </c>
      <c r="E4329" s="99">
        <f>_xlfn.XLOOKUP(B4329,ESTOQUE!B:B,ESTOQUE!G:G,"",0)</f>
        <v>0</v>
      </c>
      <c r="F4329" s="152"/>
    </row>
    <row r="4330" spans="1:6" x14ac:dyDescent="0.25">
      <c r="A4330" s="108"/>
      <c r="B4330" s="152"/>
      <c r="C4330" s="108" t="s">
        <v>19</v>
      </c>
      <c r="D4330" s="110" t="str">
        <f>IF(ISBLANK($B4330),"",IFERROR(VLOOKUP($B4330,ESTOQUE!$B$2:$D$97168,3,FALSE),"Produto não cadastrado"))</f>
        <v/>
      </c>
      <c r="E4330" s="99">
        <f>_xlfn.XLOOKUP(B4330,ESTOQUE!B:B,ESTOQUE!G:G,"",0)</f>
        <v>0</v>
      </c>
      <c r="F4330" s="152"/>
    </row>
    <row r="4331" spans="1:6" x14ac:dyDescent="0.25">
      <c r="A4331" s="108"/>
      <c r="B4331" s="152"/>
      <c r="C4331" s="108" t="s">
        <v>19</v>
      </c>
      <c r="D4331" s="110" t="str">
        <f>IF(ISBLANK($B4331),"",IFERROR(VLOOKUP($B4331,ESTOQUE!$B$2:$D$97168,3,FALSE),"Produto não cadastrado"))</f>
        <v/>
      </c>
      <c r="E4331" s="99">
        <f>_xlfn.XLOOKUP(B4331,ESTOQUE!B:B,ESTOQUE!G:G,"",0)</f>
        <v>0</v>
      </c>
      <c r="F4331" s="152"/>
    </row>
    <row r="4332" spans="1:6" x14ac:dyDescent="0.25">
      <c r="A4332" s="108"/>
      <c r="B4332" s="152"/>
      <c r="C4332" s="108" t="s">
        <v>19</v>
      </c>
      <c r="D4332" s="110" t="str">
        <f>IF(ISBLANK($B4332),"",IFERROR(VLOOKUP($B4332,ESTOQUE!$B$2:$D$97168,3,FALSE),"Produto não cadastrado"))</f>
        <v/>
      </c>
      <c r="E4332" s="99">
        <f>_xlfn.XLOOKUP(B4332,ESTOQUE!B:B,ESTOQUE!G:G,"",0)</f>
        <v>0</v>
      </c>
      <c r="F4332" s="152"/>
    </row>
    <row r="4333" spans="1:6" x14ac:dyDescent="0.25">
      <c r="A4333" s="108"/>
      <c r="B4333" s="152"/>
      <c r="C4333" s="108" t="s">
        <v>19</v>
      </c>
      <c r="D4333" s="110" t="str">
        <f>IF(ISBLANK($B4333),"",IFERROR(VLOOKUP($B4333,ESTOQUE!$B$2:$D$97168,3,FALSE),"Produto não cadastrado"))</f>
        <v/>
      </c>
      <c r="E4333" s="99">
        <f>_xlfn.XLOOKUP(B4333,ESTOQUE!B:B,ESTOQUE!G:G,"",0)</f>
        <v>0</v>
      </c>
      <c r="F4333" s="152"/>
    </row>
    <row r="4334" spans="1:6" x14ac:dyDescent="0.25">
      <c r="A4334" s="108"/>
      <c r="B4334" s="152"/>
      <c r="C4334" s="108" t="s">
        <v>19</v>
      </c>
      <c r="D4334" s="110" t="str">
        <f>IF(ISBLANK($B4334),"",IFERROR(VLOOKUP($B4334,ESTOQUE!$B$2:$D$97168,3,FALSE),"Produto não cadastrado"))</f>
        <v/>
      </c>
      <c r="E4334" s="99">
        <f>_xlfn.XLOOKUP(B4334,ESTOQUE!B:B,ESTOQUE!G:G,"",0)</f>
        <v>0</v>
      </c>
      <c r="F4334" s="152"/>
    </row>
    <row r="4335" spans="1:6" x14ac:dyDescent="0.25">
      <c r="A4335" s="108"/>
      <c r="B4335" s="152"/>
      <c r="C4335" s="108" t="s">
        <v>19</v>
      </c>
      <c r="D4335" s="110" t="str">
        <f>IF(ISBLANK($B4335),"",IFERROR(VLOOKUP($B4335,ESTOQUE!$B$2:$D$97168,3,FALSE),"Produto não cadastrado"))</f>
        <v/>
      </c>
      <c r="E4335" s="99">
        <f>_xlfn.XLOOKUP(B4335,ESTOQUE!B:B,ESTOQUE!G:G,"",0)</f>
        <v>0</v>
      </c>
      <c r="F4335" s="152"/>
    </row>
    <row r="4336" spans="1:6" x14ac:dyDescent="0.25">
      <c r="A4336" s="108"/>
      <c r="B4336" s="152"/>
      <c r="C4336" s="108" t="s">
        <v>19</v>
      </c>
      <c r="D4336" s="110" t="str">
        <f>IF(ISBLANK($B4336),"",IFERROR(VLOOKUP($B4336,ESTOQUE!$B$2:$D$97168,3,FALSE),"Produto não cadastrado"))</f>
        <v/>
      </c>
      <c r="E4336" s="99">
        <f>_xlfn.XLOOKUP(B4336,ESTOQUE!B:B,ESTOQUE!G:G,"",0)</f>
        <v>0</v>
      </c>
      <c r="F4336" s="152"/>
    </row>
    <row r="4337" spans="1:6" x14ac:dyDescent="0.25">
      <c r="A4337" s="108"/>
      <c r="B4337" s="152"/>
      <c r="C4337" s="108" t="s">
        <v>19</v>
      </c>
      <c r="D4337" s="110" t="str">
        <f>IF(ISBLANK($B4337),"",IFERROR(VLOOKUP($B4337,ESTOQUE!$B$2:$D$97168,3,FALSE),"Produto não cadastrado"))</f>
        <v/>
      </c>
      <c r="E4337" s="99">
        <f>_xlfn.XLOOKUP(B4337,ESTOQUE!B:B,ESTOQUE!G:G,"",0)</f>
        <v>0</v>
      </c>
      <c r="F4337" s="152"/>
    </row>
    <row r="4338" spans="1:6" x14ac:dyDescent="0.25">
      <c r="A4338" s="108"/>
      <c r="B4338" s="152"/>
      <c r="C4338" s="108" t="s">
        <v>19</v>
      </c>
      <c r="D4338" s="110" t="str">
        <f>IF(ISBLANK($B4338),"",IFERROR(VLOOKUP($B4338,ESTOQUE!$B$2:$D$97168,3,FALSE),"Produto não cadastrado"))</f>
        <v/>
      </c>
      <c r="E4338" s="99">
        <f>_xlfn.XLOOKUP(B4338,ESTOQUE!B:B,ESTOQUE!G:G,"",0)</f>
        <v>0</v>
      </c>
      <c r="F4338" s="152"/>
    </row>
    <row r="4339" spans="1:6" x14ac:dyDescent="0.25">
      <c r="A4339" s="108"/>
      <c r="B4339" s="152"/>
      <c r="C4339" s="108" t="s">
        <v>19</v>
      </c>
      <c r="D4339" s="110" t="str">
        <f>IF(ISBLANK($B4339),"",IFERROR(VLOOKUP($B4339,ESTOQUE!$B$2:$D$97168,3,FALSE),"Produto não cadastrado"))</f>
        <v/>
      </c>
      <c r="E4339" s="99">
        <f>_xlfn.XLOOKUP(B4339,ESTOQUE!B:B,ESTOQUE!G:G,"",0)</f>
        <v>0</v>
      </c>
      <c r="F4339" s="152"/>
    </row>
    <row r="4340" spans="1:6" x14ac:dyDescent="0.25">
      <c r="A4340" s="108"/>
      <c r="B4340" s="152"/>
      <c r="C4340" s="108" t="s">
        <v>19</v>
      </c>
      <c r="D4340" s="110" t="str">
        <f>IF(ISBLANK($B4340),"",IFERROR(VLOOKUP($B4340,ESTOQUE!$B$2:$D$97168,3,FALSE),"Produto não cadastrado"))</f>
        <v/>
      </c>
      <c r="E4340" s="99">
        <f>_xlfn.XLOOKUP(B4340,ESTOQUE!B:B,ESTOQUE!G:G,"",0)</f>
        <v>0</v>
      </c>
      <c r="F4340" s="152"/>
    </row>
    <row r="4341" spans="1:6" x14ac:dyDescent="0.25">
      <c r="A4341" s="108"/>
      <c r="B4341" s="152"/>
      <c r="C4341" s="108" t="s">
        <v>19</v>
      </c>
      <c r="D4341" s="110" t="str">
        <f>IF(ISBLANK($B4341),"",IFERROR(VLOOKUP($B4341,ESTOQUE!$B$2:$D$97168,3,FALSE),"Produto não cadastrado"))</f>
        <v/>
      </c>
      <c r="E4341" s="99">
        <f>_xlfn.XLOOKUP(B4341,ESTOQUE!B:B,ESTOQUE!G:G,"",0)</f>
        <v>0</v>
      </c>
      <c r="F4341" s="152"/>
    </row>
    <row r="4342" spans="1:6" x14ac:dyDescent="0.25">
      <c r="A4342" s="108"/>
      <c r="B4342" s="152"/>
      <c r="C4342" s="108" t="s">
        <v>19</v>
      </c>
      <c r="D4342" s="110" t="str">
        <f>IF(ISBLANK($B4342),"",IFERROR(VLOOKUP($B4342,ESTOQUE!$B$2:$D$97168,3,FALSE),"Produto não cadastrado"))</f>
        <v/>
      </c>
      <c r="E4342" s="99">
        <f>_xlfn.XLOOKUP(B4342,ESTOQUE!B:B,ESTOQUE!G:G,"",0)</f>
        <v>0</v>
      </c>
      <c r="F4342" s="152"/>
    </row>
    <row r="4343" spans="1:6" x14ac:dyDescent="0.25">
      <c r="A4343" s="108"/>
      <c r="B4343" s="152"/>
      <c r="C4343" s="108" t="s">
        <v>19</v>
      </c>
      <c r="D4343" s="110" t="str">
        <f>IF(ISBLANK($B4343),"",IFERROR(VLOOKUP($B4343,ESTOQUE!$B$2:$D$97168,3,FALSE),"Produto não cadastrado"))</f>
        <v/>
      </c>
      <c r="E4343" s="99">
        <f>_xlfn.XLOOKUP(B4343,ESTOQUE!B:B,ESTOQUE!G:G,"",0)</f>
        <v>0</v>
      </c>
      <c r="F4343" s="152"/>
    </row>
    <row r="4344" spans="1:6" x14ac:dyDescent="0.25">
      <c r="A4344" s="108"/>
      <c r="B4344" s="152"/>
      <c r="C4344" s="108" t="s">
        <v>19</v>
      </c>
      <c r="D4344" s="110" t="str">
        <f>IF(ISBLANK($B4344),"",IFERROR(VLOOKUP($B4344,ESTOQUE!$B$2:$D$97168,3,FALSE),"Produto não cadastrado"))</f>
        <v/>
      </c>
      <c r="E4344" s="99">
        <f>_xlfn.XLOOKUP(B4344,ESTOQUE!B:B,ESTOQUE!G:G,"",0)</f>
        <v>0</v>
      </c>
      <c r="F4344" s="152"/>
    </row>
    <row r="4345" spans="1:6" x14ac:dyDescent="0.25">
      <c r="A4345" s="108"/>
      <c r="B4345" s="152"/>
      <c r="C4345" s="108" t="s">
        <v>19</v>
      </c>
      <c r="D4345" s="110" t="str">
        <f>IF(ISBLANK($B4345),"",IFERROR(VLOOKUP($B4345,ESTOQUE!$B$2:$D$97168,3,FALSE),"Produto não cadastrado"))</f>
        <v/>
      </c>
      <c r="E4345" s="99">
        <f>_xlfn.XLOOKUP(B4345,ESTOQUE!B:B,ESTOQUE!G:G,"",0)</f>
        <v>0</v>
      </c>
      <c r="F4345" s="152"/>
    </row>
    <row r="4346" spans="1:6" x14ac:dyDescent="0.25">
      <c r="A4346" s="108"/>
      <c r="B4346" s="152"/>
      <c r="C4346" s="108" t="s">
        <v>19</v>
      </c>
      <c r="D4346" s="110" t="str">
        <f>IF(ISBLANK($B4346),"",IFERROR(VLOOKUP($B4346,ESTOQUE!$B$2:$D$97168,3,FALSE),"Produto não cadastrado"))</f>
        <v/>
      </c>
      <c r="E4346" s="99">
        <f>_xlfn.XLOOKUP(B4346,ESTOQUE!B:B,ESTOQUE!G:G,"",0)</f>
        <v>0</v>
      </c>
      <c r="F4346" s="152"/>
    </row>
    <row r="4347" spans="1:6" x14ac:dyDescent="0.25">
      <c r="A4347" s="108"/>
      <c r="B4347" s="152"/>
      <c r="C4347" s="108" t="s">
        <v>19</v>
      </c>
      <c r="D4347" s="110" t="str">
        <f>IF(ISBLANK($B4347),"",IFERROR(VLOOKUP($B4347,ESTOQUE!$B$2:$D$97168,3,FALSE),"Produto não cadastrado"))</f>
        <v/>
      </c>
      <c r="E4347" s="99">
        <f>_xlfn.XLOOKUP(B4347,ESTOQUE!B:B,ESTOQUE!G:G,"",0)</f>
        <v>0</v>
      </c>
      <c r="F4347" s="152"/>
    </row>
    <row r="4348" spans="1:6" x14ac:dyDescent="0.25">
      <c r="D4348" s="110" t="str">
        <f>IF(ISBLANK($B4348),"",IFERROR(VLOOKUP($B4348,ESTOQUE!$B$2:$D$97168,3,FALSE),"Produto não cadastrado"))</f>
        <v/>
      </c>
    </row>
  </sheetData>
  <sheetProtection formatCells="0" formatColumns="0" formatRows="0" insertColumns="0" insertRows="0" insertHyperlinks="0" deleteColumns="0" deleteRows="0" sort="0" autoFilter="0" pivotTables="0"/>
  <autoFilter ref="A1:K4347" xr:uid="{01636D39-030F-4722-AABC-43E9A41E07F7}">
    <sortState xmlns:xlrd2="http://schemas.microsoft.com/office/spreadsheetml/2017/richdata2" ref="A2:K4347">
      <sortCondition ref="A1:A4347"/>
    </sortState>
  </autoFilter>
  <sortState xmlns:xlrd2="http://schemas.microsoft.com/office/spreadsheetml/2017/richdata2" ref="A2:I128">
    <sortCondition ref="A2:A128"/>
  </sortState>
  <dataConsolidate/>
  <phoneticPr fontId="10" type="noConversion"/>
  <conditionalFormatting sqref="B27:B28">
    <cfRule type="cellIs" dxfId="0" priority="73" operator="lessThan">
      <formula>0</formula>
    </cfRule>
  </conditionalFormatting>
  <pageMargins left="0.511811024" right="0.511811024" top="0.17" bottom="0.17" header="0.17" footer="0.17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8266-F68B-4BAE-990A-A1EE16D6B2E6}">
  <sheetPr codeName="Planilha4"/>
  <dimension ref="A1:V4"/>
  <sheetViews>
    <sheetView showGridLines="0" zoomScale="90" zoomScaleNormal="90" workbookViewId="0">
      <pane ySplit="1" topLeftCell="A2" activePane="bottomLeft" state="frozen"/>
      <selection pane="bottomLeft" activeCell="B1" sqref="B1:V1"/>
    </sheetView>
  </sheetViews>
  <sheetFormatPr defaultRowHeight="15" x14ac:dyDescent="0.25"/>
  <cols>
    <col min="1" max="1" width="3.5703125" style="132" customWidth="1"/>
    <col min="2" max="2" width="22.42578125" customWidth="1"/>
    <col min="3" max="3" width="19.42578125" customWidth="1"/>
  </cols>
  <sheetData>
    <row r="1" spans="2:22" s="133" customFormat="1" ht="68.099999999999994" customHeight="1" thickBot="1" x14ac:dyDescent="0.3">
      <c r="B1" s="164" t="s">
        <v>294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6"/>
    </row>
    <row r="2" spans="2:22" ht="9.6" customHeight="1" x14ac:dyDescent="0.25"/>
    <row r="3" spans="2:22" x14ac:dyDescent="0.25">
      <c r="B3" s="94" t="s">
        <v>295</v>
      </c>
      <c r="C3" s="95">
        <f>SUBTOTAL(9,ESTOQUE!T2:T247)</f>
        <v>38325.513420885451</v>
      </c>
    </row>
    <row r="4" spans="2:22" x14ac:dyDescent="0.25">
      <c r="B4" s="94" t="s">
        <v>296</v>
      </c>
      <c r="C4" s="95">
        <f>SUBTOTAL(9,ESTOQUE!U2:U247)</f>
        <v>105891.11657911455</v>
      </c>
    </row>
  </sheetData>
  <mergeCells count="1">
    <mergeCell ref="B1:V1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n6k xmlns="6762acb0-7252-4972-9de0-b49aa11c190a">
      <UserInfo>
        <DisplayName/>
        <AccountId xsi:nil="true"/>
        <AccountType/>
      </UserInfo>
    </pn6k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6025DCA6802D4CABBFACD2FFFF96F8" ma:contentTypeVersion="12" ma:contentTypeDescription="Crie um novo documento." ma:contentTypeScope="" ma:versionID="a93054716fd89d53652b4b4fbb7d0eee">
  <xsd:schema xmlns:xsd="http://www.w3.org/2001/XMLSchema" xmlns:xs="http://www.w3.org/2001/XMLSchema" xmlns:p="http://schemas.microsoft.com/office/2006/metadata/properties" xmlns:ns2="6762acb0-7252-4972-9de0-b49aa11c190a" xmlns:ns3="352fcbb4-5fbd-41df-a0a5-39d558223663" targetNamespace="http://schemas.microsoft.com/office/2006/metadata/properties" ma:root="true" ma:fieldsID="5f1f832d9bb575c5d83ce17df1b1145f" ns2:_="" ns3:_="">
    <xsd:import namespace="6762acb0-7252-4972-9de0-b49aa11c190a"/>
    <xsd:import namespace="352fcbb4-5fbd-41df-a0a5-39d5582236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pn6k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2acb0-7252-4972-9de0-b49aa11c19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pn6k" ma:index="10" nillable="true" ma:displayName="Pessoa ou Grupo" ma:list="UserInfo" ma:internalName="pn6k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fcbb4-5fbd-41df-a0a5-39d5582236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4D735D-7AA6-49C3-8834-E1A357A76B1D}">
  <ds:schemaRefs>
    <ds:schemaRef ds:uri="http://schemas.microsoft.com/office/2006/metadata/properties"/>
    <ds:schemaRef ds:uri="http://schemas.microsoft.com/office/infopath/2007/PartnerControls"/>
    <ds:schemaRef ds:uri="6762acb0-7252-4972-9de0-b49aa11c190a"/>
  </ds:schemaRefs>
</ds:datastoreItem>
</file>

<file path=customXml/itemProps2.xml><?xml version="1.0" encoding="utf-8"?>
<ds:datastoreItem xmlns:ds="http://schemas.openxmlformats.org/officeDocument/2006/customXml" ds:itemID="{8F22371D-03D5-46A2-AE4D-376156D82F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62acb0-7252-4972-9de0-b49aa11c190a"/>
    <ds:schemaRef ds:uri="352fcbb4-5fbd-41df-a0a5-39d5582236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78B868-2C9C-44B3-BBC2-FA88C5C7F2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ENTRADA</vt:lpstr>
      <vt:lpstr>ESTOQUE</vt:lpstr>
      <vt:lpstr>SAIDA</vt:lpstr>
      <vt:lpstr>CUSTO_TOTAL</vt:lpstr>
      <vt:lpstr>ENTRADA!Area_de_impressao</vt:lpstr>
      <vt:lpstr>ESTOQUE!Area_de_impressao</vt:lpstr>
      <vt:lpstr>SAIDA!Area_de_impressao</vt:lpstr>
      <vt:lpstr>ESTOQUE!Titulos_de_impressao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Reis Lara e Silva</dc:creator>
  <cp:keywords/>
  <dc:description/>
  <cp:lastModifiedBy>Eullon Oliveira da Silva</cp:lastModifiedBy>
  <cp:revision/>
  <dcterms:created xsi:type="dcterms:W3CDTF">2017-02-07T16:01:37Z</dcterms:created>
  <dcterms:modified xsi:type="dcterms:W3CDTF">2026-07-16T14:05:24Z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0x010100586025DCA6802D4CABBFACD2FFFF96F8</vt:lpwstr>
  </property>
</Properties>
</file>